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"/>
    </mc:Choice>
  </mc:AlternateContent>
  <xr:revisionPtr revIDLastSave="0" documentId="13_ncr:1_{2397112F-8CE9-4F7F-BAE7-C33778DFC43C}" xr6:coauthVersionLast="46" xr6:coauthVersionMax="46" xr10:uidLastSave="{00000000-0000-0000-0000-000000000000}"/>
  <bookViews>
    <workbookView xWindow="-120" yWindow="-120" windowWidth="29040" windowHeight="15840" tabRatio="844" xr2:uid="{00000000-000D-0000-FFFF-FFFF00000000}"/>
  </bookViews>
  <sheets>
    <sheet name="MENU" sheetId="33" r:id="rId1"/>
    <sheet name="2S EXPRESS" sheetId="27" r:id="rId2"/>
    <sheet name="2 ZT" sheetId="20" r:id="rId3"/>
    <sheet name="GO TRANSPORT" sheetId="21" r:id="rId4"/>
    <sheet name="HMZ - KAIS" sheetId="18" r:id="rId5"/>
    <sheet name="IB TRANSPORT" sheetId="22" r:id="rId6"/>
    <sheet name="JSL" sheetId="23" r:id="rId7"/>
    <sheet name="KIFAITOUT" sheetId="24" r:id="rId8"/>
    <sheet name="LUXE DRIVE" sheetId="19" r:id="rId9"/>
    <sheet name="SSN" sheetId="25" r:id="rId10"/>
    <sheet name="TJM" sheetId="43" r:id="rId11"/>
    <sheet name="W3" sheetId="31" r:id="rId12"/>
    <sheet name="ATHIS MONS" sheetId="17" r:id="rId13"/>
    <sheet name="L HAY LES ROSES" sheetId="34" r:id="rId14"/>
    <sheet name="RUNGIS" sheetId="35" r:id="rId15"/>
    <sheet name="SCEAUX" sheetId="36" r:id="rId16"/>
    <sheet name="INSTANCE C1" sheetId="37" r:id="rId17"/>
    <sheet name="INSTANCE C2" sheetId="38" r:id="rId18"/>
    <sheet name="INTERNES" sheetId="40" r:id="rId19"/>
    <sheet name="EN PANNE" sheetId="41" r:id="rId20"/>
    <sheet name="NON RENTRE" sheetId="42" r:id="rId21"/>
    <sheet name="PUK" sheetId="39" r:id="rId22"/>
  </sheets>
  <definedNames>
    <definedName name="_xlnm.Print_Area" localSheetId="4">'HMZ - KAIS'!$A$2:$Q$62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4" l="1"/>
  <c r="I9" i="24"/>
  <c r="H9" i="24" s="1"/>
  <c r="I10" i="24"/>
  <c r="I11" i="24"/>
  <c r="I12" i="24"/>
  <c r="H12" i="24" s="1"/>
  <c r="I13" i="24"/>
  <c r="I14" i="24"/>
  <c r="I15" i="24"/>
  <c r="H15" i="24" s="1"/>
  <c r="I16" i="24"/>
  <c r="I17" i="24"/>
  <c r="H17" i="24" s="1"/>
  <c r="I18" i="24"/>
  <c r="I19" i="24"/>
  <c r="I20" i="24"/>
  <c r="I21" i="24"/>
  <c r="I22" i="24"/>
  <c r="I23" i="24"/>
  <c r="H23" i="24" s="1"/>
  <c r="I24" i="24"/>
  <c r="I25" i="24"/>
  <c r="H25" i="24" s="1"/>
  <c r="I26" i="24"/>
  <c r="I27" i="24"/>
  <c r="I28" i="24"/>
  <c r="I29" i="24"/>
  <c r="I30" i="24"/>
  <c r="I31" i="24"/>
  <c r="H31" i="24" s="1"/>
  <c r="I32" i="24"/>
  <c r="I33" i="24"/>
  <c r="H33" i="24" s="1"/>
  <c r="I34" i="24"/>
  <c r="I35" i="24"/>
  <c r="I36" i="24"/>
  <c r="I37" i="24"/>
  <c r="I38" i="24"/>
  <c r="I39" i="24"/>
  <c r="H39" i="24" s="1"/>
  <c r="I40" i="24"/>
  <c r="I41" i="24"/>
  <c r="H41" i="24" s="1"/>
  <c r="I42" i="24"/>
  <c r="I43" i="24"/>
  <c r="I44" i="24"/>
  <c r="I45" i="24"/>
  <c r="I46" i="24"/>
  <c r="I47" i="24"/>
  <c r="H47" i="24" s="1"/>
  <c r="I48" i="24"/>
  <c r="I49" i="24"/>
  <c r="H49" i="24" s="1"/>
  <c r="I50" i="24"/>
  <c r="I7" i="24"/>
  <c r="H8" i="24"/>
  <c r="H10" i="24"/>
  <c r="H11" i="24"/>
  <c r="H13" i="24"/>
  <c r="H14" i="24"/>
  <c r="H16" i="24"/>
  <c r="H18" i="24"/>
  <c r="H19" i="24"/>
  <c r="H20" i="24"/>
  <c r="H21" i="24"/>
  <c r="H22" i="24"/>
  <c r="H24" i="24"/>
  <c r="H26" i="24"/>
  <c r="H27" i="24"/>
  <c r="H28" i="24"/>
  <c r="H29" i="24"/>
  <c r="H30" i="24"/>
  <c r="H32" i="24"/>
  <c r="H34" i="24"/>
  <c r="H35" i="24"/>
  <c r="H36" i="24"/>
  <c r="H37" i="24"/>
  <c r="H38" i="24"/>
  <c r="H40" i="24"/>
  <c r="H42" i="24"/>
  <c r="H43" i="24"/>
  <c r="H44" i="24"/>
  <c r="H45" i="24"/>
  <c r="H46" i="24"/>
  <c r="H48" i="24"/>
  <c r="H50" i="24"/>
  <c r="H7" i="24"/>
  <c r="C8" i="24"/>
  <c r="B8" i="24" s="1"/>
  <c r="C9" i="24"/>
  <c r="B9" i="24" s="1"/>
  <c r="C10" i="24"/>
  <c r="C11" i="24"/>
  <c r="C12" i="24"/>
  <c r="C13" i="24"/>
  <c r="C14" i="24"/>
  <c r="C15" i="24"/>
  <c r="B15" i="24" s="1"/>
  <c r="C16" i="24"/>
  <c r="B16" i="24" s="1"/>
  <c r="C17" i="24"/>
  <c r="B17" i="24" s="1"/>
  <c r="C18" i="24"/>
  <c r="C19" i="24"/>
  <c r="C20" i="24"/>
  <c r="C21" i="24"/>
  <c r="C22" i="24"/>
  <c r="C23" i="24"/>
  <c r="B23" i="24" s="1"/>
  <c r="C24" i="24"/>
  <c r="B24" i="24" s="1"/>
  <c r="C25" i="24"/>
  <c r="B25" i="24" s="1"/>
  <c r="C26" i="24"/>
  <c r="C27" i="24"/>
  <c r="C28" i="24"/>
  <c r="C29" i="24"/>
  <c r="C30" i="24"/>
  <c r="C31" i="24"/>
  <c r="B31" i="24" s="1"/>
  <c r="C32" i="24"/>
  <c r="B32" i="24" s="1"/>
  <c r="C33" i="24"/>
  <c r="B33" i="24" s="1"/>
  <c r="C34" i="24"/>
  <c r="C35" i="24"/>
  <c r="C36" i="24"/>
  <c r="C37" i="24"/>
  <c r="C38" i="24"/>
  <c r="C39" i="24"/>
  <c r="B39" i="24" s="1"/>
  <c r="C40" i="24"/>
  <c r="B40" i="24" s="1"/>
  <c r="C41" i="24"/>
  <c r="B41" i="24" s="1"/>
  <c r="C42" i="24"/>
  <c r="C43" i="24"/>
  <c r="C44" i="24"/>
  <c r="C45" i="24"/>
  <c r="C46" i="24"/>
  <c r="C47" i="24"/>
  <c r="B47" i="24" s="1"/>
  <c r="C48" i="24"/>
  <c r="B48" i="24" s="1"/>
  <c r="C49" i="24"/>
  <c r="B49" i="24" s="1"/>
  <c r="C50" i="24"/>
  <c r="C7" i="24"/>
  <c r="B10" i="24"/>
  <c r="B11" i="24"/>
  <c r="B12" i="24"/>
  <c r="B13" i="24"/>
  <c r="B14" i="24"/>
  <c r="B18" i="24"/>
  <c r="B19" i="24"/>
  <c r="B20" i="24"/>
  <c r="B21" i="24"/>
  <c r="B22" i="24"/>
  <c r="B26" i="24"/>
  <c r="B27" i="24"/>
  <c r="B28" i="24"/>
  <c r="B29" i="24"/>
  <c r="B30" i="24"/>
  <c r="B34" i="24"/>
  <c r="B35" i="24"/>
  <c r="B36" i="24"/>
  <c r="B37" i="24"/>
  <c r="B38" i="24"/>
  <c r="B42" i="24"/>
  <c r="B43" i="24"/>
  <c r="B44" i="24"/>
  <c r="B45" i="24"/>
  <c r="B46" i="24"/>
  <c r="B50" i="24"/>
  <c r="B7" i="24"/>
  <c r="I8" i="23"/>
  <c r="H8" i="23" s="1"/>
  <c r="I9" i="23"/>
  <c r="H9" i="23" s="1"/>
  <c r="I10" i="23"/>
  <c r="I11" i="23"/>
  <c r="I12" i="23"/>
  <c r="I13" i="23"/>
  <c r="I14" i="23"/>
  <c r="I15" i="23"/>
  <c r="H15" i="23" s="1"/>
  <c r="I16" i="23"/>
  <c r="H16" i="23" s="1"/>
  <c r="I17" i="23"/>
  <c r="H17" i="23" s="1"/>
  <c r="I18" i="23"/>
  <c r="I19" i="23"/>
  <c r="I20" i="23"/>
  <c r="I21" i="23"/>
  <c r="I22" i="23"/>
  <c r="I23" i="23"/>
  <c r="H23" i="23" s="1"/>
  <c r="I24" i="23"/>
  <c r="H24" i="23" s="1"/>
  <c r="I25" i="23"/>
  <c r="H25" i="23" s="1"/>
  <c r="I26" i="23"/>
  <c r="I27" i="23"/>
  <c r="I28" i="23"/>
  <c r="I29" i="23"/>
  <c r="I30" i="23"/>
  <c r="I31" i="23"/>
  <c r="H31" i="23" s="1"/>
  <c r="I32" i="23"/>
  <c r="H32" i="23" s="1"/>
  <c r="I33" i="23"/>
  <c r="H33" i="23" s="1"/>
  <c r="I34" i="23"/>
  <c r="I35" i="23"/>
  <c r="I36" i="23"/>
  <c r="I37" i="23"/>
  <c r="I38" i="23"/>
  <c r="I39" i="23"/>
  <c r="H39" i="23" s="1"/>
  <c r="I40" i="23"/>
  <c r="H40" i="23" s="1"/>
  <c r="I41" i="23"/>
  <c r="H41" i="23" s="1"/>
  <c r="I42" i="23"/>
  <c r="I43" i="23"/>
  <c r="I44" i="23"/>
  <c r="I45" i="23"/>
  <c r="I46" i="23"/>
  <c r="I47" i="23"/>
  <c r="H47" i="23" s="1"/>
  <c r="I48" i="23"/>
  <c r="H48" i="23" s="1"/>
  <c r="I49" i="23"/>
  <c r="H49" i="23" s="1"/>
  <c r="I50" i="23"/>
  <c r="I7" i="23"/>
  <c r="H10" i="23"/>
  <c r="H11" i="23"/>
  <c r="H12" i="23"/>
  <c r="H13" i="23"/>
  <c r="H14" i="23"/>
  <c r="H18" i="23"/>
  <c r="H19" i="23"/>
  <c r="H20" i="23"/>
  <c r="H21" i="23"/>
  <c r="H22" i="23"/>
  <c r="H26" i="23"/>
  <c r="H27" i="23"/>
  <c r="H28" i="23"/>
  <c r="H29" i="23"/>
  <c r="H30" i="23"/>
  <c r="H34" i="23"/>
  <c r="H35" i="23"/>
  <c r="H36" i="23"/>
  <c r="H37" i="23"/>
  <c r="H38" i="23"/>
  <c r="H42" i="23"/>
  <c r="H43" i="23"/>
  <c r="H44" i="23"/>
  <c r="H45" i="23"/>
  <c r="H46" i="23"/>
  <c r="H50" i="23"/>
  <c r="H7" i="23"/>
  <c r="C8" i="23"/>
  <c r="B8" i="23" s="1"/>
  <c r="C9" i="23"/>
  <c r="B9" i="23" s="1"/>
  <c r="C10" i="23"/>
  <c r="B10" i="23" s="1"/>
  <c r="C11" i="23"/>
  <c r="C12" i="23"/>
  <c r="C13" i="23"/>
  <c r="C14" i="23"/>
  <c r="C15" i="23"/>
  <c r="B15" i="23" s="1"/>
  <c r="C16" i="23"/>
  <c r="B16" i="23" s="1"/>
  <c r="C17" i="23"/>
  <c r="B17" i="23" s="1"/>
  <c r="C18" i="23"/>
  <c r="B18" i="23" s="1"/>
  <c r="C19" i="23"/>
  <c r="C20" i="23"/>
  <c r="C21" i="23"/>
  <c r="C22" i="23"/>
  <c r="C23" i="23"/>
  <c r="B23" i="23" s="1"/>
  <c r="C24" i="23"/>
  <c r="B24" i="23" s="1"/>
  <c r="C25" i="23"/>
  <c r="B25" i="23" s="1"/>
  <c r="C26" i="23"/>
  <c r="B26" i="23" s="1"/>
  <c r="C27" i="23"/>
  <c r="C28" i="23"/>
  <c r="C29" i="23"/>
  <c r="C30" i="23"/>
  <c r="C31" i="23"/>
  <c r="B31" i="23" s="1"/>
  <c r="C32" i="23"/>
  <c r="B32" i="23" s="1"/>
  <c r="C33" i="23"/>
  <c r="B33" i="23" s="1"/>
  <c r="C34" i="23"/>
  <c r="B34" i="23" s="1"/>
  <c r="C35" i="23"/>
  <c r="C36" i="23"/>
  <c r="C37" i="23"/>
  <c r="C38" i="23"/>
  <c r="C39" i="23"/>
  <c r="B39" i="23" s="1"/>
  <c r="C40" i="23"/>
  <c r="B40" i="23" s="1"/>
  <c r="C41" i="23"/>
  <c r="B41" i="23" s="1"/>
  <c r="C42" i="23"/>
  <c r="B42" i="23" s="1"/>
  <c r="C43" i="23"/>
  <c r="C44" i="23"/>
  <c r="C45" i="23"/>
  <c r="C46" i="23"/>
  <c r="C47" i="23"/>
  <c r="B47" i="23" s="1"/>
  <c r="C48" i="23"/>
  <c r="B48" i="23" s="1"/>
  <c r="C49" i="23"/>
  <c r="B49" i="23" s="1"/>
  <c r="C50" i="23"/>
  <c r="B50" i="23" s="1"/>
  <c r="C7" i="23"/>
  <c r="B11" i="23"/>
  <c r="B12" i="23"/>
  <c r="B13" i="23"/>
  <c r="B14" i="23"/>
  <c r="B19" i="23"/>
  <c r="B20" i="23"/>
  <c r="B21" i="23"/>
  <c r="B22" i="23"/>
  <c r="B27" i="23"/>
  <c r="B28" i="23"/>
  <c r="B29" i="23"/>
  <c r="B30" i="23"/>
  <c r="B35" i="23"/>
  <c r="B36" i="23"/>
  <c r="B37" i="23"/>
  <c r="B38" i="23"/>
  <c r="B43" i="23"/>
  <c r="B44" i="23"/>
  <c r="B45" i="23"/>
  <c r="B46" i="23"/>
  <c r="B7" i="23"/>
  <c r="I8" i="22"/>
  <c r="H8" i="22" s="1"/>
  <c r="I9" i="22"/>
  <c r="H9" i="22" s="1"/>
  <c r="I10" i="22"/>
  <c r="H10" i="22" s="1"/>
  <c r="I11" i="22"/>
  <c r="I12" i="22"/>
  <c r="I13" i="22"/>
  <c r="I14" i="22"/>
  <c r="I15" i="22"/>
  <c r="H15" i="22" s="1"/>
  <c r="I16" i="22"/>
  <c r="H16" i="22" s="1"/>
  <c r="I17" i="22"/>
  <c r="H17" i="22" s="1"/>
  <c r="I18" i="22"/>
  <c r="H18" i="22" s="1"/>
  <c r="I19" i="22"/>
  <c r="I20" i="22"/>
  <c r="I21" i="22"/>
  <c r="I22" i="22"/>
  <c r="I23" i="22"/>
  <c r="H23" i="22" s="1"/>
  <c r="I24" i="22"/>
  <c r="H24" i="22" s="1"/>
  <c r="I25" i="22"/>
  <c r="H25" i="22" s="1"/>
  <c r="I26" i="22"/>
  <c r="H26" i="22" s="1"/>
  <c r="I27" i="22"/>
  <c r="I28" i="22"/>
  <c r="I29" i="22"/>
  <c r="I30" i="22"/>
  <c r="I31" i="22"/>
  <c r="H31" i="22" s="1"/>
  <c r="I32" i="22"/>
  <c r="H32" i="22" s="1"/>
  <c r="I33" i="22"/>
  <c r="H33" i="22" s="1"/>
  <c r="I34" i="22"/>
  <c r="H34" i="22" s="1"/>
  <c r="I35" i="22"/>
  <c r="I36" i="22"/>
  <c r="I37" i="22"/>
  <c r="I38" i="22"/>
  <c r="I39" i="22"/>
  <c r="H39" i="22" s="1"/>
  <c r="I40" i="22"/>
  <c r="H40" i="22" s="1"/>
  <c r="I41" i="22"/>
  <c r="H41" i="22" s="1"/>
  <c r="I42" i="22"/>
  <c r="H42" i="22" s="1"/>
  <c r="I43" i="22"/>
  <c r="I44" i="22"/>
  <c r="I45" i="22"/>
  <c r="I46" i="22"/>
  <c r="I47" i="22"/>
  <c r="H47" i="22" s="1"/>
  <c r="I48" i="22"/>
  <c r="H48" i="22" s="1"/>
  <c r="I49" i="22"/>
  <c r="H49" i="22" s="1"/>
  <c r="I50" i="22"/>
  <c r="H50" i="22" s="1"/>
  <c r="I7" i="22"/>
  <c r="H11" i="22"/>
  <c r="H12" i="22"/>
  <c r="H13" i="22"/>
  <c r="H14" i="22"/>
  <c r="H19" i="22"/>
  <c r="H20" i="22"/>
  <c r="H21" i="22"/>
  <c r="H22" i="22"/>
  <c r="H27" i="22"/>
  <c r="H28" i="22"/>
  <c r="H29" i="22"/>
  <c r="H30" i="22"/>
  <c r="H35" i="22"/>
  <c r="H36" i="22"/>
  <c r="H37" i="22"/>
  <c r="H38" i="22"/>
  <c r="H43" i="22"/>
  <c r="H44" i="22"/>
  <c r="H45" i="22"/>
  <c r="H46" i="22"/>
  <c r="H7" i="22"/>
  <c r="C8" i="22"/>
  <c r="B8" i="22" s="1"/>
  <c r="C9" i="22"/>
  <c r="B9" i="22" s="1"/>
  <c r="C10" i="22"/>
  <c r="B10" i="22" s="1"/>
  <c r="C11" i="22"/>
  <c r="C12" i="22"/>
  <c r="C13" i="22"/>
  <c r="C14" i="22"/>
  <c r="C15" i="22"/>
  <c r="B15" i="22" s="1"/>
  <c r="C16" i="22"/>
  <c r="B16" i="22" s="1"/>
  <c r="C17" i="22"/>
  <c r="B17" i="22" s="1"/>
  <c r="C18" i="22"/>
  <c r="B18" i="22" s="1"/>
  <c r="C19" i="22"/>
  <c r="C20" i="22"/>
  <c r="C21" i="22"/>
  <c r="C22" i="22"/>
  <c r="C23" i="22"/>
  <c r="B23" i="22" s="1"/>
  <c r="C24" i="22"/>
  <c r="B24" i="22" s="1"/>
  <c r="C25" i="22"/>
  <c r="B25" i="22" s="1"/>
  <c r="C26" i="22"/>
  <c r="B26" i="22" s="1"/>
  <c r="C27" i="22"/>
  <c r="C28" i="22"/>
  <c r="C29" i="22"/>
  <c r="C30" i="22"/>
  <c r="C31" i="22"/>
  <c r="B31" i="22" s="1"/>
  <c r="C32" i="22"/>
  <c r="B32" i="22" s="1"/>
  <c r="C33" i="22"/>
  <c r="B33" i="22" s="1"/>
  <c r="C34" i="22"/>
  <c r="B34" i="22" s="1"/>
  <c r="C35" i="22"/>
  <c r="C36" i="22"/>
  <c r="C37" i="22"/>
  <c r="C38" i="22"/>
  <c r="C39" i="22"/>
  <c r="B39" i="22" s="1"/>
  <c r="C40" i="22"/>
  <c r="B40" i="22" s="1"/>
  <c r="C41" i="22"/>
  <c r="B41" i="22" s="1"/>
  <c r="C42" i="22"/>
  <c r="B42" i="22" s="1"/>
  <c r="C43" i="22"/>
  <c r="C44" i="22"/>
  <c r="C45" i="22"/>
  <c r="C46" i="22"/>
  <c r="C47" i="22"/>
  <c r="B47" i="22" s="1"/>
  <c r="C48" i="22"/>
  <c r="B48" i="22" s="1"/>
  <c r="C49" i="22"/>
  <c r="B49" i="22" s="1"/>
  <c r="C50" i="22"/>
  <c r="B50" i="22" s="1"/>
  <c r="C7" i="22"/>
  <c r="B11" i="22"/>
  <c r="B12" i="22"/>
  <c r="B13" i="22"/>
  <c r="B14" i="22"/>
  <c r="B19" i="22"/>
  <c r="B20" i="22"/>
  <c r="B21" i="22"/>
  <c r="B22" i="22"/>
  <c r="B27" i="22"/>
  <c r="B28" i="22"/>
  <c r="B29" i="22"/>
  <c r="B30" i="22"/>
  <c r="B35" i="22"/>
  <c r="B36" i="22"/>
  <c r="B37" i="22"/>
  <c r="B38" i="22"/>
  <c r="B43" i="22"/>
  <c r="B44" i="22"/>
  <c r="B45" i="22"/>
  <c r="B46" i="22"/>
  <c r="B7" i="22"/>
  <c r="I8" i="18"/>
  <c r="H8" i="18" s="1"/>
  <c r="I9" i="18"/>
  <c r="H9" i="18" s="1"/>
  <c r="I10" i="18"/>
  <c r="H10" i="18" s="1"/>
  <c r="I11" i="18"/>
  <c r="I12" i="18"/>
  <c r="I13" i="18"/>
  <c r="I14" i="18"/>
  <c r="I15" i="18"/>
  <c r="H15" i="18" s="1"/>
  <c r="I16" i="18"/>
  <c r="H16" i="18" s="1"/>
  <c r="I17" i="18"/>
  <c r="H17" i="18" s="1"/>
  <c r="I18" i="18"/>
  <c r="H18" i="18" s="1"/>
  <c r="I19" i="18"/>
  <c r="I20" i="18"/>
  <c r="I21" i="18"/>
  <c r="I22" i="18"/>
  <c r="I23" i="18"/>
  <c r="H23" i="18" s="1"/>
  <c r="I24" i="18"/>
  <c r="H24" i="18" s="1"/>
  <c r="I25" i="18"/>
  <c r="H25" i="18" s="1"/>
  <c r="I26" i="18"/>
  <c r="H26" i="18" s="1"/>
  <c r="I27" i="18"/>
  <c r="I28" i="18"/>
  <c r="I29" i="18"/>
  <c r="I30" i="18"/>
  <c r="I31" i="18"/>
  <c r="H31" i="18" s="1"/>
  <c r="I32" i="18"/>
  <c r="H32" i="18" s="1"/>
  <c r="I33" i="18"/>
  <c r="H33" i="18" s="1"/>
  <c r="I34" i="18"/>
  <c r="H34" i="18" s="1"/>
  <c r="I35" i="18"/>
  <c r="I36" i="18"/>
  <c r="I37" i="18"/>
  <c r="I38" i="18"/>
  <c r="I39" i="18"/>
  <c r="H39" i="18" s="1"/>
  <c r="I40" i="18"/>
  <c r="H40" i="18" s="1"/>
  <c r="I41" i="18"/>
  <c r="H41" i="18" s="1"/>
  <c r="I42" i="18"/>
  <c r="H42" i="18" s="1"/>
  <c r="I43" i="18"/>
  <c r="I44" i="18"/>
  <c r="I45" i="18"/>
  <c r="I46" i="18"/>
  <c r="I47" i="18"/>
  <c r="H47" i="18" s="1"/>
  <c r="I48" i="18"/>
  <c r="H48" i="18" s="1"/>
  <c r="I49" i="18"/>
  <c r="H49" i="18" s="1"/>
  <c r="I50" i="18"/>
  <c r="H50" i="18" s="1"/>
  <c r="I7" i="18"/>
  <c r="H11" i="18"/>
  <c r="H12" i="18"/>
  <c r="H13" i="18"/>
  <c r="H14" i="18"/>
  <c r="H19" i="18"/>
  <c r="H20" i="18"/>
  <c r="H21" i="18"/>
  <c r="H22" i="18"/>
  <c r="H27" i="18"/>
  <c r="H28" i="18"/>
  <c r="H29" i="18"/>
  <c r="H30" i="18"/>
  <c r="H35" i="18"/>
  <c r="H36" i="18"/>
  <c r="H37" i="18"/>
  <c r="H38" i="18"/>
  <c r="H43" i="18"/>
  <c r="H44" i="18"/>
  <c r="H45" i="18"/>
  <c r="H46" i="18"/>
  <c r="H7" i="18"/>
  <c r="C8" i="18"/>
  <c r="B8" i="18" s="1"/>
  <c r="C9" i="18"/>
  <c r="B9" i="18" s="1"/>
  <c r="C10" i="18"/>
  <c r="B10" i="18" s="1"/>
  <c r="C11" i="18"/>
  <c r="C12" i="18"/>
  <c r="C13" i="18"/>
  <c r="C14" i="18"/>
  <c r="C15" i="18"/>
  <c r="B15" i="18" s="1"/>
  <c r="C16" i="18"/>
  <c r="B16" i="18" s="1"/>
  <c r="C17" i="18"/>
  <c r="B17" i="18" s="1"/>
  <c r="C18" i="18"/>
  <c r="B18" i="18" s="1"/>
  <c r="C19" i="18"/>
  <c r="C20" i="18"/>
  <c r="C21" i="18"/>
  <c r="C22" i="18"/>
  <c r="C23" i="18"/>
  <c r="B23" i="18" s="1"/>
  <c r="C24" i="18"/>
  <c r="B24" i="18" s="1"/>
  <c r="C25" i="18"/>
  <c r="B25" i="18" s="1"/>
  <c r="C26" i="18"/>
  <c r="B26" i="18" s="1"/>
  <c r="C27" i="18"/>
  <c r="C28" i="18"/>
  <c r="C29" i="18"/>
  <c r="C30" i="18"/>
  <c r="C31" i="18"/>
  <c r="B31" i="18" s="1"/>
  <c r="C32" i="18"/>
  <c r="B32" i="18" s="1"/>
  <c r="C33" i="18"/>
  <c r="B33" i="18" s="1"/>
  <c r="C34" i="18"/>
  <c r="B34" i="18" s="1"/>
  <c r="C35" i="18"/>
  <c r="C36" i="18"/>
  <c r="C37" i="18"/>
  <c r="C38" i="18"/>
  <c r="C39" i="18"/>
  <c r="B39" i="18" s="1"/>
  <c r="C40" i="18"/>
  <c r="B40" i="18" s="1"/>
  <c r="C41" i="18"/>
  <c r="B41" i="18" s="1"/>
  <c r="C42" i="18"/>
  <c r="B42" i="18" s="1"/>
  <c r="C43" i="18"/>
  <c r="C44" i="18"/>
  <c r="C45" i="18"/>
  <c r="C46" i="18"/>
  <c r="C47" i="18"/>
  <c r="B47" i="18" s="1"/>
  <c r="C48" i="18"/>
  <c r="B48" i="18" s="1"/>
  <c r="C49" i="18"/>
  <c r="B49" i="18" s="1"/>
  <c r="C50" i="18"/>
  <c r="B50" i="18" s="1"/>
  <c r="C7" i="18"/>
  <c r="B11" i="18"/>
  <c r="B12" i="18"/>
  <c r="B13" i="18"/>
  <c r="B14" i="18"/>
  <c r="B19" i="18"/>
  <c r="B20" i="18"/>
  <c r="B21" i="18"/>
  <c r="B22" i="18"/>
  <c r="B27" i="18"/>
  <c r="B28" i="18"/>
  <c r="B29" i="18"/>
  <c r="B30" i="18"/>
  <c r="B35" i="18"/>
  <c r="B36" i="18"/>
  <c r="B37" i="18"/>
  <c r="B38" i="18"/>
  <c r="B43" i="18"/>
  <c r="B44" i="18"/>
  <c r="B45" i="18"/>
  <c r="B46" i="18"/>
  <c r="B7" i="18"/>
  <c r="I8" i="21"/>
  <c r="H8" i="21" s="1"/>
  <c r="I9" i="21"/>
  <c r="H9" i="21" s="1"/>
  <c r="I10" i="21"/>
  <c r="H10" i="21" s="1"/>
  <c r="I11" i="21"/>
  <c r="I12" i="21"/>
  <c r="I13" i="21"/>
  <c r="I14" i="21"/>
  <c r="I15" i="21"/>
  <c r="H15" i="21" s="1"/>
  <c r="I16" i="21"/>
  <c r="H16" i="21" s="1"/>
  <c r="I17" i="21"/>
  <c r="H17" i="21" s="1"/>
  <c r="I18" i="21"/>
  <c r="H18" i="21" s="1"/>
  <c r="I19" i="21"/>
  <c r="I20" i="21"/>
  <c r="I21" i="21"/>
  <c r="I22" i="21"/>
  <c r="I23" i="21"/>
  <c r="H23" i="21" s="1"/>
  <c r="I24" i="21"/>
  <c r="H24" i="21" s="1"/>
  <c r="I25" i="21"/>
  <c r="H25" i="21" s="1"/>
  <c r="I26" i="21"/>
  <c r="H26" i="21" s="1"/>
  <c r="I27" i="21"/>
  <c r="I28" i="21"/>
  <c r="I29" i="21"/>
  <c r="I30" i="21"/>
  <c r="I31" i="21"/>
  <c r="H31" i="21" s="1"/>
  <c r="I32" i="21"/>
  <c r="H32" i="21" s="1"/>
  <c r="I33" i="21"/>
  <c r="H33" i="21" s="1"/>
  <c r="I34" i="21"/>
  <c r="H34" i="21" s="1"/>
  <c r="I35" i="21"/>
  <c r="I36" i="21"/>
  <c r="I37" i="21"/>
  <c r="I38" i="21"/>
  <c r="I39" i="21"/>
  <c r="H39" i="21" s="1"/>
  <c r="I40" i="21"/>
  <c r="H40" i="21" s="1"/>
  <c r="I41" i="21"/>
  <c r="H41" i="21" s="1"/>
  <c r="I42" i="21"/>
  <c r="H42" i="21" s="1"/>
  <c r="I43" i="21"/>
  <c r="I44" i="21"/>
  <c r="I45" i="21"/>
  <c r="I46" i="21"/>
  <c r="I47" i="21"/>
  <c r="H47" i="21" s="1"/>
  <c r="I48" i="21"/>
  <c r="H48" i="21" s="1"/>
  <c r="I49" i="21"/>
  <c r="H49" i="21" s="1"/>
  <c r="I50" i="21"/>
  <c r="H50" i="21" s="1"/>
  <c r="I7" i="21"/>
  <c r="H11" i="21"/>
  <c r="H12" i="21"/>
  <c r="H13" i="21"/>
  <c r="H14" i="21"/>
  <c r="H19" i="21"/>
  <c r="H20" i="21"/>
  <c r="H21" i="21"/>
  <c r="H22" i="21"/>
  <c r="H27" i="21"/>
  <c r="H28" i="21"/>
  <c r="H29" i="21"/>
  <c r="H30" i="21"/>
  <c r="H35" i="21"/>
  <c r="H36" i="21"/>
  <c r="H37" i="21"/>
  <c r="H38" i="21"/>
  <c r="H43" i="21"/>
  <c r="H44" i="21"/>
  <c r="H45" i="21"/>
  <c r="H46" i="21"/>
  <c r="H7" i="21"/>
  <c r="C8" i="21"/>
  <c r="B8" i="21" s="1"/>
  <c r="C9" i="21"/>
  <c r="B9" i="21" s="1"/>
  <c r="C10" i="21"/>
  <c r="B10" i="21" s="1"/>
  <c r="C11" i="21"/>
  <c r="C12" i="21"/>
  <c r="C13" i="21"/>
  <c r="C14" i="21"/>
  <c r="C15" i="21"/>
  <c r="B15" i="21" s="1"/>
  <c r="C16" i="21"/>
  <c r="B16" i="21" s="1"/>
  <c r="C17" i="21"/>
  <c r="B17" i="21" s="1"/>
  <c r="C18" i="21"/>
  <c r="B18" i="21" s="1"/>
  <c r="C19" i="21"/>
  <c r="C20" i="21"/>
  <c r="C21" i="21"/>
  <c r="C22" i="21"/>
  <c r="C23" i="21"/>
  <c r="B23" i="21" s="1"/>
  <c r="C24" i="21"/>
  <c r="B24" i="21" s="1"/>
  <c r="C25" i="21"/>
  <c r="B25" i="21" s="1"/>
  <c r="C26" i="21"/>
  <c r="B26" i="21" s="1"/>
  <c r="C27" i="21"/>
  <c r="C28" i="21"/>
  <c r="C29" i="21"/>
  <c r="C30" i="21"/>
  <c r="C31" i="21"/>
  <c r="B31" i="21" s="1"/>
  <c r="C32" i="21"/>
  <c r="B32" i="21" s="1"/>
  <c r="C33" i="21"/>
  <c r="B33" i="21" s="1"/>
  <c r="C34" i="21"/>
  <c r="B34" i="21" s="1"/>
  <c r="C35" i="21"/>
  <c r="C36" i="21"/>
  <c r="C37" i="21"/>
  <c r="C38" i="21"/>
  <c r="C39" i="21"/>
  <c r="B39" i="21" s="1"/>
  <c r="C40" i="21"/>
  <c r="B40" i="21" s="1"/>
  <c r="C41" i="21"/>
  <c r="B41" i="21" s="1"/>
  <c r="C42" i="21"/>
  <c r="B42" i="21" s="1"/>
  <c r="C43" i="21"/>
  <c r="C44" i="21"/>
  <c r="C45" i="21"/>
  <c r="C46" i="21"/>
  <c r="C47" i="21"/>
  <c r="B47" i="21" s="1"/>
  <c r="C48" i="21"/>
  <c r="B48" i="21" s="1"/>
  <c r="C49" i="21"/>
  <c r="B49" i="21" s="1"/>
  <c r="C50" i="21"/>
  <c r="B50" i="21" s="1"/>
  <c r="C7" i="21"/>
  <c r="B11" i="21"/>
  <c r="B12" i="21"/>
  <c r="B13" i="21"/>
  <c r="B14" i="21"/>
  <c r="B19" i="21"/>
  <c r="B20" i="21"/>
  <c r="B21" i="21"/>
  <c r="B22" i="21"/>
  <c r="B27" i="21"/>
  <c r="B28" i="21"/>
  <c r="B29" i="21"/>
  <c r="B30" i="21"/>
  <c r="B35" i="21"/>
  <c r="B36" i="21"/>
  <c r="B37" i="21"/>
  <c r="B38" i="21"/>
  <c r="B43" i="21"/>
  <c r="B44" i="21"/>
  <c r="B45" i="21"/>
  <c r="B46" i="21"/>
  <c r="B7" i="21"/>
  <c r="I8" i="20"/>
  <c r="H8" i="20" s="1"/>
  <c r="I9" i="20"/>
  <c r="H9" i="20" s="1"/>
  <c r="I10" i="20"/>
  <c r="H10" i="20" s="1"/>
  <c r="I11" i="20"/>
  <c r="I12" i="20"/>
  <c r="I13" i="20"/>
  <c r="I14" i="20"/>
  <c r="I15" i="20"/>
  <c r="H15" i="20" s="1"/>
  <c r="I16" i="20"/>
  <c r="H16" i="20" s="1"/>
  <c r="I17" i="20"/>
  <c r="H17" i="20" s="1"/>
  <c r="I18" i="20"/>
  <c r="H18" i="20" s="1"/>
  <c r="I19" i="20"/>
  <c r="I20" i="20"/>
  <c r="I21" i="20"/>
  <c r="I22" i="20"/>
  <c r="I23" i="20"/>
  <c r="H23" i="20" s="1"/>
  <c r="I24" i="20"/>
  <c r="H24" i="20" s="1"/>
  <c r="I25" i="20"/>
  <c r="H25" i="20" s="1"/>
  <c r="I26" i="20"/>
  <c r="H26" i="20" s="1"/>
  <c r="I27" i="20"/>
  <c r="I28" i="20"/>
  <c r="I29" i="20"/>
  <c r="I30" i="20"/>
  <c r="I31" i="20"/>
  <c r="H31" i="20" s="1"/>
  <c r="I32" i="20"/>
  <c r="H32" i="20" s="1"/>
  <c r="I33" i="20"/>
  <c r="H33" i="20" s="1"/>
  <c r="I34" i="20"/>
  <c r="H34" i="20" s="1"/>
  <c r="I35" i="20"/>
  <c r="I36" i="20"/>
  <c r="I37" i="20"/>
  <c r="I38" i="20"/>
  <c r="I39" i="20"/>
  <c r="H39" i="20" s="1"/>
  <c r="I40" i="20"/>
  <c r="H40" i="20" s="1"/>
  <c r="I41" i="20"/>
  <c r="H41" i="20" s="1"/>
  <c r="I42" i="20"/>
  <c r="H42" i="20" s="1"/>
  <c r="I43" i="20"/>
  <c r="I44" i="20"/>
  <c r="I45" i="20"/>
  <c r="I46" i="20"/>
  <c r="I47" i="20"/>
  <c r="H47" i="20" s="1"/>
  <c r="I48" i="20"/>
  <c r="H48" i="20" s="1"/>
  <c r="I49" i="20"/>
  <c r="H49" i="20" s="1"/>
  <c r="I50" i="20"/>
  <c r="H50" i="20" s="1"/>
  <c r="I7" i="20"/>
  <c r="H11" i="20"/>
  <c r="H12" i="20"/>
  <c r="H13" i="20"/>
  <c r="H14" i="20"/>
  <c r="H19" i="20"/>
  <c r="H20" i="20"/>
  <c r="H21" i="20"/>
  <c r="H22" i="20"/>
  <c r="H27" i="20"/>
  <c r="H28" i="20"/>
  <c r="H29" i="20"/>
  <c r="H30" i="20"/>
  <c r="H35" i="20"/>
  <c r="H36" i="20"/>
  <c r="H37" i="20"/>
  <c r="H38" i="20"/>
  <c r="H43" i="20"/>
  <c r="H44" i="20"/>
  <c r="H45" i="20"/>
  <c r="H46" i="20"/>
  <c r="H7" i="20"/>
  <c r="C8" i="20"/>
  <c r="B8" i="20" s="1"/>
  <c r="C9" i="20"/>
  <c r="B9" i="20" s="1"/>
  <c r="C10" i="20"/>
  <c r="B10" i="20" s="1"/>
  <c r="C11" i="20"/>
  <c r="C12" i="20"/>
  <c r="C13" i="20"/>
  <c r="C14" i="20"/>
  <c r="C15" i="20"/>
  <c r="B15" i="20" s="1"/>
  <c r="C16" i="20"/>
  <c r="B16" i="20" s="1"/>
  <c r="C17" i="20"/>
  <c r="C18" i="20"/>
  <c r="B18" i="20" s="1"/>
  <c r="C19" i="20"/>
  <c r="C20" i="20"/>
  <c r="C21" i="20"/>
  <c r="C22" i="20"/>
  <c r="C23" i="20"/>
  <c r="B23" i="20" s="1"/>
  <c r="C24" i="20"/>
  <c r="B24" i="20" s="1"/>
  <c r="C25" i="20"/>
  <c r="B25" i="20" s="1"/>
  <c r="C26" i="20"/>
  <c r="B26" i="20" s="1"/>
  <c r="C27" i="20"/>
  <c r="C28" i="20"/>
  <c r="C29" i="20"/>
  <c r="C30" i="20"/>
  <c r="C31" i="20"/>
  <c r="B31" i="20" s="1"/>
  <c r="C32" i="20"/>
  <c r="B32" i="20" s="1"/>
  <c r="C33" i="20"/>
  <c r="C34" i="20"/>
  <c r="B34" i="20" s="1"/>
  <c r="C35" i="20"/>
  <c r="C36" i="20"/>
  <c r="C37" i="20"/>
  <c r="C38" i="20"/>
  <c r="C39" i="20"/>
  <c r="B39" i="20" s="1"/>
  <c r="C40" i="20"/>
  <c r="B40" i="20" s="1"/>
  <c r="C41" i="20"/>
  <c r="C42" i="20"/>
  <c r="B42" i="20" s="1"/>
  <c r="C43" i="20"/>
  <c r="C44" i="20"/>
  <c r="C45" i="20"/>
  <c r="C46" i="20"/>
  <c r="C47" i="20"/>
  <c r="B47" i="20" s="1"/>
  <c r="C48" i="20"/>
  <c r="B48" i="20" s="1"/>
  <c r="C49" i="20"/>
  <c r="B49" i="20" s="1"/>
  <c r="C50" i="20"/>
  <c r="B50" i="20" s="1"/>
  <c r="C7" i="20"/>
  <c r="B11" i="20"/>
  <c r="B12" i="20"/>
  <c r="B13" i="20"/>
  <c r="B14" i="20"/>
  <c r="B17" i="20"/>
  <c r="B19" i="20"/>
  <c r="B20" i="20"/>
  <c r="B21" i="20"/>
  <c r="B22" i="20"/>
  <c r="B27" i="20"/>
  <c r="B28" i="20"/>
  <c r="B29" i="20"/>
  <c r="B30" i="20"/>
  <c r="B33" i="20"/>
  <c r="B35" i="20"/>
  <c r="B36" i="20"/>
  <c r="B37" i="20"/>
  <c r="B38" i="20"/>
  <c r="B41" i="20"/>
  <c r="B43" i="20"/>
  <c r="B44" i="20"/>
  <c r="B45" i="20"/>
  <c r="B46" i="20"/>
  <c r="B7" i="20"/>
  <c r="I8" i="27"/>
  <c r="H8" i="27" s="1"/>
  <c r="I9" i="27"/>
  <c r="I10" i="27"/>
  <c r="H10" i="27" s="1"/>
  <c r="I11" i="27"/>
  <c r="I12" i="27"/>
  <c r="I13" i="27"/>
  <c r="I14" i="27"/>
  <c r="I15" i="27"/>
  <c r="H15" i="27" s="1"/>
  <c r="I16" i="27"/>
  <c r="H16" i="27" s="1"/>
  <c r="I17" i="27"/>
  <c r="I18" i="27"/>
  <c r="H18" i="27" s="1"/>
  <c r="I19" i="27"/>
  <c r="I20" i="27"/>
  <c r="I21" i="27"/>
  <c r="I22" i="27"/>
  <c r="I23" i="27"/>
  <c r="H23" i="27" s="1"/>
  <c r="I24" i="27"/>
  <c r="H24" i="27" s="1"/>
  <c r="I25" i="27"/>
  <c r="H25" i="27" s="1"/>
  <c r="I26" i="27"/>
  <c r="H26" i="27" s="1"/>
  <c r="I27" i="27"/>
  <c r="I28" i="27"/>
  <c r="I29" i="27"/>
  <c r="I30" i="27"/>
  <c r="I31" i="27"/>
  <c r="H31" i="27" s="1"/>
  <c r="I32" i="27"/>
  <c r="H32" i="27" s="1"/>
  <c r="I33" i="27"/>
  <c r="I34" i="27"/>
  <c r="H34" i="27" s="1"/>
  <c r="I35" i="27"/>
  <c r="I36" i="27"/>
  <c r="I37" i="27"/>
  <c r="I38" i="27"/>
  <c r="I39" i="27"/>
  <c r="H39" i="27" s="1"/>
  <c r="I40" i="27"/>
  <c r="H40" i="27" s="1"/>
  <c r="I41" i="27"/>
  <c r="I42" i="27"/>
  <c r="H42" i="27" s="1"/>
  <c r="I43" i="27"/>
  <c r="I44" i="27"/>
  <c r="I45" i="27"/>
  <c r="I46" i="27"/>
  <c r="I47" i="27"/>
  <c r="H47" i="27" s="1"/>
  <c r="I48" i="27"/>
  <c r="H48" i="27" s="1"/>
  <c r="I49" i="27"/>
  <c r="H49" i="27" s="1"/>
  <c r="I50" i="27"/>
  <c r="H50" i="27" s="1"/>
  <c r="I7" i="27"/>
  <c r="H9" i="27"/>
  <c r="H11" i="27"/>
  <c r="H12" i="27"/>
  <c r="H13" i="27"/>
  <c r="H14" i="27"/>
  <c r="H17" i="27"/>
  <c r="H19" i="27"/>
  <c r="H20" i="27"/>
  <c r="H21" i="27"/>
  <c r="H22" i="27"/>
  <c r="H27" i="27"/>
  <c r="H28" i="27"/>
  <c r="H29" i="27"/>
  <c r="H30" i="27"/>
  <c r="H33" i="27"/>
  <c r="H35" i="27"/>
  <c r="H36" i="27"/>
  <c r="H37" i="27"/>
  <c r="H38" i="27"/>
  <c r="H41" i="27"/>
  <c r="H43" i="27"/>
  <c r="H44" i="27"/>
  <c r="H45" i="27"/>
  <c r="H46" i="27"/>
  <c r="H7" i="27"/>
  <c r="C9" i="27"/>
  <c r="C10" i="27"/>
  <c r="C11" i="27"/>
  <c r="B11" i="27" s="1"/>
  <c r="C12" i="27"/>
  <c r="B12" i="27" s="1"/>
  <c r="C13" i="27"/>
  <c r="C14" i="27"/>
  <c r="B14" i="27" s="1"/>
  <c r="C15" i="27"/>
  <c r="C16" i="27"/>
  <c r="B16" i="27" s="1"/>
  <c r="C17" i="27"/>
  <c r="B17" i="27" s="1"/>
  <c r="C18" i="27"/>
  <c r="B18" i="27" s="1"/>
  <c r="C19" i="27"/>
  <c r="C20" i="27"/>
  <c r="B20" i="27" s="1"/>
  <c r="C21" i="27"/>
  <c r="C22" i="27"/>
  <c r="B22" i="27" s="1"/>
  <c r="C23" i="27"/>
  <c r="C24" i="27"/>
  <c r="B24" i="27" s="1"/>
  <c r="C25" i="27"/>
  <c r="B25" i="27" s="1"/>
  <c r="C26" i="27"/>
  <c r="B26" i="27" s="1"/>
  <c r="C27" i="27"/>
  <c r="B27" i="27" s="1"/>
  <c r="C28" i="27"/>
  <c r="B28" i="27" s="1"/>
  <c r="C29" i="27"/>
  <c r="C30" i="27"/>
  <c r="B30" i="27" s="1"/>
  <c r="C31" i="27"/>
  <c r="C32" i="27"/>
  <c r="B32" i="27" s="1"/>
  <c r="C33" i="27"/>
  <c r="C34" i="27"/>
  <c r="C35" i="27"/>
  <c r="C36" i="27"/>
  <c r="B36" i="27" s="1"/>
  <c r="C37" i="27"/>
  <c r="C38" i="27"/>
  <c r="B38" i="27" s="1"/>
  <c r="C39" i="27"/>
  <c r="B39" i="27" s="1"/>
  <c r="C40" i="27"/>
  <c r="B40" i="27" s="1"/>
  <c r="C41" i="27"/>
  <c r="C42" i="27"/>
  <c r="B42" i="27" s="1"/>
  <c r="C43" i="27"/>
  <c r="B43" i="27" s="1"/>
  <c r="C44" i="27"/>
  <c r="B44" i="27" s="1"/>
  <c r="C45" i="27"/>
  <c r="C46" i="27"/>
  <c r="B46" i="27" s="1"/>
  <c r="C47" i="27"/>
  <c r="C48" i="27"/>
  <c r="B48" i="27" s="1"/>
  <c r="C49" i="27"/>
  <c r="B49" i="27" s="1"/>
  <c r="C50" i="27"/>
  <c r="B50" i="27" s="1"/>
  <c r="C7" i="27"/>
  <c r="C8" i="27"/>
  <c r="B8" i="27" s="1"/>
  <c r="B9" i="27"/>
  <c r="B10" i="27"/>
  <c r="B13" i="27"/>
  <c r="B15" i="27"/>
  <c r="B19" i="27"/>
  <c r="B21" i="27"/>
  <c r="B23" i="27"/>
  <c r="B29" i="27"/>
  <c r="B31" i="27"/>
  <c r="B33" i="27"/>
  <c r="B34" i="27"/>
  <c r="B35" i="27"/>
  <c r="B37" i="27"/>
  <c r="B41" i="27"/>
  <c r="B45" i="27"/>
  <c r="B47" i="27"/>
  <c r="B7" i="27"/>
  <c r="T42" i="42"/>
  <c r="T38" i="42"/>
  <c r="T36" i="42"/>
  <c r="T30" i="42"/>
  <c r="T28" i="42"/>
  <c r="T26" i="42"/>
  <c r="T20" i="42"/>
  <c r="T18" i="42"/>
  <c r="T14" i="42"/>
  <c r="I10" i="25"/>
  <c r="I8" i="25"/>
  <c r="H8" i="25" s="1"/>
  <c r="I9" i="25"/>
  <c r="H9" i="25" s="1"/>
  <c r="I11" i="25"/>
  <c r="I12" i="25"/>
  <c r="I13" i="25"/>
  <c r="H13" i="25" s="1"/>
  <c r="I14" i="25"/>
  <c r="I15" i="25"/>
  <c r="I16" i="25"/>
  <c r="I17" i="25"/>
  <c r="H17" i="25" s="1"/>
  <c r="I18" i="25"/>
  <c r="H18" i="25" s="1"/>
  <c r="I19" i="25"/>
  <c r="I20" i="25"/>
  <c r="I21" i="25"/>
  <c r="H21" i="25" s="1"/>
  <c r="I22" i="25"/>
  <c r="I23" i="25"/>
  <c r="I24" i="25"/>
  <c r="I25" i="25"/>
  <c r="I26" i="25"/>
  <c r="H26" i="25" s="1"/>
  <c r="I27" i="25"/>
  <c r="I28" i="25"/>
  <c r="I29" i="25"/>
  <c r="H29" i="25" s="1"/>
  <c r="I30" i="25"/>
  <c r="H30" i="25" s="1"/>
  <c r="I31" i="25"/>
  <c r="H31" i="25" s="1"/>
  <c r="I32" i="25"/>
  <c r="I33" i="25"/>
  <c r="H33" i="25" s="1"/>
  <c r="I34" i="25"/>
  <c r="H34" i="25" s="1"/>
  <c r="I35" i="25"/>
  <c r="I36" i="25"/>
  <c r="I37" i="25"/>
  <c r="H37" i="25" s="1"/>
  <c r="I38" i="25"/>
  <c r="H38" i="25" s="1"/>
  <c r="I39" i="25"/>
  <c r="I40" i="25"/>
  <c r="I41" i="25"/>
  <c r="H41" i="25" s="1"/>
  <c r="I42" i="25"/>
  <c r="H42" i="25" s="1"/>
  <c r="I43" i="25"/>
  <c r="H43" i="25" s="1"/>
  <c r="I44" i="25"/>
  <c r="H44" i="25" s="1"/>
  <c r="I45" i="25"/>
  <c r="H45" i="25" s="1"/>
  <c r="I46" i="25"/>
  <c r="I47" i="25"/>
  <c r="I48" i="25"/>
  <c r="I49" i="25"/>
  <c r="H49" i="25" s="1"/>
  <c r="I50" i="25"/>
  <c r="H50" i="25" s="1"/>
  <c r="I7" i="25"/>
  <c r="H10" i="25"/>
  <c r="H11" i="25"/>
  <c r="H12" i="25"/>
  <c r="H14" i="25"/>
  <c r="H15" i="25"/>
  <c r="H16" i="25"/>
  <c r="H19" i="25"/>
  <c r="H20" i="25"/>
  <c r="H22" i="25"/>
  <c r="H23" i="25"/>
  <c r="H24" i="25"/>
  <c r="H25" i="25"/>
  <c r="H27" i="25"/>
  <c r="H28" i="25"/>
  <c r="H32" i="25"/>
  <c r="H35" i="25"/>
  <c r="H36" i="25"/>
  <c r="H39" i="25"/>
  <c r="H40" i="25"/>
  <c r="H46" i="25"/>
  <c r="H47" i="25"/>
  <c r="H48" i="25"/>
  <c r="H7" i="25"/>
  <c r="B7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B50" i="25" s="1"/>
  <c r="V50" i="33"/>
  <c r="T50" i="33"/>
  <c r="G53" i="43"/>
  <c r="A53" i="43"/>
  <c r="S50" i="43"/>
  <c r="T50" i="43" s="1"/>
  <c r="I50" i="43"/>
  <c r="H50" i="43" s="1"/>
  <c r="J50" i="43" s="1"/>
  <c r="F50" i="43"/>
  <c r="C50" i="43"/>
  <c r="B50" i="43" s="1"/>
  <c r="S49" i="43"/>
  <c r="T49" i="43" s="1"/>
  <c r="I49" i="43"/>
  <c r="H49" i="43" s="1"/>
  <c r="J49" i="43" s="1"/>
  <c r="F49" i="43"/>
  <c r="C49" i="43"/>
  <c r="B49" i="43" s="1"/>
  <c r="D49" i="43" s="1"/>
  <c r="S48" i="43"/>
  <c r="T48" i="43" s="1"/>
  <c r="I48" i="43"/>
  <c r="H48" i="43" s="1"/>
  <c r="J48" i="43" s="1"/>
  <c r="F48" i="43"/>
  <c r="C48" i="43"/>
  <c r="B48" i="43" s="1"/>
  <c r="D48" i="43" s="1"/>
  <c r="S47" i="43"/>
  <c r="T47" i="43" s="1"/>
  <c r="I47" i="43"/>
  <c r="H47" i="43" s="1"/>
  <c r="J47" i="43" s="1"/>
  <c r="F47" i="43"/>
  <c r="C47" i="43"/>
  <c r="S46" i="43"/>
  <c r="T46" i="43" s="1"/>
  <c r="I46" i="43"/>
  <c r="H46" i="43" s="1"/>
  <c r="J46" i="43" s="1"/>
  <c r="F46" i="43"/>
  <c r="C46" i="43"/>
  <c r="S45" i="43"/>
  <c r="T45" i="43" s="1"/>
  <c r="T45" i="42" s="1"/>
  <c r="I45" i="43"/>
  <c r="H45" i="43" s="1"/>
  <c r="J45" i="43" s="1"/>
  <c r="F45" i="43"/>
  <c r="C45" i="43"/>
  <c r="B45" i="43" s="1"/>
  <c r="D45" i="43" s="1"/>
  <c r="S44" i="43"/>
  <c r="T44" i="43" s="1"/>
  <c r="T44" i="42" s="1"/>
  <c r="I44" i="43"/>
  <c r="H44" i="43" s="1"/>
  <c r="J44" i="43" s="1"/>
  <c r="F44" i="43"/>
  <c r="C44" i="43"/>
  <c r="B44" i="43" s="1"/>
  <c r="D44" i="43" s="1"/>
  <c r="S43" i="43"/>
  <c r="T43" i="43" s="1"/>
  <c r="T43" i="42" s="1"/>
  <c r="I43" i="43"/>
  <c r="H43" i="43" s="1"/>
  <c r="J43" i="43" s="1"/>
  <c r="F43" i="43"/>
  <c r="C43" i="43"/>
  <c r="B43" i="43" s="1"/>
  <c r="S42" i="43"/>
  <c r="T42" i="43" s="1"/>
  <c r="I42" i="43"/>
  <c r="H42" i="43" s="1"/>
  <c r="J42" i="43" s="1"/>
  <c r="F42" i="43"/>
  <c r="C42" i="43"/>
  <c r="S41" i="43"/>
  <c r="T41" i="43" s="1"/>
  <c r="T41" i="42" s="1"/>
  <c r="I41" i="43"/>
  <c r="H41" i="43" s="1"/>
  <c r="J41" i="43" s="1"/>
  <c r="F41" i="43"/>
  <c r="C41" i="43"/>
  <c r="B41" i="43" s="1"/>
  <c r="D41" i="43" s="1"/>
  <c r="S40" i="43"/>
  <c r="T40" i="43" s="1"/>
  <c r="T40" i="42" s="1"/>
  <c r="I40" i="43"/>
  <c r="H40" i="43" s="1"/>
  <c r="J40" i="43" s="1"/>
  <c r="F40" i="43"/>
  <c r="C40" i="43"/>
  <c r="B40" i="43" s="1"/>
  <c r="D40" i="43" s="1"/>
  <c r="S39" i="43"/>
  <c r="T39" i="43" s="1"/>
  <c r="T39" i="42" s="1"/>
  <c r="I39" i="43"/>
  <c r="H39" i="43" s="1"/>
  <c r="J39" i="43" s="1"/>
  <c r="F39" i="43"/>
  <c r="C39" i="43"/>
  <c r="B39" i="43" s="1"/>
  <c r="S38" i="43"/>
  <c r="T38" i="43" s="1"/>
  <c r="I38" i="43"/>
  <c r="H38" i="43" s="1"/>
  <c r="J38" i="43" s="1"/>
  <c r="F38" i="43"/>
  <c r="C38" i="43"/>
  <c r="B38" i="43" s="1"/>
  <c r="S37" i="43"/>
  <c r="T37" i="43" s="1"/>
  <c r="T37" i="42" s="1"/>
  <c r="I37" i="43"/>
  <c r="H37" i="43" s="1"/>
  <c r="J37" i="43" s="1"/>
  <c r="F37" i="43"/>
  <c r="C37" i="43"/>
  <c r="B37" i="43" s="1"/>
  <c r="D37" i="43" s="1"/>
  <c r="S36" i="43"/>
  <c r="T36" i="43" s="1"/>
  <c r="I36" i="43"/>
  <c r="H36" i="43" s="1"/>
  <c r="J36" i="43" s="1"/>
  <c r="F36" i="43"/>
  <c r="C36" i="43"/>
  <c r="B36" i="43" s="1"/>
  <c r="D36" i="43" s="1"/>
  <c r="S35" i="43"/>
  <c r="T35" i="43" s="1"/>
  <c r="T35" i="42" s="1"/>
  <c r="I35" i="43"/>
  <c r="H35" i="43" s="1"/>
  <c r="J35" i="43" s="1"/>
  <c r="F35" i="43"/>
  <c r="C35" i="43"/>
  <c r="B35" i="43" s="1"/>
  <c r="S34" i="43"/>
  <c r="T34" i="43" s="1"/>
  <c r="T34" i="42" s="1"/>
  <c r="I34" i="43"/>
  <c r="H34" i="43" s="1"/>
  <c r="J34" i="43" s="1"/>
  <c r="F34" i="43"/>
  <c r="C34" i="43"/>
  <c r="S33" i="43"/>
  <c r="T33" i="43" s="1"/>
  <c r="T33" i="42" s="1"/>
  <c r="I33" i="43"/>
  <c r="H33" i="43" s="1"/>
  <c r="J33" i="43" s="1"/>
  <c r="F33" i="43"/>
  <c r="C33" i="43"/>
  <c r="B33" i="43" s="1"/>
  <c r="D33" i="43" s="1"/>
  <c r="S32" i="43"/>
  <c r="T32" i="43" s="1"/>
  <c r="T32" i="42" s="1"/>
  <c r="I32" i="43"/>
  <c r="H32" i="43" s="1"/>
  <c r="J32" i="43" s="1"/>
  <c r="F32" i="43"/>
  <c r="C32" i="43"/>
  <c r="B32" i="43" s="1"/>
  <c r="D32" i="43" s="1"/>
  <c r="S31" i="43"/>
  <c r="T31" i="43" s="1"/>
  <c r="T31" i="42" s="1"/>
  <c r="I31" i="43"/>
  <c r="H31" i="43" s="1"/>
  <c r="J31" i="43" s="1"/>
  <c r="F31" i="43"/>
  <c r="C31" i="43"/>
  <c r="B31" i="43" s="1"/>
  <c r="S30" i="43"/>
  <c r="T30" i="43" s="1"/>
  <c r="I30" i="43"/>
  <c r="H30" i="43" s="1"/>
  <c r="J30" i="43" s="1"/>
  <c r="F30" i="43"/>
  <c r="C30" i="43"/>
  <c r="B30" i="43" s="1"/>
  <c r="D30" i="43" s="1"/>
  <c r="S29" i="43"/>
  <c r="T29" i="43" s="1"/>
  <c r="T29" i="42" s="1"/>
  <c r="I29" i="43"/>
  <c r="H29" i="43" s="1"/>
  <c r="J29" i="43" s="1"/>
  <c r="F29" i="43"/>
  <c r="C29" i="43"/>
  <c r="B29" i="43" s="1"/>
  <c r="D29" i="43" s="1"/>
  <c r="S28" i="43"/>
  <c r="T28" i="43" s="1"/>
  <c r="I28" i="43"/>
  <c r="H28" i="43" s="1"/>
  <c r="J28" i="43" s="1"/>
  <c r="F28" i="43"/>
  <c r="C28" i="43"/>
  <c r="B28" i="43" s="1"/>
  <c r="D28" i="43" s="1"/>
  <c r="S27" i="43"/>
  <c r="T27" i="43" s="1"/>
  <c r="T27" i="42" s="1"/>
  <c r="I27" i="43"/>
  <c r="H27" i="43" s="1"/>
  <c r="J27" i="43" s="1"/>
  <c r="F27" i="43"/>
  <c r="C27" i="43"/>
  <c r="B27" i="43" s="1"/>
  <c r="S26" i="43"/>
  <c r="T26" i="43" s="1"/>
  <c r="I26" i="43"/>
  <c r="H26" i="43" s="1"/>
  <c r="J26" i="43" s="1"/>
  <c r="F26" i="43"/>
  <c r="C26" i="43"/>
  <c r="B26" i="43" s="1"/>
  <c r="D26" i="43" s="1"/>
  <c r="S25" i="43"/>
  <c r="T25" i="43" s="1"/>
  <c r="T25" i="42" s="1"/>
  <c r="I25" i="43"/>
  <c r="H25" i="43" s="1"/>
  <c r="J25" i="43" s="1"/>
  <c r="F25" i="43"/>
  <c r="C25" i="43"/>
  <c r="B25" i="43" s="1"/>
  <c r="D25" i="43" s="1"/>
  <c r="S24" i="43"/>
  <c r="T24" i="43" s="1"/>
  <c r="T24" i="42" s="1"/>
  <c r="I24" i="43"/>
  <c r="H24" i="43" s="1"/>
  <c r="J24" i="43" s="1"/>
  <c r="F24" i="43"/>
  <c r="C24" i="43"/>
  <c r="B24" i="43" s="1"/>
  <c r="D24" i="43" s="1"/>
  <c r="S23" i="43"/>
  <c r="T23" i="43" s="1"/>
  <c r="T23" i="42" s="1"/>
  <c r="I23" i="43"/>
  <c r="H23" i="43" s="1"/>
  <c r="J23" i="43" s="1"/>
  <c r="F23" i="43"/>
  <c r="C23" i="43"/>
  <c r="B23" i="43" s="1"/>
  <c r="S22" i="43"/>
  <c r="T22" i="43" s="1"/>
  <c r="T22" i="42" s="1"/>
  <c r="I22" i="43"/>
  <c r="H22" i="43" s="1"/>
  <c r="J22" i="43" s="1"/>
  <c r="F22" i="43"/>
  <c r="C22" i="43"/>
  <c r="B22" i="43" s="1"/>
  <c r="D22" i="43" s="1"/>
  <c r="S21" i="43"/>
  <c r="T21" i="43" s="1"/>
  <c r="T21" i="42" s="1"/>
  <c r="I21" i="43"/>
  <c r="H21" i="43" s="1"/>
  <c r="J21" i="43" s="1"/>
  <c r="F21" i="43"/>
  <c r="C21" i="43"/>
  <c r="B21" i="43" s="1"/>
  <c r="D21" i="43" s="1"/>
  <c r="S20" i="43"/>
  <c r="T20" i="43" s="1"/>
  <c r="I20" i="43"/>
  <c r="H20" i="43" s="1"/>
  <c r="J20" i="43" s="1"/>
  <c r="F20" i="43"/>
  <c r="C20" i="43"/>
  <c r="B20" i="43" s="1"/>
  <c r="D20" i="43" s="1"/>
  <c r="S19" i="43"/>
  <c r="T19" i="43" s="1"/>
  <c r="T19" i="42" s="1"/>
  <c r="I19" i="43"/>
  <c r="H19" i="43" s="1"/>
  <c r="J19" i="43" s="1"/>
  <c r="F19" i="43"/>
  <c r="C19" i="43"/>
  <c r="S18" i="43"/>
  <c r="T18" i="43" s="1"/>
  <c r="I18" i="43"/>
  <c r="H18" i="43" s="1"/>
  <c r="J18" i="43" s="1"/>
  <c r="F18" i="43"/>
  <c r="C18" i="43"/>
  <c r="B18" i="43" s="1"/>
  <c r="D18" i="43" s="1"/>
  <c r="S17" i="43"/>
  <c r="T17" i="43" s="1"/>
  <c r="T17" i="42" s="1"/>
  <c r="I17" i="43"/>
  <c r="H17" i="43" s="1"/>
  <c r="J17" i="43" s="1"/>
  <c r="F17" i="43"/>
  <c r="C17" i="43"/>
  <c r="B17" i="43" s="1"/>
  <c r="D17" i="43" s="1"/>
  <c r="S16" i="43"/>
  <c r="T16" i="43" s="1"/>
  <c r="T16" i="42" s="1"/>
  <c r="I16" i="43"/>
  <c r="H16" i="43" s="1"/>
  <c r="J16" i="43" s="1"/>
  <c r="F16" i="43"/>
  <c r="C16" i="43"/>
  <c r="B16" i="43" s="1"/>
  <c r="D16" i="43" s="1"/>
  <c r="S15" i="43"/>
  <c r="T15" i="43" s="1"/>
  <c r="T15" i="42" s="1"/>
  <c r="I15" i="43"/>
  <c r="H15" i="43" s="1"/>
  <c r="J15" i="43" s="1"/>
  <c r="F15" i="43"/>
  <c r="C15" i="43"/>
  <c r="B15" i="43" s="1"/>
  <c r="S14" i="43"/>
  <c r="T14" i="43" s="1"/>
  <c r="I14" i="43"/>
  <c r="H14" i="43" s="1"/>
  <c r="J14" i="43" s="1"/>
  <c r="F14" i="43"/>
  <c r="C14" i="43"/>
  <c r="B14" i="43" s="1"/>
  <c r="D14" i="43" s="1"/>
  <c r="S13" i="43"/>
  <c r="T13" i="43" s="1"/>
  <c r="T13" i="42" s="1"/>
  <c r="I13" i="43"/>
  <c r="H13" i="43" s="1"/>
  <c r="J13" i="43" s="1"/>
  <c r="F13" i="43"/>
  <c r="C13" i="43"/>
  <c r="B13" i="43" s="1"/>
  <c r="D13" i="43" s="1"/>
  <c r="S12" i="43"/>
  <c r="T12" i="43" s="1"/>
  <c r="T12" i="42" s="1"/>
  <c r="M12" i="43"/>
  <c r="I12" i="43"/>
  <c r="H12" i="43" s="1"/>
  <c r="J12" i="43" s="1"/>
  <c r="F12" i="43"/>
  <c r="C12" i="43"/>
  <c r="B12" i="43" s="1"/>
  <c r="S11" i="43"/>
  <c r="T11" i="43" s="1"/>
  <c r="T11" i="42" s="1"/>
  <c r="I11" i="43"/>
  <c r="H11" i="43" s="1"/>
  <c r="J11" i="43" s="1"/>
  <c r="F11" i="43"/>
  <c r="C11" i="43"/>
  <c r="B11" i="43" s="1"/>
  <c r="D11" i="43" s="1"/>
  <c r="S10" i="43"/>
  <c r="T10" i="43" s="1"/>
  <c r="T10" i="42" s="1"/>
  <c r="I10" i="43"/>
  <c r="H10" i="43" s="1"/>
  <c r="J10" i="43" s="1"/>
  <c r="F10" i="43"/>
  <c r="C10" i="43"/>
  <c r="B10" i="43" s="1"/>
  <c r="D10" i="43" s="1"/>
  <c r="S9" i="43"/>
  <c r="T9" i="43" s="1"/>
  <c r="T9" i="42" s="1"/>
  <c r="M9" i="43"/>
  <c r="I9" i="43"/>
  <c r="H9" i="43" s="1"/>
  <c r="J9" i="43" s="1"/>
  <c r="F9" i="43"/>
  <c r="C9" i="43"/>
  <c r="S8" i="43"/>
  <c r="T8" i="43" s="1"/>
  <c r="T8" i="42" s="1"/>
  <c r="I8" i="43"/>
  <c r="H8" i="43" s="1"/>
  <c r="J8" i="43" s="1"/>
  <c r="F8" i="43"/>
  <c r="C8" i="43"/>
  <c r="B8" i="43" s="1"/>
  <c r="D8" i="43" s="1"/>
  <c r="S7" i="43"/>
  <c r="T7" i="43" s="1"/>
  <c r="T7" i="42" s="1"/>
  <c r="I7" i="43"/>
  <c r="H7" i="43" s="1"/>
  <c r="J7" i="43" s="1"/>
  <c r="F7" i="43"/>
  <c r="C7" i="43"/>
  <c r="B7" i="43" s="1"/>
  <c r="D7" i="43" s="1"/>
  <c r="D40" i="33" l="1"/>
  <c r="B47" i="43"/>
  <c r="D47" i="43" s="1"/>
  <c r="B19" i="43"/>
  <c r="D19" i="43" s="1"/>
  <c r="D35" i="43"/>
  <c r="D15" i="43"/>
  <c r="D31" i="43"/>
  <c r="B46" i="43"/>
  <c r="D46" i="43" s="1"/>
  <c r="B42" i="43"/>
  <c r="D42" i="43" s="1"/>
  <c r="B34" i="43"/>
  <c r="D34" i="43" s="1"/>
  <c r="D23" i="43"/>
  <c r="D27" i="43"/>
  <c r="D38" i="43"/>
  <c r="D50" i="43"/>
  <c r="B9" i="43"/>
  <c r="D9" i="43" s="1"/>
  <c r="D12" i="43"/>
  <c r="F53" i="43"/>
  <c r="D39" i="43"/>
  <c r="D43" i="43"/>
  <c r="J53" i="43"/>
  <c r="I8" i="41"/>
  <c r="I9" i="41"/>
  <c r="H9" i="41" s="1"/>
  <c r="I10" i="41"/>
  <c r="H10" i="41" s="1"/>
  <c r="I11" i="41"/>
  <c r="H11" i="41" s="1"/>
  <c r="I12" i="41"/>
  <c r="H12" i="41" s="1"/>
  <c r="I13" i="41"/>
  <c r="H13" i="41" s="1"/>
  <c r="I14" i="41"/>
  <c r="H14" i="41" s="1"/>
  <c r="I15" i="41"/>
  <c r="H15" i="41" s="1"/>
  <c r="I16" i="41"/>
  <c r="I17" i="41"/>
  <c r="H17" i="41" s="1"/>
  <c r="I18" i="41"/>
  <c r="H18" i="41" s="1"/>
  <c r="I19" i="41"/>
  <c r="H19" i="41" s="1"/>
  <c r="I20" i="41"/>
  <c r="H20" i="41" s="1"/>
  <c r="I21" i="41"/>
  <c r="H21" i="41" s="1"/>
  <c r="I22" i="41"/>
  <c r="H22" i="41" s="1"/>
  <c r="I23" i="41"/>
  <c r="H23" i="41" s="1"/>
  <c r="I24" i="41"/>
  <c r="I25" i="41"/>
  <c r="H25" i="41" s="1"/>
  <c r="I26" i="41"/>
  <c r="H26" i="41" s="1"/>
  <c r="I27" i="41"/>
  <c r="H27" i="41" s="1"/>
  <c r="I28" i="41"/>
  <c r="H28" i="41" s="1"/>
  <c r="I29" i="41"/>
  <c r="H29" i="41" s="1"/>
  <c r="I30" i="41"/>
  <c r="H30" i="41" s="1"/>
  <c r="I31" i="41"/>
  <c r="H31" i="41" s="1"/>
  <c r="I32" i="41"/>
  <c r="I33" i="41"/>
  <c r="H33" i="41" s="1"/>
  <c r="I34" i="41"/>
  <c r="H34" i="41" s="1"/>
  <c r="I35" i="41"/>
  <c r="H35" i="41" s="1"/>
  <c r="I36" i="41"/>
  <c r="H36" i="41" s="1"/>
  <c r="I37" i="41"/>
  <c r="H37" i="41" s="1"/>
  <c r="I38" i="41"/>
  <c r="H38" i="41" s="1"/>
  <c r="I39" i="41"/>
  <c r="H39" i="41" s="1"/>
  <c r="I40" i="41"/>
  <c r="H40" i="41" s="1"/>
  <c r="I41" i="41"/>
  <c r="H41" i="41" s="1"/>
  <c r="I42" i="41"/>
  <c r="H42" i="41" s="1"/>
  <c r="I43" i="41"/>
  <c r="H43" i="41" s="1"/>
  <c r="I44" i="41"/>
  <c r="H44" i="41" s="1"/>
  <c r="I45" i="41"/>
  <c r="H45" i="41" s="1"/>
  <c r="I46" i="41"/>
  <c r="H46" i="41" s="1"/>
  <c r="I47" i="41"/>
  <c r="H47" i="41" s="1"/>
  <c r="I48" i="41"/>
  <c r="H48" i="41" s="1"/>
  <c r="I49" i="41"/>
  <c r="H49" i="41" s="1"/>
  <c r="I50" i="41"/>
  <c r="H50" i="41" s="1"/>
  <c r="H8" i="41"/>
  <c r="H16" i="41"/>
  <c r="H24" i="41"/>
  <c r="H32" i="41"/>
  <c r="I7" i="41"/>
  <c r="H7" i="41" s="1"/>
  <c r="I8" i="40"/>
  <c r="H8" i="40" s="1"/>
  <c r="I9" i="40"/>
  <c r="H9" i="40" s="1"/>
  <c r="I10" i="40"/>
  <c r="H10" i="40" s="1"/>
  <c r="I11" i="40"/>
  <c r="H11" i="40" s="1"/>
  <c r="I12" i="40"/>
  <c r="H12" i="40" s="1"/>
  <c r="I13" i="40"/>
  <c r="H13" i="40" s="1"/>
  <c r="I14" i="40"/>
  <c r="H14" i="40" s="1"/>
  <c r="I15" i="40"/>
  <c r="H15" i="40" s="1"/>
  <c r="I16" i="40"/>
  <c r="H16" i="40" s="1"/>
  <c r="I17" i="40"/>
  <c r="H17" i="40" s="1"/>
  <c r="I18" i="40"/>
  <c r="H18" i="40" s="1"/>
  <c r="I19" i="40"/>
  <c r="H19" i="40" s="1"/>
  <c r="I20" i="40"/>
  <c r="I21" i="40"/>
  <c r="H21" i="40" s="1"/>
  <c r="I22" i="40"/>
  <c r="H22" i="40" s="1"/>
  <c r="I23" i="40"/>
  <c r="H23" i="40" s="1"/>
  <c r="I24" i="40"/>
  <c r="H24" i="40" s="1"/>
  <c r="I25" i="40"/>
  <c r="H25" i="40" s="1"/>
  <c r="I26" i="40"/>
  <c r="H26" i="40" s="1"/>
  <c r="I27" i="40"/>
  <c r="H27" i="40" s="1"/>
  <c r="I28" i="40"/>
  <c r="H28" i="40" s="1"/>
  <c r="I29" i="40"/>
  <c r="H29" i="40" s="1"/>
  <c r="I30" i="40"/>
  <c r="H30" i="40" s="1"/>
  <c r="I31" i="40"/>
  <c r="H31" i="40" s="1"/>
  <c r="I32" i="40"/>
  <c r="H32" i="40" s="1"/>
  <c r="I33" i="40"/>
  <c r="H33" i="40" s="1"/>
  <c r="I34" i="40"/>
  <c r="H34" i="40" s="1"/>
  <c r="I35" i="40"/>
  <c r="H35" i="40" s="1"/>
  <c r="I36" i="40"/>
  <c r="H36" i="40" s="1"/>
  <c r="I37" i="40"/>
  <c r="H37" i="40" s="1"/>
  <c r="I38" i="40"/>
  <c r="H38" i="40" s="1"/>
  <c r="I39" i="40"/>
  <c r="H39" i="40" s="1"/>
  <c r="I40" i="40"/>
  <c r="H40" i="40" s="1"/>
  <c r="I41" i="40"/>
  <c r="H41" i="40" s="1"/>
  <c r="I42" i="40"/>
  <c r="H42" i="40" s="1"/>
  <c r="I43" i="40"/>
  <c r="H43" i="40" s="1"/>
  <c r="I44" i="40"/>
  <c r="H44" i="40" s="1"/>
  <c r="I45" i="40"/>
  <c r="H45" i="40" s="1"/>
  <c r="I46" i="40"/>
  <c r="H46" i="40" s="1"/>
  <c r="I47" i="40"/>
  <c r="H47" i="40" s="1"/>
  <c r="I48" i="40"/>
  <c r="H48" i="40" s="1"/>
  <c r="I49" i="40"/>
  <c r="H49" i="40" s="1"/>
  <c r="I50" i="40"/>
  <c r="H50" i="40" s="1"/>
  <c r="H20" i="40"/>
  <c r="I7" i="40"/>
  <c r="H7" i="40" s="1"/>
  <c r="I8" i="38"/>
  <c r="H8" i="38" s="1"/>
  <c r="I9" i="38"/>
  <c r="H9" i="38" s="1"/>
  <c r="I10" i="38"/>
  <c r="H10" i="38" s="1"/>
  <c r="I11" i="38"/>
  <c r="H11" i="38" s="1"/>
  <c r="I12" i="38"/>
  <c r="H12" i="38" s="1"/>
  <c r="I13" i="38"/>
  <c r="H13" i="38" s="1"/>
  <c r="I14" i="38"/>
  <c r="H14" i="38" s="1"/>
  <c r="I15" i="38"/>
  <c r="H15" i="38" s="1"/>
  <c r="I16" i="38"/>
  <c r="H16" i="38" s="1"/>
  <c r="I17" i="38"/>
  <c r="H17" i="38" s="1"/>
  <c r="I18" i="38"/>
  <c r="H18" i="38" s="1"/>
  <c r="I19" i="38"/>
  <c r="H19" i="38" s="1"/>
  <c r="I20" i="38"/>
  <c r="H20" i="38" s="1"/>
  <c r="I21" i="38"/>
  <c r="H21" i="38" s="1"/>
  <c r="I22" i="38"/>
  <c r="H22" i="38" s="1"/>
  <c r="I23" i="38"/>
  <c r="H23" i="38" s="1"/>
  <c r="I24" i="38"/>
  <c r="H24" i="38" s="1"/>
  <c r="I25" i="38"/>
  <c r="H25" i="38" s="1"/>
  <c r="I26" i="38"/>
  <c r="H26" i="38" s="1"/>
  <c r="I27" i="38"/>
  <c r="H27" i="38" s="1"/>
  <c r="I28" i="38"/>
  <c r="H28" i="38" s="1"/>
  <c r="I29" i="38"/>
  <c r="H29" i="38" s="1"/>
  <c r="I30" i="38"/>
  <c r="H30" i="38" s="1"/>
  <c r="I31" i="38"/>
  <c r="H31" i="38" s="1"/>
  <c r="I32" i="38"/>
  <c r="H32" i="38" s="1"/>
  <c r="I33" i="38"/>
  <c r="H33" i="38" s="1"/>
  <c r="I34" i="38"/>
  <c r="H34" i="38" s="1"/>
  <c r="I35" i="38"/>
  <c r="H35" i="38" s="1"/>
  <c r="I36" i="38"/>
  <c r="H36" i="38" s="1"/>
  <c r="I37" i="38"/>
  <c r="H37" i="38" s="1"/>
  <c r="I38" i="38"/>
  <c r="H38" i="38" s="1"/>
  <c r="I39" i="38"/>
  <c r="H39" i="38" s="1"/>
  <c r="I40" i="38"/>
  <c r="H40" i="38" s="1"/>
  <c r="I41" i="38"/>
  <c r="H41" i="38" s="1"/>
  <c r="I42" i="38"/>
  <c r="H42" i="38" s="1"/>
  <c r="I43" i="38"/>
  <c r="H43" i="38" s="1"/>
  <c r="I44" i="38"/>
  <c r="H44" i="38" s="1"/>
  <c r="I45" i="38"/>
  <c r="H45" i="38" s="1"/>
  <c r="I46" i="38"/>
  <c r="H46" i="38" s="1"/>
  <c r="I47" i="38"/>
  <c r="H47" i="38" s="1"/>
  <c r="I48" i="38"/>
  <c r="H48" i="38" s="1"/>
  <c r="I49" i="38"/>
  <c r="H49" i="38" s="1"/>
  <c r="I50" i="38"/>
  <c r="H50" i="38" s="1"/>
  <c r="I7" i="38"/>
  <c r="H7" i="38" s="1"/>
  <c r="I8" i="37"/>
  <c r="H8" i="37" s="1"/>
  <c r="I9" i="37"/>
  <c r="H9" i="37" s="1"/>
  <c r="I10" i="37"/>
  <c r="H10" i="37" s="1"/>
  <c r="I11" i="37"/>
  <c r="H11" i="37" s="1"/>
  <c r="I12" i="37"/>
  <c r="H12" i="37" s="1"/>
  <c r="I13" i="37"/>
  <c r="H13" i="37" s="1"/>
  <c r="I14" i="37"/>
  <c r="H14" i="37" s="1"/>
  <c r="I15" i="37"/>
  <c r="H15" i="37" s="1"/>
  <c r="I16" i="37"/>
  <c r="H16" i="37" s="1"/>
  <c r="I17" i="37"/>
  <c r="H17" i="37" s="1"/>
  <c r="I18" i="37"/>
  <c r="H18" i="37" s="1"/>
  <c r="I19" i="37"/>
  <c r="H19" i="37" s="1"/>
  <c r="I20" i="37"/>
  <c r="H20" i="37" s="1"/>
  <c r="I21" i="37"/>
  <c r="H21" i="37" s="1"/>
  <c r="I22" i="37"/>
  <c r="H22" i="37" s="1"/>
  <c r="I23" i="37"/>
  <c r="H23" i="37" s="1"/>
  <c r="I24" i="37"/>
  <c r="H24" i="37" s="1"/>
  <c r="I25" i="37"/>
  <c r="H25" i="37" s="1"/>
  <c r="I26" i="37"/>
  <c r="H26" i="37" s="1"/>
  <c r="I27" i="37"/>
  <c r="H27" i="37" s="1"/>
  <c r="I28" i="37"/>
  <c r="H28" i="37" s="1"/>
  <c r="I29" i="37"/>
  <c r="H29" i="37" s="1"/>
  <c r="I30" i="37"/>
  <c r="H30" i="37" s="1"/>
  <c r="I31" i="37"/>
  <c r="H31" i="37" s="1"/>
  <c r="I32" i="37"/>
  <c r="H32" i="37" s="1"/>
  <c r="I33" i="37"/>
  <c r="H33" i="37" s="1"/>
  <c r="I34" i="37"/>
  <c r="H34" i="37" s="1"/>
  <c r="I35" i="37"/>
  <c r="H35" i="37" s="1"/>
  <c r="I36" i="37"/>
  <c r="H36" i="37" s="1"/>
  <c r="I37" i="37"/>
  <c r="H37" i="37" s="1"/>
  <c r="I38" i="37"/>
  <c r="H38" i="37" s="1"/>
  <c r="I39" i="37"/>
  <c r="H39" i="37" s="1"/>
  <c r="I40" i="37"/>
  <c r="H40" i="37" s="1"/>
  <c r="I41" i="37"/>
  <c r="H41" i="37" s="1"/>
  <c r="I42" i="37"/>
  <c r="H42" i="37" s="1"/>
  <c r="I43" i="37"/>
  <c r="H43" i="37" s="1"/>
  <c r="I44" i="37"/>
  <c r="H44" i="37" s="1"/>
  <c r="I45" i="37"/>
  <c r="H45" i="37" s="1"/>
  <c r="I46" i="37"/>
  <c r="H46" i="37" s="1"/>
  <c r="I47" i="37"/>
  <c r="H47" i="37" s="1"/>
  <c r="I48" i="37"/>
  <c r="H48" i="37" s="1"/>
  <c r="I49" i="37"/>
  <c r="H49" i="37" s="1"/>
  <c r="I50" i="37"/>
  <c r="H50" i="37" s="1"/>
  <c r="I7" i="37"/>
  <c r="H7" i="37" s="1"/>
  <c r="I8" i="36"/>
  <c r="H8" i="36" s="1"/>
  <c r="I9" i="36"/>
  <c r="H9" i="36" s="1"/>
  <c r="I10" i="36"/>
  <c r="H10" i="36" s="1"/>
  <c r="I11" i="36"/>
  <c r="H11" i="36" s="1"/>
  <c r="I12" i="36"/>
  <c r="H12" i="36" s="1"/>
  <c r="I13" i="36"/>
  <c r="H13" i="36" s="1"/>
  <c r="I14" i="36"/>
  <c r="H14" i="36" s="1"/>
  <c r="I15" i="36"/>
  <c r="H15" i="36" s="1"/>
  <c r="I16" i="36"/>
  <c r="H16" i="36" s="1"/>
  <c r="I17" i="36"/>
  <c r="H17" i="36" s="1"/>
  <c r="I18" i="36"/>
  <c r="H18" i="36" s="1"/>
  <c r="I19" i="36"/>
  <c r="H19" i="36" s="1"/>
  <c r="I20" i="36"/>
  <c r="H20" i="36" s="1"/>
  <c r="I21" i="36"/>
  <c r="H21" i="36" s="1"/>
  <c r="I22" i="36"/>
  <c r="H22" i="36" s="1"/>
  <c r="I23" i="36"/>
  <c r="H23" i="36" s="1"/>
  <c r="I24" i="36"/>
  <c r="H24" i="36" s="1"/>
  <c r="I25" i="36"/>
  <c r="H25" i="36" s="1"/>
  <c r="I26" i="36"/>
  <c r="H26" i="36" s="1"/>
  <c r="I27" i="36"/>
  <c r="H27" i="36" s="1"/>
  <c r="I28" i="36"/>
  <c r="H28" i="36" s="1"/>
  <c r="I29" i="36"/>
  <c r="H29" i="36" s="1"/>
  <c r="I30" i="36"/>
  <c r="H30" i="36" s="1"/>
  <c r="I31" i="36"/>
  <c r="H31" i="36" s="1"/>
  <c r="I32" i="36"/>
  <c r="H32" i="36" s="1"/>
  <c r="I33" i="36"/>
  <c r="H33" i="36" s="1"/>
  <c r="I34" i="36"/>
  <c r="H34" i="36" s="1"/>
  <c r="I35" i="36"/>
  <c r="H35" i="36" s="1"/>
  <c r="I36" i="36"/>
  <c r="H36" i="36" s="1"/>
  <c r="I37" i="36"/>
  <c r="H37" i="36" s="1"/>
  <c r="I38" i="36"/>
  <c r="H38" i="36" s="1"/>
  <c r="I39" i="36"/>
  <c r="H39" i="36" s="1"/>
  <c r="I40" i="36"/>
  <c r="H40" i="36" s="1"/>
  <c r="I41" i="36"/>
  <c r="H41" i="36" s="1"/>
  <c r="I42" i="36"/>
  <c r="H42" i="36" s="1"/>
  <c r="I43" i="36"/>
  <c r="H43" i="36" s="1"/>
  <c r="I44" i="36"/>
  <c r="H44" i="36" s="1"/>
  <c r="I45" i="36"/>
  <c r="H45" i="36" s="1"/>
  <c r="I46" i="36"/>
  <c r="H46" i="36" s="1"/>
  <c r="I47" i="36"/>
  <c r="H47" i="36" s="1"/>
  <c r="I48" i="36"/>
  <c r="H48" i="36" s="1"/>
  <c r="I49" i="36"/>
  <c r="H49" i="36" s="1"/>
  <c r="I50" i="36"/>
  <c r="H50" i="36" s="1"/>
  <c r="I7" i="36"/>
  <c r="H7" i="36" s="1"/>
  <c r="I8" i="35"/>
  <c r="H8" i="35" s="1"/>
  <c r="I9" i="35"/>
  <c r="H9" i="35" s="1"/>
  <c r="I10" i="35"/>
  <c r="H10" i="35" s="1"/>
  <c r="I11" i="35"/>
  <c r="H11" i="35" s="1"/>
  <c r="I12" i="35"/>
  <c r="H12" i="35" s="1"/>
  <c r="I13" i="35"/>
  <c r="H13" i="35" s="1"/>
  <c r="I14" i="35"/>
  <c r="H14" i="35" s="1"/>
  <c r="I15" i="35"/>
  <c r="H15" i="35" s="1"/>
  <c r="I16" i="35"/>
  <c r="H16" i="35" s="1"/>
  <c r="I17" i="35"/>
  <c r="H17" i="35" s="1"/>
  <c r="I18" i="35"/>
  <c r="H18" i="35" s="1"/>
  <c r="I19" i="35"/>
  <c r="H19" i="35" s="1"/>
  <c r="I20" i="35"/>
  <c r="H20" i="35" s="1"/>
  <c r="I21" i="35"/>
  <c r="H21" i="35" s="1"/>
  <c r="I22" i="35"/>
  <c r="H22" i="35" s="1"/>
  <c r="I23" i="35"/>
  <c r="H23" i="35" s="1"/>
  <c r="I24" i="35"/>
  <c r="H24" i="35" s="1"/>
  <c r="I25" i="35"/>
  <c r="H25" i="35" s="1"/>
  <c r="I26" i="35"/>
  <c r="H26" i="35" s="1"/>
  <c r="I27" i="35"/>
  <c r="H27" i="35" s="1"/>
  <c r="I28" i="35"/>
  <c r="H28" i="35" s="1"/>
  <c r="I29" i="35"/>
  <c r="H29" i="35" s="1"/>
  <c r="I30" i="35"/>
  <c r="H30" i="35" s="1"/>
  <c r="I31" i="35"/>
  <c r="H31" i="35" s="1"/>
  <c r="I32" i="35"/>
  <c r="H32" i="35" s="1"/>
  <c r="I33" i="35"/>
  <c r="H33" i="35" s="1"/>
  <c r="I34" i="35"/>
  <c r="H34" i="35" s="1"/>
  <c r="I35" i="35"/>
  <c r="H35" i="35" s="1"/>
  <c r="I36" i="35"/>
  <c r="H36" i="35" s="1"/>
  <c r="I37" i="35"/>
  <c r="H37" i="35" s="1"/>
  <c r="I38" i="35"/>
  <c r="H38" i="35" s="1"/>
  <c r="I39" i="35"/>
  <c r="H39" i="35" s="1"/>
  <c r="I40" i="35"/>
  <c r="H40" i="35" s="1"/>
  <c r="I41" i="35"/>
  <c r="H41" i="35" s="1"/>
  <c r="I42" i="35"/>
  <c r="H42" i="35" s="1"/>
  <c r="I43" i="35"/>
  <c r="H43" i="35" s="1"/>
  <c r="I44" i="35"/>
  <c r="H44" i="35" s="1"/>
  <c r="I45" i="35"/>
  <c r="H45" i="35" s="1"/>
  <c r="I46" i="35"/>
  <c r="H46" i="35" s="1"/>
  <c r="I47" i="35"/>
  <c r="H47" i="35" s="1"/>
  <c r="I48" i="35"/>
  <c r="H48" i="35" s="1"/>
  <c r="I49" i="35"/>
  <c r="H49" i="35" s="1"/>
  <c r="I50" i="35"/>
  <c r="H50" i="35" s="1"/>
  <c r="I7" i="35"/>
  <c r="H7" i="35" s="1"/>
  <c r="I8" i="34"/>
  <c r="H8" i="34" s="1"/>
  <c r="I9" i="34"/>
  <c r="H9" i="34" s="1"/>
  <c r="I10" i="34"/>
  <c r="H10" i="34" s="1"/>
  <c r="I11" i="34"/>
  <c r="H11" i="34" s="1"/>
  <c r="I12" i="34"/>
  <c r="H12" i="34" s="1"/>
  <c r="I13" i="34"/>
  <c r="H13" i="34" s="1"/>
  <c r="I14" i="34"/>
  <c r="H14" i="34" s="1"/>
  <c r="I15" i="34"/>
  <c r="H15" i="34" s="1"/>
  <c r="I16" i="34"/>
  <c r="H16" i="34" s="1"/>
  <c r="I17" i="34"/>
  <c r="H17" i="34" s="1"/>
  <c r="I18" i="34"/>
  <c r="H18" i="34" s="1"/>
  <c r="I19" i="34"/>
  <c r="H19" i="34" s="1"/>
  <c r="I20" i="34"/>
  <c r="H20" i="34" s="1"/>
  <c r="I21" i="34"/>
  <c r="H21" i="34" s="1"/>
  <c r="I22" i="34"/>
  <c r="H22" i="34" s="1"/>
  <c r="I23" i="34"/>
  <c r="H23" i="34" s="1"/>
  <c r="I24" i="34"/>
  <c r="H24" i="34" s="1"/>
  <c r="I25" i="34"/>
  <c r="H25" i="34" s="1"/>
  <c r="I26" i="34"/>
  <c r="H26" i="34" s="1"/>
  <c r="I27" i="34"/>
  <c r="H27" i="34" s="1"/>
  <c r="I28" i="34"/>
  <c r="H28" i="34" s="1"/>
  <c r="I29" i="34"/>
  <c r="H29" i="34" s="1"/>
  <c r="I30" i="34"/>
  <c r="H30" i="34" s="1"/>
  <c r="I31" i="34"/>
  <c r="H31" i="34" s="1"/>
  <c r="I32" i="34"/>
  <c r="H32" i="34" s="1"/>
  <c r="I33" i="34"/>
  <c r="H33" i="34" s="1"/>
  <c r="I34" i="34"/>
  <c r="H34" i="34" s="1"/>
  <c r="I35" i="34"/>
  <c r="H35" i="34" s="1"/>
  <c r="I36" i="34"/>
  <c r="H36" i="34" s="1"/>
  <c r="I37" i="34"/>
  <c r="H37" i="34" s="1"/>
  <c r="I38" i="34"/>
  <c r="H38" i="34" s="1"/>
  <c r="I39" i="34"/>
  <c r="H39" i="34" s="1"/>
  <c r="I40" i="34"/>
  <c r="H40" i="34" s="1"/>
  <c r="I41" i="34"/>
  <c r="H41" i="34" s="1"/>
  <c r="I42" i="34"/>
  <c r="H42" i="34" s="1"/>
  <c r="I43" i="34"/>
  <c r="H43" i="34" s="1"/>
  <c r="I44" i="34"/>
  <c r="H44" i="34" s="1"/>
  <c r="I45" i="34"/>
  <c r="H45" i="34" s="1"/>
  <c r="I46" i="34"/>
  <c r="H46" i="34" s="1"/>
  <c r="I47" i="34"/>
  <c r="H47" i="34" s="1"/>
  <c r="I48" i="34"/>
  <c r="H48" i="34" s="1"/>
  <c r="I49" i="34"/>
  <c r="H49" i="34" s="1"/>
  <c r="I50" i="34"/>
  <c r="H50" i="34" s="1"/>
  <c r="I7" i="34"/>
  <c r="H7" i="34" s="1"/>
  <c r="I8" i="17"/>
  <c r="H8" i="17" s="1"/>
  <c r="I9" i="17"/>
  <c r="H9" i="17" s="1"/>
  <c r="I10" i="17"/>
  <c r="H10" i="17" s="1"/>
  <c r="I11" i="17"/>
  <c r="H11" i="17" s="1"/>
  <c r="I12" i="17"/>
  <c r="H12" i="17" s="1"/>
  <c r="I13" i="17"/>
  <c r="H13" i="17" s="1"/>
  <c r="I14" i="17"/>
  <c r="H14" i="17" s="1"/>
  <c r="I15" i="17"/>
  <c r="H15" i="17" s="1"/>
  <c r="I16" i="17"/>
  <c r="H16" i="17" s="1"/>
  <c r="I17" i="17"/>
  <c r="H17" i="17" s="1"/>
  <c r="I18" i="17"/>
  <c r="H18" i="17" s="1"/>
  <c r="I19" i="17"/>
  <c r="H19" i="17" s="1"/>
  <c r="I20" i="17"/>
  <c r="H20" i="17" s="1"/>
  <c r="I21" i="17"/>
  <c r="H21" i="17" s="1"/>
  <c r="I22" i="17"/>
  <c r="H22" i="17" s="1"/>
  <c r="I23" i="17"/>
  <c r="H23" i="17" s="1"/>
  <c r="I24" i="17"/>
  <c r="H24" i="17" s="1"/>
  <c r="I25" i="17"/>
  <c r="H25" i="17" s="1"/>
  <c r="I26" i="17"/>
  <c r="H26" i="17" s="1"/>
  <c r="I27" i="17"/>
  <c r="H27" i="17" s="1"/>
  <c r="I28" i="17"/>
  <c r="H28" i="17" s="1"/>
  <c r="I29" i="17"/>
  <c r="H29" i="17" s="1"/>
  <c r="I30" i="17"/>
  <c r="H30" i="17" s="1"/>
  <c r="I31" i="17"/>
  <c r="H31" i="17" s="1"/>
  <c r="I32" i="17"/>
  <c r="H32" i="17" s="1"/>
  <c r="I33" i="17"/>
  <c r="H33" i="17" s="1"/>
  <c r="I34" i="17"/>
  <c r="H34" i="17" s="1"/>
  <c r="I35" i="17"/>
  <c r="H35" i="17" s="1"/>
  <c r="I36" i="17"/>
  <c r="H36" i="17" s="1"/>
  <c r="I37" i="17"/>
  <c r="H37" i="17" s="1"/>
  <c r="I38" i="17"/>
  <c r="H38" i="17" s="1"/>
  <c r="I39" i="17"/>
  <c r="H39" i="17" s="1"/>
  <c r="I40" i="17"/>
  <c r="H40" i="17" s="1"/>
  <c r="I41" i="17"/>
  <c r="H41" i="17" s="1"/>
  <c r="I42" i="17"/>
  <c r="H42" i="17" s="1"/>
  <c r="I43" i="17"/>
  <c r="H43" i="17" s="1"/>
  <c r="I44" i="17"/>
  <c r="H44" i="17" s="1"/>
  <c r="I45" i="17"/>
  <c r="H45" i="17" s="1"/>
  <c r="I46" i="17"/>
  <c r="H46" i="17" s="1"/>
  <c r="I47" i="17"/>
  <c r="H47" i="17" s="1"/>
  <c r="I48" i="17"/>
  <c r="H48" i="17" s="1"/>
  <c r="I49" i="17"/>
  <c r="H49" i="17" s="1"/>
  <c r="I50" i="17"/>
  <c r="H50" i="17" s="1"/>
  <c r="I7" i="17"/>
  <c r="H7" i="17" s="1"/>
  <c r="I8" i="31"/>
  <c r="H8" i="31" s="1"/>
  <c r="I9" i="31"/>
  <c r="H9" i="31" s="1"/>
  <c r="I10" i="31"/>
  <c r="H10" i="31" s="1"/>
  <c r="I11" i="31"/>
  <c r="H11" i="31" s="1"/>
  <c r="I12" i="31"/>
  <c r="H12" i="31" s="1"/>
  <c r="I13" i="31"/>
  <c r="H13" i="31" s="1"/>
  <c r="I14" i="31"/>
  <c r="H14" i="31" s="1"/>
  <c r="I15" i="31"/>
  <c r="H15" i="31" s="1"/>
  <c r="I16" i="31"/>
  <c r="H16" i="31" s="1"/>
  <c r="I17" i="31"/>
  <c r="H17" i="31" s="1"/>
  <c r="I18" i="31"/>
  <c r="H18" i="31" s="1"/>
  <c r="I19" i="31"/>
  <c r="H19" i="31" s="1"/>
  <c r="I20" i="31"/>
  <c r="H20" i="31" s="1"/>
  <c r="I21" i="31"/>
  <c r="H21" i="31" s="1"/>
  <c r="I22" i="31"/>
  <c r="H22" i="31" s="1"/>
  <c r="I23" i="31"/>
  <c r="H23" i="31" s="1"/>
  <c r="I24" i="31"/>
  <c r="H24" i="31" s="1"/>
  <c r="I25" i="31"/>
  <c r="H25" i="31" s="1"/>
  <c r="I26" i="31"/>
  <c r="H26" i="31" s="1"/>
  <c r="I27" i="31"/>
  <c r="H27" i="31" s="1"/>
  <c r="I28" i="31"/>
  <c r="H28" i="31" s="1"/>
  <c r="I29" i="31"/>
  <c r="H29" i="31" s="1"/>
  <c r="I30" i="31"/>
  <c r="H30" i="31" s="1"/>
  <c r="I31" i="31"/>
  <c r="H31" i="31" s="1"/>
  <c r="I32" i="31"/>
  <c r="H32" i="31" s="1"/>
  <c r="I33" i="31"/>
  <c r="H33" i="31" s="1"/>
  <c r="I34" i="31"/>
  <c r="H34" i="31" s="1"/>
  <c r="I35" i="31"/>
  <c r="H35" i="31" s="1"/>
  <c r="I36" i="31"/>
  <c r="H36" i="31" s="1"/>
  <c r="I37" i="31"/>
  <c r="H37" i="31" s="1"/>
  <c r="I38" i="31"/>
  <c r="H38" i="31" s="1"/>
  <c r="I39" i="31"/>
  <c r="H39" i="31" s="1"/>
  <c r="I40" i="31"/>
  <c r="H40" i="31" s="1"/>
  <c r="I41" i="31"/>
  <c r="H41" i="31" s="1"/>
  <c r="I42" i="31"/>
  <c r="H42" i="31" s="1"/>
  <c r="I43" i="31"/>
  <c r="H43" i="31" s="1"/>
  <c r="I44" i="31"/>
  <c r="H44" i="31" s="1"/>
  <c r="I45" i="31"/>
  <c r="H45" i="31" s="1"/>
  <c r="I46" i="31"/>
  <c r="H46" i="31" s="1"/>
  <c r="I47" i="31"/>
  <c r="H47" i="31" s="1"/>
  <c r="I48" i="31"/>
  <c r="H48" i="31" s="1"/>
  <c r="I49" i="31"/>
  <c r="H49" i="31" s="1"/>
  <c r="I50" i="31"/>
  <c r="H50" i="31" s="1"/>
  <c r="I7" i="31"/>
  <c r="H7" i="31" s="1"/>
  <c r="I8" i="19"/>
  <c r="H8" i="19" s="1"/>
  <c r="I9" i="19"/>
  <c r="H9" i="19" s="1"/>
  <c r="I10" i="19"/>
  <c r="H10" i="19" s="1"/>
  <c r="I11" i="19"/>
  <c r="I12" i="19"/>
  <c r="H12" i="19" s="1"/>
  <c r="I13" i="19"/>
  <c r="H13" i="19" s="1"/>
  <c r="I14" i="19"/>
  <c r="H14" i="19" s="1"/>
  <c r="I15" i="19"/>
  <c r="H15" i="19" s="1"/>
  <c r="I16" i="19"/>
  <c r="H16" i="19" s="1"/>
  <c r="I17" i="19"/>
  <c r="H17" i="19" s="1"/>
  <c r="I18" i="19"/>
  <c r="H18" i="19" s="1"/>
  <c r="I19" i="19"/>
  <c r="H19" i="19" s="1"/>
  <c r="I20" i="19"/>
  <c r="H20" i="19" s="1"/>
  <c r="I21" i="19"/>
  <c r="H21" i="19" s="1"/>
  <c r="I22" i="19"/>
  <c r="H22" i="19" s="1"/>
  <c r="I23" i="19"/>
  <c r="H23" i="19" s="1"/>
  <c r="I24" i="19"/>
  <c r="H24" i="19" s="1"/>
  <c r="I25" i="19"/>
  <c r="H25" i="19" s="1"/>
  <c r="I26" i="19"/>
  <c r="H26" i="19" s="1"/>
  <c r="I27" i="19"/>
  <c r="H27" i="19" s="1"/>
  <c r="I28" i="19"/>
  <c r="H28" i="19" s="1"/>
  <c r="I29" i="19"/>
  <c r="H29" i="19" s="1"/>
  <c r="I30" i="19"/>
  <c r="H30" i="19" s="1"/>
  <c r="I31" i="19"/>
  <c r="H31" i="19" s="1"/>
  <c r="I32" i="19"/>
  <c r="H32" i="19" s="1"/>
  <c r="I33" i="19"/>
  <c r="H33" i="19" s="1"/>
  <c r="I34" i="19"/>
  <c r="H34" i="19" s="1"/>
  <c r="I35" i="19"/>
  <c r="H35" i="19" s="1"/>
  <c r="I36" i="19"/>
  <c r="H36" i="19" s="1"/>
  <c r="I37" i="19"/>
  <c r="H37" i="19" s="1"/>
  <c r="I38" i="19"/>
  <c r="H38" i="19" s="1"/>
  <c r="I39" i="19"/>
  <c r="H39" i="19" s="1"/>
  <c r="I40" i="19"/>
  <c r="H40" i="19" s="1"/>
  <c r="I41" i="19"/>
  <c r="H41" i="19" s="1"/>
  <c r="I42" i="19"/>
  <c r="H42" i="19" s="1"/>
  <c r="I43" i="19"/>
  <c r="H43" i="19" s="1"/>
  <c r="I44" i="19"/>
  <c r="H44" i="19" s="1"/>
  <c r="I45" i="19"/>
  <c r="H45" i="19" s="1"/>
  <c r="I46" i="19"/>
  <c r="H46" i="19" s="1"/>
  <c r="I47" i="19"/>
  <c r="H47" i="19" s="1"/>
  <c r="I48" i="19"/>
  <c r="H48" i="19" s="1"/>
  <c r="I49" i="19"/>
  <c r="H49" i="19" s="1"/>
  <c r="I50" i="19"/>
  <c r="H50" i="19" s="1"/>
  <c r="H11" i="19"/>
  <c r="I7" i="19"/>
  <c r="H7" i="19" s="1"/>
  <c r="D53" i="43" l="1"/>
  <c r="E40" i="33" s="1"/>
  <c r="S50" i="41"/>
  <c r="T50" i="41" s="1"/>
  <c r="S49" i="41"/>
  <c r="T49" i="41" s="1"/>
  <c r="S48" i="41"/>
  <c r="T48" i="41" s="1"/>
  <c r="S47" i="41"/>
  <c r="T47" i="41" s="1"/>
  <c r="S46" i="41"/>
  <c r="T46" i="41" s="1"/>
  <c r="S45" i="41"/>
  <c r="T45" i="41" s="1"/>
  <c r="S44" i="41"/>
  <c r="T44" i="41" s="1"/>
  <c r="S43" i="41"/>
  <c r="T43" i="41" s="1"/>
  <c r="S42" i="41"/>
  <c r="T42" i="41" s="1"/>
  <c r="S41" i="41"/>
  <c r="T41" i="41" s="1"/>
  <c r="T40" i="41"/>
  <c r="S40" i="41"/>
  <c r="S39" i="41"/>
  <c r="T39" i="41" s="1"/>
  <c r="S38" i="41"/>
  <c r="T38" i="41" s="1"/>
  <c r="S37" i="41"/>
  <c r="T37" i="41" s="1"/>
  <c r="T36" i="41"/>
  <c r="S36" i="41"/>
  <c r="S35" i="41"/>
  <c r="T35" i="41" s="1"/>
  <c r="T34" i="41"/>
  <c r="S34" i="41"/>
  <c r="S33" i="41"/>
  <c r="T33" i="41" s="1"/>
  <c r="T32" i="41"/>
  <c r="S32" i="41"/>
  <c r="S31" i="41"/>
  <c r="T31" i="41" s="1"/>
  <c r="S30" i="41"/>
  <c r="T30" i="41" s="1"/>
  <c r="S29" i="41"/>
  <c r="T29" i="41" s="1"/>
  <c r="S28" i="41"/>
  <c r="T28" i="41" s="1"/>
  <c r="S27" i="41"/>
  <c r="T27" i="41" s="1"/>
  <c r="S26" i="41"/>
  <c r="T26" i="41" s="1"/>
  <c r="S25" i="41"/>
  <c r="T25" i="41" s="1"/>
  <c r="S24" i="41"/>
  <c r="T24" i="41" s="1"/>
  <c r="S23" i="41"/>
  <c r="T23" i="41" s="1"/>
  <c r="S22" i="41"/>
  <c r="T22" i="41" s="1"/>
  <c r="S21" i="41"/>
  <c r="T21" i="41" s="1"/>
  <c r="S20" i="41"/>
  <c r="T20" i="41" s="1"/>
  <c r="S19" i="41"/>
  <c r="T19" i="41" s="1"/>
  <c r="S18" i="41"/>
  <c r="T18" i="41" s="1"/>
  <c r="S17" i="41"/>
  <c r="T17" i="41" s="1"/>
  <c r="S16" i="41"/>
  <c r="T16" i="41" s="1"/>
  <c r="S15" i="41"/>
  <c r="T15" i="41" s="1"/>
  <c r="S14" i="41"/>
  <c r="T14" i="41" s="1"/>
  <c r="S13" i="41"/>
  <c r="T13" i="41" s="1"/>
  <c r="S12" i="41"/>
  <c r="T12" i="41" s="1"/>
  <c r="S11" i="41"/>
  <c r="T11" i="41" s="1"/>
  <c r="S10" i="41"/>
  <c r="T10" i="41" s="1"/>
  <c r="S9" i="41"/>
  <c r="T9" i="41" s="1"/>
  <c r="S8" i="41"/>
  <c r="T8" i="41" s="1"/>
  <c r="S7" i="41"/>
  <c r="T7" i="41" s="1"/>
  <c r="S50" i="40"/>
  <c r="T50" i="40" s="1"/>
  <c r="S49" i="40"/>
  <c r="T49" i="40" s="1"/>
  <c r="S48" i="40"/>
  <c r="T48" i="40" s="1"/>
  <c r="S47" i="40"/>
  <c r="T47" i="40" s="1"/>
  <c r="S46" i="40"/>
  <c r="T46" i="40" s="1"/>
  <c r="S45" i="40"/>
  <c r="T45" i="40" s="1"/>
  <c r="AH45" i="42" s="1"/>
  <c r="S44" i="40"/>
  <c r="T44" i="40" s="1"/>
  <c r="AH44" i="42" s="1"/>
  <c r="S43" i="40"/>
  <c r="T43" i="40" s="1"/>
  <c r="AH43" i="42" s="1"/>
  <c r="S42" i="40"/>
  <c r="T42" i="40" s="1"/>
  <c r="AH42" i="42" s="1"/>
  <c r="S41" i="40"/>
  <c r="T41" i="40" s="1"/>
  <c r="AH41" i="42" s="1"/>
  <c r="S40" i="40"/>
  <c r="T40" i="40" s="1"/>
  <c r="AH40" i="42" s="1"/>
  <c r="S39" i="40"/>
  <c r="T39" i="40" s="1"/>
  <c r="AH39" i="42" s="1"/>
  <c r="S38" i="40"/>
  <c r="T38" i="40" s="1"/>
  <c r="AH38" i="42" s="1"/>
  <c r="S37" i="40"/>
  <c r="T37" i="40" s="1"/>
  <c r="AH37" i="42" s="1"/>
  <c r="S36" i="40"/>
  <c r="T36" i="40" s="1"/>
  <c r="AH36" i="42" s="1"/>
  <c r="S35" i="40"/>
  <c r="T35" i="40" s="1"/>
  <c r="AH35" i="42" s="1"/>
  <c r="S34" i="40"/>
  <c r="T34" i="40" s="1"/>
  <c r="AH34" i="42" s="1"/>
  <c r="S33" i="40"/>
  <c r="T33" i="40" s="1"/>
  <c r="AH33" i="42" s="1"/>
  <c r="S32" i="40"/>
  <c r="T32" i="40" s="1"/>
  <c r="AH32" i="42" s="1"/>
  <c r="S31" i="40"/>
  <c r="T31" i="40" s="1"/>
  <c r="AH31" i="42" s="1"/>
  <c r="S30" i="40"/>
  <c r="T30" i="40" s="1"/>
  <c r="AH30" i="42" s="1"/>
  <c r="S29" i="40"/>
  <c r="T29" i="40" s="1"/>
  <c r="AH29" i="42" s="1"/>
  <c r="S28" i="40"/>
  <c r="T28" i="40" s="1"/>
  <c r="AH28" i="42" s="1"/>
  <c r="S27" i="40"/>
  <c r="T27" i="40" s="1"/>
  <c r="AH27" i="42" s="1"/>
  <c r="S26" i="40"/>
  <c r="T26" i="40" s="1"/>
  <c r="AH26" i="42" s="1"/>
  <c r="S25" i="40"/>
  <c r="T25" i="40" s="1"/>
  <c r="AH25" i="42" s="1"/>
  <c r="S24" i="40"/>
  <c r="T24" i="40" s="1"/>
  <c r="AH24" i="42" s="1"/>
  <c r="S23" i="40"/>
  <c r="T23" i="40" s="1"/>
  <c r="AH23" i="42" s="1"/>
  <c r="S22" i="40"/>
  <c r="T22" i="40" s="1"/>
  <c r="AH22" i="42" s="1"/>
  <c r="S21" i="40"/>
  <c r="T21" i="40" s="1"/>
  <c r="AH21" i="42" s="1"/>
  <c r="S20" i="40"/>
  <c r="T20" i="40" s="1"/>
  <c r="AH20" i="42" s="1"/>
  <c r="S19" i="40"/>
  <c r="T19" i="40" s="1"/>
  <c r="AH19" i="42" s="1"/>
  <c r="S18" i="40"/>
  <c r="T18" i="40" s="1"/>
  <c r="AH18" i="42" s="1"/>
  <c r="S17" i="40"/>
  <c r="T17" i="40" s="1"/>
  <c r="AH17" i="42" s="1"/>
  <c r="S16" i="40"/>
  <c r="T16" i="40" s="1"/>
  <c r="AH16" i="42" s="1"/>
  <c r="S15" i="40"/>
  <c r="T15" i="40" s="1"/>
  <c r="AH15" i="42" s="1"/>
  <c r="S14" i="40"/>
  <c r="T14" i="40" s="1"/>
  <c r="AH14" i="42" s="1"/>
  <c r="S13" i="40"/>
  <c r="T13" i="40" s="1"/>
  <c r="AH13" i="42" s="1"/>
  <c r="S12" i="40"/>
  <c r="T12" i="40" s="1"/>
  <c r="AH12" i="42" s="1"/>
  <c r="S11" i="40"/>
  <c r="T11" i="40" s="1"/>
  <c r="AH11" i="42" s="1"/>
  <c r="S10" i="40"/>
  <c r="T10" i="40" s="1"/>
  <c r="AH10" i="42" s="1"/>
  <c r="S9" i="40"/>
  <c r="T9" i="40" s="1"/>
  <c r="AH9" i="42" s="1"/>
  <c r="S8" i="40"/>
  <c r="T8" i="40" s="1"/>
  <c r="AH8" i="42" s="1"/>
  <c r="S7" i="40"/>
  <c r="T7" i="40" s="1"/>
  <c r="AH7" i="42" s="1"/>
  <c r="S50" i="38"/>
  <c r="T50" i="38" s="1"/>
  <c r="S49" i="38"/>
  <c r="T49" i="38" s="1"/>
  <c r="S48" i="38"/>
  <c r="T48" i="38" s="1"/>
  <c r="S47" i="38"/>
  <c r="T47" i="38" s="1"/>
  <c r="S46" i="38"/>
  <c r="T46" i="38" s="1"/>
  <c r="S45" i="38"/>
  <c r="T45" i="38" s="1"/>
  <c r="AF45" i="42" s="1"/>
  <c r="S44" i="38"/>
  <c r="T44" i="38" s="1"/>
  <c r="AF44" i="42" s="1"/>
  <c r="S43" i="38"/>
  <c r="T43" i="38" s="1"/>
  <c r="AF43" i="42" s="1"/>
  <c r="S42" i="38"/>
  <c r="T42" i="38" s="1"/>
  <c r="AF42" i="42" s="1"/>
  <c r="S41" i="38"/>
  <c r="T41" i="38" s="1"/>
  <c r="AF41" i="42" s="1"/>
  <c r="S40" i="38"/>
  <c r="T40" i="38" s="1"/>
  <c r="AF40" i="42" s="1"/>
  <c r="S39" i="38"/>
  <c r="T39" i="38" s="1"/>
  <c r="AF39" i="42" s="1"/>
  <c r="S38" i="38"/>
  <c r="T38" i="38" s="1"/>
  <c r="AF38" i="42" s="1"/>
  <c r="S37" i="38"/>
  <c r="T37" i="38" s="1"/>
  <c r="AF37" i="42" s="1"/>
  <c r="S36" i="38"/>
  <c r="T36" i="38" s="1"/>
  <c r="AF36" i="42" s="1"/>
  <c r="S35" i="38"/>
  <c r="T35" i="38" s="1"/>
  <c r="AF35" i="42" s="1"/>
  <c r="S34" i="38"/>
  <c r="T34" i="38" s="1"/>
  <c r="AF34" i="42" s="1"/>
  <c r="S33" i="38"/>
  <c r="T33" i="38" s="1"/>
  <c r="AF33" i="42" s="1"/>
  <c r="S32" i="38"/>
  <c r="T32" i="38" s="1"/>
  <c r="AF32" i="42" s="1"/>
  <c r="S31" i="38"/>
  <c r="T31" i="38" s="1"/>
  <c r="AF31" i="42" s="1"/>
  <c r="S30" i="38"/>
  <c r="T30" i="38" s="1"/>
  <c r="AF30" i="42" s="1"/>
  <c r="S29" i="38"/>
  <c r="T29" i="38" s="1"/>
  <c r="AF29" i="42" s="1"/>
  <c r="S28" i="38"/>
  <c r="T28" i="38" s="1"/>
  <c r="AF28" i="42" s="1"/>
  <c r="S27" i="38"/>
  <c r="T27" i="38" s="1"/>
  <c r="AF27" i="42" s="1"/>
  <c r="S26" i="38"/>
  <c r="T26" i="38" s="1"/>
  <c r="AF26" i="42" s="1"/>
  <c r="S25" i="38"/>
  <c r="T25" i="38" s="1"/>
  <c r="AF25" i="42" s="1"/>
  <c r="S24" i="38"/>
  <c r="T24" i="38" s="1"/>
  <c r="AF24" i="42" s="1"/>
  <c r="S23" i="38"/>
  <c r="T23" i="38" s="1"/>
  <c r="AF23" i="42" s="1"/>
  <c r="S22" i="38"/>
  <c r="T22" i="38" s="1"/>
  <c r="AF22" i="42" s="1"/>
  <c r="S21" i="38"/>
  <c r="T21" i="38" s="1"/>
  <c r="AF21" i="42" s="1"/>
  <c r="S20" i="38"/>
  <c r="T20" i="38" s="1"/>
  <c r="AF20" i="42" s="1"/>
  <c r="S19" i="38"/>
  <c r="T19" i="38" s="1"/>
  <c r="AF19" i="42" s="1"/>
  <c r="S18" i="38"/>
  <c r="T18" i="38" s="1"/>
  <c r="AF18" i="42" s="1"/>
  <c r="S17" i="38"/>
  <c r="T17" i="38" s="1"/>
  <c r="AF17" i="42" s="1"/>
  <c r="S16" i="38"/>
  <c r="T16" i="38" s="1"/>
  <c r="AF16" i="42" s="1"/>
  <c r="S15" i="38"/>
  <c r="T15" i="38" s="1"/>
  <c r="AF15" i="42" s="1"/>
  <c r="S14" i="38"/>
  <c r="T14" i="38" s="1"/>
  <c r="AF14" i="42" s="1"/>
  <c r="S13" i="38"/>
  <c r="T13" i="38" s="1"/>
  <c r="AF13" i="42" s="1"/>
  <c r="S12" i="38"/>
  <c r="T12" i="38" s="1"/>
  <c r="AF12" i="42" s="1"/>
  <c r="S11" i="38"/>
  <c r="T11" i="38" s="1"/>
  <c r="AF11" i="42" s="1"/>
  <c r="S10" i="38"/>
  <c r="T10" i="38" s="1"/>
  <c r="AF10" i="42" s="1"/>
  <c r="S9" i="38"/>
  <c r="T9" i="38" s="1"/>
  <c r="AF9" i="42" s="1"/>
  <c r="S8" i="38"/>
  <c r="T8" i="38" s="1"/>
  <c r="AF8" i="42" s="1"/>
  <c r="S7" i="38"/>
  <c r="T7" i="38" s="1"/>
  <c r="AF7" i="42" s="1"/>
  <c r="S50" i="37"/>
  <c r="T50" i="37" s="1"/>
  <c r="S49" i="37"/>
  <c r="T49" i="37" s="1"/>
  <c r="S48" i="37"/>
  <c r="T48" i="37" s="1"/>
  <c r="S47" i="37"/>
  <c r="T47" i="37" s="1"/>
  <c r="S46" i="37"/>
  <c r="T46" i="37" s="1"/>
  <c r="S45" i="37"/>
  <c r="T45" i="37" s="1"/>
  <c r="AD45" i="42" s="1"/>
  <c r="S44" i="37"/>
  <c r="T44" i="37" s="1"/>
  <c r="AD44" i="42" s="1"/>
  <c r="S43" i="37"/>
  <c r="T43" i="37" s="1"/>
  <c r="AD43" i="42" s="1"/>
  <c r="S42" i="37"/>
  <c r="T42" i="37" s="1"/>
  <c r="AD42" i="42" s="1"/>
  <c r="S41" i="37"/>
  <c r="T41" i="37" s="1"/>
  <c r="AD41" i="42" s="1"/>
  <c r="S40" i="37"/>
  <c r="T40" i="37" s="1"/>
  <c r="AD40" i="42" s="1"/>
  <c r="S39" i="37"/>
  <c r="T39" i="37" s="1"/>
  <c r="AD39" i="42" s="1"/>
  <c r="S38" i="37"/>
  <c r="T38" i="37" s="1"/>
  <c r="AD38" i="42" s="1"/>
  <c r="S37" i="37"/>
  <c r="T37" i="37" s="1"/>
  <c r="AD37" i="42" s="1"/>
  <c r="S36" i="37"/>
  <c r="T36" i="37" s="1"/>
  <c r="AD36" i="42" s="1"/>
  <c r="S35" i="37"/>
  <c r="T35" i="37" s="1"/>
  <c r="AD35" i="42" s="1"/>
  <c r="S34" i="37"/>
  <c r="T34" i="37" s="1"/>
  <c r="AD34" i="42" s="1"/>
  <c r="S33" i="37"/>
  <c r="T33" i="37" s="1"/>
  <c r="AD33" i="42" s="1"/>
  <c r="S32" i="37"/>
  <c r="T32" i="37" s="1"/>
  <c r="AD32" i="42" s="1"/>
  <c r="S31" i="37"/>
  <c r="T31" i="37" s="1"/>
  <c r="AD31" i="42" s="1"/>
  <c r="S30" i="37"/>
  <c r="T30" i="37" s="1"/>
  <c r="AD30" i="42" s="1"/>
  <c r="S29" i="37"/>
  <c r="T29" i="37" s="1"/>
  <c r="AD29" i="42" s="1"/>
  <c r="S28" i="37"/>
  <c r="T28" i="37" s="1"/>
  <c r="AD28" i="42" s="1"/>
  <c r="S27" i="37"/>
  <c r="T27" i="37" s="1"/>
  <c r="AD27" i="42" s="1"/>
  <c r="S26" i="37"/>
  <c r="T26" i="37" s="1"/>
  <c r="AD26" i="42" s="1"/>
  <c r="S25" i="37"/>
  <c r="T25" i="37" s="1"/>
  <c r="AD25" i="42" s="1"/>
  <c r="S24" i="37"/>
  <c r="T24" i="37" s="1"/>
  <c r="AD24" i="42" s="1"/>
  <c r="S23" i="37"/>
  <c r="T23" i="37" s="1"/>
  <c r="AD23" i="42" s="1"/>
  <c r="S22" i="37"/>
  <c r="T22" i="37" s="1"/>
  <c r="AD22" i="42" s="1"/>
  <c r="S21" i="37"/>
  <c r="T21" i="37" s="1"/>
  <c r="AD21" i="42" s="1"/>
  <c r="S20" i="37"/>
  <c r="T20" i="37" s="1"/>
  <c r="AD20" i="42" s="1"/>
  <c r="S19" i="37"/>
  <c r="T19" i="37" s="1"/>
  <c r="AD19" i="42" s="1"/>
  <c r="S18" i="37"/>
  <c r="T18" i="37" s="1"/>
  <c r="AD18" i="42" s="1"/>
  <c r="S17" i="37"/>
  <c r="T17" i="37" s="1"/>
  <c r="AD17" i="42" s="1"/>
  <c r="S16" i="37"/>
  <c r="T16" i="37" s="1"/>
  <c r="AD16" i="42" s="1"/>
  <c r="S15" i="37"/>
  <c r="T15" i="37" s="1"/>
  <c r="AD15" i="42" s="1"/>
  <c r="S14" i="37"/>
  <c r="T14" i="37" s="1"/>
  <c r="AD14" i="42" s="1"/>
  <c r="S13" i="37"/>
  <c r="T13" i="37" s="1"/>
  <c r="AD13" i="42" s="1"/>
  <c r="S12" i="37"/>
  <c r="T12" i="37" s="1"/>
  <c r="AD12" i="42" s="1"/>
  <c r="S11" i="37"/>
  <c r="T11" i="37" s="1"/>
  <c r="AD11" i="42" s="1"/>
  <c r="S10" i="37"/>
  <c r="T10" i="37" s="1"/>
  <c r="AD10" i="42" s="1"/>
  <c r="S9" i="37"/>
  <c r="T9" i="37" s="1"/>
  <c r="AD9" i="42" s="1"/>
  <c r="S8" i="37"/>
  <c r="T8" i="37" s="1"/>
  <c r="AD8" i="42" s="1"/>
  <c r="S7" i="37"/>
  <c r="T7" i="37" s="1"/>
  <c r="AD7" i="42" s="1"/>
  <c r="S50" i="36"/>
  <c r="T50" i="36" s="1"/>
  <c r="S49" i="36"/>
  <c r="T49" i="36" s="1"/>
  <c r="S48" i="36"/>
  <c r="T48" i="36" s="1"/>
  <c r="S47" i="36"/>
  <c r="T47" i="36" s="1"/>
  <c r="S46" i="36"/>
  <c r="T46" i="36" s="1"/>
  <c r="S45" i="36"/>
  <c r="T45" i="36" s="1"/>
  <c r="AB45" i="42" s="1"/>
  <c r="S44" i="36"/>
  <c r="T44" i="36" s="1"/>
  <c r="AB44" i="42" s="1"/>
  <c r="S43" i="36"/>
  <c r="T43" i="36" s="1"/>
  <c r="AB43" i="42" s="1"/>
  <c r="S42" i="36"/>
  <c r="T42" i="36" s="1"/>
  <c r="AB42" i="42" s="1"/>
  <c r="S41" i="36"/>
  <c r="T41" i="36" s="1"/>
  <c r="AB41" i="42" s="1"/>
  <c r="S40" i="36"/>
  <c r="T40" i="36" s="1"/>
  <c r="AB40" i="42" s="1"/>
  <c r="S39" i="36"/>
  <c r="T39" i="36" s="1"/>
  <c r="AB39" i="42" s="1"/>
  <c r="S38" i="36"/>
  <c r="T38" i="36" s="1"/>
  <c r="AB38" i="42" s="1"/>
  <c r="S37" i="36"/>
  <c r="T37" i="36" s="1"/>
  <c r="AB37" i="42" s="1"/>
  <c r="S36" i="36"/>
  <c r="T36" i="36" s="1"/>
  <c r="AB36" i="42" s="1"/>
  <c r="S35" i="36"/>
  <c r="T35" i="36" s="1"/>
  <c r="AB35" i="42" s="1"/>
  <c r="S34" i="36"/>
  <c r="T34" i="36" s="1"/>
  <c r="AB34" i="42" s="1"/>
  <c r="S33" i="36"/>
  <c r="T33" i="36" s="1"/>
  <c r="AB33" i="42" s="1"/>
  <c r="S32" i="36"/>
  <c r="T32" i="36" s="1"/>
  <c r="AB32" i="42" s="1"/>
  <c r="S31" i="36"/>
  <c r="T31" i="36" s="1"/>
  <c r="AB31" i="42" s="1"/>
  <c r="S30" i="36"/>
  <c r="T30" i="36" s="1"/>
  <c r="AB30" i="42" s="1"/>
  <c r="S29" i="36"/>
  <c r="T29" i="36" s="1"/>
  <c r="AB29" i="42" s="1"/>
  <c r="S28" i="36"/>
  <c r="T28" i="36" s="1"/>
  <c r="AB28" i="42" s="1"/>
  <c r="S27" i="36"/>
  <c r="T27" i="36" s="1"/>
  <c r="AB27" i="42" s="1"/>
  <c r="S26" i="36"/>
  <c r="T26" i="36" s="1"/>
  <c r="AB26" i="42" s="1"/>
  <c r="S25" i="36"/>
  <c r="T25" i="36" s="1"/>
  <c r="AB25" i="42" s="1"/>
  <c r="S24" i="36"/>
  <c r="T24" i="36" s="1"/>
  <c r="AB24" i="42" s="1"/>
  <c r="S23" i="36"/>
  <c r="T23" i="36" s="1"/>
  <c r="AB23" i="42" s="1"/>
  <c r="S22" i="36"/>
  <c r="T22" i="36" s="1"/>
  <c r="AB22" i="42" s="1"/>
  <c r="S21" i="36"/>
  <c r="T21" i="36" s="1"/>
  <c r="AB21" i="42" s="1"/>
  <c r="S20" i="36"/>
  <c r="T20" i="36" s="1"/>
  <c r="AB20" i="42" s="1"/>
  <c r="S19" i="36"/>
  <c r="T19" i="36" s="1"/>
  <c r="AB19" i="42" s="1"/>
  <c r="S18" i="36"/>
  <c r="T18" i="36" s="1"/>
  <c r="AB18" i="42" s="1"/>
  <c r="S17" i="36"/>
  <c r="T17" i="36" s="1"/>
  <c r="AB17" i="42" s="1"/>
  <c r="S16" i="36"/>
  <c r="T16" i="36" s="1"/>
  <c r="AB16" i="42" s="1"/>
  <c r="S15" i="36"/>
  <c r="T15" i="36" s="1"/>
  <c r="AB15" i="42" s="1"/>
  <c r="S14" i="36"/>
  <c r="T14" i="36" s="1"/>
  <c r="AB14" i="42" s="1"/>
  <c r="S13" i="36"/>
  <c r="T13" i="36" s="1"/>
  <c r="AB13" i="42" s="1"/>
  <c r="S12" i="36"/>
  <c r="T12" i="36" s="1"/>
  <c r="AB12" i="42" s="1"/>
  <c r="S11" i="36"/>
  <c r="T11" i="36" s="1"/>
  <c r="AB11" i="42" s="1"/>
  <c r="S10" i="36"/>
  <c r="T10" i="36" s="1"/>
  <c r="AB10" i="42" s="1"/>
  <c r="S9" i="36"/>
  <c r="T9" i="36" s="1"/>
  <c r="AB9" i="42" s="1"/>
  <c r="S8" i="36"/>
  <c r="T8" i="36" s="1"/>
  <c r="AB8" i="42" s="1"/>
  <c r="S7" i="36"/>
  <c r="T7" i="36" s="1"/>
  <c r="AB7" i="42" s="1"/>
  <c r="S50" i="35"/>
  <c r="T50" i="35" s="1"/>
  <c r="S49" i="35"/>
  <c r="T49" i="35" s="1"/>
  <c r="S48" i="35"/>
  <c r="T48" i="35" s="1"/>
  <c r="S47" i="35"/>
  <c r="T47" i="35" s="1"/>
  <c r="S46" i="35"/>
  <c r="T46" i="35" s="1"/>
  <c r="S45" i="35"/>
  <c r="T45" i="35" s="1"/>
  <c r="Z45" i="42" s="1"/>
  <c r="S44" i="35"/>
  <c r="T44" i="35" s="1"/>
  <c r="Z44" i="42" s="1"/>
  <c r="S43" i="35"/>
  <c r="T43" i="35" s="1"/>
  <c r="Z43" i="42" s="1"/>
  <c r="S42" i="35"/>
  <c r="T42" i="35" s="1"/>
  <c r="Z42" i="42" s="1"/>
  <c r="S41" i="35"/>
  <c r="T41" i="35" s="1"/>
  <c r="Z41" i="42" s="1"/>
  <c r="S40" i="35"/>
  <c r="T40" i="35" s="1"/>
  <c r="Z40" i="42" s="1"/>
  <c r="S39" i="35"/>
  <c r="T39" i="35" s="1"/>
  <c r="Z39" i="42" s="1"/>
  <c r="S38" i="35"/>
  <c r="T38" i="35" s="1"/>
  <c r="Z38" i="42" s="1"/>
  <c r="S37" i="35"/>
  <c r="T37" i="35" s="1"/>
  <c r="Z37" i="42" s="1"/>
  <c r="S36" i="35"/>
  <c r="T36" i="35" s="1"/>
  <c r="Z36" i="42" s="1"/>
  <c r="S35" i="35"/>
  <c r="T35" i="35" s="1"/>
  <c r="Z35" i="42" s="1"/>
  <c r="S34" i="35"/>
  <c r="T34" i="35" s="1"/>
  <c r="Z34" i="42" s="1"/>
  <c r="S33" i="35"/>
  <c r="T33" i="35" s="1"/>
  <c r="Z33" i="42" s="1"/>
  <c r="S32" i="35"/>
  <c r="T32" i="35" s="1"/>
  <c r="Z32" i="42" s="1"/>
  <c r="S31" i="35"/>
  <c r="T31" i="35" s="1"/>
  <c r="Z31" i="42" s="1"/>
  <c r="S30" i="35"/>
  <c r="T30" i="35" s="1"/>
  <c r="Z30" i="42" s="1"/>
  <c r="S29" i="35"/>
  <c r="T29" i="35" s="1"/>
  <c r="Z29" i="42" s="1"/>
  <c r="S28" i="35"/>
  <c r="T28" i="35" s="1"/>
  <c r="Z28" i="42" s="1"/>
  <c r="S27" i="35"/>
  <c r="T27" i="35" s="1"/>
  <c r="Z27" i="42" s="1"/>
  <c r="S26" i="35"/>
  <c r="T26" i="35" s="1"/>
  <c r="Z26" i="42" s="1"/>
  <c r="S25" i="35"/>
  <c r="T25" i="35" s="1"/>
  <c r="Z25" i="42" s="1"/>
  <c r="S24" i="35"/>
  <c r="T24" i="35" s="1"/>
  <c r="Z24" i="42" s="1"/>
  <c r="S23" i="35"/>
  <c r="T23" i="35" s="1"/>
  <c r="Z23" i="42" s="1"/>
  <c r="S22" i="35"/>
  <c r="T22" i="35" s="1"/>
  <c r="Z22" i="42" s="1"/>
  <c r="S21" i="35"/>
  <c r="T21" i="35" s="1"/>
  <c r="Z21" i="42" s="1"/>
  <c r="S20" i="35"/>
  <c r="T20" i="35" s="1"/>
  <c r="Z20" i="42" s="1"/>
  <c r="S19" i="35"/>
  <c r="T19" i="35" s="1"/>
  <c r="Z19" i="42" s="1"/>
  <c r="S18" i="35"/>
  <c r="T18" i="35" s="1"/>
  <c r="Z18" i="42" s="1"/>
  <c r="S17" i="35"/>
  <c r="T17" i="35" s="1"/>
  <c r="Z17" i="42" s="1"/>
  <c r="S16" i="35"/>
  <c r="T16" i="35" s="1"/>
  <c r="Z16" i="42" s="1"/>
  <c r="S15" i="35"/>
  <c r="T15" i="35" s="1"/>
  <c r="Z15" i="42" s="1"/>
  <c r="S14" i="35"/>
  <c r="T14" i="35" s="1"/>
  <c r="Z14" i="42" s="1"/>
  <c r="S13" i="35"/>
  <c r="T13" i="35" s="1"/>
  <c r="Z13" i="42" s="1"/>
  <c r="S12" i="35"/>
  <c r="T12" i="35" s="1"/>
  <c r="Z12" i="42" s="1"/>
  <c r="S11" i="35"/>
  <c r="T11" i="35" s="1"/>
  <c r="Z11" i="42" s="1"/>
  <c r="S10" i="35"/>
  <c r="T10" i="35" s="1"/>
  <c r="Z10" i="42" s="1"/>
  <c r="S9" i="35"/>
  <c r="T9" i="35" s="1"/>
  <c r="Z9" i="42" s="1"/>
  <c r="S8" i="35"/>
  <c r="T8" i="35" s="1"/>
  <c r="Z8" i="42" s="1"/>
  <c r="S7" i="35"/>
  <c r="T7" i="35" s="1"/>
  <c r="Z7" i="42" s="1"/>
  <c r="S50" i="34"/>
  <c r="T50" i="34" s="1"/>
  <c r="S49" i="34"/>
  <c r="T49" i="34" s="1"/>
  <c r="S48" i="34"/>
  <c r="T48" i="34" s="1"/>
  <c r="S47" i="34"/>
  <c r="T47" i="34" s="1"/>
  <c r="S46" i="34"/>
  <c r="T46" i="34" s="1"/>
  <c r="S45" i="34"/>
  <c r="T45" i="34" s="1"/>
  <c r="X45" i="42" s="1"/>
  <c r="S44" i="34"/>
  <c r="T44" i="34" s="1"/>
  <c r="X44" i="42" s="1"/>
  <c r="S43" i="34"/>
  <c r="T43" i="34" s="1"/>
  <c r="X43" i="42" s="1"/>
  <c r="S42" i="34"/>
  <c r="T42" i="34" s="1"/>
  <c r="X42" i="42" s="1"/>
  <c r="S41" i="34"/>
  <c r="T41" i="34" s="1"/>
  <c r="X41" i="42" s="1"/>
  <c r="S40" i="34"/>
  <c r="T40" i="34" s="1"/>
  <c r="X40" i="42" s="1"/>
  <c r="S39" i="34"/>
  <c r="T39" i="34" s="1"/>
  <c r="X39" i="42" s="1"/>
  <c r="S38" i="34"/>
  <c r="T38" i="34" s="1"/>
  <c r="X38" i="42" s="1"/>
  <c r="S37" i="34"/>
  <c r="T37" i="34" s="1"/>
  <c r="X37" i="42" s="1"/>
  <c r="S36" i="34"/>
  <c r="T36" i="34" s="1"/>
  <c r="X36" i="42" s="1"/>
  <c r="S35" i="34"/>
  <c r="T35" i="34" s="1"/>
  <c r="X35" i="42" s="1"/>
  <c r="S34" i="34"/>
  <c r="T34" i="34" s="1"/>
  <c r="X34" i="42" s="1"/>
  <c r="S33" i="34"/>
  <c r="T33" i="34" s="1"/>
  <c r="X33" i="42" s="1"/>
  <c r="S32" i="34"/>
  <c r="T32" i="34" s="1"/>
  <c r="X32" i="42" s="1"/>
  <c r="S31" i="34"/>
  <c r="T31" i="34" s="1"/>
  <c r="X31" i="42" s="1"/>
  <c r="S30" i="34"/>
  <c r="T30" i="34" s="1"/>
  <c r="X30" i="42" s="1"/>
  <c r="S29" i="34"/>
  <c r="T29" i="34" s="1"/>
  <c r="X29" i="42" s="1"/>
  <c r="S28" i="34"/>
  <c r="T28" i="34" s="1"/>
  <c r="X28" i="42" s="1"/>
  <c r="S27" i="34"/>
  <c r="T27" i="34" s="1"/>
  <c r="X27" i="42" s="1"/>
  <c r="S26" i="34"/>
  <c r="T26" i="34" s="1"/>
  <c r="X26" i="42" s="1"/>
  <c r="S25" i="34"/>
  <c r="T25" i="34" s="1"/>
  <c r="X25" i="42" s="1"/>
  <c r="S24" i="34"/>
  <c r="T24" i="34" s="1"/>
  <c r="X24" i="42" s="1"/>
  <c r="S23" i="34"/>
  <c r="T23" i="34" s="1"/>
  <c r="X23" i="42" s="1"/>
  <c r="S22" i="34"/>
  <c r="T22" i="34" s="1"/>
  <c r="X22" i="42" s="1"/>
  <c r="S21" i="34"/>
  <c r="T21" i="34" s="1"/>
  <c r="X21" i="42" s="1"/>
  <c r="S20" i="34"/>
  <c r="T20" i="34" s="1"/>
  <c r="X20" i="42" s="1"/>
  <c r="S19" i="34"/>
  <c r="T19" i="34" s="1"/>
  <c r="X19" i="42" s="1"/>
  <c r="S18" i="34"/>
  <c r="T18" i="34" s="1"/>
  <c r="X18" i="42" s="1"/>
  <c r="S17" i="34"/>
  <c r="T17" i="34" s="1"/>
  <c r="X17" i="42" s="1"/>
  <c r="S16" i="34"/>
  <c r="T16" i="34" s="1"/>
  <c r="X16" i="42" s="1"/>
  <c r="S15" i="34"/>
  <c r="T15" i="34" s="1"/>
  <c r="X15" i="42" s="1"/>
  <c r="S14" i="34"/>
  <c r="T14" i="34" s="1"/>
  <c r="X14" i="42" s="1"/>
  <c r="S13" i="34"/>
  <c r="T13" i="34" s="1"/>
  <c r="X13" i="42" s="1"/>
  <c r="S12" i="34"/>
  <c r="T12" i="34" s="1"/>
  <c r="X12" i="42" s="1"/>
  <c r="S11" i="34"/>
  <c r="T11" i="34" s="1"/>
  <c r="X11" i="42" s="1"/>
  <c r="S10" i="34"/>
  <c r="T10" i="34" s="1"/>
  <c r="X10" i="42" s="1"/>
  <c r="S9" i="34"/>
  <c r="T9" i="34" s="1"/>
  <c r="X9" i="42" s="1"/>
  <c r="S8" i="34"/>
  <c r="T8" i="34" s="1"/>
  <c r="X8" i="42" s="1"/>
  <c r="S7" i="34"/>
  <c r="T7" i="34" s="1"/>
  <c r="X7" i="42" s="1"/>
  <c r="S50" i="17"/>
  <c r="T50" i="17" s="1"/>
  <c r="S49" i="17"/>
  <c r="T49" i="17" s="1"/>
  <c r="S48" i="17"/>
  <c r="T48" i="17" s="1"/>
  <c r="S47" i="17"/>
  <c r="T47" i="17" s="1"/>
  <c r="S46" i="17"/>
  <c r="T46" i="17" s="1"/>
  <c r="S45" i="17"/>
  <c r="T45" i="17" s="1"/>
  <c r="S44" i="17"/>
  <c r="T44" i="17" s="1"/>
  <c r="S43" i="17"/>
  <c r="T43" i="17" s="1"/>
  <c r="S42" i="17"/>
  <c r="T42" i="17" s="1"/>
  <c r="S41" i="17"/>
  <c r="T41" i="17" s="1"/>
  <c r="S40" i="17"/>
  <c r="T40" i="17" s="1"/>
  <c r="S39" i="17"/>
  <c r="T39" i="17" s="1"/>
  <c r="S38" i="17"/>
  <c r="T38" i="17" s="1"/>
  <c r="S37" i="17"/>
  <c r="T37" i="17" s="1"/>
  <c r="S36" i="17"/>
  <c r="T36" i="17" s="1"/>
  <c r="S35" i="17"/>
  <c r="T35" i="17" s="1"/>
  <c r="S34" i="17"/>
  <c r="T34" i="17" s="1"/>
  <c r="S33" i="17"/>
  <c r="T33" i="17" s="1"/>
  <c r="S32" i="17"/>
  <c r="T32" i="17" s="1"/>
  <c r="S31" i="17"/>
  <c r="T31" i="17" s="1"/>
  <c r="S30" i="17"/>
  <c r="T30" i="17" s="1"/>
  <c r="S29" i="17"/>
  <c r="T29" i="17" s="1"/>
  <c r="S28" i="17"/>
  <c r="T28" i="17" s="1"/>
  <c r="S27" i="17"/>
  <c r="T27" i="17" s="1"/>
  <c r="S26" i="17"/>
  <c r="T26" i="17" s="1"/>
  <c r="S25" i="17"/>
  <c r="T25" i="17" s="1"/>
  <c r="S24" i="17"/>
  <c r="T24" i="17" s="1"/>
  <c r="S23" i="17"/>
  <c r="T23" i="17" s="1"/>
  <c r="S22" i="17"/>
  <c r="T22" i="17" s="1"/>
  <c r="S21" i="17"/>
  <c r="T21" i="17" s="1"/>
  <c r="S20" i="17"/>
  <c r="T20" i="17" s="1"/>
  <c r="S19" i="17"/>
  <c r="T19" i="17" s="1"/>
  <c r="S18" i="17"/>
  <c r="T18" i="17" s="1"/>
  <c r="S17" i="17"/>
  <c r="T17" i="17" s="1"/>
  <c r="S16" i="17"/>
  <c r="T16" i="17" s="1"/>
  <c r="S15" i="17"/>
  <c r="T15" i="17" s="1"/>
  <c r="S14" i="17"/>
  <c r="T14" i="17" s="1"/>
  <c r="S13" i="17"/>
  <c r="T13" i="17" s="1"/>
  <c r="S12" i="17"/>
  <c r="T12" i="17" s="1"/>
  <c r="S11" i="17"/>
  <c r="T11" i="17" s="1"/>
  <c r="S10" i="17"/>
  <c r="T10" i="17" s="1"/>
  <c r="S9" i="17"/>
  <c r="T9" i="17" s="1"/>
  <c r="S8" i="17"/>
  <c r="T8" i="17" s="1"/>
  <c r="S7" i="17"/>
  <c r="T7" i="17" s="1"/>
  <c r="S50" i="31"/>
  <c r="T50" i="31" s="1"/>
  <c r="S49" i="31"/>
  <c r="T49" i="31" s="1"/>
  <c r="S48" i="31"/>
  <c r="T48" i="31" s="1"/>
  <c r="S47" i="31"/>
  <c r="T47" i="31" s="1"/>
  <c r="S46" i="31"/>
  <c r="T46" i="31" s="1"/>
  <c r="S45" i="31"/>
  <c r="T45" i="31" s="1"/>
  <c r="V45" i="42" s="1"/>
  <c r="S44" i="31"/>
  <c r="T44" i="31" s="1"/>
  <c r="V44" i="42" s="1"/>
  <c r="S43" i="31"/>
  <c r="T43" i="31" s="1"/>
  <c r="V43" i="42" s="1"/>
  <c r="S42" i="31"/>
  <c r="T42" i="31" s="1"/>
  <c r="V42" i="42" s="1"/>
  <c r="S41" i="31"/>
  <c r="T41" i="31" s="1"/>
  <c r="V41" i="42" s="1"/>
  <c r="S40" i="31"/>
  <c r="T40" i="31" s="1"/>
  <c r="V40" i="42" s="1"/>
  <c r="S39" i="31"/>
  <c r="T39" i="31" s="1"/>
  <c r="V39" i="42" s="1"/>
  <c r="S38" i="31"/>
  <c r="T38" i="31" s="1"/>
  <c r="V38" i="42" s="1"/>
  <c r="S37" i="31"/>
  <c r="T37" i="31" s="1"/>
  <c r="V37" i="42" s="1"/>
  <c r="S36" i="31"/>
  <c r="T36" i="31" s="1"/>
  <c r="V36" i="42" s="1"/>
  <c r="S35" i="31"/>
  <c r="T35" i="31" s="1"/>
  <c r="V35" i="42" s="1"/>
  <c r="S34" i="31"/>
  <c r="T34" i="31" s="1"/>
  <c r="V34" i="42" s="1"/>
  <c r="S33" i="31"/>
  <c r="T33" i="31" s="1"/>
  <c r="V33" i="42" s="1"/>
  <c r="S32" i="31"/>
  <c r="T32" i="31" s="1"/>
  <c r="V32" i="42" s="1"/>
  <c r="S31" i="31"/>
  <c r="T31" i="31" s="1"/>
  <c r="V31" i="42" s="1"/>
  <c r="S30" i="31"/>
  <c r="T30" i="31" s="1"/>
  <c r="V30" i="42" s="1"/>
  <c r="S29" i="31"/>
  <c r="T29" i="31" s="1"/>
  <c r="V29" i="42" s="1"/>
  <c r="S28" i="31"/>
  <c r="T28" i="31" s="1"/>
  <c r="V28" i="42" s="1"/>
  <c r="S27" i="31"/>
  <c r="T27" i="31" s="1"/>
  <c r="V27" i="42" s="1"/>
  <c r="S26" i="31"/>
  <c r="T26" i="31" s="1"/>
  <c r="V26" i="42" s="1"/>
  <c r="S25" i="31"/>
  <c r="T25" i="31" s="1"/>
  <c r="V25" i="42" s="1"/>
  <c r="S24" i="31"/>
  <c r="T24" i="31" s="1"/>
  <c r="V24" i="42" s="1"/>
  <c r="S23" i="31"/>
  <c r="T23" i="31" s="1"/>
  <c r="V23" i="42" s="1"/>
  <c r="S22" i="31"/>
  <c r="T22" i="31" s="1"/>
  <c r="V22" i="42" s="1"/>
  <c r="S21" i="31"/>
  <c r="T21" i="31" s="1"/>
  <c r="V21" i="42" s="1"/>
  <c r="S20" i="31"/>
  <c r="T20" i="31" s="1"/>
  <c r="V20" i="42" s="1"/>
  <c r="S19" i="31"/>
  <c r="T19" i="31" s="1"/>
  <c r="V19" i="42" s="1"/>
  <c r="S18" i="31"/>
  <c r="T18" i="31" s="1"/>
  <c r="V18" i="42" s="1"/>
  <c r="S17" i="31"/>
  <c r="T17" i="31" s="1"/>
  <c r="V17" i="42" s="1"/>
  <c r="S16" i="31"/>
  <c r="T16" i="31" s="1"/>
  <c r="V16" i="42" s="1"/>
  <c r="S15" i="31"/>
  <c r="T15" i="31" s="1"/>
  <c r="V15" i="42" s="1"/>
  <c r="S14" i="31"/>
  <c r="T14" i="31" s="1"/>
  <c r="V14" i="42" s="1"/>
  <c r="S13" i="31"/>
  <c r="T13" i="31" s="1"/>
  <c r="V13" i="42" s="1"/>
  <c r="S12" i="31"/>
  <c r="T12" i="31" s="1"/>
  <c r="V12" i="42" s="1"/>
  <c r="S11" i="31"/>
  <c r="T11" i="31" s="1"/>
  <c r="V11" i="42" s="1"/>
  <c r="S10" i="31"/>
  <c r="T10" i="31" s="1"/>
  <c r="V10" i="42" s="1"/>
  <c r="S9" i="31"/>
  <c r="T9" i="31" s="1"/>
  <c r="V9" i="42" s="1"/>
  <c r="S8" i="31"/>
  <c r="T8" i="31" s="1"/>
  <c r="V8" i="42" s="1"/>
  <c r="S7" i="31"/>
  <c r="T7" i="31" s="1"/>
  <c r="V7" i="42" s="1"/>
  <c r="S50" i="25"/>
  <c r="T50" i="25" s="1"/>
  <c r="S49" i="25"/>
  <c r="T49" i="25" s="1"/>
  <c r="S48" i="25"/>
  <c r="T48" i="25" s="1"/>
  <c r="S47" i="25"/>
  <c r="T47" i="25" s="1"/>
  <c r="S46" i="25"/>
  <c r="T46" i="25" s="1"/>
  <c r="S45" i="25"/>
  <c r="T45" i="25" s="1"/>
  <c r="R45" i="42" s="1"/>
  <c r="S44" i="25"/>
  <c r="T44" i="25" s="1"/>
  <c r="R44" i="42" s="1"/>
  <c r="S43" i="25"/>
  <c r="T43" i="25" s="1"/>
  <c r="R43" i="42" s="1"/>
  <c r="S42" i="25"/>
  <c r="T42" i="25" s="1"/>
  <c r="R42" i="42" s="1"/>
  <c r="S41" i="25"/>
  <c r="T41" i="25" s="1"/>
  <c r="R41" i="42" s="1"/>
  <c r="S40" i="25"/>
  <c r="T40" i="25" s="1"/>
  <c r="R40" i="42" s="1"/>
  <c r="S39" i="25"/>
  <c r="T39" i="25" s="1"/>
  <c r="R39" i="42" s="1"/>
  <c r="S38" i="25"/>
  <c r="T38" i="25" s="1"/>
  <c r="R38" i="42" s="1"/>
  <c r="S37" i="25"/>
  <c r="T37" i="25" s="1"/>
  <c r="R37" i="42" s="1"/>
  <c r="S36" i="25"/>
  <c r="T36" i="25" s="1"/>
  <c r="R36" i="42" s="1"/>
  <c r="S35" i="25"/>
  <c r="T35" i="25" s="1"/>
  <c r="R35" i="42" s="1"/>
  <c r="S34" i="25"/>
  <c r="T34" i="25" s="1"/>
  <c r="R34" i="42" s="1"/>
  <c r="S33" i="25"/>
  <c r="T33" i="25" s="1"/>
  <c r="R33" i="42" s="1"/>
  <c r="S32" i="25"/>
  <c r="T32" i="25" s="1"/>
  <c r="R32" i="42" s="1"/>
  <c r="S31" i="25"/>
  <c r="T31" i="25" s="1"/>
  <c r="R31" i="42" s="1"/>
  <c r="S30" i="25"/>
  <c r="T30" i="25" s="1"/>
  <c r="R30" i="42" s="1"/>
  <c r="S29" i="25"/>
  <c r="T29" i="25" s="1"/>
  <c r="R29" i="42" s="1"/>
  <c r="S28" i="25"/>
  <c r="T28" i="25" s="1"/>
  <c r="R28" i="42" s="1"/>
  <c r="S27" i="25"/>
  <c r="T27" i="25" s="1"/>
  <c r="R27" i="42" s="1"/>
  <c r="S26" i="25"/>
  <c r="T26" i="25" s="1"/>
  <c r="R26" i="42" s="1"/>
  <c r="S25" i="25"/>
  <c r="T25" i="25" s="1"/>
  <c r="R25" i="42" s="1"/>
  <c r="S24" i="25"/>
  <c r="T24" i="25" s="1"/>
  <c r="R24" i="42" s="1"/>
  <c r="S23" i="25"/>
  <c r="T23" i="25" s="1"/>
  <c r="R23" i="42" s="1"/>
  <c r="S22" i="25"/>
  <c r="T22" i="25" s="1"/>
  <c r="R22" i="42" s="1"/>
  <c r="S21" i="25"/>
  <c r="T21" i="25" s="1"/>
  <c r="R21" i="42" s="1"/>
  <c r="S20" i="25"/>
  <c r="T20" i="25" s="1"/>
  <c r="R20" i="42" s="1"/>
  <c r="S19" i="25"/>
  <c r="T19" i="25" s="1"/>
  <c r="R19" i="42" s="1"/>
  <c r="S18" i="25"/>
  <c r="T18" i="25" s="1"/>
  <c r="R18" i="42" s="1"/>
  <c r="S17" i="25"/>
  <c r="T17" i="25" s="1"/>
  <c r="R17" i="42" s="1"/>
  <c r="S16" i="25"/>
  <c r="T16" i="25" s="1"/>
  <c r="R16" i="42" s="1"/>
  <c r="S15" i="25"/>
  <c r="T15" i="25" s="1"/>
  <c r="R15" i="42" s="1"/>
  <c r="S14" i="25"/>
  <c r="T14" i="25" s="1"/>
  <c r="R14" i="42" s="1"/>
  <c r="S13" i="25"/>
  <c r="T13" i="25" s="1"/>
  <c r="R13" i="42" s="1"/>
  <c r="S12" i="25"/>
  <c r="T12" i="25" s="1"/>
  <c r="R12" i="42" s="1"/>
  <c r="S11" i="25"/>
  <c r="T11" i="25" s="1"/>
  <c r="R11" i="42" s="1"/>
  <c r="S10" i="25"/>
  <c r="T10" i="25" s="1"/>
  <c r="R10" i="42" s="1"/>
  <c r="S9" i="25"/>
  <c r="T9" i="25" s="1"/>
  <c r="R9" i="42" s="1"/>
  <c r="S8" i="25"/>
  <c r="T8" i="25" s="1"/>
  <c r="R8" i="42" s="1"/>
  <c r="S7" i="25"/>
  <c r="T7" i="25" s="1"/>
  <c r="R7" i="42" s="1"/>
  <c r="S50" i="19"/>
  <c r="T50" i="19" s="1"/>
  <c r="S49" i="19"/>
  <c r="T49" i="19" s="1"/>
  <c r="S48" i="19"/>
  <c r="T48" i="19" s="1"/>
  <c r="S47" i="19"/>
  <c r="T47" i="19" s="1"/>
  <c r="S46" i="19"/>
  <c r="T46" i="19" s="1"/>
  <c r="S45" i="19"/>
  <c r="T45" i="19" s="1"/>
  <c r="P45" i="42" s="1"/>
  <c r="S44" i="19"/>
  <c r="T44" i="19" s="1"/>
  <c r="P44" i="42" s="1"/>
  <c r="S43" i="19"/>
  <c r="T43" i="19" s="1"/>
  <c r="P43" i="42" s="1"/>
  <c r="S42" i="19"/>
  <c r="T42" i="19" s="1"/>
  <c r="P42" i="42" s="1"/>
  <c r="S41" i="19"/>
  <c r="T41" i="19" s="1"/>
  <c r="P41" i="42" s="1"/>
  <c r="S40" i="19"/>
  <c r="T40" i="19" s="1"/>
  <c r="P40" i="42" s="1"/>
  <c r="S39" i="19"/>
  <c r="T39" i="19" s="1"/>
  <c r="P39" i="42" s="1"/>
  <c r="S38" i="19"/>
  <c r="T38" i="19" s="1"/>
  <c r="P38" i="42" s="1"/>
  <c r="S37" i="19"/>
  <c r="T37" i="19" s="1"/>
  <c r="P37" i="42" s="1"/>
  <c r="S36" i="19"/>
  <c r="T36" i="19" s="1"/>
  <c r="P36" i="42" s="1"/>
  <c r="S35" i="19"/>
  <c r="T35" i="19" s="1"/>
  <c r="P35" i="42" s="1"/>
  <c r="S34" i="19"/>
  <c r="T34" i="19" s="1"/>
  <c r="P34" i="42" s="1"/>
  <c r="S33" i="19"/>
  <c r="T33" i="19" s="1"/>
  <c r="P33" i="42" s="1"/>
  <c r="S32" i="19"/>
  <c r="T32" i="19" s="1"/>
  <c r="P32" i="42" s="1"/>
  <c r="S31" i="19"/>
  <c r="T31" i="19" s="1"/>
  <c r="P31" i="42" s="1"/>
  <c r="S30" i="19"/>
  <c r="T30" i="19" s="1"/>
  <c r="P30" i="42" s="1"/>
  <c r="S29" i="19"/>
  <c r="T29" i="19" s="1"/>
  <c r="P29" i="42" s="1"/>
  <c r="S28" i="19"/>
  <c r="T28" i="19" s="1"/>
  <c r="P28" i="42" s="1"/>
  <c r="S27" i="19"/>
  <c r="T27" i="19" s="1"/>
  <c r="P27" i="42" s="1"/>
  <c r="S26" i="19"/>
  <c r="T26" i="19" s="1"/>
  <c r="P26" i="42" s="1"/>
  <c r="S25" i="19"/>
  <c r="T25" i="19" s="1"/>
  <c r="P25" i="42" s="1"/>
  <c r="S24" i="19"/>
  <c r="T24" i="19" s="1"/>
  <c r="P24" i="42" s="1"/>
  <c r="S23" i="19"/>
  <c r="T23" i="19" s="1"/>
  <c r="P23" i="42" s="1"/>
  <c r="S22" i="19"/>
  <c r="T22" i="19" s="1"/>
  <c r="P22" i="42" s="1"/>
  <c r="S21" i="19"/>
  <c r="T21" i="19" s="1"/>
  <c r="P21" i="42" s="1"/>
  <c r="S20" i="19"/>
  <c r="T20" i="19" s="1"/>
  <c r="P20" i="42" s="1"/>
  <c r="S19" i="19"/>
  <c r="T19" i="19" s="1"/>
  <c r="P19" i="42" s="1"/>
  <c r="S18" i="19"/>
  <c r="T18" i="19" s="1"/>
  <c r="P18" i="42" s="1"/>
  <c r="S17" i="19"/>
  <c r="T17" i="19" s="1"/>
  <c r="P17" i="42" s="1"/>
  <c r="S16" i="19"/>
  <c r="T16" i="19" s="1"/>
  <c r="P16" i="42" s="1"/>
  <c r="S15" i="19"/>
  <c r="T15" i="19" s="1"/>
  <c r="P15" i="42" s="1"/>
  <c r="S14" i="19"/>
  <c r="T14" i="19" s="1"/>
  <c r="P14" i="42" s="1"/>
  <c r="S13" i="19"/>
  <c r="T13" i="19" s="1"/>
  <c r="P13" i="42" s="1"/>
  <c r="S12" i="19"/>
  <c r="T12" i="19" s="1"/>
  <c r="P12" i="42" s="1"/>
  <c r="S11" i="19"/>
  <c r="T11" i="19" s="1"/>
  <c r="P11" i="42" s="1"/>
  <c r="S10" i="19"/>
  <c r="T10" i="19" s="1"/>
  <c r="P10" i="42" s="1"/>
  <c r="S9" i="19"/>
  <c r="T9" i="19" s="1"/>
  <c r="P9" i="42" s="1"/>
  <c r="S8" i="19"/>
  <c r="T8" i="19" s="1"/>
  <c r="P8" i="42" s="1"/>
  <c r="S7" i="19"/>
  <c r="T7" i="19" s="1"/>
  <c r="P7" i="42" s="1"/>
  <c r="S50" i="24"/>
  <c r="T50" i="24" s="1"/>
  <c r="S49" i="24"/>
  <c r="T49" i="24" s="1"/>
  <c r="S48" i="24"/>
  <c r="T48" i="24" s="1"/>
  <c r="S47" i="24"/>
  <c r="T47" i="24" s="1"/>
  <c r="S46" i="24"/>
  <c r="T46" i="24" s="1"/>
  <c r="S45" i="24"/>
  <c r="T45" i="24" s="1"/>
  <c r="N45" i="42" s="1"/>
  <c r="S44" i="24"/>
  <c r="T44" i="24" s="1"/>
  <c r="N44" i="42" s="1"/>
  <c r="S43" i="24"/>
  <c r="T43" i="24" s="1"/>
  <c r="N43" i="42" s="1"/>
  <c r="S42" i="24"/>
  <c r="T42" i="24" s="1"/>
  <c r="N42" i="42" s="1"/>
  <c r="S41" i="24"/>
  <c r="T41" i="24" s="1"/>
  <c r="N41" i="42" s="1"/>
  <c r="S40" i="24"/>
  <c r="T40" i="24" s="1"/>
  <c r="N40" i="42" s="1"/>
  <c r="S39" i="24"/>
  <c r="T39" i="24" s="1"/>
  <c r="N39" i="42" s="1"/>
  <c r="S38" i="24"/>
  <c r="T38" i="24" s="1"/>
  <c r="N38" i="42" s="1"/>
  <c r="S37" i="24"/>
  <c r="T37" i="24" s="1"/>
  <c r="N37" i="42" s="1"/>
  <c r="S36" i="24"/>
  <c r="T36" i="24" s="1"/>
  <c r="N36" i="42" s="1"/>
  <c r="S35" i="24"/>
  <c r="T35" i="24" s="1"/>
  <c r="N35" i="42" s="1"/>
  <c r="S34" i="24"/>
  <c r="T34" i="24" s="1"/>
  <c r="N34" i="42" s="1"/>
  <c r="S33" i="24"/>
  <c r="T33" i="24" s="1"/>
  <c r="N33" i="42" s="1"/>
  <c r="S32" i="24"/>
  <c r="T32" i="24" s="1"/>
  <c r="N32" i="42" s="1"/>
  <c r="S31" i="24"/>
  <c r="T31" i="24" s="1"/>
  <c r="N31" i="42" s="1"/>
  <c r="S30" i="24"/>
  <c r="T30" i="24" s="1"/>
  <c r="N30" i="42" s="1"/>
  <c r="S29" i="24"/>
  <c r="T29" i="24" s="1"/>
  <c r="N29" i="42" s="1"/>
  <c r="S28" i="24"/>
  <c r="T28" i="24" s="1"/>
  <c r="N28" i="42" s="1"/>
  <c r="S27" i="24"/>
  <c r="T27" i="24" s="1"/>
  <c r="N27" i="42" s="1"/>
  <c r="S26" i="24"/>
  <c r="T26" i="24" s="1"/>
  <c r="N26" i="42" s="1"/>
  <c r="S25" i="24"/>
  <c r="T25" i="24" s="1"/>
  <c r="N25" i="42" s="1"/>
  <c r="S24" i="24"/>
  <c r="T24" i="24" s="1"/>
  <c r="N24" i="42" s="1"/>
  <c r="S23" i="24"/>
  <c r="T23" i="24" s="1"/>
  <c r="N23" i="42" s="1"/>
  <c r="S22" i="24"/>
  <c r="T22" i="24" s="1"/>
  <c r="N22" i="42" s="1"/>
  <c r="S21" i="24"/>
  <c r="T21" i="24" s="1"/>
  <c r="N21" i="42" s="1"/>
  <c r="S20" i="24"/>
  <c r="T20" i="24" s="1"/>
  <c r="N20" i="42" s="1"/>
  <c r="S19" i="24"/>
  <c r="T19" i="24" s="1"/>
  <c r="N19" i="42" s="1"/>
  <c r="S18" i="24"/>
  <c r="T18" i="24" s="1"/>
  <c r="N18" i="42" s="1"/>
  <c r="S17" i="24"/>
  <c r="T17" i="24" s="1"/>
  <c r="N17" i="42" s="1"/>
  <c r="S16" i="24"/>
  <c r="T16" i="24" s="1"/>
  <c r="N16" i="42" s="1"/>
  <c r="S15" i="24"/>
  <c r="T15" i="24" s="1"/>
  <c r="N15" i="42" s="1"/>
  <c r="S14" i="24"/>
  <c r="T14" i="24" s="1"/>
  <c r="N14" i="42" s="1"/>
  <c r="S13" i="24"/>
  <c r="T13" i="24" s="1"/>
  <c r="N13" i="42" s="1"/>
  <c r="S12" i="24"/>
  <c r="T12" i="24" s="1"/>
  <c r="N12" i="42" s="1"/>
  <c r="S11" i="24"/>
  <c r="T11" i="24" s="1"/>
  <c r="N11" i="42" s="1"/>
  <c r="S10" i="24"/>
  <c r="T10" i="24" s="1"/>
  <c r="N10" i="42" s="1"/>
  <c r="S9" i="24"/>
  <c r="T9" i="24" s="1"/>
  <c r="N9" i="42" s="1"/>
  <c r="S8" i="24"/>
  <c r="T8" i="24" s="1"/>
  <c r="N8" i="42" s="1"/>
  <c r="S7" i="24"/>
  <c r="T7" i="24" s="1"/>
  <c r="N7" i="42" s="1"/>
  <c r="S50" i="23"/>
  <c r="T50" i="23" s="1"/>
  <c r="S49" i="23"/>
  <c r="T49" i="23" s="1"/>
  <c r="S48" i="23"/>
  <c r="T48" i="23" s="1"/>
  <c r="S47" i="23"/>
  <c r="T47" i="23" s="1"/>
  <c r="S46" i="23"/>
  <c r="T46" i="23" s="1"/>
  <c r="S45" i="23"/>
  <c r="T45" i="23" s="1"/>
  <c r="L45" i="42" s="1"/>
  <c r="S44" i="23"/>
  <c r="T44" i="23" s="1"/>
  <c r="L44" i="42" s="1"/>
  <c r="S43" i="23"/>
  <c r="T43" i="23" s="1"/>
  <c r="L43" i="42" s="1"/>
  <c r="S42" i="23"/>
  <c r="T42" i="23" s="1"/>
  <c r="L42" i="42" s="1"/>
  <c r="S41" i="23"/>
  <c r="T41" i="23" s="1"/>
  <c r="L41" i="42" s="1"/>
  <c r="S40" i="23"/>
  <c r="T40" i="23" s="1"/>
  <c r="L40" i="42" s="1"/>
  <c r="S39" i="23"/>
  <c r="T39" i="23" s="1"/>
  <c r="L39" i="42" s="1"/>
  <c r="S38" i="23"/>
  <c r="T38" i="23" s="1"/>
  <c r="L38" i="42" s="1"/>
  <c r="S37" i="23"/>
  <c r="T37" i="23" s="1"/>
  <c r="L37" i="42" s="1"/>
  <c r="S36" i="23"/>
  <c r="T36" i="23" s="1"/>
  <c r="L36" i="42" s="1"/>
  <c r="S35" i="23"/>
  <c r="T35" i="23" s="1"/>
  <c r="L35" i="42" s="1"/>
  <c r="S34" i="23"/>
  <c r="T34" i="23" s="1"/>
  <c r="L34" i="42" s="1"/>
  <c r="S33" i="23"/>
  <c r="T33" i="23" s="1"/>
  <c r="L33" i="42" s="1"/>
  <c r="S32" i="23"/>
  <c r="T32" i="23" s="1"/>
  <c r="L32" i="42" s="1"/>
  <c r="S31" i="23"/>
  <c r="T31" i="23" s="1"/>
  <c r="L31" i="42" s="1"/>
  <c r="S30" i="23"/>
  <c r="T30" i="23" s="1"/>
  <c r="L30" i="42" s="1"/>
  <c r="S29" i="23"/>
  <c r="T29" i="23" s="1"/>
  <c r="L29" i="42" s="1"/>
  <c r="S28" i="23"/>
  <c r="T28" i="23" s="1"/>
  <c r="L28" i="42" s="1"/>
  <c r="S27" i="23"/>
  <c r="T27" i="23" s="1"/>
  <c r="L27" i="42" s="1"/>
  <c r="S26" i="23"/>
  <c r="T26" i="23" s="1"/>
  <c r="L26" i="42" s="1"/>
  <c r="S25" i="23"/>
  <c r="T25" i="23" s="1"/>
  <c r="L25" i="42" s="1"/>
  <c r="S24" i="23"/>
  <c r="T24" i="23" s="1"/>
  <c r="L24" i="42" s="1"/>
  <c r="S23" i="23"/>
  <c r="T23" i="23" s="1"/>
  <c r="L23" i="42" s="1"/>
  <c r="S22" i="23"/>
  <c r="T22" i="23" s="1"/>
  <c r="L22" i="42" s="1"/>
  <c r="S21" i="23"/>
  <c r="T21" i="23" s="1"/>
  <c r="L21" i="42" s="1"/>
  <c r="S20" i="23"/>
  <c r="T20" i="23" s="1"/>
  <c r="L20" i="42" s="1"/>
  <c r="S19" i="23"/>
  <c r="T19" i="23" s="1"/>
  <c r="L19" i="42" s="1"/>
  <c r="S18" i="23"/>
  <c r="T18" i="23" s="1"/>
  <c r="L18" i="42" s="1"/>
  <c r="S17" i="23"/>
  <c r="T17" i="23" s="1"/>
  <c r="L17" i="42" s="1"/>
  <c r="S16" i="23"/>
  <c r="T16" i="23" s="1"/>
  <c r="L16" i="42" s="1"/>
  <c r="S15" i="23"/>
  <c r="T15" i="23" s="1"/>
  <c r="L15" i="42" s="1"/>
  <c r="S14" i="23"/>
  <c r="T14" i="23" s="1"/>
  <c r="L14" i="42" s="1"/>
  <c r="S13" i="23"/>
  <c r="T13" i="23" s="1"/>
  <c r="L13" i="42" s="1"/>
  <c r="S12" i="23"/>
  <c r="T12" i="23" s="1"/>
  <c r="L12" i="42" s="1"/>
  <c r="S11" i="23"/>
  <c r="T11" i="23" s="1"/>
  <c r="L11" i="42" s="1"/>
  <c r="S10" i="23"/>
  <c r="T10" i="23" s="1"/>
  <c r="L10" i="42" s="1"/>
  <c r="S9" i="23"/>
  <c r="T9" i="23" s="1"/>
  <c r="L9" i="42" s="1"/>
  <c r="S8" i="23"/>
  <c r="T8" i="23" s="1"/>
  <c r="L8" i="42" s="1"/>
  <c r="S7" i="23"/>
  <c r="T7" i="23" s="1"/>
  <c r="L7" i="42" s="1"/>
  <c r="S50" i="22"/>
  <c r="T50" i="22" s="1"/>
  <c r="S49" i="22"/>
  <c r="T49" i="22" s="1"/>
  <c r="S48" i="22"/>
  <c r="T48" i="22" s="1"/>
  <c r="S47" i="22"/>
  <c r="T47" i="22" s="1"/>
  <c r="S46" i="22"/>
  <c r="T46" i="22" s="1"/>
  <c r="S45" i="22"/>
  <c r="T45" i="22" s="1"/>
  <c r="J45" i="42" s="1"/>
  <c r="S44" i="22"/>
  <c r="T44" i="22" s="1"/>
  <c r="J44" i="42" s="1"/>
  <c r="S43" i="22"/>
  <c r="T43" i="22" s="1"/>
  <c r="J43" i="42" s="1"/>
  <c r="S42" i="22"/>
  <c r="T42" i="22" s="1"/>
  <c r="J42" i="42" s="1"/>
  <c r="S41" i="22"/>
  <c r="T41" i="22" s="1"/>
  <c r="J41" i="42" s="1"/>
  <c r="S40" i="22"/>
  <c r="T40" i="22" s="1"/>
  <c r="J40" i="42" s="1"/>
  <c r="S39" i="22"/>
  <c r="T39" i="22" s="1"/>
  <c r="J39" i="42" s="1"/>
  <c r="S38" i="22"/>
  <c r="T38" i="22" s="1"/>
  <c r="J38" i="42" s="1"/>
  <c r="S37" i="22"/>
  <c r="T37" i="22" s="1"/>
  <c r="J37" i="42" s="1"/>
  <c r="S36" i="22"/>
  <c r="T36" i="22" s="1"/>
  <c r="J36" i="42" s="1"/>
  <c r="S35" i="22"/>
  <c r="T35" i="22" s="1"/>
  <c r="J35" i="42" s="1"/>
  <c r="S34" i="22"/>
  <c r="T34" i="22" s="1"/>
  <c r="J34" i="42" s="1"/>
  <c r="S33" i="22"/>
  <c r="T33" i="22" s="1"/>
  <c r="J33" i="42" s="1"/>
  <c r="S32" i="22"/>
  <c r="T32" i="22" s="1"/>
  <c r="J32" i="42" s="1"/>
  <c r="S31" i="22"/>
  <c r="T31" i="22" s="1"/>
  <c r="J31" i="42" s="1"/>
  <c r="S30" i="22"/>
  <c r="T30" i="22" s="1"/>
  <c r="J30" i="42" s="1"/>
  <c r="S29" i="22"/>
  <c r="T29" i="22" s="1"/>
  <c r="J29" i="42" s="1"/>
  <c r="S28" i="22"/>
  <c r="T28" i="22" s="1"/>
  <c r="J28" i="42" s="1"/>
  <c r="S27" i="22"/>
  <c r="T27" i="22" s="1"/>
  <c r="J27" i="42" s="1"/>
  <c r="S26" i="22"/>
  <c r="T26" i="22" s="1"/>
  <c r="J26" i="42" s="1"/>
  <c r="S25" i="22"/>
  <c r="T25" i="22" s="1"/>
  <c r="J25" i="42" s="1"/>
  <c r="S24" i="22"/>
  <c r="T24" i="22" s="1"/>
  <c r="J24" i="42" s="1"/>
  <c r="S23" i="22"/>
  <c r="T23" i="22" s="1"/>
  <c r="J23" i="42" s="1"/>
  <c r="S22" i="22"/>
  <c r="T22" i="22" s="1"/>
  <c r="J22" i="42" s="1"/>
  <c r="S21" i="22"/>
  <c r="T21" i="22" s="1"/>
  <c r="J21" i="42" s="1"/>
  <c r="S20" i="22"/>
  <c r="T20" i="22" s="1"/>
  <c r="J20" i="42" s="1"/>
  <c r="S19" i="22"/>
  <c r="T19" i="22" s="1"/>
  <c r="J19" i="42" s="1"/>
  <c r="S18" i="22"/>
  <c r="T18" i="22" s="1"/>
  <c r="J18" i="42" s="1"/>
  <c r="S17" i="22"/>
  <c r="T17" i="22" s="1"/>
  <c r="J17" i="42" s="1"/>
  <c r="S16" i="22"/>
  <c r="T16" i="22" s="1"/>
  <c r="J16" i="42" s="1"/>
  <c r="S15" i="22"/>
  <c r="T15" i="22" s="1"/>
  <c r="J15" i="42" s="1"/>
  <c r="S14" i="22"/>
  <c r="T14" i="22" s="1"/>
  <c r="J14" i="42" s="1"/>
  <c r="S13" i="22"/>
  <c r="T13" i="22" s="1"/>
  <c r="J13" i="42" s="1"/>
  <c r="S12" i="22"/>
  <c r="T12" i="22" s="1"/>
  <c r="J12" i="42" s="1"/>
  <c r="S11" i="22"/>
  <c r="T11" i="22" s="1"/>
  <c r="J11" i="42" s="1"/>
  <c r="S10" i="22"/>
  <c r="T10" i="22" s="1"/>
  <c r="J10" i="42" s="1"/>
  <c r="S9" i="22"/>
  <c r="T9" i="22" s="1"/>
  <c r="J9" i="42" s="1"/>
  <c r="S8" i="22"/>
  <c r="T8" i="22" s="1"/>
  <c r="J8" i="42" s="1"/>
  <c r="S7" i="22"/>
  <c r="T7" i="22" s="1"/>
  <c r="J7" i="42" s="1"/>
  <c r="S50" i="18"/>
  <c r="T50" i="18" s="1"/>
  <c r="S49" i="18"/>
  <c r="T49" i="18" s="1"/>
  <c r="S48" i="18"/>
  <c r="T48" i="18" s="1"/>
  <c r="S47" i="18"/>
  <c r="T47" i="18" s="1"/>
  <c r="S46" i="18"/>
  <c r="T46" i="18" s="1"/>
  <c r="S45" i="18"/>
  <c r="T45" i="18" s="1"/>
  <c r="H45" i="42" s="1"/>
  <c r="S44" i="18"/>
  <c r="T44" i="18" s="1"/>
  <c r="H44" i="42" s="1"/>
  <c r="S43" i="18"/>
  <c r="T43" i="18" s="1"/>
  <c r="H43" i="42" s="1"/>
  <c r="S42" i="18"/>
  <c r="T42" i="18" s="1"/>
  <c r="H42" i="42" s="1"/>
  <c r="S41" i="18"/>
  <c r="T41" i="18" s="1"/>
  <c r="H41" i="42" s="1"/>
  <c r="S40" i="18"/>
  <c r="T40" i="18" s="1"/>
  <c r="H40" i="42" s="1"/>
  <c r="S39" i="18"/>
  <c r="T39" i="18" s="1"/>
  <c r="H39" i="42" s="1"/>
  <c r="S38" i="18"/>
  <c r="T38" i="18" s="1"/>
  <c r="H38" i="42" s="1"/>
  <c r="S37" i="18"/>
  <c r="T37" i="18" s="1"/>
  <c r="H37" i="42" s="1"/>
  <c r="S36" i="18"/>
  <c r="T36" i="18" s="1"/>
  <c r="H36" i="42" s="1"/>
  <c r="S35" i="18"/>
  <c r="T35" i="18" s="1"/>
  <c r="H35" i="42" s="1"/>
  <c r="S34" i="18"/>
  <c r="T34" i="18" s="1"/>
  <c r="H34" i="42" s="1"/>
  <c r="S33" i="18"/>
  <c r="T33" i="18" s="1"/>
  <c r="H33" i="42" s="1"/>
  <c r="S32" i="18"/>
  <c r="T32" i="18" s="1"/>
  <c r="H32" i="42" s="1"/>
  <c r="S31" i="18"/>
  <c r="T31" i="18" s="1"/>
  <c r="H31" i="42" s="1"/>
  <c r="S30" i="18"/>
  <c r="T30" i="18" s="1"/>
  <c r="H30" i="42" s="1"/>
  <c r="S29" i="18"/>
  <c r="T29" i="18" s="1"/>
  <c r="H29" i="42" s="1"/>
  <c r="S28" i="18"/>
  <c r="T28" i="18" s="1"/>
  <c r="H28" i="42" s="1"/>
  <c r="S27" i="18"/>
  <c r="T27" i="18" s="1"/>
  <c r="H27" i="42" s="1"/>
  <c r="S26" i="18"/>
  <c r="T26" i="18" s="1"/>
  <c r="H26" i="42" s="1"/>
  <c r="S25" i="18"/>
  <c r="T25" i="18" s="1"/>
  <c r="H25" i="42" s="1"/>
  <c r="S24" i="18"/>
  <c r="T24" i="18" s="1"/>
  <c r="H24" i="42" s="1"/>
  <c r="S23" i="18"/>
  <c r="T23" i="18" s="1"/>
  <c r="H23" i="42" s="1"/>
  <c r="S22" i="18"/>
  <c r="T22" i="18" s="1"/>
  <c r="H22" i="42" s="1"/>
  <c r="S21" i="18"/>
  <c r="T21" i="18" s="1"/>
  <c r="H21" i="42" s="1"/>
  <c r="S20" i="18"/>
  <c r="T20" i="18" s="1"/>
  <c r="H20" i="42" s="1"/>
  <c r="S19" i="18"/>
  <c r="T19" i="18" s="1"/>
  <c r="H19" i="42" s="1"/>
  <c r="S18" i="18"/>
  <c r="T18" i="18" s="1"/>
  <c r="H18" i="42" s="1"/>
  <c r="S17" i="18"/>
  <c r="T17" i="18" s="1"/>
  <c r="H17" i="42" s="1"/>
  <c r="S16" i="18"/>
  <c r="T16" i="18" s="1"/>
  <c r="H16" i="42" s="1"/>
  <c r="S15" i="18"/>
  <c r="T15" i="18" s="1"/>
  <c r="H15" i="42" s="1"/>
  <c r="S14" i="18"/>
  <c r="T14" i="18" s="1"/>
  <c r="H14" i="42" s="1"/>
  <c r="S13" i="18"/>
  <c r="T13" i="18" s="1"/>
  <c r="H13" i="42" s="1"/>
  <c r="S12" i="18"/>
  <c r="T12" i="18" s="1"/>
  <c r="H12" i="42" s="1"/>
  <c r="S11" i="18"/>
  <c r="T11" i="18" s="1"/>
  <c r="H11" i="42" s="1"/>
  <c r="S10" i="18"/>
  <c r="T10" i="18" s="1"/>
  <c r="H10" i="42" s="1"/>
  <c r="S9" i="18"/>
  <c r="T9" i="18" s="1"/>
  <c r="H9" i="42" s="1"/>
  <c r="S8" i="18"/>
  <c r="T8" i="18" s="1"/>
  <c r="H8" i="42" s="1"/>
  <c r="S7" i="18"/>
  <c r="T7" i="18" s="1"/>
  <c r="H7" i="42" s="1"/>
  <c r="S50" i="20"/>
  <c r="T50" i="20" s="1"/>
  <c r="S49" i="20"/>
  <c r="T49" i="20" s="1"/>
  <c r="S48" i="20"/>
  <c r="T48" i="20" s="1"/>
  <c r="S47" i="20"/>
  <c r="T47" i="20" s="1"/>
  <c r="S46" i="20"/>
  <c r="T46" i="20" s="1"/>
  <c r="S45" i="20"/>
  <c r="T45" i="20" s="1"/>
  <c r="D45" i="42" s="1"/>
  <c r="S44" i="20"/>
  <c r="T44" i="20" s="1"/>
  <c r="D44" i="42" s="1"/>
  <c r="S43" i="20"/>
  <c r="T43" i="20" s="1"/>
  <c r="D43" i="42" s="1"/>
  <c r="S42" i="20"/>
  <c r="T42" i="20" s="1"/>
  <c r="D42" i="42" s="1"/>
  <c r="S41" i="20"/>
  <c r="T41" i="20" s="1"/>
  <c r="D41" i="42" s="1"/>
  <c r="S40" i="20"/>
  <c r="T40" i="20" s="1"/>
  <c r="D40" i="42" s="1"/>
  <c r="S39" i="20"/>
  <c r="T39" i="20" s="1"/>
  <c r="D39" i="42" s="1"/>
  <c r="S38" i="20"/>
  <c r="T38" i="20" s="1"/>
  <c r="D38" i="42" s="1"/>
  <c r="S37" i="20"/>
  <c r="T37" i="20" s="1"/>
  <c r="D37" i="42" s="1"/>
  <c r="S36" i="20"/>
  <c r="T36" i="20" s="1"/>
  <c r="D36" i="42" s="1"/>
  <c r="S35" i="20"/>
  <c r="T35" i="20" s="1"/>
  <c r="D35" i="42" s="1"/>
  <c r="S34" i="20"/>
  <c r="T34" i="20" s="1"/>
  <c r="D34" i="42" s="1"/>
  <c r="S33" i="20"/>
  <c r="T33" i="20" s="1"/>
  <c r="D33" i="42" s="1"/>
  <c r="S32" i="20"/>
  <c r="T32" i="20" s="1"/>
  <c r="D32" i="42" s="1"/>
  <c r="S31" i="20"/>
  <c r="T31" i="20" s="1"/>
  <c r="D31" i="42" s="1"/>
  <c r="S30" i="20"/>
  <c r="T30" i="20" s="1"/>
  <c r="D30" i="42" s="1"/>
  <c r="S29" i="20"/>
  <c r="T29" i="20" s="1"/>
  <c r="D29" i="42" s="1"/>
  <c r="S28" i="20"/>
  <c r="T28" i="20" s="1"/>
  <c r="D28" i="42" s="1"/>
  <c r="S27" i="20"/>
  <c r="T27" i="20" s="1"/>
  <c r="D27" i="42" s="1"/>
  <c r="S26" i="20"/>
  <c r="T26" i="20" s="1"/>
  <c r="D26" i="42" s="1"/>
  <c r="S25" i="20"/>
  <c r="T25" i="20" s="1"/>
  <c r="D25" i="42" s="1"/>
  <c r="S24" i="20"/>
  <c r="T24" i="20" s="1"/>
  <c r="D24" i="42" s="1"/>
  <c r="S23" i="20"/>
  <c r="T23" i="20" s="1"/>
  <c r="D23" i="42" s="1"/>
  <c r="S22" i="20"/>
  <c r="T22" i="20" s="1"/>
  <c r="D22" i="42" s="1"/>
  <c r="S21" i="20"/>
  <c r="T21" i="20" s="1"/>
  <c r="D21" i="42" s="1"/>
  <c r="S20" i="20"/>
  <c r="T20" i="20" s="1"/>
  <c r="D20" i="42" s="1"/>
  <c r="S19" i="20"/>
  <c r="T19" i="20" s="1"/>
  <c r="D19" i="42" s="1"/>
  <c r="S18" i="20"/>
  <c r="T18" i="20" s="1"/>
  <c r="D18" i="42" s="1"/>
  <c r="S17" i="20"/>
  <c r="T17" i="20" s="1"/>
  <c r="D17" i="42" s="1"/>
  <c r="S16" i="20"/>
  <c r="T16" i="20" s="1"/>
  <c r="D16" i="42" s="1"/>
  <c r="S15" i="20"/>
  <c r="T15" i="20" s="1"/>
  <c r="D15" i="42" s="1"/>
  <c r="S14" i="20"/>
  <c r="T14" i="20" s="1"/>
  <c r="D14" i="42" s="1"/>
  <c r="S13" i="20"/>
  <c r="T13" i="20" s="1"/>
  <c r="D13" i="42" s="1"/>
  <c r="S12" i="20"/>
  <c r="T12" i="20" s="1"/>
  <c r="D12" i="42" s="1"/>
  <c r="S11" i="20"/>
  <c r="T11" i="20" s="1"/>
  <c r="D11" i="42" s="1"/>
  <c r="S10" i="20"/>
  <c r="T10" i="20" s="1"/>
  <c r="D10" i="42" s="1"/>
  <c r="S9" i="20"/>
  <c r="T9" i="20" s="1"/>
  <c r="D9" i="42" s="1"/>
  <c r="S8" i="20"/>
  <c r="T8" i="20" s="1"/>
  <c r="D8" i="42" s="1"/>
  <c r="S7" i="20"/>
  <c r="T7" i="20" s="1"/>
  <c r="D7" i="42" s="1"/>
  <c r="S50" i="27"/>
  <c r="T50" i="27" s="1"/>
  <c r="S49" i="27"/>
  <c r="T49" i="27" s="1"/>
  <c r="S48" i="27"/>
  <c r="T48" i="27" s="1"/>
  <c r="S47" i="27"/>
  <c r="T47" i="27" s="1"/>
  <c r="S46" i="27"/>
  <c r="T46" i="27" s="1"/>
  <c r="S45" i="27"/>
  <c r="T45" i="27" s="1"/>
  <c r="B45" i="42" s="1"/>
  <c r="S44" i="27"/>
  <c r="T44" i="27" s="1"/>
  <c r="B44" i="42" s="1"/>
  <c r="S43" i="27"/>
  <c r="T43" i="27" s="1"/>
  <c r="B43" i="42" s="1"/>
  <c r="S42" i="27"/>
  <c r="T42" i="27" s="1"/>
  <c r="B42" i="42" s="1"/>
  <c r="S41" i="27"/>
  <c r="T41" i="27" s="1"/>
  <c r="B41" i="42" s="1"/>
  <c r="S40" i="27"/>
  <c r="T40" i="27" s="1"/>
  <c r="B40" i="42" s="1"/>
  <c r="S39" i="27"/>
  <c r="T39" i="27" s="1"/>
  <c r="B39" i="42" s="1"/>
  <c r="S38" i="27"/>
  <c r="T38" i="27" s="1"/>
  <c r="B38" i="42" s="1"/>
  <c r="S37" i="27"/>
  <c r="T37" i="27" s="1"/>
  <c r="B37" i="42" s="1"/>
  <c r="S36" i="27"/>
  <c r="T36" i="27" s="1"/>
  <c r="B36" i="42" s="1"/>
  <c r="S35" i="27"/>
  <c r="T35" i="27" s="1"/>
  <c r="B35" i="42" s="1"/>
  <c r="S34" i="27"/>
  <c r="T34" i="27" s="1"/>
  <c r="B34" i="42" s="1"/>
  <c r="S33" i="27"/>
  <c r="T33" i="27" s="1"/>
  <c r="B33" i="42" s="1"/>
  <c r="S32" i="27"/>
  <c r="T32" i="27" s="1"/>
  <c r="B32" i="42" s="1"/>
  <c r="S31" i="27"/>
  <c r="T31" i="27" s="1"/>
  <c r="B31" i="42" s="1"/>
  <c r="S30" i="27"/>
  <c r="T30" i="27" s="1"/>
  <c r="B30" i="42" s="1"/>
  <c r="S29" i="27"/>
  <c r="T29" i="27" s="1"/>
  <c r="B29" i="42" s="1"/>
  <c r="S28" i="27"/>
  <c r="T28" i="27" s="1"/>
  <c r="B28" i="42" s="1"/>
  <c r="S27" i="27"/>
  <c r="T27" i="27" s="1"/>
  <c r="B27" i="42" s="1"/>
  <c r="S26" i="27"/>
  <c r="T26" i="27" s="1"/>
  <c r="B26" i="42" s="1"/>
  <c r="S25" i="27"/>
  <c r="T25" i="27" s="1"/>
  <c r="B25" i="42" s="1"/>
  <c r="S24" i="27"/>
  <c r="T24" i="27" s="1"/>
  <c r="B24" i="42" s="1"/>
  <c r="S23" i="27"/>
  <c r="T23" i="27" s="1"/>
  <c r="B23" i="42" s="1"/>
  <c r="S22" i="27"/>
  <c r="T22" i="27" s="1"/>
  <c r="B22" i="42" s="1"/>
  <c r="S21" i="27"/>
  <c r="T21" i="27" s="1"/>
  <c r="B21" i="42" s="1"/>
  <c r="S20" i="27"/>
  <c r="T20" i="27" s="1"/>
  <c r="B20" i="42" s="1"/>
  <c r="S19" i="27"/>
  <c r="T19" i="27" s="1"/>
  <c r="B19" i="42" s="1"/>
  <c r="S18" i="27"/>
  <c r="T18" i="27" s="1"/>
  <c r="B18" i="42" s="1"/>
  <c r="S17" i="27"/>
  <c r="T17" i="27" s="1"/>
  <c r="B17" i="42" s="1"/>
  <c r="S16" i="27"/>
  <c r="T16" i="27" s="1"/>
  <c r="B16" i="42" s="1"/>
  <c r="S15" i="27"/>
  <c r="T15" i="27" s="1"/>
  <c r="B15" i="42" s="1"/>
  <c r="S14" i="27"/>
  <c r="T14" i="27" s="1"/>
  <c r="B14" i="42" s="1"/>
  <c r="S13" i="27"/>
  <c r="T13" i="27" s="1"/>
  <c r="B13" i="42" s="1"/>
  <c r="S12" i="27"/>
  <c r="T12" i="27" s="1"/>
  <c r="B12" i="42" s="1"/>
  <c r="S11" i="27"/>
  <c r="T11" i="27" s="1"/>
  <c r="B11" i="42" s="1"/>
  <c r="S10" i="27"/>
  <c r="T10" i="27" s="1"/>
  <c r="B10" i="42" s="1"/>
  <c r="S9" i="27"/>
  <c r="T9" i="27" s="1"/>
  <c r="B9" i="42" s="1"/>
  <c r="S8" i="27"/>
  <c r="T8" i="27" s="1"/>
  <c r="B8" i="42" s="1"/>
  <c r="S7" i="27"/>
  <c r="T7" i="27" s="1"/>
  <c r="B7" i="42" s="1"/>
  <c r="S44" i="21" l="1"/>
  <c r="T44" i="21" s="1"/>
  <c r="F44" i="42" s="1"/>
  <c r="S45" i="21"/>
  <c r="T45" i="21" s="1"/>
  <c r="F45" i="42" s="1"/>
  <c r="S46" i="21"/>
  <c r="T46" i="21" s="1"/>
  <c r="S47" i="21"/>
  <c r="T47" i="21" s="1"/>
  <c r="S48" i="21"/>
  <c r="T48" i="21" s="1"/>
  <c r="S49" i="21"/>
  <c r="T49" i="21" s="1"/>
  <c r="S50" i="21"/>
  <c r="T50" i="21" s="1"/>
  <c r="S8" i="21"/>
  <c r="T8" i="21" s="1"/>
  <c r="F8" i="42" s="1"/>
  <c r="S9" i="21"/>
  <c r="T9" i="21" s="1"/>
  <c r="F9" i="42" s="1"/>
  <c r="S10" i="21"/>
  <c r="T10" i="21" s="1"/>
  <c r="F10" i="42" s="1"/>
  <c r="S11" i="21"/>
  <c r="T11" i="21" s="1"/>
  <c r="F11" i="42" s="1"/>
  <c r="S12" i="21"/>
  <c r="T12" i="21" s="1"/>
  <c r="F12" i="42" s="1"/>
  <c r="S13" i="21"/>
  <c r="T13" i="21" s="1"/>
  <c r="F13" i="42" s="1"/>
  <c r="S14" i="21"/>
  <c r="T14" i="21" s="1"/>
  <c r="F14" i="42" s="1"/>
  <c r="S15" i="21"/>
  <c r="T15" i="21" s="1"/>
  <c r="F15" i="42" s="1"/>
  <c r="S16" i="21"/>
  <c r="T16" i="21" s="1"/>
  <c r="F16" i="42" s="1"/>
  <c r="S17" i="21"/>
  <c r="T17" i="21" s="1"/>
  <c r="F17" i="42" s="1"/>
  <c r="S18" i="21"/>
  <c r="T18" i="21" s="1"/>
  <c r="F18" i="42" s="1"/>
  <c r="S19" i="21"/>
  <c r="T19" i="21" s="1"/>
  <c r="F19" i="42" s="1"/>
  <c r="S20" i="21"/>
  <c r="T20" i="21" s="1"/>
  <c r="F20" i="42" s="1"/>
  <c r="S21" i="21"/>
  <c r="T21" i="21" s="1"/>
  <c r="F21" i="42" s="1"/>
  <c r="S22" i="21"/>
  <c r="T22" i="21" s="1"/>
  <c r="F22" i="42" s="1"/>
  <c r="S23" i="21"/>
  <c r="T23" i="21" s="1"/>
  <c r="F23" i="42" s="1"/>
  <c r="S24" i="21"/>
  <c r="T24" i="21" s="1"/>
  <c r="F24" i="42" s="1"/>
  <c r="S25" i="21"/>
  <c r="T25" i="21" s="1"/>
  <c r="F25" i="42" s="1"/>
  <c r="S26" i="21"/>
  <c r="T26" i="21" s="1"/>
  <c r="F26" i="42" s="1"/>
  <c r="S27" i="21"/>
  <c r="T27" i="21" s="1"/>
  <c r="F27" i="42" s="1"/>
  <c r="S28" i="21"/>
  <c r="T28" i="21" s="1"/>
  <c r="F28" i="42" s="1"/>
  <c r="S29" i="21"/>
  <c r="T29" i="21" s="1"/>
  <c r="F29" i="42" s="1"/>
  <c r="S30" i="21"/>
  <c r="T30" i="21" s="1"/>
  <c r="F30" i="42" s="1"/>
  <c r="S31" i="21"/>
  <c r="T31" i="21" s="1"/>
  <c r="F31" i="42" s="1"/>
  <c r="S32" i="21"/>
  <c r="T32" i="21" s="1"/>
  <c r="F32" i="42" s="1"/>
  <c r="S33" i="21"/>
  <c r="T33" i="21" s="1"/>
  <c r="F33" i="42" s="1"/>
  <c r="S34" i="21"/>
  <c r="T34" i="21" s="1"/>
  <c r="F34" i="42" s="1"/>
  <c r="S35" i="21"/>
  <c r="T35" i="21" s="1"/>
  <c r="F35" i="42" s="1"/>
  <c r="S36" i="21"/>
  <c r="T36" i="21" s="1"/>
  <c r="F36" i="42" s="1"/>
  <c r="S37" i="21"/>
  <c r="T37" i="21" s="1"/>
  <c r="F37" i="42" s="1"/>
  <c r="S38" i="21"/>
  <c r="T38" i="21" s="1"/>
  <c r="F38" i="42" s="1"/>
  <c r="S39" i="21"/>
  <c r="T39" i="21" s="1"/>
  <c r="F39" i="42" s="1"/>
  <c r="S40" i="21"/>
  <c r="T40" i="21" s="1"/>
  <c r="F40" i="42" s="1"/>
  <c r="S41" i="21"/>
  <c r="T41" i="21" s="1"/>
  <c r="F41" i="42" s="1"/>
  <c r="S42" i="21"/>
  <c r="T42" i="21" s="1"/>
  <c r="F42" i="42" s="1"/>
  <c r="S43" i="21"/>
  <c r="T43" i="21" s="1"/>
  <c r="F43" i="42" s="1"/>
  <c r="S7" i="21"/>
  <c r="T7" i="21" s="1"/>
  <c r="F7" i="42" s="1"/>
  <c r="C7" i="40" l="1"/>
  <c r="B7" i="40" s="1"/>
  <c r="C49" i="41"/>
  <c r="B49" i="41" s="1"/>
  <c r="C48" i="41"/>
  <c r="B48" i="41" s="1"/>
  <c r="C47" i="41"/>
  <c r="B47" i="41" s="1"/>
  <c r="C46" i="41"/>
  <c r="C45" i="41"/>
  <c r="C44" i="41"/>
  <c r="C43" i="41"/>
  <c r="B43" i="41" s="1"/>
  <c r="C42" i="41"/>
  <c r="B42" i="41" s="1"/>
  <c r="C41" i="41"/>
  <c r="B41" i="41" s="1"/>
  <c r="C40" i="41"/>
  <c r="B40" i="41" s="1"/>
  <c r="C39" i="41"/>
  <c r="B39" i="41" s="1"/>
  <c r="C38" i="41"/>
  <c r="C37" i="41"/>
  <c r="C36" i="41"/>
  <c r="C35" i="41"/>
  <c r="B35" i="41" s="1"/>
  <c r="C34" i="41"/>
  <c r="B34" i="41" s="1"/>
  <c r="C33" i="41"/>
  <c r="B33" i="41" s="1"/>
  <c r="C32" i="41"/>
  <c r="B32" i="41" s="1"/>
  <c r="C31" i="41"/>
  <c r="B31" i="41" s="1"/>
  <c r="C30" i="41"/>
  <c r="C29" i="41"/>
  <c r="B29" i="41" s="1"/>
  <c r="C28" i="41"/>
  <c r="C27" i="41"/>
  <c r="B27" i="41" s="1"/>
  <c r="C26" i="41"/>
  <c r="B26" i="41" s="1"/>
  <c r="C25" i="41"/>
  <c r="B25" i="41" s="1"/>
  <c r="C24" i="41"/>
  <c r="B24" i="41" s="1"/>
  <c r="C23" i="41"/>
  <c r="B23" i="41" s="1"/>
  <c r="C22" i="41"/>
  <c r="C21" i="41"/>
  <c r="C20" i="41"/>
  <c r="C19" i="41"/>
  <c r="B19" i="41" s="1"/>
  <c r="C18" i="41"/>
  <c r="B18" i="41" s="1"/>
  <c r="C17" i="41"/>
  <c r="B17" i="41" s="1"/>
  <c r="C16" i="41"/>
  <c r="B16" i="41" s="1"/>
  <c r="C15" i="41"/>
  <c r="B15" i="41" s="1"/>
  <c r="C14" i="41"/>
  <c r="C13" i="41"/>
  <c r="C12" i="41"/>
  <c r="B12" i="41" s="1"/>
  <c r="C11" i="41"/>
  <c r="B11" i="41" s="1"/>
  <c r="C10" i="41"/>
  <c r="B10" i="41" s="1"/>
  <c r="C9" i="41"/>
  <c r="B9" i="41" s="1"/>
  <c r="C8" i="41"/>
  <c r="C7" i="41"/>
  <c r="B7" i="41" s="1"/>
  <c r="C50" i="41"/>
  <c r="C49" i="40"/>
  <c r="C48" i="40"/>
  <c r="C47" i="40"/>
  <c r="B47" i="40" s="1"/>
  <c r="C46" i="40"/>
  <c r="B46" i="40" s="1"/>
  <c r="C45" i="40"/>
  <c r="B45" i="40" s="1"/>
  <c r="C44" i="40"/>
  <c r="B44" i="40" s="1"/>
  <c r="C43" i="40"/>
  <c r="B43" i="40" s="1"/>
  <c r="C42" i="40"/>
  <c r="B42" i="40" s="1"/>
  <c r="C41" i="40"/>
  <c r="C40" i="40"/>
  <c r="B40" i="40" s="1"/>
  <c r="C39" i="40"/>
  <c r="B39" i="40" s="1"/>
  <c r="C38" i="40"/>
  <c r="B38" i="40" s="1"/>
  <c r="C37" i="40"/>
  <c r="B37" i="40" s="1"/>
  <c r="C36" i="40"/>
  <c r="B36" i="40" s="1"/>
  <c r="C35" i="40"/>
  <c r="B35" i="40" s="1"/>
  <c r="C34" i="40"/>
  <c r="C33" i="40"/>
  <c r="C32" i="40"/>
  <c r="C31" i="40"/>
  <c r="B31" i="40" s="1"/>
  <c r="C30" i="40"/>
  <c r="B30" i="40" s="1"/>
  <c r="C29" i="40"/>
  <c r="B29" i="40" s="1"/>
  <c r="C28" i="40"/>
  <c r="B28" i="40" s="1"/>
  <c r="C27" i="40"/>
  <c r="B27" i="40" s="1"/>
  <c r="C26" i="40"/>
  <c r="B26" i="40" s="1"/>
  <c r="C25" i="40"/>
  <c r="C24" i="40"/>
  <c r="C23" i="40"/>
  <c r="B23" i="40" s="1"/>
  <c r="C22" i="40"/>
  <c r="B22" i="40" s="1"/>
  <c r="C21" i="40"/>
  <c r="B21" i="40" s="1"/>
  <c r="C20" i="40"/>
  <c r="B20" i="40" s="1"/>
  <c r="C19" i="40"/>
  <c r="B19" i="40" s="1"/>
  <c r="C18" i="40"/>
  <c r="B18" i="40" s="1"/>
  <c r="C17" i="40"/>
  <c r="C16" i="40"/>
  <c r="C15" i="40"/>
  <c r="B15" i="40" s="1"/>
  <c r="C14" i="40"/>
  <c r="B14" i="40" s="1"/>
  <c r="C13" i="40"/>
  <c r="B13" i="40" s="1"/>
  <c r="C12" i="40"/>
  <c r="B12" i="40" s="1"/>
  <c r="C11" i="40"/>
  <c r="B11" i="40" s="1"/>
  <c r="C10" i="40"/>
  <c r="C9" i="40"/>
  <c r="B9" i="40" s="1"/>
  <c r="C8" i="40"/>
  <c r="C50" i="40"/>
  <c r="B50" i="40" s="1"/>
  <c r="C49" i="38"/>
  <c r="B49" i="38" s="1"/>
  <c r="C48" i="38"/>
  <c r="B48" i="38" s="1"/>
  <c r="C47" i="38"/>
  <c r="B47" i="38" s="1"/>
  <c r="C46" i="38"/>
  <c r="B46" i="38" s="1"/>
  <c r="C45" i="38"/>
  <c r="B45" i="38" s="1"/>
  <c r="C44" i="38"/>
  <c r="C43" i="38"/>
  <c r="B43" i="38" s="1"/>
  <c r="C42" i="38"/>
  <c r="B42" i="38" s="1"/>
  <c r="C41" i="38"/>
  <c r="B41" i="38" s="1"/>
  <c r="C40" i="38"/>
  <c r="B40" i="38" s="1"/>
  <c r="C39" i="38"/>
  <c r="B39" i="38" s="1"/>
  <c r="C38" i="38"/>
  <c r="B38" i="38" s="1"/>
  <c r="C37" i="38"/>
  <c r="B37" i="38" s="1"/>
  <c r="C36" i="38"/>
  <c r="C35" i="38"/>
  <c r="B35" i="38" s="1"/>
  <c r="C34" i="38"/>
  <c r="B34" i="38" s="1"/>
  <c r="C33" i="38"/>
  <c r="B33" i="38" s="1"/>
  <c r="C32" i="38"/>
  <c r="B32" i="38" s="1"/>
  <c r="C31" i="38"/>
  <c r="B31" i="38" s="1"/>
  <c r="C30" i="38"/>
  <c r="B30" i="38" s="1"/>
  <c r="C29" i="38"/>
  <c r="B29" i="38" s="1"/>
  <c r="C28" i="38"/>
  <c r="B28" i="38" s="1"/>
  <c r="C27" i="38"/>
  <c r="B27" i="38" s="1"/>
  <c r="C26" i="38"/>
  <c r="B26" i="38" s="1"/>
  <c r="C25" i="38"/>
  <c r="B25" i="38" s="1"/>
  <c r="C24" i="38"/>
  <c r="B24" i="38" s="1"/>
  <c r="C23" i="38"/>
  <c r="B23" i="38" s="1"/>
  <c r="C22" i="38"/>
  <c r="B22" i="38" s="1"/>
  <c r="C21" i="38"/>
  <c r="B21" i="38" s="1"/>
  <c r="C20" i="38"/>
  <c r="B20" i="38" s="1"/>
  <c r="C19" i="38"/>
  <c r="B19" i="38" s="1"/>
  <c r="C18" i="38"/>
  <c r="B18" i="38" s="1"/>
  <c r="C17" i="38"/>
  <c r="B17" i="38" s="1"/>
  <c r="C16" i="38"/>
  <c r="B16" i="38" s="1"/>
  <c r="C15" i="38"/>
  <c r="B15" i="38" s="1"/>
  <c r="C14" i="38"/>
  <c r="B14" i="38" s="1"/>
  <c r="C13" i="38"/>
  <c r="B13" i="38" s="1"/>
  <c r="C12" i="38"/>
  <c r="B12" i="38" s="1"/>
  <c r="C11" i="38"/>
  <c r="B11" i="38" s="1"/>
  <c r="C10" i="38"/>
  <c r="B10" i="38" s="1"/>
  <c r="C9" i="38"/>
  <c r="B9" i="38" s="1"/>
  <c r="C8" i="38"/>
  <c r="B8" i="38" s="1"/>
  <c r="C7" i="38"/>
  <c r="B7" i="38" s="1"/>
  <c r="C50" i="38"/>
  <c r="B50" i="38" s="1"/>
  <c r="C49" i="37"/>
  <c r="B49" i="37" s="1"/>
  <c r="C48" i="37"/>
  <c r="B48" i="37" s="1"/>
  <c r="C47" i="37"/>
  <c r="B47" i="37" s="1"/>
  <c r="C46" i="37"/>
  <c r="B46" i="37" s="1"/>
  <c r="C45" i="37"/>
  <c r="B45" i="37" s="1"/>
  <c r="C44" i="37"/>
  <c r="B44" i="37" s="1"/>
  <c r="C43" i="37"/>
  <c r="B43" i="37" s="1"/>
  <c r="C42" i="37"/>
  <c r="B42" i="37" s="1"/>
  <c r="C41" i="37"/>
  <c r="B41" i="37" s="1"/>
  <c r="C40" i="37"/>
  <c r="B40" i="37" s="1"/>
  <c r="C39" i="37"/>
  <c r="B39" i="37" s="1"/>
  <c r="C38" i="37"/>
  <c r="B38" i="37" s="1"/>
  <c r="C37" i="37"/>
  <c r="B37" i="37" s="1"/>
  <c r="C36" i="37"/>
  <c r="B36" i="37" s="1"/>
  <c r="C35" i="37"/>
  <c r="B35" i="37" s="1"/>
  <c r="C34" i="37"/>
  <c r="B34" i="37" s="1"/>
  <c r="C33" i="37"/>
  <c r="B33" i="37" s="1"/>
  <c r="C32" i="37"/>
  <c r="B32" i="37" s="1"/>
  <c r="C31" i="37"/>
  <c r="B31" i="37" s="1"/>
  <c r="C30" i="37"/>
  <c r="B30" i="37" s="1"/>
  <c r="C29" i="37"/>
  <c r="B29" i="37" s="1"/>
  <c r="C28" i="37"/>
  <c r="B28" i="37" s="1"/>
  <c r="C27" i="37"/>
  <c r="B27" i="37" s="1"/>
  <c r="C26" i="37"/>
  <c r="B26" i="37" s="1"/>
  <c r="C25" i="37"/>
  <c r="C24" i="37"/>
  <c r="B24" i="37" s="1"/>
  <c r="C23" i="37"/>
  <c r="B23" i="37" s="1"/>
  <c r="C22" i="37"/>
  <c r="B22" i="37" s="1"/>
  <c r="C21" i="37"/>
  <c r="B21" i="37" s="1"/>
  <c r="C20" i="37"/>
  <c r="B20" i="37" s="1"/>
  <c r="C19" i="37"/>
  <c r="B19" i="37" s="1"/>
  <c r="C18" i="37"/>
  <c r="B18" i="37" s="1"/>
  <c r="C17" i="37"/>
  <c r="B17" i="37" s="1"/>
  <c r="C16" i="37"/>
  <c r="B16" i="37" s="1"/>
  <c r="C15" i="37"/>
  <c r="B15" i="37" s="1"/>
  <c r="C14" i="37"/>
  <c r="B14" i="37" s="1"/>
  <c r="C13" i="37"/>
  <c r="B13" i="37" s="1"/>
  <c r="C12" i="37"/>
  <c r="B12" i="37" s="1"/>
  <c r="C11" i="37"/>
  <c r="B11" i="37" s="1"/>
  <c r="C10" i="37"/>
  <c r="B10" i="37" s="1"/>
  <c r="C9" i="37"/>
  <c r="B9" i="37" s="1"/>
  <c r="C8" i="37"/>
  <c r="B8" i="37" s="1"/>
  <c r="C7" i="37"/>
  <c r="B7" i="37" s="1"/>
  <c r="C50" i="37"/>
  <c r="B50" i="37" s="1"/>
  <c r="C49" i="36"/>
  <c r="B49" i="36" s="1"/>
  <c r="C48" i="36"/>
  <c r="B48" i="36" s="1"/>
  <c r="C47" i="36"/>
  <c r="B47" i="36" s="1"/>
  <c r="C46" i="36"/>
  <c r="B46" i="36" s="1"/>
  <c r="C45" i="36"/>
  <c r="B45" i="36" s="1"/>
  <c r="C44" i="36"/>
  <c r="B44" i="36" s="1"/>
  <c r="C43" i="36"/>
  <c r="B43" i="36" s="1"/>
  <c r="C42" i="36"/>
  <c r="B42" i="36" s="1"/>
  <c r="C41" i="36"/>
  <c r="B41" i="36" s="1"/>
  <c r="C40" i="36"/>
  <c r="B40" i="36" s="1"/>
  <c r="C39" i="36"/>
  <c r="B39" i="36" s="1"/>
  <c r="C38" i="36"/>
  <c r="B38" i="36" s="1"/>
  <c r="C37" i="36"/>
  <c r="B37" i="36" s="1"/>
  <c r="C36" i="36"/>
  <c r="B36" i="36" s="1"/>
  <c r="C35" i="36"/>
  <c r="B35" i="36" s="1"/>
  <c r="C34" i="36"/>
  <c r="B34" i="36" s="1"/>
  <c r="C33" i="36"/>
  <c r="B33" i="36" s="1"/>
  <c r="C32" i="36"/>
  <c r="B32" i="36" s="1"/>
  <c r="C31" i="36"/>
  <c r="B31" i="36" s="1"/>
  <c r="C30" i="36"/>
  <c r="B30" i="36" s="1"/>
  <c r="C29" i="36"/>
  <c r="B29" i="36" s="1"/>
  <c r="C28" i="36"/>
  <c r="C27" i="36"/>
  <c r="B27" i="36" s="1"/>
  <c r="C26" i="36"/>
  <c r="B26" i="36" s="1"/>
  <c r="C25" i="36"/>
  <c r="B25" i="36" s="1"/>
  <c r="C24" i="36"/>
  <c r="B24" i="36" s="1"/>
  <c r="C23" i="36"/>
  <c r="B23" i="36" s="1"/>
  <c r="C22" i="36"/>
  <c r="B22" i="36" s="1"/>
  <c r="C21" i="36"/>
  <c r="B21" i="36" s="1"/>
  <c r="C20" i="36"/>
  <c r="B20" i="36" s="1"/>
  <c r="C19" i="36"/>
  <c r="B19" i="36" s="1"/>
  <c r="C18" i="36"/>
  <c r="B18" i="36" s="1"/>
  <c r="C17" i="36"/>
  <c r="B17" i="36" s="1"/>
  <c r="C16" i="36"/>
  <c r="B16" i="36" s="1"/>
  <c r="C15" i="36"/>
  <c r="B15" i="36" s="1"/>
  <c r="C14" i="36"/>
  <c r="B14" i="36" s="1"/>
  <c r="C13" i="36"/>
  <c r="B13" i="36" s="1"/>
  <c r="C12" i="36"/>
  <c r="B12" i="36" s="1"/>
  <c r="C11" i="36"/>
  <c r="B11" i="36" s="1"/>
  <c r="C10" i="36"/>
  <c r="B10" i="36" s="1"/>
  <c r="C9" i="36"/>
  <c r="B9" i="36" s="1"/>
  <c r="C8" i="36"/>
  <c r="B8" i="36" s="1"/>
  <c r="C7" i="36"/>
  <c r="B7" i="36" s="1"/>
  <c r="C50" i="36"/>
  <c r="B50" i="36" s="1"/>
  <c r="C49" i="35"/>
  <c r="B49" i="35" s="1"/>
  <c r="C48" i="35"/>
  <c r="B48" i="35" s="1"/>
  <c r="C47" i="35"/>
  <c r="B47" i="35" s="1"/>
  <c r="C46" i="35"/>
  <c r="B46" i="35" s="1"/>
  <c r="C45" i="35"/>
  <c r="B45" i="35" s="1"/>
  <c r="C44" i="35"/>
  <c r="B44" i="35" s="1"/>
  <c r="C43" i="35"/>
  <c r="B43" i="35" s="1"/>
  <c r="C42" i="35"/>
  <c r="B42" i="35" s="1"/>
  <c r="C41" i="35"/>
  <c r="B41" i="35" s="1"/>
  <c r="C40" i="35"/>
  <c r="B40" i="35" s="1"/>
  <c r="C39" i="35"/>
  <c r="B39" i="35" s="1"/>
  <c r="C38" i="35"/>
  <c r="B38" i="35" s="1"/>
  <c r="C37" i="35"/>
  <c r="B37" i="35" s="1"/>
  <c r="C36" i="35"/>
  <c r="B36" i="35" s="1"/>
  <c r="C35" i="35"/>
  <c r="B35" i="35" s="1"/>
  <c r="C34" i="35"/>
  <c r="B34" i="35" s="1"/>
  <c r="C33" i="35"/>
  <c r="B33" i="35" s="1"/>
  <c r="C32" i="35"/>
  <c r="B32" i="35" s="1"/>
  <c r="C31" i="35"/>
  <c r="B31" i="35" s="1"/>
  <c r="C30" i="35"/>
  <c r="B30" i="35" s="1"/>
  <c r="C29" i="35"/>
  <c r="B29" i="35" s="1"/>
  <c r="C28" i="35"/>
  <c r="B28" i="35" s="1"/>
  <c r="C27" i="35"/>
  <c r="B27" i="35" s="1"/>
  <c r="C26" i="35"/>
  <c r="B26" i="35" s="1"/>
  <c r="C25" i="35"/>
  <c r="B25" i="35" s="1"/>
  <c r="C24" i="35"/>
  <c r="B24" i="35" s="1"/>
  <c r="C23" i="35"/>
  <c r="B23" i="35" s="1"/>
  <c r="C22" i="35"/>
  <c r="B22" i="35" s="1"/>
  <c r="C21" i="35"/>
  <c r="B21" i="35" s="1"/>
  <c r="C20" i="35"/>
  <c r="B20" i="35" s="1"/>
  <c r="C19" i="35"/>
  <c r="B19" i="35" s="1"/>
  <c r="C18" i="35"/>
  <c r="B18" i="35" s="1"/>
  <c r="C17" i="35"/>
  <c r="B17" i="35" s="1"/>
  <c r="C16" i="35"/>
  <c r="B16" i="35" s="1"/>
  <c r="C15" i="35"/>
  <c r="B15" i="35" s="1"/>
  <c r="C14" i="35"/>
  <c r="B14" i="35" s="1"/>
  <c r="C13" i="35"/>
  <c r="B13" i="35" s="1"/>
  <c r="C12" i="35"/>
  <c r="B12" i="35" s="1"/>
  <c r="C11" i="35"/>
  <c r="B11" i="35" s="1"/>
  <c r="C10" i="35"/>
  <c r="B10" i="35" s="1"/>
  <c r="C9" i="35"/>
  <c r="B9" i="35" s="1"/>
  <c r="C8" i="35"/>
  <c r="B8" i="35" s="1"/>
  <c r="C7" i="35"/>
  <c r="B7" i="35" s="1"/>
  <c r="C50" i="35"/>
  <c r="B50" i="35" s="1"/>
  <c r="C49" i="34"/>
  <c r="B49" i="34" s="1"/>
  <c r="C48" i="34"/>
  <c r="B48" i="34" s="1"/>
  <c r="C47" i="34"/>
  <c r="B47" i="34" s="1"/>
  <c r="C46" i="34"/>
  <c r="B46" i="34" s="1"/>
  <c r="C45" i="34"/>
  <c r="B45" i="34" s="1"/>
  <c r="C44" i="34"/>
  <c r="B44" i="34" s="1"/>
  <c r="C43" i="34"/>
  <c r="B43" i="34" s="1"/>
  <c r="C42" i="34"/>
  <c r="B42" i="34" s="1"/>
  <c r="C41" i="34"/>
  <c r="B41" i="34" s="1"/>
  <c r="C40" i="34"/>
  <c r="B40" i="34" s="1"/>
  <c r="C39" i="34"/>
  <c r="B39" i="34" s="1"/>
  <c r="C38" i="34"/>
  <c r="B38" i="34" s="1"/>
  <c r="C37" i="34"/>
  <c r="B37" i="34" s="1"/>
  <c r="C36" i="34"/>
  <c r="B36" i="34" s="1"/>
  <c r="C35" i="34"/>
  <c r="B35" i="34" s="1"/>
  <c r="C34" i="34"/>
  <c r="B34" i="34" s="1"/>
  <c r="C33" i="34"/>
  <c r="B33" i="34" s="1"/>
  <c r="C32" i="34"/>
  <c r="B32" i="34" s="1"/>
  <c r="C31" i="34"/>
  <c r="B31" i="34" s="1"/>
  <c r="C30" i="34"/>
  <c r="B30" i="34" s="1"/>
  <c r="C29" i="34"/>
  <c r="B29" i="34" s="1"/>
  <c r="C28" i="34"/>
  <c r="B28" i="34" s="1"/>
  <c r="C27" i="34"/>
  <c r="B27" i="34" s="1"/>
  <c r="C26" i="34"/>
  <c r="B26" i="34" s="1"/>
  <c r="C25" i="34"/>
  <c r="B25" i="34" s="1"/>
  <c r="C24" i="34"/>
  <c r="B24" i="34" s="1"/>
  <c r="C23" i="34"/>
  <c r="B23" i="34" s="1"/>
  <c r="C22" i="34"/>
  <c r="B22" i="34" s="1"/>
  <c r="C21" i="34"/>
  <c r="B21" i="34" s="1"/>
  <c r="C20" i="34"/>
  <c r="B20" i="34" s="1"/>
  <c r="C19" i="34"/>
  <c r="B19" i="34" s="1"/>
  <c r="C18" i="34"/>
  <c r="B18" i="34" s="1"/>
  <c r="C17" i="34"/>
  <c r="B17" i="34" s="1"/>
  <c r="C16" i="34"/>
  <c r="B16" i="34" s="1"/>
  <c r="C15" i="34"/>
  <c r="B15" i="34" s="1"/>
  <c r="C14" i="34"/>
  <c r="B14" i="34" s="1"/>
  <c r="C13" i="34"/>
  <c r="B13" i="34" s="1"/>
  <c r="C12" i="34"/>
  <c r="B12" i="34" s="1"/>
  <c r="C11" i="34"/>
  <c r="B11" i="34" s="1"/>
  <c r="C10" i="34"/>
  <c r="B10" i="34" s="1"/>
  <c r="C9" i="34"/>
  <c r="B9" i="34" s="1"/>
  <c r="C8" i="34"/>
  <c r="B8" i="34" s="1"/>
  <c r="C7" i="34"/>
  <c r="B7" i="34" s="1"/>
  <c r="C50" i="34"/>
  <c r="B50" i="34" s="1"/>
  <c r="C49" i="17"/>
  <c r="B49" i="17" s="1"/>
  <c r="C48" i="17"/>
  <c r="B48" i="17" s="1"/>
  <c r="C47" i="17"/>
  <c r="B47" i="17" s="1"/>
  <c r="C46" i="17"/>
  <c r="B46" i="17" s="1"/>
  <c r="C45" i="17"/>
  <c r="B45" i="17" s="1"/>
  <c r="C44" i="17"/>
  <c r="B44" i="17" s="1"/>
  <c r="C43" i="17"/>
  <c r="B43" i="17" s="1"/>
  <c r="C42" i="17"/>
  <c r="B42" i="17" s="1"/>
  <c r="C41" i="17"/>
  <c r="B41" i="17" s="1"/>
  <c r="C40" i="17"/>
  <c r="B40" i="17" s="1"/>
  <c r="C39" i="17"/>
  <c r="B39" i="17" s="1"/>
  <c r="C38" i="17"/>
  <c r="B38" i="17" s="1"/>
  <c r="C37" i="17"/>
  <c r="B37" i="17" s="1"/>
  <c r="C36" i="17"/>
  <c r="B36" i="17" s="1"/>
  <c r="C35" i="17"/>
  <c r="B35" i="17" s="1"/>
  <c r="C34" i="17"/>
  <c r="B34" i="17" s="1"/>
  <c r="C33" i="17"/>
  <c r="B33" i="17" s="1"/>
  <c r="C32" i="17"/>
  <c r="B32" i="17" s="1"/>
  <c r="C31" i="17"/>
  <c r="B31" i="17" s="1"/>
  <c r="C30" i="17"/>
  <c r="B30" i="17" s="1"/>
  <c r="C29" i="17"/>
  <c r="B29" i="17" s="1"/>
  <c r="C28" i="17"/>
  <c r="B28" i="17" s="1"/>
  <c r="C27" i="17"/>
  <c r="B27" i="17" s="1"/>
  <c r="C26" i="17"/>
  <c r="B26" i="17" s="1"/>
  <c r="C25" i="17"/>
  <c r="B25" i="17" s="1"/>
  <c r="C24" i="17"/>
  <c r="B24" i="17" s="1"/>
  <c r="C23" i="17"/>
  <c r="B23" i="17" s="1"/>
  <c r="C22" i="17"/>
  <c r="B22" i="17" s="1"/>
  <c r="C21" i="17"/>
  <c r="B21" i="17" s="1"/>
  <c r="C20" i="17"/>
  <c r="B20" i="17" s="1"/>
  <c r="C19" i="17"/>
  <c r="B19" i="17" s="1"/>
  <c r="C18" i="17"/>
  <c r="B18" i="17" s="1"/>
  <c r="C17" i="17"/>
  <c r="B17" i="17" s="1"/>
  <c r="C16" i="17"/>
  <c r="B16" i="17" s="1"/>
  <c r="C15" i="17"/>
  <c r="B15" i="17" s="1"/>
  <c r="C14" i="17"/>
  <c r="B14" i="17" s="1"/>
  <c r="C13" i="17"/>
  <c r="B13" i="17" s="1"/>
  <c r="C12" i="17"/>
  <c r="B12" i="17" s="1"/>
  <c r="C11" i="17"/>
  <c r="B11" i="17" s="1"/>
  <c r="C10" i="17"/>
  <c r="B10" i="17" s="1"/>
  <c r="C9" i="17"/>
  <c r="B9" i="17" s="1"/>
  <c r="C8" i="17"/>
  <c r="B8" i="17" s="1"/>
  <c r="C7" i="17"/>
  <c r="B7" i="17" s="1"/>
  <c r="C50" i="17"/>
  <c r="B50" i="17" s="1"/>
  <c r="C50" i="31"/>
  <c r="B50" i="31" s="1"/>
  <c r="C49" i="31"/>
  <c r="B49" i="31" s="1"/>
  <c r="C48" i="31"/>
  <c r="B48" i="31" s="1"/>
  <c r="C47" i="31"/>
  <c r="B47" i="31" s="1"/>
  <c r="C46" i="31"/>
  <c r="B46" i="31" s="1"/>
  <c r="C45" i="31"/>
  <c r="B45" i="31" s="1"/>
  <c r="C44" i="31"/>
  <c r="B44" i="31" s="1"/>
  <c r="C43" i="31"/>
  <c r="B43" i="31" s="1"/>
  <c r="C42" i="31"/>
  <c r="B42" i="31" s="1"/>
  <c r="C41" i="31"/>
  <c r="B41" i="31" s="1"/>
  <c r="C40" i="31"/>
  <c r="B40" i="31" s="1"/>
  <c r="C39" i="31"/>
  <c r="B39" i="31" s="1"/>
  <c r="C38" i="31"/>
  <c r="B38" i="31" s="1"/>
  <c r="C37" i="31"/>
  <c r="B37" i="31" s="1"/>
  <c r="C36" i="31"/>
  <c r="B36" i="31" s="1"/>
  <c r="C35" i="31"/>
  <c r="B35" i="31" s="1"/>
  <c r="C34" i="31"/>
  <c r="B34" i="31" s="1"/>
  <c r="C33" i="31"/>
  <c r="B33" i="31" s="1"/>
  <c r="C32" i="31"/>
  <c r="B32" i="31" s="1"/>
  <c r="C31" i="31"/>
  <c r="B31" i="31" s="1"/>
  <c r="C30" i="31"/>
  <c r="B30" i="31" s="1"/>
  <c r="C29" i="31"/>
  <c r="B29" i="31" s="1"/>
  <c r="C28" i="31"/>
  <c r="B28" i="31" s="1"/>
  <c r="C27" i="31"/>
  <c r="B27" i="31" s="1"/>
  <c r="C26" i="31"/>
  <c r="B26" i="31" s="1"/>
  <c r="C25" i="31"/>
  <c r="B25" i="31" s="1"/>
  <c r="C24" i="31"/>
  <c r="B24" i="31" s="1"/>
  <c r="C23" i="31"/>
  <c r="B23" i="31" s="1"/>
  <c r="C22" i="31"/>
  <c r="B22" i="31" s="1"/>
  <c r="C21" i="31"/>
  <c r="B21" i="31" s="1"/>
  <c r="C20" i="31"/>
  <c r="B20" i="31" s="1"/>
  <c r="C19" i="31"/>
  <c r="B19" i="31" s="1"/>
  <c r="C18" i="31"/>
  <c r="B18" i="31" s="1"/>
  <c r="C17" i="31"/>
  <c r="B17" i="31" s="1"/>
  <c r="C16" i="31"/>
  <c r="B16" i="31" s="1"/>
  <c r="C15" i="31"/>
  <c r="B15" i="31" s="1"/>
  <c r="C14" i="31"/>
  <c r="B14" i="31" s="1"/>
  <c r="C13" i="31"/>
  <c r="B13" i="31" s="1"/>
  <c r="C12" i="31"/>
  <c r="B12" i="31" s="1"/>
  <c r="C11" i="31"/>
  <c r="B11" i="31" s="1"/>
  <c r="C10" i="31"/>
  <c r="B10" i="31" s="1"/>
  <c r="C9" i="31"/>
  <c r="B9" i="31" s="1"/>
  <c r="C8" i="31"/>
  <c r="B8" i="31" s="1"/>
  <c r="C7" i="31"/>
  <c r="B7" i="31" s="1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C49" i="19"/>
  <c r="B49" i="19" s="1"/>
  <c r="C48" i="19"/>
  <c r="B48" i="19" s="1"/>
  <c r="C47" i="19"/>
  <c r="B47" i="19" s="1"/>
  <c r="C46" i="19"/>
  <c r="B46" i="19" s="1"/>
  <c r="C45" i="19"/>
  <c r="B45" i="19" s="1"/>
  <c r="C44" i="19"/>
  <c r="B44" i="19" s="1"/>
  <c r="C43" i="19"/>
  <c r="B43" i="19" s="1"/>
  <c r="C42" i="19"/>
  <c r="B42" i="19" s="1"/>
  <c r="C41" i="19"/>
  <c r="B41" i="19" s="1"/>
  <c r="C40" i="19"/>
  <c r="B40" i="19" s="1"/>
  <c r="C39" i="19"/>
  <c r="B39" i="19" s="1"/>
  <c r="C38" i="19"/>
  <c r="B38" i="19" s="1"/>
  <c r="C37" i="19"/>
  <c r="B37" i="19" s="1"/>
  <c r="C36" i="19"/>
  <c r="B36" i="19" s="1"/>
  <c r="C35" i="19"/>
  <c r="B35" i="19" s="1"/>
  <c r="C34" i="19"/>
  <c r="B34" i="19" s="1"/>
  <c r="C33" i="19"/>
  <c r="B33" i="19" s="1"/>
  <c r="C32" i="19"/>
  <c r="B32" i="19" s="1"/>
  <c r="C31" i="19"/>
  <c r="B31" i="19" s="1"/>
  <c r="C30" i="19"/>
  <c r="B30" i="19" s="1"/>
  <c r="C29" i="19"/>
  <c r="B29" i="19" s="1"/>
  <c r="C28" i="19"/>
  <c r="B28" i="19" s="1"/>
  <c r="C27" i="19"/>
  <c r="B27" i="19" s="1"/>
  <c r="C26" i="19"/>
  <c r="B26" i="19" s="1"/>
  <c r="C25" i="19"/>
  <c r="B25" i="19" s="1"/>
  <c r="C24" i="19"/>
  <c r="B24" i="19" s="1"/>
  <c r="C23" i="19"/>
  <c r="B23" i="19" s="1"/>
  <c r="C22" i="19"/>
  <c r="B22" i="19" s="1"/>
  <c r="C21" i="19"/>
  <c r="B21" i="19" s="1"/>
  <c r="C20" i="19"/>
  <c r="B20" i="19" s="1"/>
  <c r="C19" i="19"/>
  <c r="B19" i="19" s="1"/>
  <c r="C18" i="19"/>
  <c r="B18" i="19" s="1"/>
  <c r="C17" i="19"/>
  <c r="B17" i="19" s="1"/>
  <c r="C16" i="19"/>
  <c r="B16" i="19" s="1"/>
  <c r="C15" i="19"/>
  <c r="B15" i="19" s="1"/>
  <c r="C14" i="19"/>
  <c r="B14" i="19" s="1"/>
  <c r="C13" i="19"/>
  <c r="B13" i="19" s="1"/>
  <c r="C12" i="19"/>
  <c r="B12" i="19" s="1"/>
  <c r="C11" i="19"/>
  <c r="B11" i="19" s="1"/>
  <c r="C10" i="19"/>
  <c r="B10" i="19" s="1"/>
  <c r="C9" i="19"/>
  <c r="B9" i="19" s="1"/>
  <c r="C8" i="19"/>
  <c r="B8" i="19" s="1"/>
  <c r="C7" i="19"/>
  <c r="B7" i="19" s="1"/>
  <c r="C50" i="19"/>
  <c r="B50" i="19" s="1"/>
  <c r="D7" i="20"/>
  <c r="F7" i="27"/>
  <c r="B28" i="36"/>
  <c r="B25" i="37"/>
  <c r="B36" i="38"/>
  <c r="B44" i="38"/>
  <c r="B8" i="40"/>
  <c r="B10" i="40"/>
  <c r="B16" i="40"/>
  <c r="B17" i="40"/>
  <c r="B24" i="40"/>
  <c r="B25" i="40"/>
  <c r="B32" i="40"/>
  <c r="B33" i="40"/>
  <c r="B34" i="40"/>
  <c r="B41" i="40"/>
  <c r="B48" i="40"/>
  <c r="B49" i="40"/>
  <c r="B8" i="41"/>
  <c r="B13" i="41"/>
  <c r="B14" i="41"/>
  <c r="B20" i="41"/>
  <c r="B21" i="41"/>
  <c r="B22" i="41"/>
  <c r="B28" i="41"/>
  <c r="B30" i="41"/>
  <c r="B36" i="41"/>
  <c r="B37" i="41"/>
  <c r="B38" i="41"/>
  <c r="B44" i="41"/>
  <c r="B45" i="41"/>
  <c r="B46" i="41"/>
  <c r="B50" i="41"/>
  <c r="D8" i="23" l="1"/>
  <c r="J50" i="41" l="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J12" i="41"/>
  <c r="J11" i="41"/>
  <c r="J10" i="41"/>
  <c r="J8" i="41"/>
  <c r="J7" i="41"/>
  <c r="D50" i="41"/>
  <c r="D49" i="41"/>
  <c r="D48" i="41"/>
  <c r="D47" i="41"/>
  <c r="D46" i="41"/>
  <c r="D45" i="41"/>
  <c r="D44" i="41"/>
  <c r="D43" i="41"/>
  <c r="D42" i="41"/>
  <c r="D41" i="41"/>
  <c r="D40" i="41"/>
  <c r="D39" i="41"/>
  <c r="D38" i="41"/>
  <c r="D37" i="41"/>
  <c r="D36" i="41"/>
  <c r="D35" i="41"/>
  <c r="D34" i="41"/>
  <c r="D33" i="41"/>
  <c r="D32" i="41"/>
  <c r="D31" i="41"/>
  <c r="D30" i="41"/>
  <c r="D29" i="41"/>
  <c r="D28" i="41"/>
  <c r="D27" i="41"/>
  <c r="D26" i="41"/>
  <c r="D25" i="41"/>
  <c r="D24" i="41"/>
  <c r="D23" i="41"/>
  <c r="D22" i="41"/>
  <c r="D21" i="41"/>
  <c r="D20" i="41"/>
  <c r="D19" i="41"/>
  <c r="D18" i="41"/>
  <c r="D17" i="41"/>
  <c r="D16" i="41"/>
  <c r="D15" i="41"/>
  <c r="D14" i="41"/>
  <c r="D13" i="41"/>
  <c r="D12" i="41"/>
  <c r="D11" i="41"/>
  <c r="D10" i="41"/>
  <c r="D9" i="41"/>
  <c r="D8" i="41"/>
  <c r="D7" i="41"/>
  <c r="G53" i="41"/>
  <c r="A53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F13" i="41"/>
  <c r="M12" i="41"/>
  <c r="F12" i="41"/>
  <c r="F11" i="41"/>
  <c r="F10" i="41"/>
  <c r="M9" i="41"/>
  <c r="J9" i="41"/>
  <c r="F9" i="41"/>
  <c r="F8" i="41"/>
  <c r="F7" i="41"/>
  <c r="L34" i="33" l="1"/>
  <c r="F53" i="41"/>
  <c r="J53" i="41"/>
  <c r="D53" i="41"/>
  <c r="J49" i="18"/>
  <c r="J47" i="18"/>
  <c r="J44" i="18"/>
  <c r="J43" i="18"/>
  <c r="J41" i="18"/>
  <c r="J39" i="18"/>
  <c r="J35" i="18"/>
  <c r="J31" i="18"/>
  <c r="J28" i="18"/>
  <c r="J27" i="18"/>
  <c r="J25" i="18"/>
  <c r="J23" i="18"/>
  <c r="J20" i="18"/>
  <c r="J19" i="18"/>
  <c r="J17" i="18"/>
  <c r="J15" i="18"/>
  <c r="J12" i="18"/>
  <c r="J11" i="18"/>
  <c r="J10" i="18"/>
  <c r="J8" i="18"/>
  <c r="J7" i="18"/>
  <c r="J47" i="20"/>
  <c r="J45" i="20"/>
  <c r="J43" i="20"/>
  <c r="J40" i="20"/>
  <c r="J39" i="20"/>
  <c r="J37" i="20"/>
  <c r="J35" i="20"/>
  <c r="J32" i="20"/>
  <c r="J31" i="20"/>
  <c r="J29" i="20"/>
  <c r="J28" i="20"/>
  <c r="J27" i="20"/>
  <c r="J24" i="20"/>
  <c r="J23" i="20"/>
  <c r="J21" i="20"/>
  <c r="J19" i="20"/>
  <c r="J18" i="20"/>
  <c r="J16" i="20"/>
  <c r="J15" i="20"/>
  <c r="J13" i="20"/>
  <c r="J11" i="20"/>
  <c r="J10" i="20"/>
  <c r="J8" i="20"/>
  <c r="J7" i="20"/>
  <c r="J50" i="21"/>
  <c r="J49" i="21"/>
  <c r="J47" i="21"/>
  <c r="J46" i="21"/>
  <c r="J44" i="21"/>
  <c r="J43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9" i="21"/>
  <c r="J8" i="21"/>
  <c r="J7" i="21"/>
  <c r="D50" i="21"/>
  <c r="D49" i="21"/>
  <c r="D48" i="21"/>
  <c r="D47" i="21"/>
  <c r="D45" i="21"/>
  <c r="D44" i="21"/>
  <c r="D43" i="21"/>
  <c r="D42" i="21"/>
  <c r="D41" i="21"/>
  <c r="D40" i="21"/>
  <c r="D39" i="21"/>
  <c r="D37" i="21"/>
  <c r="D36" i="21"/>
  <c r="D35" i="21"/>
  <c r="D34" i="21"/>
  <c r="D33" i="21"/>
  <c r="D32" i="21"/>
  <c r="D31" i="21"/>
  <c r="D29" i="21"/>
  <c r="D28" i="21"/>
  <c r="D27" i="21"/>
  <c r="D26" i="21"/>
  <c r="D25" i="21"/>
  <c r="D24" i="21"/>
  <c r="D23" i="21"/>
  <c r="D20" i="21"/>
  <c r="D19" i="21"/>
  <c r="D18" i="21"/>
  <c r="D17" i="21"/>
  <c r="D16" i="21"/>
  <c r="D15" i="21"/>
  <c r="D14" i="21"/>
  <c r="D12" i="21"/>
  <c r="D11" i="21"/>
  <c r="D10" i="21"/>
  <c r="D9" i="21"/>
  <c r="D8" i="21"/>
  <c r="D7" i="21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6" i="20"/>
  <c r="D35" i="20"/>
  <c r="D33" i="20"/>
  <c r="D32" i="20"/>
  <c r="D31" i="20"/>
  <c r="D30" i="20"/>
  <c r="D29" i="20"/>
  <c r="D28" i="20"/>
  <c r="D27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G53" i="21"/>
  <c r="A53" i="21"/>
  <c r="D16" i="33" s="1"/>
  <c r="G53" i="18"/>
  <c r="A53" i="18"/>
  <c r="G53" i="22"/>
  <c r="A53" i="22"/>
  <c r="D28" i="33" s="1"/>
  <c r="G53" i="23"/>
  <c r="A53" i="23"/>
  <c r="D34" i="33" s="1"/>
  <c r="G53" i="24"/>
  <c r="A53" i="24"/>
  <c r="H4" i="33" s="1"/>
  <c r="G53" i="19"/>
  <c r="A53" i="19"/>
  <c r="H10" i="33" s="1"/>
  <c r="G53" i="25"/>
  <c r="A53" i="25"/>
  <c r="G53" i="31"/>
  <c r="A53" i="31"/>
  <c r="H22" i="33" s="1"/>
  <c r="G53" i="17"/>
  <c r="A53" i="17"/>
  <c r="H28" i="33" s="1"/>
  <c r="G53" i="34"/>
  <c r="A53" i="34"/>
  <c r="L4" i="33" s="1"/>
  <c r="G53" i="35"/>
  <c r="A53" i="35"/>
  <c r="L10" i="33" s="1"/>
  <c r="G53" i="36"/>
  <c r="A53" i="36"/>
  <c r="L16" i="33" s="1"/>
  <c r="G53" i="37"/>
  <c r="A53" i="37"/>
  <c r="G53" i="38"/>
  <c r="A53" i="38"/>
  <c r="L28" i="33" s="1"/>
  <c r="G53" i="40"/>
  <c r="A53" i="40"/>
  <c r="G53" i="20"/>
  <c r="A53" i="20"/>
  <c r="D10" i="33" s="1"/>
  <c r="J50" i="40"/>
  <c r="F50" i="40"/>
  <c r="D50" i="40"/>
  <c r="J49" i="40"/>
  <c r="F49" i="40"/>
  <c r="D49" i="40"/>
  <c r="J48" i="40"/>
  <c r="F48" i="40"/>
  <c r="D48" i="40"/>
  <c r="J47" i="40"/>
  <c r="F47" i="40"/>
  <c r="D47" i="40"/>
  <c r="J46" i="40"/>
  <c r="F46" i="40"/>
  <c r="D46" i="40"/>
  <c r="J45" i="40"/>
  <c r="F45" i="40"/>
  <c r="D45" i="40"/>
  <c r="J44" i="40"/>
  <c r="F44" i="40"/>
  <c r="D44" i="40"/>
  <c r="J43" i="40"/>
  <c r="F43" i="40"/>
  <c r="D43" i="40"/>
  <c r="J42" i="40"/>
  <c r="F42" i="40"/>
  <c r="D42" i="40"/>
  <c r="J41" i="40"/>
  <c r="F41" i="40"/>
  <c r="D41" i="40"/>
  <c r="J40" i="40"/>
  <c r="F40" i="40"/>
  <c r="D40" i="40"/>
  <c r="J39" i="40"/>
  <c r="F39" i="40"/>
  <c r="D39" i="40"/>
  <c r="J38" i="40"/>
  <c r="F38" i="40"/>
  <c r="D38" i="40"/>
  <c r="J37" i="40"/>
  <c r="F37" i="40"/>
  <c r="D37" i="40"/>
  <c r="J36" i="40"/>
  <c r="F36" i="40"/>
  <c r="D36" i="40"/>
  <c r="J35" i="40"/>
  <c r="F35" i="40"/>
  <c r="D35" i="40"/>
  <c r="J34" i="40"/>
  <c r="F34" i="40"/>
  <c r="D34" i="40"/>
  <c r="J33" i="40"/>
  <c r="F33" i="40"/>
  <c r="D33" i="40"/>
  <c r="J32" i="40"/>
  <c r="F32" i="40"/>
  <c r="D32" i="40"/>
  <c r="J31" i="40"/>
  <c r="F31" i="40"/>
  <c r="D31" i="40"/>
  <c r="J30" i="40"/>
  <c r="F30" i="40"/>
  <c r="D30" i="40"/>
  <c r="J29" i="40"/>
  <c r="F29" i="40"/>
  <c r="D29" i="40"/>
  <c r="J28" i="40"/>
  <c r="F28" i="40"/>
  <c r="D28" i="40"/>
  <c r="J27" i="40"/>
  <c r="F27" i="40"/>
  <c r="D27" i="40"/>
  <c r="J26" i="40"/>
  <c r="F26" i="40"/>
  <c r="D26" i="40"/>
  <c r="J25" i="40"/>
  <c r="F25" i="40"/>
  <c r="D25" i="40"/>
  <c r="J24" i="40"/>
  <c r="F24" i="40"/>
  <c r="D24" i="40"/>
  <c r="J23" i="40"/>
  <c r="F23" i="40"/>
  <c r="D23" i="40"/>
  <c r="J22" i="40"/>
  <c r="F22" i="40"/>
  <c r="D22" i="40"/>
  <c r="J21" i="40"/>
  <c r="F21" i="40"/>
  <c r="D21" i="40"/>
  <c r="J20" i="40"/>
  <c r="F20" i="40"/>
  <c r="D20" i="40"/>
  <c r="J19" i="40"/>
  <c r="F19" i="40"/>
  <c r="D19" i="40"/>
  <c r="J18" i="40"/>
  <c r="F18" i="40"/>
  <c r="D18" i="40"/>
  <c r="J17" i="40"/>
  <c r="F17" i="40"/>
  <c r="D17" i="40"/>
  <c r="J16" i="40"/>
  <c r="F16" i="40"/>
  <c r="D16" i="40"/>
  <c r="J15" i="40"/>
  <c r="F15" i="40"/>
  <c r="D15" i="40"/>
  <c r="J14" i="40"/>
  <c r="F14" i="40"/>
  <c r="D14" i="40"/>
  <c r="J13" i="40"/>
  <c r="F13" i="40"/>
  <c r="D13" i="40"/>
  <c r="M12" i="40"/>
  <c r="J12" i="40"/>
  <c r="F12" i="40"/>
  <c r="D12" i="40"/>
  <c r="J11" i="40"/>
  <c r="F11" i="40"/>
  <c r="D11" i="40"/>
  <c r="J10" i="40"/>
  <c r="F10" i="40"/>
  <c r="D10" i="40"/>
  <c r="M9" i="40"/>
  <c r="J9" i="40"/>
  <c r="F9" i="40"/>
  <c r="D9" i="40"/>
  <c r="J8" i="40"/>
  <c r="F8" i="40"/>
  <c r="D8" i="40"/>
  <c r="J7" i="40"/>
  <c r="F7" i="40"/>
  <c r="D7" i="40"/>
  <c r="J50" i="38"/>
  <c r="F50" i="38"/>
  <c r="D50" i="38"/>
  <c r="J49" i="38"/>
  <c r="F49" i="38"/>
  <c r="D49" i="38"/>
  <c r="J48" i="38"/>
  <c r="F48" i="38"/>
  <c r="D48" i="38"/>
  <c r="J47" i="38"/>
  <c r="F47" i="38"/>
  <c r="D47" i="38"/>
  <c r="J46" i="38"/>
  <c r="F46" i="38"/>
  <c r="D46" i="38"/>
  <c r="J45" i="38"/>
  <c r="F45" i="38"/>
  <c r="D45" i="38"/>
  <c r="J44" i="38"/>
  <c r="F44" i="38"/>
  <c r="D44" i="38"/>
  <c r="J43" i="38"/>
  <c r="F43" i="38"/>
  <c r="D43" i="38"/>
  <c r="J42" i="38"/>
  <c r="F42" i="38"/>
  <c r="D42" i="38"/>
  <c r="J41" i="38"/>
  <c r="F41" i="38"/>
  <c r="D41" i="38"/>
  <c r="J40" i="38"/>
  <c r="F40" i="38"/>
  <c r="D40" i="38"/>
  <c r="J39" i="38"/>
  <c r="F39" i="38"/>
  <c r="D39" i="38"/>
  <c r="J38" i="38"/>
  <c r="F38" i="38"/>
  <c r="D38" i="38"/>
  <c r="J37" i="38"/>
  <c r="F37" i="38"/>
  <c r="D37" i="38"/>
  <c r="J36" i="38"/>
  <c r="F36" i="38"/>
  <c r="D36" i="38"/>
  <c r="J35" i="38"/>
  <c r="F35" i="38"/>
  <c r="D35" i="38"/>
  <c r="J34" i="38"/>
  <c r="F34" i="38"/>
  <c r="D34" i="38"/>
  <c r="J33" i="38"/>
  <c r="F33" i="38"/>
  <c r="D33" i="38"/>
  <c r="J32" i="38"/>
  <c r="F32" i="38"/>
  <c r="D32" i="38"/>
  <c r="J31" i="38"/>
  <c r="F31" i="38"/>
  <c r="D31" i="38"/>
  <c r="J30" i="38"/>
  <c r="F30" i="38"/>
  <c r="D30" i="38"/>
  <c r="J29" i="38"/>
  <c r="F29" i="38"/>
  <c r="D29" i="38"/>
  <c r="J28" i="38"/>
  <c r="F28" i="38"/>
  <c r="D28" i="38"/>
  <c r="J27" i="38"/>
  <c r="F27" i="38"/>
  <c r="D27" i="38"/>
  <c r="J26" i="38"/>
  <c r="F26" i="38"/>
  <c r="D26" i="38"/>
  <c r="J25" i="38"/>
  <c r="F25" i="38"/>
  <c r="D25" i="38"/>
  <c r="J24" i="38"/>
  <c r="F24" i="38"/>
  <c r="D24" i="38"/>
  <c r="J23" i="38"/>
  <c r="F23" i="38"/>
  <c r="D23" i="38"/>
  <c r="J22" i="38"/>
  <c r="F22" i="38"/>
  <c r="D22" i="38"/>
  <c r="J21" i="38"/>
  <c r="F21" i="38"/>
  <c r="D21" i="38"/>
  <c r="J20" i="38"/>
  <c r="F20" i="38"/>
  <c r="D20" i="38"/>
  <c r="J19" i="38"/>
  <c r="F19" i="38"/>
  <c r="D19" i="38"/>
  <c r="J18" i="38"/>
  <c r="F18" i="38"/>
  <c r="D18" i="38"/>
  <c r="J17" i="38"/>
  <c r="F17" i="38"/>
  <c r="D17" i="38"/>
  <c r="J16" i="38"/>
  <c r="F16" i="38"/>
  <c r="D16" i="38"/>
  <c r="J15" i="38"/>
  <c r="F15" i="38"/>
  <c r="D15" i="38"/>
  <c r="J14" i="38"/>
  <c r="F14" i="38"/>
  <c r="D14" i="38"/>
  <c r="J13" i="38"/>
  <c r="F13" i="38"/>
  <c r="D13" i="38"/>
  <c r="M12" i="38"/>
  <c r="J12" i="38"/>
  <c r="F12" i="38"/>
  <c r="D12" i="38"/>
  <c r="J11" i="38"/>
  <c r="F11" i="38"/>
  <c r="D11" i="38"/>
  <c r="J10" i="38"/>
  <c r="F10" i="38"/>
  <c r="D10" i="38"/>
  <c r="M9" i="38"/>
  <c r="J9" i="38"/>
  <c r="F9" i="38"/>
  <c r="D9" i="38"/>
  <c r="J8" i="38"/>
  <c r="F8" i="38"/>
  <c r="D8" i="38"/>
  <c r="J7" i="38"/>
  <c r="F7" i="38"/>
  <c r="D7" i="38"/>
  <c r="J50" i="37"/>
  <c r="F50" i="37"/>
  <c r="D50" i="37"/>
  <c r="J49" i="37"/>
  <c r="F49" i="37"/>
  <c r="D49" i="37"/>
  <c r="J48" i="37"/>
  <c r="F48" i="37"/>
  <c r="D48" i="37"/>
  <c r="J47" i="37"/>
  <c r="F47" i="37"/>
  <c r="D47" i="37"/>
  <c r="J46" i="37"/>
  <c r="F46" i="37"/>
  <c r="D46" i="37"/>
  <c r="J45" i="37"/>
  <c r="F45" i="37"/>
  <c r="D45" i="37"/>
  <c r="J44" i="37"/>
  <c r="F44" i="37"/>
  <c r="D44" i="37"/>
  <c r="J43" i="37"/>
  <c r="F43" i="37"/>
  <c r="D43" i="37"/>
  <c r="J42" i="37"/>
  <c r="F42" i="37"/>
  <c r="D42" i="37"/>
  <c r="J41" i="37"/>
  <c r="F41" i="37"/>
  <c r="D41" i="37"/>
  <c r="J40" i="37"/>
  <c r="F40" i="37"/>
  <c r="D40" i="37"/>
  <c r="J39" i="37"/>
  <c r="F39" i="37"/>
  <c r="D39" i="37"/>
  <c r="J38" i="37"/>
  <c r="F38" i="37"/>
  <c r="D38" i="37"/>
  <c r="J37" i="37"/>
  <c r="F37" i="37"/>
  <c r="D37" i="37"/>
  <c r="J36" i="37"/>
  <c r="F36" i="37"/>
  <c r="D36" i="37"/>
  <c r="J35" i="37"/>
  <c r="F35" i="37"/>
  <c r="D35" i="37"/>
  <c r="J34" i="37"/>
  <c r="F34" i="37"/>
  <c r="D34" i="37"/>
  <c r="J33" i="37"/>
  <c r="F33" i="37"/>
  <c r="D33" i="37"/>
  <c r="J32" i="37"/>
  <c r="F32" i="37"/>
  <c r="D32" i="37"/>
  <c r="J31" i="37"/>
  <c r="F31" i="37"/>
  <c r="D31" i="37"/>
  <c r="J30" i="37"/>
  <c r="F30" i="37"/>
  <c r="D30" i="37"/>
  <c r="J29" i="37"/>
  <c r="F29" i="37"/>
  <c r="D29" i="37"/>
  <c r="J28" i="37"/>
  <c r="F28" i="37"/>
  <c r="D28" i="37"/>
  <c r="J27" i="37"/>
  <c r="F27" i="37"/>
  <c r="D27" i="37"/>
  <c r="J26" i="37"/>
  <c r="F26" i="37"/>
  <c r="D26" i="37"/>
  <c r="J25" i="37"/>
  <c r="F25" i="37"/>
  <c r="D25" i="37"/>
  <c r="J24" i="37"/>
  <c r="F24" i="37"/>
  <c r="D24" i="37"/>
  <c r="J23" i="37"/>
  <c r="F23" i="37"/>
  <c r="D23" i="37"/>
  <c r="J22" i="37"/>
  <c r="F22" i="37"/>
  <c r="D22" i="37"/>
  <c r="J21" i="37"/>
  <c r="F21" i="37"/>
  <c r="D21" i="37"/>
  <c r="J20" i="37"/>
  <c r="F20" i="37"/>
  <c r="D20" i="37"/>
  <c r="J19" i="37"/>
  <c r="F19" i="37"/>
  <c r="D19" i="37"/>
  <c r="J18" i="37"/>
  <c r="F18" i="37"/>
  <c r="D18" i="37"/>
  <c r="J17" i="37"/>
  <c r="F17" i="37"/>
  <c r="D17" i="37"/>
  <c r="J16" i="37"/>
  <c r="F16" i="37"/>
  <c r="D16" i="37"/>
  <c r="J15" i="37"/>
  <c r="F15" i="37"/>
  <c r="D15" i="37"/>
  <c r="J14" i="37"/>
  <c r="F14" i="37"/>
  <c r="D14" i="37"/>
  <c r="J13" i="37"/>
  <c r="F13" i="37"/>
  <c r="D13" i="37"/>
  <c r="M12" i="37"/>
  <c r="J12" i="37"/>
  <c r="F12" i="37"/>
  <c r="D12" i="37"/>
  <c r="J11" i="37"/>
  <c r="F11" i="37"/>
  <c r="D11" i="37"/>
  <c r="J10" i="37"/>
  <c r="F10" i="37"/>
  <c r="D10" i="37"/>
  <c r="M9" i="37"/>
  <c r="J9" i="37"/>
  <c r="F9" i="37"/>
  <c r="D9" i="37"/>
  <c r="J8" i="37"/>
  <c r="F8" i="37"/>
  <c r="D8" i="37"/>
  <c r="J7" i="37"/>
  <c r="F7" i="37"/>
  <c r="D7" i="37"/>
  <c r="J50" i="36"/>
  <c r="F50" i="36"/>
  <c r="D50" i="36"/>
  <c r="J49" i="36"/>
  <c r="F49" i="36"/>
  <c r="D49" i="36"/>
  <c r="J48" i="36"/>
  <c r="F48" i="36"/>
  <c r="D48" i="36"/>
  <c r="J47" i="36"/>
  <c r="F47" i="36"/>
  <c r="D47" i="36"/>
  <c r="J46" i="36"/>
  <c r="F46" i="36"/>
  <c r="D46" i="36"/>
  <c r="J45" i="36"/>
  <c r="F45" i="36"/>
  <c r="D45" i="36"/>
  <c r="J44" i="36"/>
  <c r="F44" i="36"/>
  <c r="D44" i="36"/>
  <c r="J43" i="36"/>
  <c r="F43" i="36"/>
  <c r="D43" i="36"/>
  <c r="J42" i="36"/>
  <c r="F42" i="36"/>
  <c r="D42" i="36"/>
  <c r="J41" i="36"/>
  <c r="F41" i="36"/>
  <c r="D41" i="36"/>
  <c r="J40" i="36"/>
  <c r="F40" i="36"/>
  <c r="D40" i="36"/>
  <c r="J39" i="36"/>
  <c r="F39" i="36"/>
  <c r="D39" i="36"/>
  <c r="J38" i="36"/>
  <c r="F38" i="36"/>
  <c r="D38" i="36"/>
  <c r="J37" i="36"/>
  <c r="F37" i="36"/>
  <c r="D37" i="36"/>
  <c r="J36" i="36"/>
  <c r="F36" i="36"/>
  <c r="D36" i="36"/>
  <c r="J35" i="36"/>
  <c r="F35" i="36"/>
  <c r="D35" i="36"/>
  <c r="J34" i="36"/>
  <c r="F34" i="36"/>
  <c r="D34" i="36"/>
  <c r="J33" i="36"/>
  <c r="F33" i="36"/>
  <c r="D33" i="36"/>
  <c r="J32" i="36"/>
  <c r="F32" i="36"/>
  <c r="D32" i="36"/>
  <c r="J31" i="36"/>
  <c r="F31" i="36"/>
  <c r="D31" i="36"/>
  <c r="J30" i="36"/>
  <c r="F30" i="36"/>
  <c r="D30" i="36"/>
  <c r="J29" i="36"/>
  <c r="F29" i="36"/>
  <c r="D29" i="36"/>
  <c r="J28" i="36"/>
  <c r="F28" i="36"/>
  <c r="D28" i="36"/>
  <c r="J27" i="36"/>
  <c r="F27" i="36"/>
  <c r="D27" i="36"/>
  <c r="J26" i="36"/>
  <c r="F26" i="36"/>
  <c r="D26" i="36"/>
  <c r="J25" i="36"/>
  <c r="F25" i="36"/>
  <c r="D25" i="36"/>
  <c r="J24" i="36"/>
  <c r="F24" i="36"/>
  <c r="D24" i="36"/>
  <c r="J23" i="36"/>
  <c r="F23" i="36"/>
  <c r="D23" i="36"/>
  <c r="J22" i="36"/>
  <c r="F22" i="36"/>
  <c r="D22" i="36"/>
  <c r="J21" i="36"/>
  <c r="F21" i="36"/>
  <c r="D21" i="36"/>
  <c r="J20" i="36"/>
  <c r="F20" i="36"/>
  <c r="D20" i="36"/>
  <c r="J19" i="36"/>
  <c r="F19" i="36"/>
  <c r="D19" i="36"/>
  <c r="J18" i="36"/>
  <c r="F18" i="36"/>
  <c r="D18" i="36"/>
  <c r="J17" i="36"/>
  <c r="F17" i="36"/>
  <c r="D17" i="36"/>
  <c r="J16" i="36"/>
  <c r="F16" i="36"/>
  <c r="D16" i="36"/>
  <c r="J15" i="36"/>
  <c r="F15" i="36"/>
  <c r="D15" i="36"/>
  <c r="J14" i="36"/>
  <c r="F14" i="36"/>
  <c r="D14" i="36"/>
  <c r="J13" i="36"/>
  <c r="F13" i="36"/>
  <c r="D13" i="36"/>
  <c r="M12" i="36"/>
  <c r="J12" i="36"/>
  <c r="F12" i="36"/>
  <c r="D12" i="36"/>
  <c r="J11" i="36"/>
  <c r="F11" i="36"/>
  <c r="D11" i="36"/>
  <c r="J10" i="36"/>
  <c r="F10" i="36"/>
  <c r="D10" i="36"/>
  <c r="M9" i="36"/>
  <c r="J9" i="36"/>
  <c r="F9" i="36"/>
  <c r="D9" i="36"/>
  <c r="J8" i="36"/>
  <c r="F8" i="36"/>
  <c r="D8" i="36"/>
  <c r="J7" i="36"/>
  <c r="F7" i="36"/>
  <c r="D7" i="36"/>
  <c r="J50" i="35"/>
  <c r="F50" i="35"/>
  <c r="D50" i="35"/>
  <c r="J49" i="35"/>
  <c r="F49" i="35"/>
  <c r="D49" i="35"/>
  <c r="J48" i="35"/>
  <c r="F48" i="35"/>
  <c r="D48" i="35"/>
  <c r="J47" i="35"/>
  <c r="F47" i="35"/>
  <c r="D47" i="35"/>
  <c r="J46" i="35"/>
  <c r="F46" i="35"/>
  <c r="D46" i="35"/>
  <c r="J45" i="35"/>
  <c r="F45" i="35"/>
  <c r="D45" i="35"/>
  <c r="J44" i="35"/>
  <c r="F44" i="35"/>
  <c r="D44" i="35"/>
  <c r="J43" i="35"/>
  <c r="F43" i="35"/>
  <c r="D43" i="35"/>
  <c r="J42" i="35"/>
  <c r="F42" i="35"/>
  <c r="D42" i="35"/>
  <c r="J41" i="35"/>
  <c r="F41" i="35"/>
  <c r="D41" i="35"/>
  <c r="J40" i="35"/>
  <c r="F40" i="35"/>
  <c r="D40" i="35"/>
  <c r="J39" i="35"/>
  <c r="F39" i="35"/>
  <c r="D39" i="35"/>
  <c r="J38" i="35"/>
  <c r="F38" i="35"/>
  <c r="D38" i="35"/>
  <c r="J37" i="35"/>
  <c r="F37" i="35"/>
  <c r="D37" i="35"/>
  <c r="J36" i="35"/>
  <c r="F36" i="35"/>
  <c r="D36" i="35"/>
  <c r="J35" i="35"/>
  <c r="F35" i="35"/>
  <c r="D35" i="35"/>
  <c r="J34" i="35"/>
  <c r="F34" i="35"/>
  <c r="D34" i="35"/>
  <c r="J33" i="35"/>
  <c r="F33" i="35"/>
  <c r="D33" i="35"/>
  <c r="J32" i="35"/>
  <c r="F32" i="35"/>
  <c r="D32" i="35"/>
  <c r="J31" i="35"/>
  <c r="F31" i="35"/>
  <c r="D31" i="35"/>
  <c r="J30" i="35"/>
  <c r="F30" i="35"/>
  <c r="D30" i="35"/>
  <c r="J29" i="35"/>
  <c r="F29" i="35"/>
  <c r="D29" i="35"/>
  <c r="J28" i="35"/>
  <c r="F28" i="35"/>
  <c r="D28" i="35"/>
  <c r="J27" i="35"/>
  <c r="F27" i="35"/>
  <c r="D27" i="35"/>
  <c r="J26" i="35"/>
  <c r="F26" i="35"/>
  <c r="D26" i="35"/>
  <c r="J25" i="35"/>
  <c r="F25" i="35"/>
  <c r="D25" i="35"/>
  <c r="J24" i="35"/>
  <c r="F24" i="35"/>
  <c r="D24" i="35"/>
  <c r="J23" i="35"/>
  <c r="F23" i="35"/>
  <c r="D23" i="35"/>
  <c r="J22" i="35"/>
  <c r="F22" i="35"/>
  <c r="D22" i="35"/>
  <c r="J21" i="35"/>
  <c r="F21" i="35"/>
  <c r="D21" i="35"/>
  <c r="J20" i="35"/>
  <c r="F20" i="35"/>
  <c r="D20" i="35"/>
  <c r="J19" i="35"/>
  <c r="F19" i="35"/>
  <c r="D19" i="35"/>
  <c r="J18" i="35"/>
  <c r="F18" i="35"/>
  <c r="D18" i="35"/>
  <c r="J17" i="35"/>
  <c r="F17" i="35"/>
  <c r="D17" i="35"/>
  <c r="J16" i="35"/>
  <c r="F16" i="35"/>
  <c r="D16" i="35"/>
  <c r="J15" i="35"/>
  <c r="F15" i="35"/>
  <c r="D15" i="35"/>
  <c r="J14" i="35"/>
  <c r="F14" i="35"/>
  <c r="D14" i="35"/>
  <c r="J13" i="35"/>
  <c r="F13" i="35"/>
  <c r="D13" i="35"/>
  <c r="M12" i="35"/>
  <c r="J12" i="35"/>
  <c r="F12" i="35"/>
  <c r="D12" i="35"/>
  <c r="J11" i="35"/>
  <c r="F11" i="35"/>
  <c r="D11" i="35"/>
  <c r="J10" i="35"/>
  <c r="F10" i="35"/>
  <c r="D10" i="35"/>
  <c r="M9" i="35"/>
  <c r="J9" i="35"/>
  <c r="F9" i="35"/>
  <c r="D9" i="35"/>
  <c r="J8" i="35"/>
  <c r="F8" i="35"/>
  <c r="D8" i="35"/>
  <c r="J7" i="35"/>
  <c r="F7" i="35"/>
  <c r="D7" i="35"/>
  <c r="J50" i="34"/>
  <c r="F50" i="34"/>
  <c r="D50" i="34"/>
  <c r="J49" i="34"/>
  <c r="F49" i="34"/>
  <c r="D49" i="34"/>
  <c r="J48" i="34"/>
  <c r="F48" i="34"/>
  <c r="D48" i="34"/>
  <c r="J47" i="34"/>
  <c r="F47" i="34"/>
  <c r="D47" i="34"/>
  <c r="J46" i="34"/>
  <c r="F46" i="34"/>
  <c r="D46" i="34"/>
  <c r="J45" i="34"/>
  <c r="F45" i="34"/>
  <c r="D45" i="34"/>
  <c r="J44" i="34"/>
  <c r="F44" i="34"/>
  <c r="D44" i="34"/>
  <c r="J43" i="34"/>
  <c r="F43" i="34"/>
  <c r="D43" i="34"/>
  <c r="J42" i="34"/>
  <c r="F42" i="34"/>
  <c r="D42" i="34"/>
  <c r="J41" i="34"/>
  <c r="F41" i="34"/>
  <c r="D41" i="34"/>
  <c r="J40" i="34"/>
  <c r="F40" i="34"/>
  <c r="D40" i="34"/>
  <c r="J39" i="34"/>
  <c r="F39" i="34"/>
  <c r="D39" i="34"/>
  <c r="J38" i="34"/>
  <c r="F38" i="34"/>
  <c r="D38" i="34"/>
  <c r="J37" i="34"/>
  <c r="F37" i="34"/>
  <c r="D37" i="34"/>
  <c r="J36" i="34"/>
  <c r="F36" i="34"/>
  <c r="D36" i="34"/>
  <c r="J35" i="34"/>
  <c r="F35" i="34"/>
  <c r="D35" i="34"/>
  <c r="J34" i="34"/>
  <c r="F34" i="34"/>
  <c r="D34" i="34"/>
  <c r="J33" i="34"/>
  <c r="F33" i="34"/>
  <c r="D33" i="34"/>
  <c r="J32" i="34"/>
  <c r="F32" i="34"/>
  <c r="D32" i="34"/>
  <c r="J31" i="34"/>
  <c r="F31" i="34"/>
  <c r="D31" i="34"/>
  <c r="J30" i="34"/>
  <c r="F30" i="34"/>
  <c r="D30" i="34"/>
  <c r="J29" i="34"/>
  <c r="F29" i="34"/>
  <c r="D29" i="34"/>
  <c r="J28" i="34"/>
  <c r="F28" i="34"/>
  <c r="D28" i="34"/>
  <c r="J27" i="34"/>
  <c r="F27" i="34"/>
  <c r="D27" i="34"/>
  <c r="J26" i="34"/>
  <c r="F26" i="34"/>
  <c r="D26" i="34"/>
  <c r="J25" i="34"/>
  <c r="F25" i="34"/>
  <c r="D25" i="34"/>
  <c r="J24" i="34"/>
  <c r="F24" i="34"/>
  <c r="D24" i="34"/>
  <c r="J23" i="34"/>
  <c r="F23" i="34"/>
  <c r="D23" i="34"/>
  <c r="J22" i="34"/>
  <c r="F22" i="34"/>
  <c r="D22" i="34"/>
  <c r="J21" i="34"/>
  <c r="F21" i="34"/>
  <c r="D21" i="34"/>
  <c r="J20" i="34"/>
  <c r="F20" i="34"/>
  <c r="D20" i="34"/>
  <c r="J19" i="34"/>
  <c r="F19" i="34"/>
  <c r="D19" i="34"/>
  <c r="J18" i="34"/>
  <c r="F18" i="34"/>
  <c r="D18" i="34"/>
  <c r="J17" i="34"/>
  <c r="F17" i="34"/>
  <c r="D17" i="34"/>
  <c r="J16" i="34"/>
  <c r="F16" i="34"/>
  <c r="D16" i="34"/>
  <c r="J15" i="34"/>
  <c r="F15" i="34"/>
  <c r="D15" i="34"/>
  <c r="J14" i="34"/>
  <c r="F14" i="34"/>
  <c r="D14" i="34"/>
  <c r="J13" i="34"/>
  <c r="F13" i="34"/>
  <c r="D13" i="34"/>
  <c r="M12" i="34"/>
  <c r="J12" i="34"/>
  <c r="F12" i="34"/>
  <c r="D12" i="34"/>
  <c r="J11" i="34"/>
  <c r="F11" i="34"/>
  <c r="D11" i="34"/>
  <c r="J10" i="34"/>
  <c r="F10" i="34"/>
  <c r="D10" i="34"/>
  <c r="M9" i="34"/>
  <c r="J9" i="34"/>
  <c r="F9" i="34"/>
  <c r="D9" i="34"/>
  <c r="J8" i="34"/>
  <c r="F8" i="34"/>
  <c r="D8" i="34"/>
  <c r="J7" i="34"/>
  <c r="F7" i="34"/>
  <c r="D7" i="34"/>
  <c r="J50" i="17"/>
  <c r="F50" i="17"/>
  <c r="D50" i="17"/>
  <c r="J49" i="17"/>
  <c r="F49" i="17"/>
  <c r="D49" i="17"/>
  <c r="J48" i="17"/>
  <c r="F48" i="17"/>
  <c r="D48" i="17"/>
  <c r="J47" i="17"/>
  <c r="F47" i="17"/>
  <c r="D47" i="17"/>
  <c r="J46" i="17"/>
  <c r="F46" i="17"/>
  <c r="D46" i="17"/>
  <c r="J45" i="17"/>
  <c r="F45" i="17"/>
  <c r="D45" i="17"/>
  <c r="J44" i="17"/>
  <c r="F44" i="17"/>
  <c r="D44" i="17"/>
  <c r="J43" i="17"/>
  <c r="F43" i="17"/>
  <c r="D43" i="17"/>
  <c r="J42" i="17"/>
  <c r="F42" i="17"/>
  <c r="D42" i="17"/>
  <c r="J41" i="17"/>
  <c r="F41" i="17"/>
  <c r="D41" i="17"/>
  <c r="J40" i="17"/>
  <c r="F40" i="17"/>
  <c r="D40" i="17"/>
  <c r="J39" i="17"/>
  <c r="F39" i="17"/>
  <c r="D39" i="17"/>
  <c r="J38" i="17"/>
  <c r="F38" i="17"/>
  <c r="D38" i="17"/>
  <c r="J37" i="17"/>
  <c r="F37" i="17"/>
  <c r="D37" i="17"/>
  <c r="J36" i="17"/>
  <c r="F36" i="17"/>
  <c r="D36" i="17"/>
  <c r="J35" i="17"/>
  <c r="F35" i="17"/>
  <c r="D35" i="17"/>
  <c r="J34" i="17"/>
  <c r="F34" i="17"/>
  <c r="D34" i="17"/>
  <c r="J33" i="17"/>
  <c r="F33" i="17"/>
  <c r="D33" i="17"/>
  <c r="J32" i="17"/>
  <c r="F32" i="17"/>
  <c r="D32" i="17"/>
  <c r="J31" i="17"/>
  <c r="F31" i="17"/>
  <c r="D31" i="17"/>
  <c r="J30" i="17"/>
  <c r="F30" i="17"/>
  <c r="D30" i="17"/>
  <c r="J29" i="17"/>
  <c r="F29" i="17"/>
  <c r="D29" i="17"/>
  <c r="J28" i="17"/>
  <c r="F28" i="17"/>
  <c r="D28" i="17"/>
  <c r="J27" i="17"/>
  <c r="F27" i="17"/>
  <c r="D27" i="17"/>
  <c r="J26" i="17"/>
  <c r="F26" i="17"/>
  <c r="D26" i="17"/>
  <c r="J25" i="17"/>
  <c r="F25" i="17"/>
  <c r="D25" i="17"/>
  <c r="J24" i="17"/>
  <c r="F24" i="17"/>
  <c r="D24" i="17"/>
  <c r="J23" i="17"/>
  <c r="F23" i="17"/>
  <c r="D23" i="17"/>
  <c r="J22" i="17"/>
  <c r="F22" i="17"/>
  <c r="D22" i="17"/>
  <c r="J21" i="17"/>
  <c r="F21" i="17"/>
  <c r="D21" i="17"/>
  <c r="J20" i="17"/>
  <c r="F20" i="17"/>
  <c r="D20" i="17"/>
  <c r="J19" i="17"/>
  <c r="F19" i="17"/>
  <c r="D19" i="17"/>
  <c r="J18" i="17"/>
  <c r="F18" i="17"/>
  <c r="D18" i="17"/>
  <c r="J17" i="17"/>
  <c r="F17" i="17"/>
  <c r="D17" i="17"/>
  <c r="J16" i="17"/>
  <c r="F16" i="17"/>
  <c r="D16" i="17"/>
  <c r="J15" i="17"/>
  <c r="F15" i="17"/>
  <c r="D15" i="17"/>
  <c r="J14" i="17"/>
  <c r="F14" i="17"/>
  <c r="D14" i="17"/>
  <c r="J13" i="17"/>
  <c r="F13" i="17"/>
  <c r="D13" i="17"/>
  <c r="M12" i="17"/>
  <c r="J12" i="17"/>
  <c r="F12" i="17"/>
  <c r="D12" i="17"/>
  <c r="J11" i="17"/>
  <c r="F11" i="17"/>
  <c r="D11" i="17"/>
  <c r="J10" i="17"/>
  <c r="F10" i="17"/>
  <c r="D10" i="17"/>
  <c r="M9" i="17"/>
  <c r="J9" i="17"/>
  <c r="F9" i="17"/>
  <c r="D9" i="17"/>
  <c r="J8" i="17"/>
  <c r="F8" i="17"/>
  <c r="D8" i="17"/>
  <c r="J7" i="17"/>
  <c r="F7" i="17"/>
  <c r="D7" i="17"/>
  <c r="J50" i="31"/>
  <c r="F50" i="31"/>
  <c r="D50" i="31"/>
  <c r="J49" i="31"/>
  <c r="F49" i="31"/>
  <c r="D49" i="31"/>
  <c r="J48" i="31"/>
  <c r="F48" i="31"/>
  <c r="D48" i="31"/>
  <c r="J47" i="31"/>
  <c r="F47" i="31"/>
  <c r="D47" i="31"/>
  <c r="J46" i="31"/>
  <c r="F46" i="31"/>
  <c r="D46" i="31"/>
  <c r="J45" i="31"/>
  <c r="F45" i="31"/>
  <c r="D45" i="31"/>
  <c r="J44" i="31"/>
  <c r="F44" i="31"/>
  <c r="D44" i="31"/>
  <c r="J43" i="31"/>
  <c r="F43" i="31"/>
  <c r="D43" i="31"/>
  <c r="J42" i="31"/>
  <c r="F42" i="31"/>
  <c r="D42" i="31"/>
  <c r="J41" i="31"/>
  <c r="F41" i="31"/>
  <c r="D41" i="31"/>
  <c r="J40" i="31"/>
  <c r="F40" i="31"/>
  <c r="D40" i="31"/>
  <c r="J39" i="31"/>
  <c r="F39" i="31"/>
  <c r="D39" i="31"/>
  <c r="J38" i="31"/>
  <c r="F38" i="31"/>
  <c r="D38" i="31"/>
  <c r="J37" i="31"/>
  <c r="F37" i="31"/>
  <c r="D37" i="31"/>
  <c r="J36" i="31"/>
  <c r="F36" i="31"/>
  <c r="D36" i="31"/>
  <c r="J35" i="31"/>
  <c r="F35" i="31"/>
  <c r="D35" i="31"/>
  <c r="J34" i="31"/>
  <c r="F34" i="31"/>
  <c r="D34" i="31"/>
  <c r="J33" i="31"/>
  <c r="F33" i="31"/>
  <c r="D33" i="31"/>
  <c r="J32" i="31"/>
  <c r="F32" i="31"/>
  <c r="D32" i="31"/>
  <c r="J31" i="31"/>
  <c r="F31" i="31"/>
  <c r="D31" i="31"/>
  <c r="J30" i="31"/>
  <c r="F30" i="31"/>
  <c r="D30" i="31"/>
  <c r="J29" i="31"/>
  <c r="F29" i="31"/>
  <c r="D29" i="31"/>
  <c r="J28" i="31"/>
  <c r="F28" i="31"/>
  <c r="D28" i="31"/>
  <c r="J27" i="31"/>
  <c r="F27" i="31"/>
  <c r="D27" i="31"/>
  <c r="J26" i="31"/>
  <c r="F26" i="31"/>
  <c r="D26" i="31"/>
  <c r="J25" i="31"/>
  <c r="F25" i="31"/>
  <c r="D25" i="31"/>
  <c r="J24" i="31"/>
  <c r="F24" i="31"/>
  <c r="D24" i="31"/>
  <c r="J23" i="31"/>
  <c r="F23" i="31"/>
  <c r="D23" i="31"/>
  <c r="J22" i="31"/>
  <c r="F22" i="31"/>
  <c r="D22" i="31"/>
  <c r="J21" i="31"/>
  <c r="F21" i="31"/>
  <c r="D21" i="31"/>
  <c r="J20" i="31"/>
  <c r="F20" i="31"/>
  <c r="D20" i="31"/>
  <c r="J19" i="31"/>
  <c r="F19" i="31"/>
  <c r="D19" i="31"/>
  <c r="J18" i="31"/>
  <c r="F18" i="31"/>
  <c r="D18" i="31"/>
  <c r="J17" i="31"/>
  <c r="F17" i="31"/>
  <c r="D17" i="31"/>
  <c r="J16" i="31"/>
  <c r="F16" i="31"/>
  <c r="D16" i="31"/>
  <c r="J15" i="31"/>
  <c r="F15" i="31"/>
  <c r="D15" i="31"/>
  <c r="J14" i="31"/>
  <c r="F14" i="31"/>
  <c r="D14" i="31"/>
  <c r="J13" i="31"/>
  <c r="F13" i="31"/>
  <c r="D13" i="31"/>
  <c r="M12" i="31"/>
  <c r="J12" i="31"/>
  <c r="F12" i="31"/>
  <c r="D12" i="31"/>
  <c r="J11" i="31"/>
  <c r="F11" i="31"/>
  <c r="D11" i="31"/>
  <c r="J10" i="31"/>
  <c r="F10" i="31"/>
  <c r="D10" i="31"/>
  <c r="M9" i="31"/>
  <c r="J9" i="31"/>
  <c r="F9" i="31"/>
  <c r="D9" i="31"/>
  <c r="J8" i="31"/>
  <c r="F8" i="31"/>
  <c r="D8" i="31"/>
  <c r="J7" i="31"/>
  <c r="F7" i="31"/>
  <c r="D7" i="31"/>
  <c r="J50" i="25"/>
  <c r="F50" i="25"/>
  <c r="D50" i="25"/>
  <c r="J49" i="25"/>
  <c r="F49" i="25"/>
  <c r="D49" i="25"/>
  <c r="J48" i="25"/>
  <c r="F48" i="25"/>
  <c r="D48" i="25"/>
  <c r="J47" i="25"/>
  <c r="F47" i="25"/>
  <c r="D47" i="25"/>
  <c r="J46" i="25"/>
  <c r="F46" i="25"/>
  <c r="D46" i="25"/>
  <c r="J45" i="25"/>
  <c r="F45" i="25"/>
  <c r="D45" i="25"/>
  <c r="J44" i="25"/>
  <c r="F44" i="25"/>
  <c r="D44" i="25"/>
  <c r="J43" i="25"/>
  <c r="F43" i="25"/>
  <c r="D43" i="25"/>
  <c r="J42" i="25"/>
  <c r="F42" i="25"/>
  <c r="D42" i="25"/>
  <c r="J41" i="25"/>
  <c r="F41" i="25"/>
  <c r="D41" i="25"/>
  <c r="J40" i="25"/>
  <c r="F40" i="25"/>
  <c r="D40" i="25"/>
  <c r="J39" i="25"/>
  <c r="F39" i="25"/>
  <c r="D39" i="25"/>
  <c r="J38" i="25"/>
  <c r="F38" i="25"/>
  <c r="D38" i="25"/>
  <c r="J37" i="25"/>
  <c r="F37" i="25"/>
  <c r="D37" i="25"/>
  <c r="J36" i="25"/>
  <c r="F36" i="25"/>
  <c r="D36" i="25"/>
  <c r="J35" i="25"/>
  <c r="F35" i="25"/>
  <c r="D35" i="25"/>
  <c r="J34" i="25"/>
  <c r="F34" i="25"/>
  <c r="D34" i="25"/>
  <c r="J33" i="25"/>
  <c r="F33" i="25"/>
  <c r="D33" i="25"/>
  <c r="J32" i="25"/>
  <c r="F32" i="25"/>
  <c r="D32" i="25"/>
  <c r="J31" i="25"/>
  <c r="F31" i="25"/>
  <c r="D31" i="25"/>
  <c r="J30" i="25"/>
  <c r="F30" i="25"/>
  <c r="D30" i="25"/>
  <c r="J29" i="25"/>
  <c r="F29" i="25"/>
  <c r="D29" i="25"/>
  <c r="J28" i="25"/>
  <c r="F28" i="25"/>
  <c r="D28" i="25"/>
  <c r="J27" i="25"/>
  <c r="F27" i="25"/>
  <c r="D27" i="25"/>
  <c r="J26" i="25"/>
  <c r="F26" i="25"/>
  <c r="D26" i="25"/>
  <c r="J25" i="25"/>
  <c r="F25" i="25"/>
  <c r="D25" i="25"/>
  <c r="J24" i="25"/>
  <c r="F24" i="25"/>
  <c r="D24" i="25"/>
  <c r="J23" i="25"/>
  <c r="F23" i="25"/>
  <c r="D23" i="25"/>
  <c r="J22" i="25"/>
  <c r="F22" i="25"/>
  <c r="D22" i="25"/>
  <c r="J21" i="25"/>
  <c r="F21" i="25"/>
  <c r="D21" i="25"/>
  <c r="J20" i="25"/>
  <c r="F20" i="25"/>
  <c r="D20" i="25"/>
  <c r="J19" i="25"/>
  <c r="F19" i="25"/>
  <c r="D19" i="25"/>
  <c r="J18" i="25"/>
  <c r="F18" i="25"/>
  <c r="D18" i="25"/>
  <c r="J17" i="25"/>
  <c r="F17" i="25"/>
  <c r="D17" i="25"/>
  <c r="J16" i="25"/>
  <c r="F16" i="25"/>
  <c r="D16" i="25"/>
  <c r="J15" i="25"/>
  <c r="F15" i="25"/>
  <c r="D15" i="25"/>
  <c r="J14" i="25"/>
  <c r="F14" i="25"/>
  <c r="D14" i="25"/>
  <c r="J13" i="25"/>
  <c r="F13" i="25"/>
  <c r="D13" i="25"/>
  <c r="M12" i="25"/>
  <c r="J12" i="25"/>
  <c r="F12" i="25"/>
  <c r="D12" i="25"/>
  <c r="J11" i="25"/>
  <c r="F11" i="25"/>
  <c r="D11" i="25"/>
  <c r="J10" i="25"/>
  <c r="F10" i="25"/>
  <c r="D10" i="25"/>
  <c r="M9" i="25"/>
  <c r="J9" i="25"/>
  <c r="F9" i="25"/>
  <c r="D9" i="25"/>
  <c r="J8" i="25"/>
  <c r="F8" i="25"/>
  <c r="D8" i="25"/>
  <c r="J7" i="25"/>
  <c r="F7" i="25"/>
  <c r="D7" i="25"/>
  <c r="J50" i="19"/>
  <c r="F50" i="19"/>
  <c r="D50" i="19"/>
  <c r="J49" i="19"/>
  <c r="F49" i="19"/>
  <c r="D49" i="19"/>
  <c r="J48" i="19"/>
  <c r="F48" i="19"/>
  <c r="D48" i="19"/>
  <c r="J47" i="19"/>
  <c r="F47" i="19"/>
  <c r="D47" i="19"/>
  <c r="J46" i="19"/>
  <c r="F46" i="19"/>
  <c r="D46" i="19"/>
  <c r="J45" i="19"/>
  <c r="F45" i="19"/>
  <c r="D45" i="19"/>
  <c r="J44" i="19"/>
  <c r="F44" i="19"/>
  <c r="D44" i="19"/>
  <c r="J43" i="19"/>
  <c r="F43" i="19"/>
  <c r="D43" i="19"/>
  <c r="J42" i="19"/>
  <c r="F42" i="19"/>
  <c r="D42" i="19"/>
  <c r="J41" i="19"/>
  <c r="F41" i="19"/>
  <c r="D41" i="19"/>
  <c r="J40" i="19"/>
  <c r="F40" i="19"/>
  <c r="D40" i="19"/>
  <c r="J39" i="19"/>
  <c r="F39" i="19"/>
  <c r="D39" i="19"/>
  <c r="J38" i="19"/>
  <c r="F38" i="19"/>
  <c r="D38" i="19"/>
  <c r="J37" i="19"/>
  <c r="F37" i="19"/>
  <c r="D37" i="19"/>
  <c r="J36" i="19"/>
  <c r="F36" i="19"/>
  <c r="D36" i="19"/>
  <c r="J35" i="19"/>
  <c r="F35" i="19"/>
  <c r="D35" i="19"/>
  <c r="J34" i="19"/>
  <c r="F34" i="19"/>
  <c r="D34" i="19"/>
  <c r="J33" i="19"/>
  <c r="F33" i="19"/>
  <c r="D33" i="19"/>
  <c r="J32" i="19"/>
  <c r="F32" i="19"/>
  <c r="D32" i="19"/>
  <c r="J31" i="19"/>
  <c r="F31" i="19"/>
  <c r="D31" i="19"/>
  <c r="J30" i="19"/>
  <c r="F30" i="19"/>
  <c r="D30" i="19"/>
  <c r="J29" i="19"/>
  <c r="F29" i="19"/>
  <c r="D29" i="19"/>
  <c r="J28" i="19"/>
  <c r="F28" i="19"/>
  <c r="D28" i="19"/>
  <c r="J27" i="19"/>
  <c r="F27" i="19"/>
  <c r="D27" i="19"/>
  <c r="J26" i="19"/>
  <c r="F26" i="19"/>
  <c r="D26" i="19"/>
  <c r="J25" i="19"/>
  <c r="F25" i="19"/>
  <c r="D25" i="19"/>
  <c r="J24" i="19"/>
  <c r="F24" i="19"/>
  <c r="D24" i="19"/>
  <c r="J23" i="19"/>
  <c r="F23" i="19"/>
  <c r="D23" i="19"/>
  <c r="J22" i="19"/>
  <c r="F22" i="19"/>
  <c r="D22" i="19"/>
  <c r="J21" i="19"/>
  <c r="F21" i="19"/>
  <c r="D21" i="19"/>
  <c r="J20" i="19"/>
  <c r="F20" i="19"/>
  <c r="D20" i="19"/>
  <c r="J19" i="19"/>
  <c r="F19" i="19"/>
  <c r="D19" i="19"/>
  <c r="J18" i="19"/>
  <c r="F18" i="19"/>
  <c r="D18" i="19"/>
  <c r="J17" i="19"/>
  <c r="F17" i="19"/>
  <c r="D17" i="19"/>
  <c r="J16" i="19"/>
  <c r="F16" i="19"/>
  <c r="D16" i="19"/>
  <c r="J15" i="19"/>
  <c r="F15" i="19"/>
  <c r="D15" i="19"/>
  <c r="J14" i="19"/>
  <c r="F14" i="19"/>
  <c r="D14" i="19"/>
  <c r="J13" i="19"/>
  <c r="F13" i="19"/>
  <c r="D13" i="19"/>
  <c r="M12" i="19"/>
  <c r="J12" i="19"/>
  <c r="F12" i="19"/>
  <c r="D12" i="19"/>
  <c r="J11" i="19"/>
  <c r="F11" i="19"/>
  <c r="D11" i="19"/>
  <c r="J10" i="19"/>
  <c r="F10" i="19"/>
  <c r="D10" i="19"/>
  <c r="M9" i="19"/>
  <c r="J9" i="19"/>
  <c r="F9" i="19"/>
  <c r="D9" i="19"/>
  <c r="J8" i="19"/>
  <c r="F8" i="19"/>
  <c r="D8" i="19"/>
  <c r="J7" i="19"/>
  <c r="F7" i="19"/>
  <c r="D7" i="19"/>
  <c r="J50" i="24"/>
  <c r="F50" i="24"/>
  <c r="D50" i="24"/>
  <c r="J49" i="24"/>
  <c r="F49" i="24"/>
  <c r="D49" i="24"/>
  <c r="J48" i="24"/>
  <c r="F48" i="24"/>
  <c r="D48" i="24"/>
  <c r="J47" i="24"/>
  <c r="F47" i="24"/>
  <c r="D47" i="24"/>
  <c r="J46" i="24"/>
  <c r="F46" i="24"/>
  <c r="D46" i="24"/>
  <c r="J45" i="24"/>
  <c r="F45" i="24"/>
  <c r="D45" i="24"/>
  <c r="J44" i="24"/>
  <c r="F44" i="24"/>
  <c r="D44" i="24"/>
  <c r="J43" i="24"/>
  <c r="F43" i="24"/>
  <c r="D43" i="24"/>
  <c r="J42" i="24"/>
  <c r="F42" i="24"/>
  <c r="D42" i="24"/>
  <c r="J41" i="24"/>
  <c r="F41" i="24"/>
  <c r="D41" i="24"/>
  <c r="J40" i="24"/>
  <c r="F40" i="24"/>
  <c r="D40" i="24"/>
  <c r="J39" i="24"/>
  <c r="F39" i="24"/>
  <c r="D39" i="24"/>
  <c r="J38" i="24"/>
  <c r="F38" i="24"/>
  <c r="D38" i="24"/>
  <c r="J37" i="24"/>
  <c r="F37" i="24"/>
  <c r="D37" i="24"/>
  <c r="J36" i="24"/>
  <c r="F36" i="24"/>
  <c r="D36" i="24"/>
  <c r="J35" i="24"/>
  <c r="F35" i="24"/>
  <c r="D35" i="24"/>
  <c r="J34" i="24"/>
  <c r="F34" i="24"/>
  <c r="D34" i="24"/>
  <c r="J33" i="24"/>
  <c r="F33" i="24"/>
  <c r="D33" i="24"/>
  <c r="J32" i="24"/>
  <c r="F32" i="24"/>
  <c r="D32" i="24"/>
  <c r="J31" i="24"/>
  <c r="F31" i="24"/>
  <c r="D31" i="24"/>
  <c r="J30" i="24"/>
  <c r="F30" i="24"/>
  <c r="D30" i="24"/>
  <c r="J29" i="24"/>
  <c r="F29" i="24"/>
  <c r="D29" i="24"/>
  <c r="J28" i="24"/>
  <c r="F28" i="24"/>
  <c r="D28" i="24"/>
  <c r="J27" i="24"/>
  <c r="F27" i="24"/>
  <c r="D27" i="24"/>
  <c r="J26" i="24"/>
  <c r="F26" i="24"/>
  <c r="D26" i="24"/>
  <c r="J25" i="24"/>
  <c r="F25" i="24"/>
  <c r="D25" i="24"/>
  <c r="J24" i="24"/>
  <c r="F24" i="24"/>
  <c r="D24" i="24"/>
  <c r="J23" i="24"/>
  <c r="F23" i="24"/>
  <c r="D23" i="24"/>
  <c r="J22" i="24"/>
  <c r="F22" i="24"/>
  <c r="D22" i="24"/>
  <c r="J21" i="24"/>
  <c r="F21" i="24"/>
  <c r="D21" i="24"/>
  <c r="J20" i="24"/>
  <c r="F20" i="24"/>
  <c r="D20" i="24"/>
  <c r="J19" i="24"/>
  <c r="F19" i="24"/>
  <c r="D19" i="24"/>
  <c r="J18" i="24"/>
  <c r="F18" i="24"/>
  <c r="D18" i="24"/>
  <c r="J17" i="24"/>
  <c r="F17" i="24"/>
  <c r="D17" i="24"/>
  <c r="J16" i="24"/>
  <c r="F16" i="24"/>
  <c r="D16" i="24"/>
  <c r="J15" i="24"/>
  <c r="F15" i="24"/>
  <c r="D15" i="24"/>
  <c r="J14" i="24"/>
  <c r="F14" i="24"/>
  <c r="D14" i="24"/>
  <c r="J13" i="24"/>
  <c r="F13" i="24"/>
  <c r="D13" i="24"/>
  <c r="M12" i="24"/>
  <c r="J12" i="24"/>
  <c r="F12" i="24"/>
  <c r="D12" i="24"/>
  <c r="J11" i="24"/>
  <c r="F11" i="24"/>
  <c r="D11" i="24"/>
  <c r="J10" i="24"/>
  <c r="F10" i="24"/>
  <c r="D10" i="24"/>
  <c r="M9" i="24"/>
  <c r="J9" i="24"/>
  <c r="F9" i="24"/>
  <c r="D9" i="24"/>
  <c r="J8" i="24"/>
  <c r="F8" i="24"/>
  <c r="D8" i="24"/>
  <c r="J7" i="24"/>
  <c r="F7" i="24"/>
  <c r="D7" i="24"/>
  <c r="J50" i="23"/>
  <c r="F50" i="23"/>
  <c r="D50" i="23"/>
  <c r="J49" i="23"/>
  <c r="F49" i="23"/>
  <c r="D49" i="23"/>
  <c r="J48" i="23"/>
  <c r="F48" i="23"/>
  <c r="D48" i="23"/>
  <c r="J47" i="23"/>
  <c r="F47" i="23"/>
  <c r="D47" i="23"/>
  <c r="J46" i="23"/>
  <c r="F46" i="23"/>
  <c r="D46" i="23"/>
  <c r="J45" i="23"/>
  <c r="F45" i="23"/>
  <c r="D45" i="23"/>
  <c r="J44" i="23"/>
  <c r="F44" i="23"/>
  <c r="D44" i="23"/>
  <c r="J43" i="23"/>
  <c r="F43" i="23"/>
  <c r="D43" i="23"/>
  <c r="J42" i="23"/>
  <c r="F42" i="23"/>
  <c r="D42" i="23"/>
  <c r="J41" i="23"/>
  <c r="F41" i="23"/>
  <c r="D41" i="23"/>
  <c r="J40" i="23"/>
  <c r="F40" i="23"/>
  <c r="D40" i="23"/>
  <c r="J39" i="23"/>
  <c r="F39" i="23"/>
  <c r="D39" i="23"/>
  <c r="J38" i="23"/>
  <c r="F38" i="23"/>
  <c r="D38" i="23"/>
  <c r="J37" i="23"/>
  <c r="F37" i="23"/>
  <c r="D37" i="23"/>
  <c r="J36" i="23"/>
  <c r="F36" i="23"/>
  <c r="D36" i="23"/>
  <c r="J35" i="23"/>
  <c r="F35" i="23"/>
  <c r="D35" i="23"/>
  <c r="J34" i="23"/>
  <c r="F34" i="23"/>
  <c r="D34" i="23"/>
  <c r="J33" i="23"/>
  <c r="F33" i="23"/>
  <c r="D33" i="23"/>
  <c r="J32" i="23"/>
  <c r="F32" i="23"/>
  <c r="D32" i="23"/>
  <c r="J31" i="23"/>
  <c r="F31" i="23"/>
  <c r="D31" i="23"/>
  <c r="J30" i="23"/>
  <c r="F30" i="23"/>
  <c r="D30" i="23"/>
  <c r="J29" i="23"/>
  <c r="F29" i="23"/>
  <c r="D29" i="23"/>
  <c r="J28" i="23"/>
  <c r="F28" i="23"/>
  <c r="D28" i="23"/>
  <c r="J27" i="23"/>
  <c r="F27" i="23"/>
  <c r="D27" i="23"/>
  <c r="J26" i="23"/>
  <c r="F26" i="23"/>
  <c r="D26" i="23"/>
  <c r="J25" i="23"/>
  <c r="F25" i="23"/>
  <c r="D25" i="23"/>
  <c r="J24" i="23"/>
  <c r="F24" i="23"/>
  <c r="D24" i="23"/>
  <c r="J23" i="23"/>
  <c r="F23" i="23"/>
  <c r="D23" i="23"/>
  <c r="J22" i="23"/>
  <c r="F22" i="23"/>
  <c r="D22" i="23"/>
  <c r="J21" i="23"/>
  <c r="F21" i="23"/>
  <c r="D21" i="23"/>
  <c r="J20" i="23"/>
  <c r="F20" i="23"/>
  <c r="D20" i="23"/>
  <c r="J19" i="23"/>
  <c r="F19" i="23"/>
  <c r="D19" i="23"/>
  <c r="J18" i="23"/>
  <c r="F18" i="23"/>
  <c r="D18" i="23"/>
  <c r="J17" i="23"/>
  <c r="F17" i="23"/>
  <c r="D17" i="23"/>
  <c r="J16" i="23"/>
  <c r="F16" i="23"/>
  <c r="D16" i="23"/>
  <c r="J15" i="23"/>
  <c r="F15" i="23"/>
  <c r="D15" i="23"/>
  <c r="J14" i="23"/>
  <c r="F14" i="23"/>
  <c r="D14" i="23"/>
  <c r="J13" i="23"/>
  <c r="F13" i="23"/>
  <c r="D13" i="23"/>
  <c r="M12" i="23"/>
  <c r="J12" i="23"/>
  <c r="F12" i="23"/>
  <c r="D12" i="23"/>
  <c r="J11" i="23"/>
  <c r="F11" i="23"/>
  <c r="D11" i="23"/>
  <c r="J10" i="23"/>
  <c r="F10" i="23"/>
  <c r="D10" i="23"/>
  <c r="M9" i="23"/>
  <c r="J9" i="23"/>
  <c r="F9" i="23"/>
  <c r="D9" i="23"/>
  <c r="J8" i="23"/>
  <c r="F8" i="23"/>
  <c r="J7" i="23"/>
  <c r="F7" i="23"/>
  <c r="D7" i="23"/>
  <c r="J50" i="22"/>
  <c r="F50" i="22"/>
  <c r="D50" i="22"/>
  <c r="J49" i="22"/>
  <c r="F49" i="22"/>
  <c r="D49" i="22"/>
  <c r="J48" i="22"/>
  <c r="F48" i="22"/>
  <c r="D48" i="22"/>
  <c r="J47" i="22"/>
  <c r="F47" i="22"/>
  <c r="D47" i="22"/>
  <c r="J46" i="22"/>
  <c r="F46" i="22"/>
  <c r="D46" i="22"/>
  <c r="J45" i="22"/>
  <c r="F45" i="22"/>
  <c r="D45" i="22"/>
  <c r="J44" i="22"/>
  <c r="F44" i="22"/>
  <c r="D44" i="22"/>
  <c r="J43" i="22"/>
  <c r="F43" i="22"/>
  <c r="D43" i="22"/>
  <c r="J42" i="22"/>
  <c r="F42" i="22"/>
  <c r="D42" i="22"/>
  <c r="J41" i="22"/>
  <c r="F41" i="22"/>
  <c r="D41" i="22"/>
  <c r="J40" i="22"/>
  <c r="F40" i="22"/>
  <c r="D40" i="22"/>
  <c r="J39" i="22"/>
  <c r="F39" i="22"/>
  <c r="D39" i="22"/>
  <c r="J38" i="22"/>
  <c r="F38" i="22"/>
  <c r="D38" i="22"/>
  <c r="J37" i="22"/>
  <c r="F37" i="22"/>
  <c r="D37" i="22"/>
  <c r="J36" i="22"/>
  <c r="F36" i="22"/>
  <c r="D36" i="22"/>
  <c r="J35" i="22"/>
  <c r="F35" i="22"/>
  <c r="D35" i="22"/>
  <c r="J34" i="22"/>
  <c r="F34" i="22"/>
  <c r="D34" i="22"/>
  <c r="J33" i="22"/>
  <c r="F33" i="22"/>
  <c r="D33" i="22"/>
  <c r="J32" i="22"/>
  <c r="F32" i="22"/>
  <c r="D32" i="22"/>
  <c r="J31" i="22"/>
  <c r="F31" i="22"/>
  <c r="D31" i="22"/>
  <c r="J30" i="22"/>
  <c r="F30" i="22"/>
  <c r="D30" i="22"/>
  <c r="J29" i="22"/>
  <c r="F29" i="22"/>
  <c r="D29" i="22"/>
  <c r="J28" i="22"/>
  <c r="F28" i="22"/>
  <c r="D28" i="22"/>
  <c r="J27" i="22"/>
  <c r="F27" i="22"/>
  <c r="D27" i="22"/>
  <c r="J26" i="22"/>
  <c r="F26" i="22"/>
  <c r="D26" i="22"/>
  <c r="J25" i="22"/>
  <c r="F25" i="22"/>
  <c r="D25" i="22"/>
  <c r="J24" i="22"/>
  <c r="F24" i="22"/>
  <c r="D24" i="22"/>
  <c r="J23" i="22"/>
  <c r="F23" i="22"/>
  <c r="D23" i="22"/>
  <c r="J22" i="22"/>
  <c r="F22" i="22"/>
  <c r="D22" i="22"/>
  <c r="J21" i="22"/>
  <c r="F21" i="22"/>
  <c r="D21" i="22"/>
  <c r="J20" i="22"/>
  <c r="F20" i="22"/>
  <c r="D20" i="22"/>
  <c r="J19" i="22"/>
  <c r="F19" i="22"/>
  <c r="D19" i="22"/>
  <c r="J18" i="22"/>
  <c r="F18" i="22"/>
  <c r="D18" i="22"/>
  <c r="J17" i="22"/>
  <c r="F17" i="22"/>
  <c r="D17" i="22"/>
  <c r="J16" i="22"/>
  <c r="F16" i="22"/>
  <c r="D16" i="22"/>
  <c r="J15" i="22"/>
  <c r="F15" i="22"/>
  <c r="D15" i="22"/>
  <c r="J14" i="22"/>
  <c r="F14" i="22"/>
  <c r="D14" i="22"/>
  <c r="J13" i="22"/>
  <c r="F13" i="22"/>
  <c r="D13" i="22"/>
  <c r="M12" i="22"/>
  <c r="J12" i="22"/>
  <c r="F12" i="22"/>
  <c r="D12" i="22"/>
  <c r="J11" i="22"/>
  <c r="F11" i="22"/>
  <c r="D11" i="22"/>
  <c r="J10" i="22"/>
  <c r="F10" i="22"/>
  <c r="D10" i="22"/>
  <c r="M9" i="22"/>
  <c r="J9" i="22"/>
  <c r="F9" i="22"/>
  <c r="D9" i="22"/>
  <c r="J8" i="22"/>
  <c r="F8" i="22"/>
  <c r="D8" i="22"/>
  <c r="J7" i="22"/>
  <c r="F7" i="22"/>
  <c r="D7" i="22"/>
  <c r="J50" i="18"/>
  <c r="F50" i="18"/>
  <c r="F49" i="18"/>
  <c r="J48" i="18"/>
  <c r="F48" i="18"/>
  <c r="F47" i="18"/>
  <c r="J46" i="18"/>
  <c r="F46" i="18"/>
  <c r="J45" i="18"/>
  <c r="F45" i="18"/>
  <c r="F44" i="18"/>
  <c r="F43" i="18"/>
  <c r="J42" i="18"/>
  <c r="F42" i="18"/>
  <c r="F41" i="18"/>
  <c r="J40" i="18"/>
  <c r="F40" i="18"/>
  <c r="F39" i="18"/>
  <c r="J38" i="18"/>
  <c r="F38" i="18"/>
  <c r="J37" i="18"/>
  <c r="F37" i="18"/>
  <c r="J36" i="18"/>
  <c r="F36" i="18"/>
  <c r="F35" i="18"/>
  <c r="J34" i="18"/>
  <c r="F34" i="18"/>
  <c r="J33" i="18"/>
  <c r="F33" i="18"/>
  <c r="J32" i="18"/>
  <c r="F32" i="18"/>
  <c r="F31" i="18"/>
  <c r="J30" i="18"/>
  <c r="F30" i="18"/>
  <c r="J29" i="18"/>
  <c r="F29" i="18"/>
  <c r="F28" i="18"/>
  <c r="F27" i="18"/>
  <c r="J26" i="18"/>
  <c r="F26" i="18"/>
  <c r="F25" i="18"/>
  <c r="J24" i="18"/>
  <c r="F24" i="18"/>
  <c r="F23" i="18"/>
  <c r="J22" i="18"/>
  <c r="F22" i="18"/>
  <c r="J21" i="18"/>
  <c r="F21" i="18"/>
  <c r="F20" i="18"/>
  <c r="F19" i="18"/>
  <c r="J18" i="18"/>
  <c r="F18" i="18"/>
  <c r="F17" i="18"/>
  <c r="J16" i="18"/>
  <c r="F16" i="18"/>
  <c r="F15" i="18"/>
  <c r="J14" i="18"/>
  <c r="F14" i="18"/>
  <c r="J13" i="18"/>
  <c r="F13" i="18"/>
  <c r="M12" i="18"/>
  <c r="F12" i="18"/>
  <c r="F11" i="18"/>
  <c r="F10" i="18"/>
  <c r="M9" i="18"/>
  <c r="J9" i="18"/>
  <c r="F9" i="18"/>
  <c r="F8" i="18"/>
  <c r="F7" i="18"/>
  <c r="F50" i="21"/>
  <c r="F49" i="21"/>
  <c r="J48" i="21"/>
  <c r="F48" i="21"/>
  <c r="F47" i="21"/>
  <c r="F46" i="21"/>
  <c r="D46" i="21"/>
  <c r="J45" i="21"/>
  <c r="F45" i="21"/>
  <c r="F44" i="21"/>
  <c r="F43" i="21"/>
  <c r="J42" i="21"/>
  <c r="F42" i="21"/>
  <c r="F41" i="21"/>
  <c r="F40" i="21"/>
  <c r="F39" i="21"/>
  <c r="F38" i="21"/>
  <c r="D38" i="21"/>
  <c r="F37" i="21"/>
  <c r="F36" i="21"/>
  <c r="F35" i="21"/>
  <c r="F34" i="21"/>
  <c r="F33" i="21"/>
  <c r="F32" i="21"/>
  <c r="F31" i="21"/>
  <c r="F30" i="21"/>
  <c r="D30" i="21"/>
  <c r="F29" i="21"/>
  <c r="F28" i="21"/>
  <c r="F27" i="21"/>
  <c r="F26" i="21"/>
  <c r="F25" i="21"/>
  <c r="F24" i="21"/>
  <c r="F23" i="21"/>
  <c r="F22" i="21"/>
  <c r="D22" i="21"/>
  <c r="F21" i="21"/>
  <c r="D21" i="21"/>
  <c r="F20" i="21"/>
  <c r="F19" i="21"/>
  <c r="F18" i="21"/>
  <c r="F17" i="21"/>
  <c r="F16" i="21"/>
  <c r="F15" i="21"/>
  <c r="F14" i="21"/>
  <c r="F13" i="21"/>
  <c r="D13" i="21"/>
  <c r="M12" i="21"/>
  <c r="F12" i="21"/>
  <c r="F11" i="21"/>
  <c r="J10" i="21"/>
  <c r="F10" i="21"/>
  <c r="M9" i="21"/>
  <c r="F9" i="21"/>
  <c r="F8" i="21"/>
  <c r="F7" i="21"/>
  <c r="J50" i="20"/>
  <c r="F50" i="20"/>
  <c r="J49" i="20"/>
  <c r="F49" i="20"/>
  <c r="J48" i="20"/>
  <c r="F48" i="20"/>
  <c r="F47" i="20"/>
  <c r="J46" i="20"/>
  <c r="F46" i="20"/>
  <c r="F45" i="20"/>
  <c r="J44" i="20"/>
  <c r="F44" i="20"/>
  <c r="F43" i="20"/>
  <c r="J42" i="20"/>
  <c r="F42" i="20"/>
  <c r="J41" i="20"/>
  <c r="F41" i="20"/>
  <c r="F40" i="20"/>
  <c r="F39" i="20"/>
  <c r="J38" i="20"/>
  <c r="F38" i="20"/>
  <c r="F37" i="20"/>
  <c r="D37" i="20"/>
  <c r="J36" i="20"/>
  <c r="F36" i="20"/>
  <c r="F35" i="20"/>
  <c r="J34" i="20"/>
  <c r="F34" i="20"/>
  <c r="D34" i="20"/>
  <c r="J33" i="20"/>
  <c r="F33" i="20"/>
  <c r="F32" i="20"/>
  <c r="F31" i="20"/>
  <c r="J30" i="20"/>
  <c r="F30" i="20"/>
  <c r="F29" i="20"/>
  <c r="F28" i="20"/>
  <c r="F27" i="20"/>
  <c r="J26" i="20"/>
  <c r="F26" i="20"/>
  <c r="D26" i="20"/>
  <c r="J25" i="20"/>
  <c r="F25" i="20"/>
  <c r="F24" i="20"/>
  <c r="F23" i="20"/>
  <c r="J22" i="20"/>
  <c r="F22" i="20"/>
  <c r="F21" i="20"/>
  <c r="J20" i="20"/>
  <c r="F20" i="20"/>
  <c r="F19" i="20"/>
  <c r="F18" i="20"/>
  <c r="J17" i="20"/>
  <c r="F17" i="20"/>
  <c r="F16" i="20"/>
  <c r="F15" i="20"/>
  <c r="J14" i="20"/>
  <c r="F14" i="20"/>
  <c r="F13" i="20"/>
  <c r="M12" i="20"/>
  <c r="J12" i="20"/>
  <c r="F12" i="20"/>
  <c r="F11" i="20"/>
  <c r="F10" i="20"/>
  <c r="M9" i="20"/>
  <c r="J9" i="20"/>
  <c r="F9" i="20"/>
  <c r="F8" i="20"/>
  <c r="F7" i="20"/>
  <c r="N15" i="33" l="1"/>
  <c r="D22" i="33"/>
  <c r="H16" i="33"/>
  <c r="L22" i="33"/>
  <c r="F53" i="35"/>
  <c r="F53" i="22"/>
  <c r="F53" i="40"/>
  <c r="F53" i="24"/>
  <c r="F53" i="31"/>
  <c r="F53" i="19"/>
  <c r="F53" i="25"/>
  <c r="H34" i="33"/>
  <c r="F53" i="37"/>
  <c r="F53" i="36"/>
  <c r="F53" i="17"/>
  <c r="F53" i="38"/>
  <c r="F53" i="23"/>
  <c r="F53" i="34"/>
  <c r="F53" i="18"/>
  <c r="F53" i="20"/>
  <c r="F53" i="21"/>
  <c r="J53" i="21"/>
  <c r="J53" i="24"/>
  <c r="J53" i="17"/>
  <c r="J53" i="37"/>
  <c r="J53" i="23"/>
  <c r="J53" i="31"/>
  <c r="J53" i="36"/>
  <c r="J53" i="18"/>
  <c r="J53" i="25"/>
  <c r="J53" i="35"/>
  <c r="J53" i="40"/>
  <c r="J53" i="20"/>
  <c r="J53" i="22"/>
  <c r="J53" i="19"/>
  <c r="J53" i="34"/>
  <c r="J53" i="38"/>
  <c r="D53" i="23"/>
  <c r="D53" i="19"/>
  <c r="D53" i="31"/>
  <c r="D53" i="34"/>
  <c r="D53" i="36"/>
  <c r="D53" i="38"/>
  <c r="D53" i="21"/>
  <c r="D53" i="24"/>
  <c r="D53" i="25"/>
  <c r="D53" i="17"/>
  <c r="D53" i="35"/>
  <c r="D53" i="37"/>
  <c r="D53" i="40"/>
  <c r="D53" i="22"/>
  <c r="D53" i="20"/>
  <c r="M9" i="27"/>
  <c r="A53" i="27"/>
  <c r="D4" i="33" s="1"/>
  <c r="F50" i="27"/>
  <c r="F49" i="27"/>
  <c r="F48" i="27"/>
  <c r="F47" i="27"/>
  <c r="F46" i="27"/>
  <c r="F45" i="27"/>
  <c r="F44" i="27"/>
  <c r="F43" i="27"/>
  <c r="F42" i="27"/>
  <c r="F41" i="27"/>
  <c r="F40" i="27"/>
  <c r="F39" i="27"/>
  <c r="F38" i="27"/>
  <c r="F37" i="27"/>
  <c r="F36" i="27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E16" i="33" l="1"/>
  <c r="I34" i="33"/>
  <c r="M28" i="33"/>
  <c r="I28" i="33"/>
  <c r="I10" i="33"/>
  <c r="M10" i="33"/>
  <c r="I22" i="33"/>
  <c r="I4" i="33"/>
  <c r="M16" i="33"/>
  <c r="E28" i="33"/>
  <c r="I16" i="33"/>
  <c r="E34" i="33"/>
  <c r="E10" i="33"/>
  <c r="M22" i="33"/>
  <c r="M4" i="33"/>
  <c r="F53" i="27"/>
  <c r="Q15" i="33" s="1"/>
  <c r="M12" i="27"/>
  <c r="J50" i="27"/>
  <c r="V49" i="33" s="1"/>
  <c r="J49" i="27"/>
  <c r="V48" i="33" s="1"/>
  <c r="J48" i="27"/>
  <c r="V47" i="33" s="1"/>
  <c r="J47" i="27"/>
  <c r="V46" i="33" s="1"/>
  <c r="J46" i="27"/>
  <c r="V45" i="33" s="1"/>
  <c r="J45" i="27"/>
  <c r="V44" i="33" s="1"/>
  <c r="J44" i="27"/>
  <c r="V43" i="33" s="1"/>
  <c r="J43" i="27"/>
  <c r="V42" i="33" s="1"/>
  <c r="J42" i="27"/>
  <c r="V41" i="33" s="1"/>
  <c r="J41" i="27"/>
  <c r="V40" i="33" s="1"/>
  <c r="J40" i="27"/>
  <c r="V39" i="33" s="1"/>
  <c r="J39" i="27"/>
  <c r="V38" i="33" s="1"/>
  <c r="J38" i="27"/>
  <c r="V37" i="33" s="1"/>
  <c r="J37" i="27"/>
  <c r="V36" i="33" s="1"/>
  <c r="J36" i="27"/>
  <c r="V35" i="33" s="1"/>
  <c r="J35" i="27"/>
  <c r="V34" i="33" s="1"/>
  <c r="J34" i="27"/>
  <c r="V33" i="33" s="1"/>
  <c r="J33" i="27"/>
  <c r="V32" i="33" s="1"/>
  <c r="J32" i="27"/>
  <c r="V31" i="33" s="1"/>
  <c r="J31" i="27"/>
  <c r="V30" i="33" s="1"/>
  <c r="J30" i="27"/>
  <c r="V29" i="33" s="1"/>
  <c r="J29" i="27"/>
  <c r="V28" i="33" s="1"/>
  <c r="J28" i="27"/>
  <c r="V27" i="33" s="1"/>
  <c r="J27" i="27"/>
  <c r="V26" i="33" s="1"/>
  <c r="J26" i="27"/>
  <c r="V25" i="33" s="1"/>
  <c r="J25" i="27"/>
  <c r="V24" i="33" s="1"/>
  <c r="J24" i="27"/>
  <c r="V23" i="33" s="1"/>
  <c r="J23" i="27"/>
  <c r="V22" i="33" s="1"/>
  <c r="J22" i="27"/>
  <c r="V21" i="33" s="1"/>
  <c r="J21" i="27"/>
  <c r="V20" i="33" s="1"/>
  <c r="J20" i="27"/>
  <c r="V19" i="33" s="1"/>
  <c r="J19" i="27"/>
  <c r="V18" i="33" s="1"/>
  <c r="J18" i="27"/>
  <c r="V17" i="33" s="1"/>
  <c r="J17" i="27"/>
  <c r="V16" i="33" s="1"/>
  <c r="J16" i="27"/>
  <c r="V15" i="33" s="1"/>
  <c r="J15" i="27"/>
  <c r="V14" i="33" s="1"/>
  <c r="J14" i="27"/>
  <c r="V13" i="33" s="1"/>
  <c r="J13" i="27"/>
  <c r="V12" i="33" s="1"/>
  <c r="J12" i="27"/>
  <c r="V11" i="33" s="1"/>
  <c r="J11" i="27"/>
  <c r="V10" i="33" s="1"/>
  <c r="J10" i="27"/>
  <c r="V9" i="33" s="1"/>
  <c r="J9" i="27"/>
  <c r="V8" i="33" s="1"/>
  <c r="G3" i="39" l="1"/>
  <c r="G4" i="39"/>
  <c r="H4" i="39" s="1"/>
  <c r="G5" i="39"/>
  <c r="H5" i="39" s="1"/>
  <c r="G6" i="39"/>
  <c r="H6" i="39" s="1"/>
  <c r="G7" i="39"/>
  <c r="H7" i="39" s="1"/>
  <c r="G8" i="39"/>
  <c r="H8" i="39" s="1"/>
  <c r="G9" i="39"/>
  <c r="H9" i="39" s="1"/>
  <c r="G10" i="39"/>
  <c r="G11" i="39"/>
  <c r="H11" i="39" s="1"/>
  <c r="G12" i="39"/>
  <c r="H12" i="39" s="1"/>
  <c r="G13" i="39"/>
  <c r="H13" i="39" s="1"/>
  <c r="G14" i="39"/>
  <c r="H14" i="39" s="1"/>
  <c r="G15" i="39"/>
  <c r="H15" i="39" s="1"/>
  <c r="G16" i="39"/>
  <c r="H16" i="39" s="1"/>
  <c r="G17" i="39"/>
  <c r="H17" i="39" s="1"/>
  <c r="G18" i="39"/>
  <c r="H18" i="39" s="1"/>
  <c r="G19" i="39"/>
  <c r="H19" i="39" s="1"/>
  <c r="G20" i="39"/>
  <c r="H20" i="39" s="1"/>
  <c r="G21" i="39"/>
  <c r="H21" i="39" s="1"/>
  <c r="G22" i="39"/>
  <c r="H22" i="39" s="1"/>
  <c r="G23" i="39"/>
  <c r="H23" i="39" s="1"/>
  <c r="G24" i="39"/>
  <c r="H24" i="39" s="1"/>
  <c r="G25" i="39"/>
  <c r="H25" i="39" s="1"/>
  <c r="G26" i="39"/>
  <c r="H26" i="39" s="1"/>
  <c r="G27" i="39"/>
  <c r="H27" i="39" s="1"/>
  <c r="G28" i="39"/>
  <c r="G29" i="39"/>
  <c r="H29" i="39" s="1"/>
  <c r="G30" i="39"/>
  <c r="H30" i="39" s="1"/>
  <c r="G31" i="39"/>
  <c r="H31" i="39" s="1"/>
  <c r="G32" i="39"/>
  <c r="H32" i="39" s="1"/>
  <c r="G33" i="39"/>
  <c r="H33" i="39" s="1"/>
  <c r="G34" i="39"/>
  <c r="H34" i="39" s="1"/>
  <c r="G35" i="39"/>
  <c r="G36" i="39"/>
  <c r="H36" i="39" s="1"/>
  <c r="G37" i="39"/>
  <c r="H37" i="39" s="1"/>
  <c r="G38" i="39"/>
  <c r="H38" i="39" s="1"/>
  <c r="G39" i="39"/>
  <c r="H39" i="39" s="1"/>
  <c r="G40" i="39"/>
  <c r="H40" i="39" s="1"/>
  <c r="G41" i="39"/>
  <c r="H41" i="39" s="1"/>
  <c r="G42" i="39"/>
  <c r="H42" i="39" s="1"/>
  <c r="G43" i="39"/>
  <c r="H43" i="39" s="1"/>
  <c r="G44" i="39"/>
  <c r="H44" i="39" s="1"/>
  <c r="G45" i="39"/>
  <c r="H45" i="39" s="1"/>
  <c r="G46" i="39"/>
  <c r="H46" i="39" s="1"/>
  <c r="G47" i="39"/>
  <c r="H47" i="39" s="1"/>
  <c r="G48" i="39"/>
  <c r="H48" i="39" s="1"/>
  <c r="G49" i="39"/>
  <c r="H49" i="39" s="1"/>
  <c r="G50" i="39"/>
  <c r="H50" i="39" s="1"/>
  <c r="G51" i="39"/>
  <c r="G52" i="39"/>
  <c r="H52" i="39" s="1"/>
  <c r="G53" i="39"/>
  <c r="H53" i="39" s="1"/>
  <c r="G54" i="39"/>
  <c r="H54" i="39" s="1"/>
  <c r="G55" i="39"/>
  <c r="H55" i="39" s="1"/>
  <c r="G56" i="39"/>
  <c r="H56" i="39" s="1"/>
  <c r="G57" i="39"/>
  <c r="H57" i="39" s="1"/>
  <c r="G58" i="39"/>
  <c r="H58" i="39" s="1"/>
  <c r="G59" i="39"/>
  <c r="H59" i="39" s="1"/>
  <c r="G60" i="39"/>
  <c r="G61" i="39"/>
  <c r="H61" i="39" s="1"/>
  <c r="G62" i="39"/>
  <c r="H62" i="39" s="1"/>
  <c r="G63" i="39"/>
  <c r="H63" i="39" s="1"/>
  <c r="G64" i="39"/>
  <c r="H64" i="39" s="1"/>
  <c r="G65" i="39"/>
  <c r="H65" i="39" s="1"/>
  <c r="G66" i="39"/>
  <c r="H66" i="39" s="1"/>
  <c r="G67" i="39"/>
  <c r="H67" i="39" s="1"/>
  <c r="G68" i="39"/>
  <c r="H68" i="39" s="1"/>
  <c r="G69" i="39"/>
  <c r="H69" i="39" s="1"/>
  <c r="G70" i="39"/>
  <c r="H70" i="39" s="1"/>
  <c r="G71" i="39"/>
  <c r="H71" i="39" s="1"/>
  <c r="G72" i="39"/>
  <c r="H72" i="39" s="1"/>
  <c r="G73" i="39"/>
  <c r="H73" i="39" s="1"/>
  <c r="G74" i="39"/>
  <c r="H74" i="39" s="1"/>
  <c r="G75" i="39"/>
  <c r="H75" i="39" s="1"/>
  <c r="G76" i="39"/>
  <c r="H76" i="39" s="1"/>
  <c r="G77" i="39"/>
  <c r="H77" i="39" s="1"/>
  <c r="G78" i="39"/>
  <c r="H78" i="39" s="1"/>
  <c r="G79" i="39"/>
  <c r="H79" i="39" s="1"/>
  <c r="G80" i="39"/>
  <c r="H80" i="39" s="1"/>
  <c r="G81" i="39"/>
  <c r="H81" i="39" s="1"/>
  <c r="G82" i="39"/>
  <c r="H82" i="39" s="1"/>
  <c r="G83" i="39"/>
  <c r="H83" i="39" s="1"/>
  <c r="G84" i="39"/>
  <c r="H84" i="39" s="1"/>
  <c r="G85" i="39"/>
  <c r="H85" i="39" s="1"/>
  <c r="G86" i="39"/>
  <c r="H86" i="39" s="1"/>
  <c r="G87" i="39"/>
  <c r="H87" i="39" s="1"/>
  <c r="G88" i="39"/>
  <c r="H88" i="39" s="1"/>
  <c r="G89" i="39"/>
  <c r="H89" i="39" s="1"/>
  <c r="G90" i="39"/>
  <c r="H90" i="39" s="1"/>
  <c r="G91" i="39"/>
  <c r="H91" i="39" s="1"/>
  <c r="G92" i="39"/>
  <c r="H92" i="39" s="1"/>
  <c r="G93" i="39"/>
  <c r="H93" i="39" s="1"/>
  <c r="G94" i="39"/>
  <c r="H94" i="39" s="1"/>
  <c r="G95" i="39"/>
  <c r="H95" i="39" s="1"/>
  <c r="G96" i="39"/>
  <c r="H96" i="39" s="1"/>
  <c r="G97" i="39"/>
  <c r="H97" i="39" s="1"/>
  <c r="G98" i="39"/>
  <c r="H98" i="39" s="1"/>
  <c r="G99" i="39"/>
  <c r="H99" i="39" s="1"/>
  <c r="G100" i="39"/>
  <c r="H100" i="39" s="1"/>
  <c r="G101" i="39"/>
  <c r="H101" i="39" s="1"/>
  <c r="G102" i="39"/>
  <c r="H102" i="39" s="1"/>
  <c r="G103" i="39"/>
  <c r="H103" i="39" s="1"/>
  <c r="G104" i="39"/>
  <c r="H104" i="39" s="1"/>
  <c r="G105" i="39"/>
  <c r="H105" i="39" s="1"/>
  <c r="G106" i="39"/>
  <c r="H106" i="39" s="1"/>
  <c r="G107" i="39"/>
  <c r="H107" i="39" s="1"/>
  <c r="G108" i="39"/>
  <c r="G109" i="39"/>
  <c r="H109" i="39" s="1"/>
  <c r="G110" i="39"/>
  <c r="H110" i="39" s="1"/>
  <c r="G111" i="39"/>
  <c r="H111" i="39" s="1"/>
  <c r="G112" i="39"/>
  <c r="H112" i="39" s="1"/>
  <c r="G113" i="39"/>
  <c r="H113" i="39" s="1"/>
  <c r="G114" i="39"/>
  <c r="H114" i="39" s="1"/>
  <c r="G115" i="39"/>
  <c r="H115" i="39" s="1"/>
  <c r="G116" i="39"/>
  <c r="H116" i="39" s="1"/>
  <c r="G117" i="39"/>
  <c r="H117" i="39" s="1"/>
  <c r="G118" i="39"/>
  <c r="H118" i="39" s="1"/>
  <c r="G119" i="39"/>
  <c r="H119" i="39" s="1"/>
  <c r="G120" i="39"/>
  <c r="H120" i="39" s="1"/>
  <c r="G121" i="39"/>
  <c r="H121" i="39" s="1"/>
  <c r="G122" i="39"/>
  <c r="H122" i="39" s="1"/>
  <c r="G123" i="39"/>
  <c r="H123" i="39" s="1"/>
  <c r="G124" i="39"/>
  <c r="G125" i="39"/>
  <c r="H125" i="39" s="1"/>
  <c r="G126" i="39"/>
  <c r="H126" i="39" s="1"/>
  <c r="G127" i="39"/>
  <c r="H127" i="39" s="1"/>
  <c r="G128" i="39"/>
  <c r="H128" i="39" s="1"/>
  <c r="G129" i="39"/>
  <c r="H129" i="39" s="1"/>
  <c r="G130" i="39"/>
  <c r="H130" i="39" s="1"/>
  <c r="G131" i="39"/>
  <c r="G132" i="39"/>
  <c r="H132" i="39" s="1"/>
  <c r="G133" i="39"/>
  <c r="H133" i="39" s="1"/>
  <c r="G134" i="39"/>
  <c r="H134" i="39" s="1"/>
  <c r="G135" i="39"/>
  <c r="H135" i="39" s="1"/>
  <c r="G136" i="39"/>
  <c r="H136" i="39" s="1"/>
  <c r="G137" i="39"/>
  <c r="H137" i="39" s="1"/>
  <c r="G138" i="39"/>
  <c r="H138" i="39" s="1"/>
  <c r="G139" i="39"/>
  <c r="H139" i="39" s="1"/>
  <c r="G140" i="39"/>
  <c r="H140" i="39" s="1"/>
  <c r="G141" i="39"/>
  <c r="H141" i="39" s="1"/>
  <c r="G142" i="39"/>
  <c r="H142" i="39" s="1"/>
  <c r="G143" i="39"/>
  <c r="H143" i="39" s="1"/>
  <c r="G144" i="39"/>
  <c r="H144" i="39" s="1"/>
  <c r="G145" i="39"/>
  <c r="H145" i="39" s="1"/>
  <c r="G146" i="39"/>
  <c r="H146" i="39" s="1"/>
  <c r="G147" i="39"/>
  <c r="H147" i="39" s="1"/>
  <c r="G148" i="39"/>
  <c r="H148" i="39" s="1"/>
  <c r="G149" i="39"/>
  <c r="H149" i="39" s="1"/>
  <c r="G150" i="39"/>
  <c r="H150" i="39" s="1"/>
  <c r="G151" i="39"/>
  <c r="H151" i="39" s="1"/>
  <c r="G152" i="39"/>
  <c r="H152" i="39" s="1"/>
  <c r="G153" i="39"/>
  <c r="H153" i="39" s="1"/>
  <c r="G154" i="39"/>
  <c r="H154" i="39" s="1"/>
  <c r="G155" i="39"/>
  <c r="H155" i="39" s="1"/>
  <c r="G156" i="39"/>
  <c r="H156" i="39" s="1"/>
  <c r="G157" i="39"/>
  <c r="H157" i="39" s="1"/>
  <c r="G158" i="39"/>
  <c r="H158" i="39" s="1"/>
  <c r="G159" i="39"/>
  <c r="H159" i="39" s="1"/>
  <c r="G160" i="39"/>
  <c r="H160" i="39" s="1"/>
  <c r="G161" i="39"/>
  <c r="H161" i="39" s="1"/>
  <c r="G162" i="39"/>
  <c r="H162" i="39" s="1"/>
  <c r="G163" i="39"/>
  <c r="H163" i="39" s="1"/>
  <c r="G164" i="39"/>
  <c r="H164" i="39" s="1"/>
  <c r="G165" i="39"/>
  <c r="H165" i="39" s="1"/>
  <c r="G166" i="39"/>
  <c r="H166" i="39" s="1"/>
  <c r="G167" i="39"/>
  <c r="H167" i="39" s="1"/>
  <c r="G168" i="39"/>
  <c r="H168" i="39" s="1"/>
  <c r="G169" i="39"/>
  <c r="H169" i="39" s="1"/>
  <c r="G170" i="39"/>
  <c r="H170" i="39" s="1"/>
  <c r="G171" i="39"/>
  <c r="H171" i="39" s="1"/>
  <c r="G172" i="39"/>
  <c r="H172" i="39" s="1"/>
  <c r="G173" i="39"/>
  <c r="H173" i="39" s="1"/>
  <c r="G174" i="39"/>
  <c r="H174" i="39" s="1"/>
  <c r="G175" i="39"/>
  <c r="H175" i="39" s="1"/>
  <c r="G176" i="39"/>
  <c r="H176" i="39" s="1"/>
  <c r="G177" i="39"/>
  <c r="H177" i="39" s="1"/>
  <c r="G178" i="39"/>
  <c r="H178" i="39" s="1"/>
  <c r="G179" i="39"/>
  <c r="H179" i="39" s="1"/>
  <c r="G180" i="39"/>
  <c r="H180" i="39" s="1"/>
  <c r="G181" i="39"/>
  <c r="H181" i="39" s="1"/>
  <c r="G182" i="39"/>
  <c r="H182" i="39" s="1"/>
  <c r="G183" i="39"/>
  <c r="H183" i="39" s="1"/>
  <c r="G184" i="39"/>
  <c r="H184" i="39" s="1"/>
  <c r="G2" i="39"/>
  <c r="H2" i="39" s="1"/>
  <c r="H10" i="39"/>
  <c r="H131" i="39"/>
  <c r="H124" i="39"/>
  <c r="H108" i="39"/>
  <c r="H60" i="39"/>
  <c r="H51" i="39"/>
  <c r="H35" i="39"/>
  <c r="H28" i="39"/>
  <c r="G53" i="27" l="1"/>
  <c r="N24" i="33" l="1"/>
  <c r="H3" i="39"/>
  <c r="C104" i="39" s="1"/>
  <c r="C172" i="39" l="1"/>
  <c r="C152" i="39"/>
  <c r="C108" i="39"/>
  <c r="C145" i="39"/>
  <c r="C70" i="39"/>
  <c r="C30" i="39"/>
  <c r="C125" i="39"/>
  <c r="C53" i="39"/>
  <c r="C143" i="39"/>
  <c r="C95" i="39"/>
  <c r="C169" i="39"/>
  <c r="C173" i="39"/>
  <c r="C120" i="39"/>
  <c r="C9" i="39"/>
  <c r="C183" i="39"/>
  <c r="C138" i="39"/>
  <c r="C100" i="39"/>
  <c r="C121" i="39"/>
  <c r="C42" i="39"/>
  <c r="C45" i="39"/>
  <c r="C21" i="39"/>
  <c r="C142" i="39"/>
  <c r="C146" i="39"/>
  <c r="C65" i="39"/>
  <c r="C89" i="39"/>
  <c r="C148" i="39"/>
  <c r="C22" i="39"/>
  <c r="C17" i="39"/>
  <c r="C34" i="39"/>
  <c r="C110" i="39"/>
  <c r="C29" i="39"/>
  <c r="C129" i="39"/>
  <c r="C46" i="39"/>
  <c r="C134" i="39"/>
  <c r="C164" i="39"/>
  <c r="C71" i="39"/>
  <c r="C174" i="39"/>
  <c r="C84" i="39"/>
  <c r="C51" i="39"/>
  <c r="C123" i="39"/>
  <c r="C82" i="39"/>
  <c r="C179" i="39"/>
  <c r="C118" i="39"/>
  <c r="C16" i="39"/>
  <c r="C41" i="39"/>
  <c r="C177" i="39"/>
  <c r="C165" i="39"/>
  <c r="C4" i="39"/>
  <c r="C128" i="39"/>
  <c r="C18" i="39"/>
  <c r="C130" i="39"/>
  <c r="C167" i="39"/>
  <c r="C35" i="39"/>
  <c r="C28" i="39"/>
  <c r="C131" i="39"/>
  <c r="C107" i="39"/>
  <c r="C111" i="39"/>
  <c r="C24" i="39"/>
  <c r="C73" i="39"/>
  <c r="C13" i="39"/>
  <c r="C12" i="39"/>
  <c r="C149" i="39"/>
  <c r="C77" i="39"/>
  <c r="C161" i="39"/>
  <c r="C3" i="39"/>
  <c r="C81" i="39"/>
  <c r="C113" i="39"/>
  <c r="C122" i="39"/>
  <c r="C83" i="39"/>
  <c r="C27" i="39"/>
  <c r="C126" i="39"/>
  <c r="C33" i="39"/>
  <c r="C103" i="39"/>
  <c r="C150" i="39"/>
  <c r="C57" i="39"/>
  <c r="C141" i="39"/>
  <c r="C39" i="39"/>
  <c r="C50" i="39"/>
  <c r="C102" i="39"/>
  <c r="C109" i="39"/>
  <c r="C7" i="39"/>
  <c r="C90" i="39"/>
  <c r="C98" i="39"/>
  <c r="C43" i="39"/>
  <c r="C124" i="39"/>
  <c r="C20" i="39"/>
  <c r="C36" i="39"/>
  <c r="C147" i="39"/>
  <c r="C175" i="39"/>
  <c r="C23" i="39"/>
  <c r="C14" i="39"/>
  <c r="C58" i="39"/>
  <c r="C37" i="39"/>
  <c r="C5" i="39"/>
  <c r="C163" i="39"/>
  <c r="C76" i="39"/>
  <c r="C19" i="39"/>
  <c r="C99" i="39"/>
  <c r="C68" i="39"/>
  <c r="C67" i="39"/>
  <c r="C48" i="39"/>
  <c r="C79" i="39"/>
  <c r="C171" i="39"/>
  <c r="C32" i="39"/>
  <c r="C116" i="39"/>
  <c r="C162" i="39"/>
  <c r="C132" i="39"/>
  <c r="C181" i="39"/>
  <c r="C178" i="39"/>
  <c r="C78" i="39"/>
  <c r="C101" i="39"/>
  <c r="C140" i="39"/>
  <c r="C119" i="39"/>
  <c r="C94" i="39"/>
  <c r="C106" i="39"/>
  <c r="C136" i="39"/>
  <c r="C160" i="39"/>
  <c r="C156" i="39"/>
  <c r="C72" i="39"/>
  <c r="C64" i="39"/>
  <c r="C158" i="39"/>
  <c r="C59" i="39"/>
  <c r="C144" i="39"/>
  <c r="C135" i="39"/>
  <c r="C97" i="39"/>
  <c r="C15" i="39"/>
  <c r="C63" i="39"/>
  <c r="C62" i="39"/>
  <c r="C157" i="39"/>
  <c r="C10" i="39"/>
  <c r="C44" i="39"/>
  <c r="C86" i="39"/>
  <c r="C96" i="39"/>
  <c r="C92" i="39"/>
  <c r="C69" i="39"/>
  <c r="C49" i="39"/>
  <c r="C139" i="39"/>
  <c r="C40" i="39"/>
  <c r="C114" i="39"/>
  <c r="C52" i="39"/>
  <c r="C151" i="39"/>
  <c r="C60" i="39"/>
  <c r="C184" i="39"/>
  <c r="C80" i="39"/>
  <c r="C115" i="39"/>
  <c r="C87" i="39"/>
  <c r="C93" i="39"/>
  <c r="C88" i="39"/>
  <c r="C55" i="39"/>
  <c r="C31" i="39"/>
  <c r="C133" i="39"/>
  <c r="C117" i="39"/>
  <c r="C137" i="39"/>
  <c r="C166" i="39"/>
  <c r="C74" i="39"/>
  <c r="C182" i="39"/>
  <c r="C85" i="39"/>
  <c r="C75" i="39"/>
  <c r="C47" i="39"/>
  <c r="C168" i="39"/>
  <c r="C2" i="39"/>
  <c r="C26" i="39"/>
  <c r="C11" i="39"/>
  <c r="C54" i="39"/>
  <c r="C38" i="39"/>
  <c r="C105" i="39"/>
  <c r="C61" i="39"/>
  <c r="C155" i="39"/>
  <c r="C25" i="39"/>
  <c r="C176" i="39"/>
  <c r="C180" i="39"/>
  <c r="C66" i="39"/>
  <c r="C159" i="39"/>
  <c r="C6" i="39"/>
  <c r="C170" i="39"/>
  <c r="C127" i="39"/>
  <c r="C153" i="39"/>
  <c r="C154" i="39"/>
  <c r="C8" i="39"/>
  <c r="C56" i="39"/>
  <c r="C112" i="39"/>
  <c r="C91" i="39"/>
  <c r="P36" i="33" l="1"/>
  <c r="D7" i="18"/>
  <c r="D8" i="18"/>
  <c r="D43" i="18"/>
  <c r="D10" i="18"/>
  <c r="D27" i="18"/>
  <c r="D36" i="18"/>
  <c r="D37" i="18"/>
  <c r="D21" i="18"/>
  <c r="D42" i="18"/>
  <c r="D48" i="18"/>
  <c r="D26" i="18"/>
  <c r="D9" i="18"/>
  <c r="D23" i="18"/>
  <c r="D38" i="18"/>
  <c r="D24" i="18"/>
  <c r="D45" i="18"/>
  <c r="D28" i="18"/>
  <c r="D30" i="18"/>
  <c r="D49" i="18"/>
  <c r="D32" i="18"/>
  <c r="D17" i="18"/>
  <c r="D19" i="18"/>
  <c r="D18" i="18"/>
  <c r="D47" i="18"/>
  <c r="D41" i="18"/>
  <c r="D39" i="18"/>
  <c r="D44" i="18"/>
  <c r="D14" i="18"/>
  <c r="D12" i="18"/>
  <c r="D20" i="18"/>
  <c r="D46" i="18"/>
  <c r="D16" i="18"/>
  <c r="D35" i="18"/>
  <c r="D13" i="18"/>
  <c r="D34" i="18"/>
  <c r="D31" i="18"/>
  <c r="D25" i="18"/>
  <c r="D11" i="18"/>
  <c r="D33" i="18"/>
  <c r="D29" i="18"/>
  <c r="D22" i="18"/>
  <c r="D50" i="18"/>
  <c r="D40" i="18"/>
  <c r="D15" i="18"/>
  <c r="D53" i="18" l="1"/>
  <c r="E22" i="33" s="1"/>
  <c r="D12" i="27"/>
  <c r="T11" i="33" s="1"/>
  <c r="D41" i="27"/>
  <c r="T40" i="33" s="1"/>
  <c r="D37" i="27"/>
  <c r="T36" i="33" s="1"/>
  <c r="D30" i="27"/>
  <c r="T29" i="33" s="1"/>
  <c r="D16" i="27"/>
  <c r="T15" i="33" s="1"/>
  <c r="D45" i="27"/>
  <c r="T44" i="33" s="1"/>
  <c r="D39" i="27"/>
  <c r="T38" i="33" s="1"/>
  <c r="D14" i="27"/>
  <c r="T13" i="33" s="1"/>
  <c r="D19" i="27"/>
  <c r="T18" i="33" s="1"/>
  <c r="D25" i="27"/>
  <c r="T24" i="33" s="1"/>
  <c r="D42" i="27"/>
  <c r="T41" i="33" s="1"/>
  <c r="D10" i="27"/>
  <c r="T9" i="33" s="1"/>
  <c r="D43" i="27"/>
  <c r="T42" i="33" s="1"/>
  <c r="D33" i="27"/>
  <c r="T32" i="33" s="1"/>
  <c r="D9" i="27"/>
  <c r="T8" i="33" s="1"/>
  <c r="D32" i="27"/>
  <c r="T31" i="33" s="1"/>
  <c r="D22" i="27"/>
  <c r="T21" i="33" s="1"/>
  <c r="D21" i="27"/>
  <c r="T20" i="33" s="1"/>
  <c r="D24" i="27"/>
  <c r="T23" i="33" s="1"/>
  <c r="D31" i="27"/>
  <c r="T30" i="33" s="1"/>
  <c r="D15" i="27"/>
  <c r="T14" i="33" s="1"/>
  <c r="D27" i="27"/>
  <c r="T26" i="33" s="1"/>
  <c r="D18" i="27"/>
  <c r="T17" i="33" s="1"/>
  <c r="D20" i="27"/>
  <c r="T19" i="33" s="1"/>
  <c r="D26" i="27"/>
  <c r="T25" i="33" s="1"/>
  <c r="D23" i="27"/>
  <c r="T22" i="33" s="1"/>
  <c r="D28" i="27"/>
  <c r="T27" i="33" s="1"/>
  <c r="D13" i="27"/>
  <c r="T12" i="33" s="1"/>
  <c r="D38" i="27"/>
  <c r="T37" i="33" s="1"/>
  <c r="D29" i="27"/>
  <c r="T28" i="33" s="1"/>
  <c r="D17" i="27"/>
  <c r="T16" i="33" s="1"/>
  <c r="D36" i="27"/>
  <c r="T35" i="33" s="1"/>
  <c r="D11" i="27"/>
  <c r="T10" i="33" s="1"/>
  <c r="D35" i="27"/>
  <c r="T34" i="33" s="1"/>
  <c r="D44" i="27"/>
  <c r="T43" i="33" s="1"/>
  <c r="D40" i="27"/>
  <c r="T39" i="33" s="1"/>
  <c r="D46" i="27"/>
  <c r="T45" i="33" s="1"/>
  <c r="D8" i="27"/>
  <c r="T7" i="33" s="1"/>
  <c r="D50" i="27"/>
  <c r="T49" i="33" s="1"/>
  <c r="D49" i="27"/>
  <c r="T48" i="33" s="1"/>
  <c r="D34" i="27"/>
  <c r="T33" i="33" s="1"/>
  <c r="D48" i="27"/>
  <c r="T47" i="33" s="1"/>
  <c r="D7" i="27"/>
  <c r="T6" i="33" s="1"/>
  <c r="D47" i="27"/>
  <c r="T46" i="33" s="1"/>
  <c r="D53" i="27" l="1"/>
  <c r="J7" i="27"/>
  <c r="V6" i="33" s="1"/>
  <c r="J8" i="27" l="1"/>
  <c r="V7" i="33" s="1"/>
  <c r="J53" i="27" l="1"/>
  <c r="E4" i="33" s="1"/>
</calcChain>
</file>

<file path=xl/sharedStrings.xml><?xml version="1.0" encoding="utf-8"?>
<sst xmlns="http://schemas.openxmlformats.org/spreadsheetml/2006/main" count="1284" uniqueCount="725">
  <si>
    <t xml:space="preserve"> </t>
  </si>
  <si>
    <t>06</t>
  </si>
  <si>
    <t>PSM EN DOUBLON</t>
  </si>
  <si>
    <t>01</t>
  </si>
  <si>
    <t>02</t>
  </si>
  <si>
    <t>03</t>
  </si>
  <si>
    <t>04</t>
  </si>
  <si>
    <t>05</t>
  </si>
  <si>
    <t>07</t>
  </si>
  <si>
    <t>DEPART</t>
  </si>
  <si>
    <t>RETOUR</t>
  </si>
  <si>
    <t>08</t>
  </si>
  <si>
    <t>09</t>
  </si>
  <si>
    <t>PSM NON RENDU</t>
  </si>
  <si>
    <t>RECHERCHE CODE PUK</t>
  </si>
  <si>
    <t>IMEI</t>
  </si>
  <si>
    <t>PUK</t>
  </si>
  <si>
    <t>2S EXPRESS</t>
  </si>
  <si>
    <t xml:space="preserve">           REGISTRE DES PSM</t>
  </si>
  <si>
    <t>N° SERIE ou IMEI</t>
  </si>
  <si>
    <t>COMMENTAIRE PRISE EN CHARGE PSM</t>
  </si>
  <si>
    <t>VERIFICATION</t>
  </si>
  <si>
    <t>COMMENTAIRE REMISE PSM</t>
  </si>
  <si>
    <t>NOMBRE DE PSM DEPART</t>
  </si>
  <si>
    <t>ECRAN CASSE</t>
  </si>
  <si>
    <t>MANQUE SIM</t>
  </si>
  <si>
    <t>NOMBRE DE PSM RETOUR</t>
  </si>
  <si>
    <t>COQUE ENDOMMAGEE</t>
  </si>
  <si>
    <t>MANQUE BATTERIE</t>
  </si>
  <si>
    <t>NE FLASH PAS</t>
  </si>
  <si>
    <t>NE S'ALLUME PAS</t>
  </si>
  <si>
    <t>REBOOT NON STOP</t>
  </si>
  <si>
    <t>BOUTON ARRACHE</t>
  </si>
  <si>
    <t>MANQUE CODE BARRE</t>
  </si>
  <si>
    <t>2 ZT</t>
  </si>
  <si>
    <t>GO TRANSPORT</t>
  </si>
  <si>
    <t>HMZ - KAIS</t>
  </si>
  <si>
    <t>IB TRANSPORT</t>
  </si>
  <si>
    <t>JSL</t>
  </si>
  <si>
    <t>KIFAITOUT</t>
  </si>
  <si>
    <t>LUXE DRIVE</t>
  </si>
  <si>
    <t>SSN</t>
  </si>
  <si>
    <t>W3</t>
  </si>
  <si>
    <t>ATHIS MONS</t>
  </si>
  <si>
    <t>L HAY LES ROSES</t>
  </si>
  <si>
    <t>RUNGIS</t>
  </si>
  <si>
    <t>SCEAUX</t>
  </si>
  <si>
    <t>INSTANCE C1</t>
  </si>
  <si>
    <t>INSTANCE C2</t>
  </si>
  <si>
    <t xml:space="preserve">  </t>
  </si>
  <si>
    <t>INTERNES</t>
  </si>
  <si>
    <t>EN PANNE</t>
  </si>
  <si>
    <t>Numéro de téléphone (MSISDN)</t>
  </si>
  <si>
    <t>Numéro de carte SIM (ICCID)</t>
  </si>
  <si>
    <t>RANG</t>
  </si>
  <si>
    <t>Identifiant de l'équipement (IMEI)</t>
  </si>
  <si>
    <t>Marque</t>
  </si>
  <si>
    <t>RECHERCHE</t>
  </si>
  <si>
    <t>numero unique</t>
  </si>
  <si>
    <t>0607153518</t>
  </si>
  <si>
    <t>8933012011000618525</t>
  </si>
  <si>
    <t>353857083791695</t>
  </si>
  <si>
    <t>07073579</t>
  </si>
  <si>
    <t>Zebra</t>
  </si>
  <si>
    <t>0785878203</t>
  </si>
  <si>
    <t>8933012011000627989</t>
  </si>
  <si>
    <t>353857083802385</t>
  </si>
  <si>
    <t>0607391874</t>
  </si>
  <si>
    <t>8933012011000627344</t>
  </si>
  <si>
    <t>353857083795035</t>
  </si>
  <si>
    <t>0607408147</t>
  </si>
  <si>
    <t>8933012011000627278</t>
  </si>
  <si>
    <t>353857083792099</t>
  </si>
  <si>
    <t>0607394259</t>
  </si>
  <si>
    <t>8933012011000627401</t>
  </si>
  <si>
    <t>353857083780763</t>
  </si>
  <si>
    <t>0607392620</t>
  </si>
  <si>
    <t>8933012011000627369</t>
  </si>
  <si>
    <t>353857083786141</t>
  </si>
  <si>
    <t>0607409368</t>
  </si>
  <si>
    <t>8933012011000627286</t>
  </si>
  <si>
    <t>353857083759627</t>
  </si>
  <si>
    <t>0785898459</t>
  </si>
  <si>
    <t>8933012011000627351</t>
  </si>
  <si>
    <t>353857083787214</t>
  </si>
  <si>
    <t>0607393557</t>
  </si>
  <si>
    <t>8933012011000627385</t>
  </si>
  <si>
    <t>353857083778981</t>
  </si>
  <si>
    <t>0607392247</t>
  </si>
  <si>
    <t>8933012011000627328</t>
  </si>
  <si>
    <t>353857083783833</t>
  </si>
  <si>
    <t>0607390638</t>
  </si>
  <si>
    <t>8933012011000627252</t>
  </si>
  <si>
    <t>353857083788550</t>
  </si>
  <si>
    <t>00941408</t>
  </si>
  <si>
    <t>0785882712</t>
  </si>
  <si>
    <t>8933012011000627427</t>
  </si>
  <si>
    <t>353857083792149</t>
  </si>
  <si>
    <t>0607373105</t>
  </si>
  <si>
    <t>8933012011000627997</t>
  </si>
  <si>
    <t>353857083789509</t>
  </si>
  <si>
    <t>0785881175</t>
  </si>
  <si>
    <t>8933012011000627393</t>
  </si>
  <si>
    <t>353857083801643</t>
  </si>
  <si>
    <t>0607393989</t>
  </si>
  <si>
    <t>8933012011000627419</t>
  </si>
  <si>
    <t>353857083761896</t>
  </si>
  <si>
    <t>0785890495</t>
  </si>
  <si>
    <t>8933012011000627310</t>
  </si>
  <si>
    <t>353857083781308</t>
  </si>
  <si>
    <t>0607378160</t>
  </si>
  <si>
    <t>8933012011000627740</t>
  </si>
  <si>
    <t>353857083781498</t>
  </si>
  <si>
    <t>0785874621</t>
  </si>
  <si>
    <t>8933012011000627971</t>
  </si>
  <si>
    <t>353857083796074</t>
  </si>
  <si>
    <t>0607391443</t>
  </si>
  <si>
    <t>8933012011000627260</t>
  </si>
  <si>
    <t>353857083793311</t>
  </si>
  <si>
    <t>0607374639</t>
  </si>
  <si>
    <t>8933012011000627518</t>
  </si>
  <si>
    <t>353857083787057</t>
  </si>
  <si>
    <t>0785888465</t>
  </si>
  <si>
    <t>8933012011000627435</t>
  </si>
  <si>
    <t>353857083795092</t>
  </si>
  <si>
    <t>0607408197</t>
  </si>
  <si>
    <t>8933012011000627302</t>
  </si>
  <si>
    <t>353857083789541</t>
  </si>
  <si>
    <t>0607408966</t>
  </si>
  <si>
    <t>8933012011000627294</t>
  </si>
  <si>
    <t>353857083794343</t>
  </si>
  <si>
    <t>0607390314</t>
  </si>
  <si>
    <t>8933012011000627450</t>
  </si>
  <si>
    <t>353857083801650</t>
  </si>
  <si>
    <t>0607392064</t>
  </si>
  <si>
    <t>8933012011000627336</t>
  </si>
  <si>
    <t>353857083790226</t>
  </si>
  <si>
    <t>0785881659</t>
  </si>
  <si>
    <t>8933012011000627377</t>
  </si>
  <si>
    <t>353857083801825</t>
  </si>
  <si>
    <t>0607398959</t>
  </si>
  <si>
    <t>8933012011000635248</t>
  </si>
  <si>
    <t>353857083846366</t>
  </si>
  <si>
    <t>0607274931</t>
  </si>
  <si>
    <t>8933012011000636246</t>
  </si>
  <si>
    <t>353857083790457</t>
  </si>
  <si>
    <t>0607316267</t>
  </si>
  <si>
    <t>8933012011000638135</t>
  </si>
  <si>
    <t>353857083803482</t>
  </si>
  <si>
    <t>0607287684</t>
  </si>
  <si>
    <t>8933012011000636170</t>
  </si>
  <si>
    <t>353857083782785</t>
  </si>
  <si>
    <t>0607223447</t>
  </si>
  <si>
    <t>8933012011000636691</t>
  </si>
  <si>
    <t>353857083781225</t>
  </si>
  <si>
    <t>0607245519</t>
  </si>
  <si>
    <t>8933012011000636550</t>
  </si>
  <si>
    <t>353857083783270</t>
  </si>
  <si>
    <t>0607182221</t>
  </si>
  <si>
    <t>8933012011000635511</t>
  </si>
  <si>
    <t>353857083783734</t>
  </si>
  <si>
    <t>0607310677</t>
  </si>
  <si>
    <t>8933012011000638093</t>
  </si>
  <si>
    <t>353857083761029</t>
  </si>
  <si>
    <t>0607184349</t>
  </si>
  <si>
    <t>8933012011000635578</t>
  </si>
  <si>
    <t>353857083801742</t>
  </si>
  <si>
    <t>0785786121</t>
  </si>
  <si>
    <t>8933012011000635669</t>
  </si>
  <si>
    <t>353857083781639</t>
  </si>
  <si>
    <t>0607189514</t>
  </si>
  <si>
    <t>8933012011000635677</t>
  </si>
  <si>
    <t>353857083782397</t>
  </si>
  <si>
    <t>0607183447</t>
  </si>
  <si>
    <t>8933012011000635602</t>
  </si>
  <si>
    <t>353857083780847</t>
  </si>
  <si>
    <t>0607220559</t>
  </si>
  <si>
    <t>8933012011000636683</t>
  </si>
  <si>
    <t>353857083786547</t>
  </si>
  <si>
    <t>0607302793</t>
  </si>
  <si>
    <t>8933012011000638275</t>
  </si>
  <si>
    <t>353857083783874</t>
  </si>
  <si>
    <t>0785848761</t>
  </si>
  <si>
    <t>8933012011000638283</t>
  </si>
  <si>
    <t>353857083786083</t>
  </si>
  <si>
    <t>0785782389</t>
  </si>
  <si>
    <t>8933012011000635594</t>
  </si>
  <si>
    <t>353857083778858</t>
  </si>
  <si>
    <t>0607302766</t>
  </si>
  <si>
    <t>8933012011000638234</t>
  </si>
  <si>
    <t>353857083787917</t>
  </si>
  <si>
    <t>0607305508</t>
  </si>
  <si>
    <t>8933012011000638366</t>
  </si>
  <si>
    <t>353857083789525</t>
  </si>
  <si>
    <t>0607229871</t>
  </si>
  <si>
    <t>8933012011000635362</t>
  </si>
  <si>
    <t>353857083782132</t>
  </si>
  <si>
    <t>0785846591</t>
  </si>
  <si>
    <t>8933012011000638226</t>
  </si>
  <si>
    <t>353857083795191</t>
  </si>
  <si>
    <t>0607304056</t>
  </si>
  <si>
    <t>8933012011000638325</t>
  </si>
  <si>
    <t>353857083801668</t>
  </si>
  <si>
    <t>0607281120</t>
  </si>
  <si>
    <t>353857083793519</t>
  </si>
  <si>
    <t>0785796405</t>
  </si>
  <si>
    <t>8933012011000635503</t>
  </si>
  <si>
    <t>353857083785846</t>
  </si>
  <si>
    <t>0607313928</t>
  </si>
  <si>
    <t>8933012011000638127</t>
  </si>
  <si>
    <t>353857083784914</t>
  </si>
  <si>
    <t>0607229050</t>
  </si>
  <si>
    <t>8933012011000636741</t>
  </si>
  <si>
    <t>353857083797551</t>
  </si>
  <si>
    <t>0785780484</t>
  </si>
  <si>
    <t>8933012011000635537</t>
  </si>
  <si>
    <t>353857083790200</t>
  </si>
  <si>
    <t>0607271764</t>
  </si>
  <si>
    <t>8933012011000636238</t>
  </si>
  <si>
    <t>353857083782751</t>
  </si>
  <si>
    <t>0785843014</t>
  </si>
  <si>
    <t>8933012011000638085</t>
  </si>
  <si>
    <t>353857083782900</t>
  </si>
  <si>
    <t>0607235520</t>
  </si>
  <si>
    <t>8933012011000636667</t>
  </si>
  <si>
    <t>353857083783320</t>
  </si>
  <si>
    <t>0785796871</t>
  </si>
  <si>
    <t>8933012011000635354</t>
  </si>
  <si>
    <t>353857083788725</t>
  </si>
  <si>
    <t>0607295137</t>
  </si>
  <si>
    <t>353857083784930</t>
  </si>
  <si>
    <t>0607248546</t>
  </si>
  <si>
    <t>353857083789459</t>
  </si>
  <si>
    <t>0607399992</t>
  </si>
  <si>
    <t>8933012011000635230</t>
  </si>
  <si>
    <t>353857083779872</t>
  </si>
  <si>
    <t>0607315605</t>
  </si>
  <si>
    <t>8933012011000638150</t>
  </si>
  <si>
    <t>353857083788691</t>
  </si>
  <si>
    <t>0607398559</t>
  </si>
  <si>
    <t>8933012011000635198</t>
  </si>
  <si>
    <t>353857083843694</t>
  </si>
  <si>
    <t>00416943</t>
  </si>
  <si>
    <t>0607227342</t>
  </si>
  <si>
    <t>8933012011000635370</t>
  </si>
  <si>
    <t>353857083843538</t>
  </si>
  <si>
    <t>0785828370</t>
  </si>
  <si>
    <t>8933012011000636147</t>
  </si>
  <si>
    <t>353857083792636</t>
  </si>
  <si>
    <t>0607316379</t>
  </si>
  <si>
    <t>8933012011000638168</t>
  </si>
  <si>
    <t>353857083779294</t>
  </si>
  <si>
    <t>0607393580</t>
  </si>
  <si>
    <t>8933012011000635040</t>
  </si>
  <si>
    <t>353857083786406</t>
  </si>
  <si>
    <t>03901075</t>
  </si>
  <si>
    <t>0785795915</t>
  </si>
  <si>
    <t>353857083799599</t>
  </si>
  <si>
    <t>02684712</t>
  </si>
  <si>
    <t>0785820104</t>
  </si>
  <si>
    <t>8933012011000636188</t>
  </si>
  <si>
    <t>353857083786463</t>
  </si>
  <si>
    <t>24530140</t>
  </si>
  <si>
    <t>0607281696</t>
  </si>
  <si>
    <t>8933012011000636162</t>
  </si>
  <si>
    <t>353857083788808</t>
  </si>
  <si>
    <t>20921470</t>
  </si>
  <si>
    <t>0607223938</t>
  </si>
  <si>
    <t>8933012011000636725</t>
  </si>
  <si>
    <t>353857083785374</t>
  </si>
  <si>
    <t>13508247</t>
  </si>
  <si>
    <t>0607231789</t>
  </si>
  <si>
    <t>8933012011000636568</t>
  </si>
  <si>
    <t>353857083799235</t>
  </si>
  <si>
    <t>93431364</t>
  </si>
  <si>
    <t>0607302727</t>
  </si>
  <si>
    <t>8933012011000638291</t>
  </si>
  <si>
    <t>353857083797692</t>
  </si>
  <si>
    <t>31302529</t>
  </si>
  <si>
    <t>0607280475</t>
  </si>
  <si>
    <t>8933012011000636139</t>
  </si>
  <si>
    <t>353857083763579</t>
  </si>
  <si>
    <t>74391492</t>
  </si>
  <si>
    <t>0607417207</t>
  </si>
  <si>
    <t>8933012011000637764</t>
  </si>
  <si>
    <t>353857083841540</t>
  </si>
  <si>
    <t>49508234</t>
  </si>
  <si>
    <t>0607229143</t>
  </si>
  <si>
    <t>8933012011000635388</t>
  </si>
  <si>
    <t>353857083780508</t>
  </si>
  <si>
    <t>85990990</t>
  </si>
  <si>
    <t>0785792827</t>
  </si>
  <si>
    <t>8933012011000636717</t>
  </si>
  <si>
    <t>353857083765335</t>
  </si>
  <si>
    <t>00584737</t>
  </si>
  <si>
    <t>0785794645</t>
  </si>
  <si>
    <t>8933012011000636675</t>
  </si>
  <si>
    <t>353857083781118</t>
  </si>
  <si>
    <t>33175655</t>
  </si>
  <si>
    <t>0607398218</t>
  </si>
  <si>
    <t>8933012011000635206</t>
  </si>
  <si>
    <t>353857083840948</t>
  </si>
  <si>
    <t>53308050</t>
  </si>
  <si>
    <t>0607302758</t>
  </si>
  <si>
    <t>8933012011000638218</t>
  </si>
  <si>
    <t>353857083779856</t>
  </si>
  <si>
    <t>19020925</t>
  </si>
  <si>
    <t>0607182039</t>
  </si>
  <si>
    <t>8933012011000635982</t>
  </si>
  <si>
    <t>353857083787529</t>
  </si>
  <si>
    <t>14811876</t>
  </si>
  <si>
    <t>0785844934</t>
  </si>
  <si>
    <t>8933012011000638119</t>
  </si>
  <si>
    <t>353857083802450</t>
  </si>
  <si>
    <t>65379196</t>
  </si>
  <si>
    <t>0607275092</t>
  </si>
  <si>
    <t>8933012011000636212</t>
  </si>
  <si>
    <t>353857083779724</t>
  </si>
  <si>
    <t>57179092</t>
  </si>
  <si>
    <t>0607230351</t>
  </si>
  <si>
    <t>8933012011000636592</t>
  </si>
  <si>
    <t>353857083786695</t>
  </si>
  <si>
    <t>99297362</t>
  </si>
  <si>
    <t>0607282519</t>
  </si>
  <si>
    <t>8933012011000636154</t>
  </si>
  <si>
    <t>353857083793675</t>
  </si>
  <si>
    <t>20376343</t>
  </si>
  <si>
    <t>0607295053</t>
  </si>
  <si>
    <t>8933012011000636105</t>
  </si>
  <si>
    <t>353857083797593</t>
  </si>
  <si>
    <t>43570981</t>
  </si>
  <si>
    <t>0607187367</t>
  </si>
  <si>
    <t>8933012011000635586</t>
  </si>
  <si>
    <t>353857083788519</t>
  </si>
  <si>
    <t>90480218</t>
  </si>
  <si>
    <t>0607302740</t>
  </si>
  <si>
    <t>8933012011000638267</t>
  </si>
  <si>
    <t>353857083787461</t>
  </si>
  <si>
    <t>23882783</t>
  </si>
  <si>
    <t>0607235257</t>
  </si>
  <si>
    <t>8933012011000636642</t>
  </si>
  <si>
    <t>353857083764734</t>
  </si>
  <si>
    <t>04329180</t>
  </si>
  <si>
    <t>0607244156</t>
  </si>
  <si>
    <t>8933012011000636535</t>
  </si>
  <si>
    <t>353857083784062</t>
  </si>
  <si>
    <t>03266408</t>
  </si>
  <si>
    <t>0785808232</t>
  </si>
  <si>
    <t>353857083801593</t>
  </si>
  <si>
    <t>55155602</t>
  </si>
  <si>
    <t>0607276444</t>
  </si>
  <si>
    <t>8933012011000636204</t>
  </si>
  <si>
    <t>353857083837415</t>
  </si>
  <si>
    <t>46760023</t>
  </si>
  <si>
    <t>0607413386</t>
  </si>
  <si>
    <t>8933012011000637756</t>
  </si>
  <si>
    <t>353857083760377</t>
  </si>
  <si>
    <t>40391535</t>
  </si>
  <si>
    <t>0607248448</t>
  </si>
  <si>
    <t>8933012011000636576</t>
  </si>
  <si>
    <t>353857083779310</t>
  </si>
  <si>
    <t>47054633</t>
  </si>
  <si>
    <t>0607310515</t>
  </si>
  <si>
    <t>8933012011000638101</t>
  </si>
  <si>
    <t>353857083784187</t>
  </si>
  <si>
    <t>24041592</t>
  </si>
  <si>
    <t>0607187873</t>
  </si>
  <si>
    <t>8933012011000635651</t>
  </si>
  <si>
    <t>353857083786158</t>
  </si>
  <si>
    <t>63403303</t>
  </si>
  <si>
    <t>0607393170</t>
  </si>
  <si>
    <t>8933012011000635008</t>
  </si>
  <si>
    <t>353857083841623</t>
  </si>
  <si>
    <t>42390281</t>
  </si>
  <si>
    <t>0607390207</t>
  </si>
  <si>
    <t>8933012011000635057</t>
  </si>
  <si>
    <t>353857083781928</t>
  </si>
  <si>
    <t>99881771</t>
  </si>
  <si>
    <t>0785781573</t>
  </si>
  <si>
    <t>8933012011000635552</t>
  </si>
  <si>
    <t>353857083779880</t>
  </si>
  <si>
    <t>51098105</t>
  </si>
  <si>
    <t>0607188647</t>
  </si>
  <si>
    <t>8933012011000635636</t>
  </si>
  <si>
    <t>353857083783221</t>
  </si>
  <si>
    <t>25427933</t>
  </si>
  <si>
    <t>0785808951</t>
  </si>
  <si>
    <t>8933012011000636584</t>
  </si>
  <si>
    <t>353857083788527</t>
  </si>
  <si>
    <t>04906656</t>
  </si>
  <si>
    <t>0607394186</t>
  </si>
  <si>
    <t>8933012011000635024</t>
  </si>
  <si>
    <t>353857083841250</t>
  </si>
  <si>
    <t>12124310</t>
  </si>
  <si>
    <t>0607313707</t>
  </si>
  <si>
    <t>8933012011000638176</t>
  </si>
  <si>
    <t>353857083788139</t>
  </si>
  <si>
    <t>22493579</t>
  </si>
  <si>
    <t>0607247206</t>
  </si>
  <si>
    <t>8933012011000636618</t>
  </si>
  <si>
    <t>353857083787446</t>
  </si>
  <si>
    <t>78427329</t>
  </si>
  <si>
    <t>0607398450</t>
  </si>
  <si>
    <t>8933012011000635214</t>
  </si>
  <si>
    <t>353857083848354</t>
  </si>
  <si>
    <t>81152835</t>
  </si>
  <si>
    <t>0607305486</t>
  </si>
  <si>
    <t>8933012011000638333</t>
  </si>
  <si>
    <t>353857083794780</t>
  </si>
  <si>
    <t>17312904</t>
  </si>
  <si>
    <t>0785785757</t>
  </si>
  <si>
    <t>8933012011000635644</t>
  </si>
  <si>
    <t>353857083780755</t>
  </si>
  <si>
    <t>23854270</t>
  </si>
  <si>
    <t>0785848259</t>
  </si>
  <si>
    <t>8933012011000638242</t>
  </si>
  <si>
    <t>353857083785853</t>
  </si>
  <si>
    <t>11050543</t>
  </si>
  <si>
    <t>0607393579</t>
  </si>
  <si>
    <t>8933012011000635016</t>
  </si>
  <si>
    <t>353857083837522</t>
  </si>
  <si>
    <t>87297031</t>
  </si>
  <si>
    <t>0785820851</t>
  </si>
  <si>
    <t>8933012011000638606</t>
  </si>
  <si>
    <t>353857083786554</t>
  </si>
  <si>
    <t>64177217</t>
  </si>
  <si>
    <t>0607232257</t>
  </si>
  <si>
    <t>8933012011000636634</t>
  </si>
  <si>
    <t>353857083756672</t>
  </si>
  <si>
    <t>80434817</t>
  </si>
  <si>
    <t>0607224493</t>
  </si>
  <si>
    <t>8933012011000636733</t>
  </si>
  <si>
    <t>353857083794715</t>
  </si>
  <si>
    <t>04645460</t>
  </si>
  <si>
    <t>0607287268</t>
  </si>
  <si>
    <t>8933012011000636196</t>
  </si>
  <si>
    <t>353857083781860</t>
  </si>
  <si>
    <t>00212927</t>
  </si>
  <si>
    <t>0607393703</t>
  </si>
  <si>
    <t>8933012011000635032</t>
  </si>
  <si>
    <t>353857083840617</t>
  </si>
  <si>
    <t>44078876</t>
  </si>
  <si>
    <t>0607180860</t>
  </si>
  <si>
    <t>8933012011000635990</t>
  </si>
  <si>
    <t>353857083783346</t>
  </si>
  <si>
    <t>98090475</t>
  </si>
  <si>
    <t>0607328598</t>
  </si>
  <si>
    <t>8933012011000638077</t>
  </si>
  <si>
    <t>353857083778932</t>
  </si>
  <si>
    <t>34512724</t>
  </si>
  <si>
    <t>0607182739</t>
  </si>
  <si>
    <t>8933012011000635529</t>
  </si>
  <si>
    <t>353857083779484</t>
  </si>
  <si>
    <t>82340939</t>
  </si>
  <si>
    <t>0607398914</t>
  </si>
  <si>
    <t>8933012011000635222</t>
  </si>
  <si>
    <t>353857083781886</t>
  </si>
  <si>
    <t>71260660</t>
  </si>
  <si>
    <t>0607315416</t>
  </si>
  <si>
    <t>8933012011000638184</t>
  </si>
  <si>
    <t>353857083786794</t>
  </si>
  <si>
    <t>78392324</t>
  </si>
  <si>
    <t>0607286326</t>
  </si>
  <si>
    <t>8933012011000636220</t>
  </si>
  <si>
    <t>353857083844270</t>
  </si>
  <si>
    <t>68783316</t>
  </si>
  <si>
    <t>0785791503</t>
  </si>
  <si>
    <t>8933012011000636709</t>
  </si>
  <si>
    <t>353857083781993</t>
  </si>
  <si>
    <t>97379672</t>
  </si>
  <si>
    <t>0607185986</t>
  </si>
  <si>
    <t>8933012011000635628</t>
  </si>
  <si>
    <t>353857083783825</t>
  </si>
  <si>
    <t>74373691</t>
  </si>
  <si>
    <t>0785844918</t>
  </si>
  <si>
    <t>8933012011000638143</t>
  </si>
  <si>
    <t>353857083790242</t>
  </si>
  <si>
    <t>08472208</t>
  </si>
  <si>
    <t>0607182370</t>
  </si>
  <si>
    <t>8933012011000635545</t>
  </si>
  <si>
    <t>353857083786117</t>
  </si>
  <si>
    <t>57679269</t>
  </si>
  <si>
    <t>0607246636</t>
  </si>
  <si>
    <t>8933012011000636543</t>
  </si>
  <si>
    <t>353857083798153</t>
  </si>
  <si>
    <t>22138363</t>
  </si>
  <si>
    <t>0785847415</t>
  </si>
  <si>
    <t>8933012011000638192</t>
  </si>
  <si>
    <t>353857083782660</t>
  </si>
  <si>
    <t>12264417</t>
  </si>
  <si>
    <t>0607395778</t>
  </si>
  <si>
    <t>8933012011000635164</t>
  </si>
  <si>
    <t>353857083789764</t>
  </si>
  <si>
    <t>51230849</t>
  </si>
  <si>
    <t>0607322697</t>
  </si>
  <si>
    <t>8933012011000638044</t>
  </si>
  <si>
    <t>353857083789061</t>
  </si>
  <si>
    <t>62083981</t>
  </si>
  <si>
    <t>0785804530</t>
  </si>
  <si>
    <t>8933012011000636659</t>
  </si>
  <si>
    <t>353857083783932</t>
  </si>
  <si>
    <t>36089849</t>
  </si>
  <si>
    <t>0607302744</t>
  </si>
  <si>
    <t>8933012011000638309</t>
  </si>
  <si>
    <t>353857083797395</t>
  </si>
  <si>
    <t>03201784</t>
  </si>
  <si>
    <t>0607317342</t>
  </si>
  <si>
    <t>8933012011000638200</t>
  </si>
  <si>
    <t>353857083784468</t>
  </si>
  <si>
    <t>15395053</t>
  </si>
  <si>
    <t>0607183850</t>
  </si>
  <si>
    <t>8933012011000635560</t>
  </si>
  <si>
    <t>353857083782249</t>
  </si>
  <si>
    <t>90124155</t>
  </si>
  <si>
    <t>0607188595</t>
  </si>
  <si>
    <t>8933012011000635610</t>
  </si>
  <si>
    <t>353857083785358</t>
  </si>
  <si>
    <t>96250205</t>
  </si>
  <si>
    <t>0607168790</t>
  </si>
  <si>
    <t>8933012011000643713</t>
  </si>
  <si>
    <t>353857083779179</t>
  </si>
  <si>
    <t>16584322</t>
  </si>
  <si>
    <t>0785778652</t>
  </si>
  <si>
    <t>8933012011000643614</t>
  </si>
  <si>
    <t>353857083798385</t>
  </si>
  <si>
    <t>54355344</t>
  </si>
  <si>
    <t>0607363339</t>
  </si>
  <si>
    <t>8933012011000642004</t>
  </si>
  <si>
    <t>353857083784245</t>
  </si>
  <si>
    <t>32400939</t>
  </si>
  <si>
    <t>0607163373</t>
  </si>
  <si>
    <t>8933012011000643986</t>
  </si>
  <si>
    <t>353857083782074</t>
  </si>
  <si>
    <t>18780456</t>
  </si>
  <si>
    <t>0607312516</t>
  </si>
  <si>
    <t>8933012011000642731</t>
  </si>
  <si>
    <t>353857083781902</t>
  </si>
  <si>
    <t>0607328570</t>
  </si>
  <si>
    <t>8933012011000642640</t>
  </si>
  <si>
    <t>353857083779559</t>
  </si>
  <si>
    <t>0785778090</t>
  </si>
  <si>
    <t>353857083796595</t>
  </si>
  <si>
    <t>0607329280</t>
  </si>
  <si>
    <t>8933012011000642749</t>
  </si>
  <si>
    <t>353857083791869</t>
  </si>
  <si>
    <t>0785855182</t>
  </si>
  <si>
    <t>8933012011000642558</t>
  </si>
  <si>
    <t>353857083782561</t>
  </si>
  <si>
    <t>0607179263</t>
  </si>
  <si>
    <t>8933012011000643952</t>
  </si>
  <si>
    <t>353857083780706</t>
  </si>
  <si>
    <t>09743909</t>
  </si>
  <si>
    <t>0607150534</t>
  </si>
  <si>
    <t>8933012011000643739</t>
  </si>
  <si>
    <t>353857083788022</t>
  </si>
  <si>
    <t>07591239</t>
  </si>
  <si>
    <t>0785869825</t>
  </si>
  <si>
    <t>8933012011000642012</t>
  </si>
  <si>
    <t>353857083790002</t>
  </si>
  <si>
    <t>05314588</t>
  </si>
  <si>
    <t>0785841759</t>
  </si>
  <si>
    <t>8933012011000642707</t>
  </si>
  <si>
    <t>353857083794236</t>
  </si>
  <si>
    <t>62383903</t>
  </si>
  <si>
    <t>0607338867</t>
  </si>
  <si>
    <t>8933012011000642533</t>
  </si>
  <si>
    <t>353857083795423</t>
  </si>
  <si>
    <t>22374509</t>
  </si>
  <si>
    <t>0785842554</t>
  </si>
  <si>
    <t>8933012011000642723</t>
  </si>
  <si>
    <t>353857083779070</t>
  </si>
  <si>
    <t>86401397</t>
  </si>
  <si>
    <t>0785857441</t>
  </si>
  <si>
    <t>8933012011000642566</t>
  </si>
  <si>
    <t>353857083792990</t>
  </si>
  <si>
    <t>03415418</t>
  </si>
  <si>
    <t>0607178870</t>
  </si>
  <si>
    <t>8933012011000643960</t>
  </si>
  <si>
    <t>353857083785762</t>
  </si>
  <si>
    <t>80534598</t>
  </si>
  <si>
    <t>0607432146</t>
  </si>
  <si>
    <t>8933012011000646252</t>
  </si>
  <si>
    <t>353857083794640</t>
  </si>
  <si>
    <t>95182403</t>
  </si>
  <si>
    <t>0607339239</t>
  </si>
  <si>
    <t>8933012011000642541</t>
  </si>
  <si>
    <t>353857083799920</t>
  </si>
  <si>
    <t>84504439</t>
  </si>
  <si>
    <t>0607166325</t>
  </si>
  <si>
    <t>8933012011000643648</t>
  </si>
  <si>
    <t>353857083787149</t>
  </si>
  <si>
    <t>52734130</t>
  </si>
  <si>
    <t>0607166380</t>
  </si>
  <si>
    <t>8933012011000643598</t>
  </si>
  <si>
    <t>353857083783890</t>
  </si>
  <si>
    <t>04589807</t>
  </si>
  <si>
    <t>0607325853</t>
  </si>
  <si>
    <t>8933012011000642608</t>
  </si>
  <si>
    <t>353857083780581</t>
  </si>
  <si>
    <t>37364343</t>
  </si>
  <si>
    <t>0607338605</t>
  </si>
  <si>
    <t>8933012011000642525</t>
  </si>
  <si>
    <t>353857083780730</t>
  </si>
  <si>
    <t>59362916</t>
  </si>
  <si>
    <t>0785789611</t>
  </si>
  <si>
    <t>8933012011000643895</t>
  </si>
  <si>
    <t>353857083788287</t>
  </si>
  <si>
    <t>69669851</t>
  </si>
  <si>
    <t>0785848470</t>
  </si>
  <si>
    <t>8933012011000642582</t>
  </si>
  <si>
    <t>353857083842753</t>
  </si>
  <si>
    <t>32404025</t>
  </si>
  <si>
    <t>0607325855</t>
  </si>
  <si>
    <t>8933012011000642673</t>
  </si>
  <si>
    <t>353857083782520</t>
  </si>
  <si>
    <t>84986851</t>
  </si>
  <si>
    <t>0607153022</t>
  </si>
  <si>
    <t>8933012011000644216</t>
  </si>
  <si>
    <t>353857083787396</t>
  </si>
  <si>
    <t>08753632</t>
  </si>
  <si>
    <t>0785770258</t>
  </si>
  <si>
    <t>8933012011000643747</t>
  </si>
  <si>
    <t>353857083787172</t>
  </si>
  <si>
    <t>51182535</t>
  </si>
  <si>
    <t>0607321177</t>
  </si>
  <si>
    <t>8933012011000642574</t>
  </si>
  <si>
    <t>353857083801932</t>
  </si>
  <si>
    <t>46485320</t>
  </si>
  <si>
    <t>0607153532</t>
  </si>
  <si>
    <t>8933012011000644257</t>
  </si>
  <si>
    <t>353857083785473</t>
  </si>
  <si>
    <t>39892908</t>
  </si>
  <si>
    <t>0785847450</t>
  </si>
  <si>
    <t>8933012011000642665</t>
  </si>
  <si>
    <t>353857083781688</t>
  </si>
  <si>
    <t>27560032</t>
  </si>
  <si>
    <t>0607178262</t>
  </si>
  <si>
    <t>8933012011000643929</t>
  </si>
  <si>
    <t>353857083782827</t>
  </si>
  <si>
    <t>00950177</t>
  </si>
  <si>
    <t>0785852437</t>
  </si>
  <si>
    <t>8933012011000642517</t>
  </si>
  <si>
    <t>353857083799888</t>
  </si>
  <si>
    <t>05345058</t>
  </si>
  <si>
    <t>0607323859</t>
  </si>
  <si>
    <t>8933012011000642616</t>
  </si>
  <si>
    <t>353857083779229</t>
  </si>
  <si>
    <t>06472464</t>
  </si>
  <si>
    <t>0785849294</t>
  </si>
  <si>
    <t>8933012011000642632</t>
  </si>
  <si>
    <t>353857083799136</t>
  </si>
  <si>
    <t>95370984</t>
  </si>
  <si>
    <t>0607177631</t>
  </si>
  <si>
    <t>8933012011000643937</t>
  </si>
  <si>
    <t>353857083788337</t>
  </si>
  <si>
    <t>15504040</t>
  </si>
  <si>
    <t>0785776086</t>
  </si>
  <si>
    <t>8933012011000644240</t>
  </si>
  <si>
    <t>353857083782314</t>
  </si>
  <si>
    <t>82027809</t>
  </si>
  <si>
    <t>0607323899</t>
  </si>
  <si>
    <t>8933012011000642624</t>
  </si>
  <si>
    <t>353857083799763</t>
  </si>
  <si>
    <t>39225082</t>
  </si>
  <si>
    <t>0607176633</t>
  </si>
  <si>
    <t>8933012011000643911</t>
  </si>
  <si>
    <t>353857083787073</t>
  </si>
  <si>
    <t>24498819</t>
  </si>
  <si>
    <t>0607322941</t>
  </si>
  <si>
    <t>8933012011000642590</t>
  </si>
  <si>
    <t>353857083793469</t>
  </si>
  <si>
    <t>32273225</t>
  </si>
  <si>
    <t>0785770728</t>
  </si>
  <si>
    <t>8933012011000643978</t>
  </si>
  <si>
    <t>353857083781365</t>
  </si>
  <si>
    <t>26349810</t>
  </si>
  <si>
    <t>0607167712</t>
  </si>
  <si>
    <t>8933012011000643622</t>
  </si>
  <si>
    <t>353857083799706</t>
  </si>
  <si>
    <t>54212872</t>
  </si>
  <si>
    <t>0785778880</t>
  </si>
  <si>
    <t>8933012011000643655</t>
  </si>
  <si>
    <t>353857083795753</t>
  </si>
  <si>
    <t>88412679</t>
  </si>
  <si>
    <t>0785847417</t>
  </si>
  <si>
    <t>8933012011000642699</t>
  </si>
  <si>
    <t>353857083787610</t>
  </si>
  <si>
    <t>01908314</t>
  </si>
  <si>
    <t>0785779933</t>
  </si>
  <si>
    <t>8933012011000643721</t>
  </si>
  <si>
    <t>353857083787636</t>
  </si>
  <si>
    <t>83474712</t>
  </si>
  <si>
    <t>0607167835</t>
  </si>
  <si>
    <t>8933012011000643630</t>
  </si>
  <si>
    <t>353857083780193</t>
  </si>
  <si>
    <t>49750103</t>
  </si>
  <si>
    <t>0607164956</t>
  </si>
  <si>
    <t>8933012011000643606</t>
  </si>
  <si>
    <t>353857083767539</t>
  </si>
  <si>
    <t>49179031</t>
  </si>
  <si>
    <t>0607327177</t>
  </si>
  <si>
    <t>8933012011000642657</t>
  </si>
  <si>
    <t>353857083797841</t>
  </si>
  <si>
    <t>67635523</t>
  </si>
  <si>
    <t>0607175517</t>
  </si>
  <si>
    <t>8933012011000643887</t>
  </si>
  <si>
    <t>353857083791638</t>
  </si>
  <si>
    <t>31642200</t>
  </si>
  <si>
    <t>0645533536</t>
  </si>
  <si>
    <t>8933017011020875605</t>
  </si>
  <si>
    <t>353857083782710</t>
  </si>
  <si>
    <t>52437125</t>
  </si>
  <si>
    <t>0787306553</t>
  </si>
  <si>
    <t>8933017011020875555</t>
  </si>
  <si>
    <t>353857083799870</t>
  </si>
  <si>
    <t>30956865</t>
  </si>
  <si>
    <t>0645536455</t>
  </si>
  <si>
    <t>8933017011020875688</t>
  </si>
  <si>
    <t>353857083801973</t>
  </si>
  <si>
    <t>10914998</t>
  </si>
  <si>
    <t>KIFAITOU</t>
  </si>
  <si>
    <t>L'HAY LES ROSES</t>
  </si>
  <si>
    <t>! = DOUBLON</t>
  </si>
  <si>
    <t>? = RETOUR MAUVAISE FEUILLE</t>
  </si>
  <si>
    <t>TJM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</si>
</sst>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"/>
  </numFmts>
  <fonts count="24" x14ac:knownFonts="1">
    <font>
      <sz val="10"/>
      <name val="Arial"/>
    </font>
    <font>
      <sz val="14"/>
      <name val="Wingdings"/>
      <charset val="2"/>
    </font>
    <font>
      <sz val="8"/>
      <name val="Verdana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26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1"/>
      <color indexed="9"/>
      <name val="Calibri"/>
      <family val="2"/>
    </font>
    <font>
      <b/>
      <sz val="20"/>
      <name val="Arial"/>
      <family val="2"/>
    </font>
    <font>
      <sz val="18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36"/>
      <color rgb="FFFF0000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4"/>
      <color rgb="FFFF0000"/>
      <name val="Arial"/>
      <family val="2"/>
    </font>
    <font>
      <b/>
      <sz val="12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2"/>
      </patternFill>
    </fill>
    <fill>
      <patternFill patternType="solid">
        <fgColor rgb="FFFF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1">
    <xf numFmtId="0" fontId="0" fillId="0" borderId="0" xfId="0"/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hidden="1"/>
    </xf>
    <xf numFmtId="0" fontId="3" fillId="0" borderId="11" xfId="0" applyFont="1" applyBorder="1" applyAlignment="1" applyProtection="1">
      <alignment horizontal="center" vertical="center"/>
      <protection hidden="1"/>
    </xf>
    <xf numFmtId="0" fontId="3" fillId="0" borderId="9" xfId="0" applyFont="1" applyBorder="1" applyAlignment="1" applyProtection="1">
      <alignment horizontal="center" vertical="center"/>
      <protection hidden="1"/>
    </xf>
    <xf numFmtId="0" fontId="3" fillId="0" borderId="10" xfId="0" applyFont="1" applyBorder="1" applyAlignment="1" applyProtection="1">
      <alignment horizontal="center" vertical="center"/>
      <protection hidden="1"/>
    </xf>
    <xf numFmtId="1" fontId="0" fillId="0" borderId="0" xfId="0" applyNumberForma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0" xfId="0" applyProtection="1">
      <protection hidden="1"/>
    </xf>
    <xf numFmtId="0" fontId="10" fillId="0" borderId="0" xfId="0" applyFont="1" applyProtection="1">
      <protection hidden="1"/>
    </xf>
    <xf numFmtId="0" fontId="10" fillId="0" borderId="0" xfId="0" applyFont="1" applyFill="1" applyBorder="1" applyAlignment="1" applyProtection="1">
      <alignment vertical="center"/>
      <protection hidden="1"/>
    </xf>
    <xf numFmtId="1" fontId="10" fillId="0" borderId="0" xfId="0" applyNumberFormat="1" applyFont="1" applyFill="1" applyBorder="1" applyAlignment="1" applyProtection="1">
      <alignment vertical="center"/>
      <protection hidden="1"/>
    </xf>
    <xf numFmtId="1" fontId="0" fillId="0" borderId="0" xfId="0" applyNumberFormat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0" borderId="0" xfId="0" applyNumberFormat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1" fontId="0" fillId="0" borderId="0" xfId="0" applyNumberFormat="1" applyBorder="1" applyProtection="1">
      <protection hidden="1"/>
    </xf>
    <xf numFmtId="1" fontId="3" fillId="0" borderId="8" xfId="0" applyNumberFormat="1" applyFont="1" applyFill="1" applyBorder="1" applyAlignment="1" applyProtection="1">
      <alignment horizontal="center" vertical="center"/>
      <protection locked="0"/>
    </xf>
    <xf numFmtId="1" fontId="3" fillId="0" borderId="9" xfId="0" applyNumberFormat="1" applyFont="1" applyFill="1" applyBorder="1" applyAlignment="1" applyProtection="1">
      <alignment horizontal="center" vertical="center"/>
      <protection locked="0"/>
    </xf>
    <xf numFmtId="1" fontId="3" fillId="0" borderId="10" xfId="0" applyNumberFormat="1" applyFont="1" applyFill="1" applyBorder="1" applyAlignment="1" applyProtection="1">
      <alignment horizontal="center" vertical="center"/>
      <protection locked="0"/>
    </xf>
    <xf numFmtId="1" fontId="3" fillId="0" borderId="8" xfId="0" applyNumberFormat="1" applyFont="1" applyBorder="1" applyAlignment="1" applyProtection="1">
      <alignment horizontal="center" vertical="center"/>
      <protection hidden="1"/>
    </xf>
    <xf numFmtId="1" fontId="3" fillId="0" borderId="9" xfId="0" applyNumberFormat="1" applyFont="1" applyBorder="1" applyAlignment="1" applyProtection="1">
      <alignment horizontal="center" vertical="center"/>
      <protection hidden="1"/>
    </xf>
    <xf numFmtId="0" fontId="15" fillId="0" borderId="0" xfId="0" applyFont="1" applyFill="1" applyBorder="1" applyAlignment="1" applyProtection="1">
      <alignment vertical="center"/>
      <protection hidden="1"/>
    </xf>
    <xf numFmtId="1" fontId="3" fillId="0" borderId="10" xfId="0" applyNumberFormat="1" applyFont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vertical="center" wrapText="1"/>
      <protection hidden="1"/>
    </xf>
    <xf numFmtId="0" fontId="16" fillId="0" borderId="8" xfId="0" applyFont="1" applyFill="1" applyBorder="1" applyAlignment="1" applyProtection="1">
      <alignment horizontal="center" vertical="center"/>
      <protection hidden="1"/>
    </xf>
    <xf numFmtId="0" fontId="16" fillId="0" borderId="9" xfId="0" applyFont="1" applyFill="1" applyBorder="1" applyAlignment="1" applyProtection="1">
      <alignment horizontal="center" vertical="center"/>
      <protection hidden="1"/>
    </xf>
    <xf numFmtId="0" fontId="16" fillId="0" borderId="10" xfId="0" applyFont="1" applyFill="1" applyBorder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14" fontId="14" fillId="0" borderId="0" xfId="0" applyNumberFormat="1" applyFont="1" applyFill="1" applyBorder="1" applyAlignment="1" applyProtection="1">
      <alignment vertical="center"/>
      <protection hidden="1"/>
    </xf>
    <xf numFmtId="49" fontId="3" fillId="0" borderId="0" xfId="0" applyNumberFormat="1" applyFont="1" applyAlignment="1" applyProtection="1">
      <alignment horizontal="center" vertical="center"/>
      <protection hidden="1"/>
    </xf>
    <xf numFmtId="0" fontId="0" fillId="0" borderId="2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protection hidden="1"/>
    </xf>
    <xf numFmtId="0" fontId="4" fillId="2" borderId="18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vertical="center" wrapText="1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14" fontId="7" fillId="0" borderId="3" xfId="0" applyNumberFormat="1" applyFont="1" applyBorder="1" applyAlignment="1" applyProtection="1">
      <alignment vertical="center"/>
      <protection hidden="1"/>
    </xf>
    <xf numFmtId="0" fontId="4" fillId="2" borderId="26" xfId="0" applyFont="1" applyFill="1" applyBorder="1" applyAlignment="1" applyProtection="1">
      <alignment vertical="center" wrapText="1"/>
      <protection hidden="1"/>
    </xf>
    <xf numFmtId="0" fontId="8" fillId="2" borderId="12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vertical="center" wrapText="1"/>
      <protection hidden="1"/>
    </xf>
    <xf numFmtId="0" fontId="0" fillId="0" borderId="0" xfId="0" applyFill="1" applyBorder="1" applyAlignment="1" applyProtection="1">
      <alignment vertical="center" wrapText="1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164" fontId="0" fillId="0" borderId="0" xfId="0" applyNumberFormat="1" applyFill="1" applyBorder="1" applyProtection="1"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Protection="1">
      <protection hidden="1"/>
    </xf>
    <xf numFmtId="0" fontId="14" fillId="0" borderId="0" xfId="0" applyFont="1" applyAlignment="1" applyProtection="1">
      <alignment vertical="center"/>
      <protection hidden="1"/>
    </xf>
    <xf numFmtId="0" fontId="3" fillId="0" borderId="6" xfId="0" applyFont="1" applyBorder="1" applyAlignment="1" applyProtection="1">
      <alignment horizontal="center" vertical="center"/>
      <protection hidden="1"/>
    </xf>
    <xf numFmtId="0" fontId="3" fillId="0" borderId="17" xfId="0" applyFont="1" applyBorder="1" applyAlignment="1" applyProtection="1">
      <alignment horizontal="center" vertical="center"/>
      <protection hidden="1"/>
    </xf>
    <xf numFmtId="0" fontId="16" fillId="0" borderId="27" xfId="0" applyFont="1" applyFill="1" applyBorder="1" applyAlignment="1" applyProtection="1">
      <alignment vertical="center"/>
      <protection hidden="1"/>
    </xf>
    <xf numFmtId="0" fontId="16" fillId="0" borderId="0" xfId="0" applyFont="1" applyFill="1" applyBorder="1" applyAlignment="1" applyProtection="1">
      <alignment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1" fontId="4" fillId="0" borderId="0" xfId="0" applyNumberFormat="1" applyFont="1" applyFill="1" applyBorder="1" applyAlignment="1" applyProtection="1">
      <alignment vertical="center" wrapText="1"/>
      <protection hidden="1"/>
    </xf>
    <xf numFmtId="1" fontId="3" fillId="0" borderId="0" xfId="0" applyNumberFormat="1" applyFont="1" applyFill="1" applyBorder="1" applyAlignment="1" applyProtection="1">
      <alignment horizontal="center" vertical="center"/>
      <protection hidden="1"/>
    </xf>
    <xf numFmtId="1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3" fillId="0" borderId="27" xfId="0" applyFont="1" applyFill="1" applyBorder="1" applyAlignment="1" applyProtection="1">
      <alignment horizontal="center" vertical="center" wrapText="1"/>
      <protection hidden="1"/>
    </xf>
    <xf numFmtId="1" fontId="16" fillId="0" borderId="27" xfId="0" applyNumberFormat="1" applyFont="1" applyFill="1" applyBorder="1" applyAlignment="1" applyProtection="1">
      <alignment horizontal="center" vertical="center"/>
      <protection hidden="1"/>
    </xf>
    <xf numFmtId="0" fontId="1" fillId="0" borderId="27" xfId="0" applyFont="1" applyFill="1" applyBorder="1" applyAlignment="1" applyProtection="1">
      <alignment horizontal="center" vertical="center"/>
      <protection hidden="1"/>
    </xf>
    <xf numFmtId="0" fontId="0" fillId="0" borderId="27" xfId="0" applyFill="1" applyBorder="1" applyProtection="1">
      <protection hidden="1"/>
    </xf>
    <xf numFmtId="0" fontId="0" fillId="0" borderId="27" xfId="0" applyFill="1" applyBorder="1" applyAlignment="1" applyProtection="1">
      <protection hidden="1"/>
    </xf>
    <xf numFmtId="0" fontId="20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protection hidden="1"/>
    </xf>
    <xf numFmtId="0" fontId="20" fillId="0" borderId="0" xfId="0" applyFont="1" applyBorder="1" applyAlignment="1" applyProtection="1">
      <alignment vertical="center"/>
      <protection hidden="1"/>
    </xf>
    <xf numFmtId="0" fontId="3" fillId="0" borderId="0" xfId="0" applyFont="1" applyBorder="1" applyProtection="1">
      <protection hidden="1"/>
    </xf>
    <xf numFmtId="20" fontId="3" fillId="0" borderId="0" xfId="0" applyNumberFormat="1" applyFont="1" applyProtection="1">
      <protection hidden="1"/>
    </xf>
    <xf numFmtId="1" fontId="3" fillId="0" borderId="0" xfId="0" applyNumberFormat="1" applyFont="1" applyProtection="1">
      <protection hidden="1"/>
    </xf>
    <xf numFmtId="1" fontId="3" fillId="0" borderId="0" xfId="0" applyNumberFormat="1" applyFont="1" applyFill="1" applyBorder="1" applyAlignment="1" applyProtection="1">
      <alignment vertical="center" wrapText="1"/>
      <protection hidden="1"/>
    </xf>
    <xf numFmtId="0" fontId="17" fillId="0" borderId="0" xfId="0" applyFont="1" applyFill="1" applyBorder="1" applyAlignment="1" applyProtection="1">
      <alignment vertical="center"/>
    </xf>
    <xf numFmtId="1" fontId="4" fillId="0" borderId="0" xfId="0" applyNumberFormat="1" applyFont="1" applyFill="1" applyBorder="1" applyProtection="1">
      <protection hidden="1"/>
    </xf>
    <xf numFmtId="1" fontId="16" fillId="0" borderId="0" xfId="0" applyNumberFormat="1" applyFont="1" applyFill="1" applyBorder="1" applyAlignment="1" applyProtection="1">
      <alignment horizontal="center" vertical="center"/>
    </xf>
    <xf numFmtId="49" fontId="3" fillId="0" borderId="0" xfId="0" applyNumberFormat="1" applyFont="1" applyAlignment="1" applyProtection="1">
      <alignment vertical="center"/>
      <protection hidden="1"/>
    </xf>
    <xf numFmtId="0" fontId="0" fillId="0" borderId="0" xfId="0" applyAlignment="1" applyProtection="1">
      <alignment wrapText="1"/>
      <protection hidden="1"/>
    </xf>
    <xf numFmtId="49" fontId="3" fillId="7" borderId="0" xfId="0" applyNumberFormat="1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wrapText="1"/>
      <protection hidden="1"/>
    </xf>
    <xf numFmtId="0" fontId="0" fillId="7" borderId="0" xfId="0" applyFill="1" applyBorder="1" applyProtection="1">
      <protection hidden="1"/>
    </xf>
    <xf numFmtId="1" fontId="0" fillId="7" borderId="0" xfId="0" applyNumberFormat="1" applyFill="1" applyProtection="1">
      <protection hidden="1"/>
    </xf>
    <xf numFmtId="0" fontId="3" fillId="7" borderId="0" xfId="0" applyFont="1" applyFill="1" applyProtection="1">
      <protection hidden="1"/>
    </xf>
    <xf numFmtId="0" fontId="0" fillId="7" borderId="0" xfId="0" applyFill="1" applyProtection="1">
      <protection hidden="1"/>
    </xf>
    <xf numFmtId="1" fontId="16" fillId="7" borderId="0" xfId="0" applyNumberFormat="1" applyFont="1" applyFill="1" applyBorder="1" applyAlignment="1" applyProtection="1">
      <alignment horizontal="center" vertical="center"/>
    </xf>
    <xf numFmtId="0" fontId="0" fillId="7" borderId="0" xfId="0" applyFill="1" applyAlignment="1" applyProtection="1">
      <alignment wrapText="1"/>
      <protection hidden="1"/>
    </xf>
    <xf numFmtId="0" fontId="5" fillId="7" borderId="0" xfId="0" applyFont="1" applyFill="1" applyBorder="1" applyAlignment="1" applyProtection="1">
      <alignment horizontal="center" vertical="center" wrapText="1"/>
      <protection hidden="1"/>
    </xf>
    <xf numFmtId="49" fontId="5" fillId="7" borderId="0" xfId="0" applyNumberFormat="1" applyFont="1" applyFill="1" applyAlignment="1" applyProtection="1">
      <alignment horizontal="center" vertical="center" wrapText="1"/>
      <protection hidden="1"/>
    </xf>
    <xf numFmtId="1" fontId="5" fillId="7" borderId="0" xfId="0" applyNumberFormat="1" applyFont="1" applyFill="1" applyAlignment="1" applyProtection="1">
      <alignment horizontal="center" vertical="center" wrapText="1"/>
      <protection hidden="1"/>
    </xf>
    <xf numFmtId="1" fontId="4" fillId="0" borderId="27" xfId="0" applyNumberFormat="1" applyFont="1" applyBorder="1" applyAlignment="1" applyProtection="1">
      <alignment horizontal="center" vertical="center"/>
      <protection hidden="1"/>
    </xf>
    <xf numFmtId="0" fontId="0" fillId="7" borderId="0" xfId="0" applyFill="1" applyBorder="1" applyAlignment="1" applyProtection="1">
      <alignment horizontal="center" vertical="center"/>
      <protection hidden="1"/>
    </xf>
    <xf numFmtId="49" fontId="3" fillId="7" borderId="0" xfId="0" applyNumberFormat="1" applyFont="1" applyFill="1" applyAlignment="1" applyProtection="1">
      <alignment horizontal="center" vertical="center"/>
      <protection hidden="1"/>
    </xf>
    <xf numFmtId="1" fontId="0" fillId="7" borderId="0" xfId="0" applyNumberFormat="1" applyFill="1" applyAlignment="1" applyProtection="1">
      <alignment horizontal="center" vertical="center"/>
      <protection hidden="1"/>
    </xf>
    <xf numFmtId="0" fontId="15" fillId="7" borderId="0" xfId="0" applyFont="1" applyFill="1" applyBorder="1" applyAlignment="1" applyProtection="1">
      <alignment horizontal="center" vertical="center"/>
      <protection hidden="1"/>
    </xf>
    <xf numFmtId="0" fontId="3" fillId="0" borderId="6" xfId="0" applyFont="1" applyBorder="1" applyAlignment="1" applyProtection="1">
      <alignment horizontal="center" vertical="center"/>
      <protection hidden="1"/>
    </xf>
    <xf numFmtId="0" fontId="3" fillId="0" borderId="17" xfId="0" applyFont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13" fillId="5" borderId="15" xfId="0" applyFont="1" applyFill="1" applyBorder="1" applyAlignment="1" applyProtection="1">
      <alignment horizontal="center" vertical="center"/>
    </xf>
    <xf numFmtId="1" fontId="13" fillId="5" borderId="15" xfId="0" applyNumberFormat="1" applyFont="1" applyFill="1" applyBorder="1" applyAlignment="1" applyProtection="1">
      <alignment horizontal="center" vertical="center"/>
    </xf>
    <xf numFmtId="0" fontId="13" fillId="5" borderId="0" xfId="0" applyFont="1" applyFill="1" applyAlignment="1" applyProtection="1">
      <alignment horizontal="center" vertical="center"/>
    </xf>
    <xf numFmtId="49" fontId="13" fillId="5" borderId="15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0" xfId="0" applyProtection="1"/>
    <xf numFmtId="49" fontId="0" fillId="0" borderId="0" xfId="0" applyNumberFormat="1" applyAlignment="1" applyProtection="1">
      <alignment horizontal="center" vertical="center"/>
    </xf>
    <xf numFmtId="0" fontId="0" fillId="10" borderId="0" xfId="0" applyFill="1" applyProtection="1">
      <protection hidden="1"/>
    </xf>
    <xf numFmtId="49" fontId="3" fillId="10" borderId="0" xfId="0" applyNumberFormat="1" applyFont="1" applyFill="1" applyAlignment="1" applyProtection="1">
      <alignment vertical="center"/>
      <protection hidden="1"/>
    </xf>
    <xf numFmtId="1" fontId="0" fillId="10" borderId="0" xfId="0" applyNumberFormat="1" applyFill="1" applyProtection="1">
      <protection hidden="1"/>
    </xf>
    <xf numFmtId="1" fontId="3" fillId="0" borderId="11" xfId="0" applyNumberFormat="1" applyFont="1" applyFill="1" applyBorder="1" applyAlignment="1" applyProtection="1">
      <alignment horizontal="center" vertical="center"/>
      <protection locked="0"/>
    </xf>
    <xf numFmtId="1" fontId="4" fillId="0" borderId="0" xfId="0" applyNumberFormat="1" applyFont="1" applyBorder="1" applyAlignment="1" applyProtection="1">
      <alignment horizontal="center" vertical="center"/>
      <protection hidden="1"/>
    </xf>
    <xf numFmtId="0" fontId="3" fillId="0" borderId="6" xfId="0" applyFont="1" applyBorder="1" applyAlignment="1" applyProtection="1">
      <alignment horizontal="center" vertical="center"/>
      <protection hidden="1"/>
    </xf>
    <xf numFmtId="0" fontId="3" fillId="0" borderId="17" xfId="0" applyFont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1" fontId="12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1" fontId="16" fillId="0" borderId="24" xfId="0" applyNumberFormat="1" applyFont="1" applyBorder="1" applyAlignment="1" applyProtection="1">
      <alignment horizontal="center" vertical="center"/>
    </xf>
    <xf numFmtId="1" fontId="16" fillId="0" borderId="25" xfId="0" applyNumberFormat="1" applyFont="1" applyBorder="1" applyAlignment="1" applyProtection="1">
      <alignment horizontal="center" vertical="center"/>
    </xf>
    <xf numFmtId="1" fontId="16" fillId="0" borderId="22" xfId="0" applyNumberFormat="1" applyFont="1" applyBorder="1" applyAlignment="1" applyProtection="1">
      <alignment horizontal="center" vertical="center"/>
    </xf>
    <xf numFmtId="1" fontId="16" fillId="0" borderId="23" xfId="0" applyNumberFormat="1" applyFont="1" applyBorder="1" applyAlignment="1" applyProtection="1">
      <alignment horizontal="center" vertical="center"/>
    </xf>
    <xf numFmtId="0" fontId="17" fillId="6" borderId="7" xfId="0" applyFont="1" applyFill="1" applyBorder="1" applyAlignment="1" applyProtection="1">
      <alignment horizontal="center" vertical="center"/>
    </xf>
    <xf numFmtId="0" fontId="17" fillId="6" borderId="5" xfId="0" applyFont="1" applyFill="1" applyBorder="1" applyAlignment="1" applyProtection="1">
      <alignment horizontal="center" vertical="center"/>
    </xf>
    <xf numFmtId="0" fontId="17" fillId="6" borderId="6" xfId="0" applyFont="1" applyFill="1" applyBorder="1" applyAlignment="1" applyProtection="1">
      <alignment horizontal="center" vertical="center"/>
    </xf>
    <xf numFmtId="0" fontId="17" fillId="6" borderId="13" xfId="0" applyFont="1" applyFill="1" applyBorder="1" applyAlignment="1" applyProtection="1">
      <alignment horizontal="center" vertical="center"/>
    </xf>
    <xf numFmtId="0" fontId="17" fillId="6" borderId="14" xfId="0" applyFont="1" applyFill="1" applyBorder="1" applyAlignment="1" applyProtection="1">
      <alignment horizontal="center" vertical="center"/>
    </xf>
    <xf numFmtId="1" fontId="23" fillId="0" borderId="0" xfId="0" applyNumberFormat="1" applyFont="1" applyFill="1" applyBorder="1" applyAlignment="1" applyProtection="1">
      <alignment horizontal="center" vertical="center" wrapText="1"/>
    </xf>
    <xf numFmtId="1" fontId="22" fillId="0" borderId="0" xfId="0" applyNumberFormat="1" applyFont="1" applyFill="1" applyBorder="1" applyAlignment="1" applyProtection="1">
      <alignment horizontal="center" vertical="center"/>
    </xf>
    <xf numFmtId="0" fontId="11" fillId="4" borderId="7" xfId="0" applyFont="1" applyFill="1" applyBorder="1" applyAlignment="1" applyProtection="1">
      <alignment horizontal="center" vertical="center"/>
      <protection hidden="1"/>
    </xf>
    <xf numFmtId="0" fontId="11" fillId="4" borderId="5" xfId="0" applyFont="1" applyFill="1" applyBorder="1" applyAlignment="1" applyProtection="1">
      <alignment horizontal="center" vertical="center"/>
      <protection hidden="1"/>
    </xf>
    <xf numFmtId="0" fontId="11" fillId="4" borderId="6" xfId="0" applyFont="1" applyFill="1" applyBorder="1" applyAlignment="1" applyProtection="1">
      <alignment horizontal="center" vertical="center"/>
      <protection hidden="1"/>
    </xf>
    <xf numFmtId="0" fontId="11" fillId="4" borderId="19" xfId="0" applyFont="1" applyFill="1" applyBorder="1" applyAlignment="1" applyProtection="1">
      <alignment horizontal="center" vertical="center"/>
      <protection hidden="1"/>
    </xf>
    <xf numFmtId="0" fontId="11" fillId="4" borderId="0" xfId="0" applyFont="1" applyFill="1" applyBorder="1" applyAlignment="1" applyProtection="1">
      <alignment horizontal="center" vertical="center"/>
      <protection hidden="1"/>
    </xf>
    <xf numFmtId="0" fontId="11" fillId="4" borderId="1" xfId="0" applyFont="1" applyFill="1" applyBorder="1" applyAlignment="1" applyProtection="1">
      <alignment horizontal="center" vertical="center"/>
      <protection hidden="1"/>
    </xf>
    <xf numFmtId="0" fontId="11" fillId="4" borderId="4" xfId="0" applyFont="1" applyFill="1" applyBorder="1" applyAlignment="1" applyProtection="1">
      <alignment horizontal="center" vertical="center"/>
      <protection hidden="1"/>
    </xf>
    <xf numFmtId="0" fontId="11" fillId="4" borderId="16" xfId="0" applyFont="1" applyFill="1" applyBorder="1" applyAlignment="1" applyProtection="1">
      <alignment horizontal="center" vertical="center"/>
      <protection hidden="1"/>
    </xf>
    <xf numFmtId="0" fontId="11" fillId="4" borderId="17" xfId="0" applyFont="1" applyFill="1" applyBorder="1" applyAlignment="1" applyProtection="1">
      <alignment horizontal="center" vertical="center"/>
      <protection hidden="1"/>
    </xf>
    <xf numFmtId="1" fontId="14" fillId="4" borderId="7" xfId="0" applyNumberFormat="1" applyFont="1" applyFill="1" applyBorder="1" applyAlignment="1" applyProtection="1">
      <alignment horizontal="center" vertical="center"/>
      <protection hidden="1"/>
    </xf>
    <xf numFmtId="1" fontId="14" fillId="4" borderId="5" xfId="0" applyNumberFormat="1" applyFont="1" applyFill="1" applyBorder="1" applyAlignment="1" applyProtection="1">
      <alignment horizontal="center" vertical="center"/>
      <protection hidden="1"/>
    </xf>
    <xf numFmtId="1" fontId="14" fillId="4" borderId="6" xfId="0" applyNumberFormat="1" applyFont="1" applyFill="1" applyBorder="1" applyAlignment="1" applyProtection="1">
      <alignment horizontal="center" vertical="center"/>
      <protection hidden="1"/>
    </xf>
    <xf numFmtId="1" fontId="14" fillId="4" borderId="19" xfId="0" applyNumberFormat="1" applyFont="1" applyFill="1" applyBorder="1" applyAlignment="1" applyProtection="1">
      <alignment horizontal="center" vertical="center"/>
      <protection hidden="1"/>
    </xf>
    <xf numFmtId="1" fontId="14" fillId="4" borderId="0" xfId="0" applyNumberFormat="1" applyFont="1" applyFill="1" applyBorder="1" applyAlignment="1" applyProtection="1">
      <alignment horizontal="center" vertical="center"/>
      <protection hidden="1"/>
    </xf>
    <xf numFmtId="1" fontId="14" fillId="4" borderId="1" xfId="0" applyNumberFormat="1" applyFont="1" applyFill="1" applyBorder="1" applyAlignment="1" applyProtection="1">
      <alignment horizontal="center" vertical="center"/>
      <protection hidden="1"/>
    </xf>
    <xf numFmtId="1" fontId="14" fillId="4" borderId="4" xfId="0" applyNumberFormat="1" applyFont="1" applyFill="1" applyBorder="1" applyAlignment="1" applyProtection="1">
      <alignment horizontal="center" vertical="center"/>
      <protection hidden="1"/>
    </xf>
    <xf numFmtId="1" fontId="14" fillId="4" borderId="16" xfId="0" applyNumberFormat="1" applyFont="1" applyFill="1" applyBorder="1" applyAlignment="1" applyProtection="1">
      <alignment horizontal="center" vertical="center"/>
      <protection hidden="1"/>
    </xf>
    <xf numFmtId="1" fontId="14" fillId="4" borderId="17" xfId="0" applyNumberFormat="1" applyFont="1" applyFill="1" applyBorder="1" applyAlignment="1" applyProtection="1">
      <alignment horizontal="center" vertical="center"/>
      <protection hidden="1"/>
    </xf>
    <xf numFmtId="1" fontId="14" fillId="3" borderId="7" xfId="0" applyNumberFormat="1" applyFont="1" applyFill="1" applyBorder="1" applyAlignment="1" applyProtection="1">
      <alignment horizontal="center" vertical="center"/>
      <protection locked="0"/>
    </xf>
    <xf numFmtId="1" fontId="14" fillId="3" borderId="5" xfId="0" applyNumberFormat="1" applyFont="1" applyFill="1" applyBorder="1" applyAlignment="1" applyProtection="1">
      <alignment horizontal="center" vertical="center"/>
      <protection locked="0"/>
    </xf>
    <xf numFmtId="1" fontId="14" fillId="3" borderId="6" xfId="0" applyNumberFormat="1" applyFont="1" applyFill="1" applyBorder="1" applyAlignment="1" applyProtection="1">
      <alignment horizontal="center" vertical="center"/>
      <protection locked="0"/>
    </xf>
    <xf numFmtId="1" fontId="14" fillId="3" borderId="19" xfId="0" applyNumberFormat="1" applyFont="1" applyFill="1" applyBorder="1" applyAlignment="1" applyProtection="1">
      <alignment horizontal="center" vertical="center"/>
      <protection locked="0"/>
    </xf>
    <xf numFmtId="1" fontId="14" fillId="3" borderId="0" xfId="0" applyNumberFormat="1" applyFont="1" applyFill="1" applyBorder="1" applyAlignment="1" applyProtection="1">
      <alignment horizontal="center" vertical="center"/>
      <protection locked="0"/>
    </xf>
    <xf numFmtId="1" fontId="14" fillId="3" borderId="1" xfId="0" applyNumberFormat="1" applyFont="1" applyFill="1" applyBorder="1" applyAlignment="1" applyProtection="1">
      <alignment horizontal="center" vertical="center"/>
      <protection locked="0"/>
    </xf>
    <xf numFmtId="1" fontId="14" fillId="3" borderId="4" xfId="0" applyNumberFormat="1" applyFont="1" applyFill="1" applyBorder="1" applyAlignment="1" applyProtection="1">
      <alignment horizontal="center" vertical="center"/>
      <protection locked="0"/>
    </xf>
    <xf numFmtId="1" fontId="14" fillId="3" borderId="16" xfId="0" applyNumberFormat="1" applyFont="1" applyFill="1" applyBorder="1" applyAlignment="1" applyProtection="1">
      <alignment horizontal="center" vertical="center"/>
      <protection locked="0"/>
    </xf>
    <xf numFmtId="1" fontId="14" fillId="3" borderId="17" xfId="0" applyNumberFormat="1" applyFont="1" applyFill="1" applyBorder="1" applyAlignment="1" applyProtection="1">
      <alignment horizontal="center" vertical="center"/>
      <protection locked="0"/>
    </xf>
    <xf numFmtId="1" fontId="10" fillId="0" borderId="7" xfId="0" applyNumberFormat="1" applyFont="1" applyBorder="1" applyAlignment="1" applyProtection="1">
      <alignment horizontal="center" vertical="center"/>
      <protection hidden="1"/>
    </xf>
    <xf numFmtId="1" fontId="10" fillId="0" borderId="6" xfId="0" applyNumberFormat="1" applyFont="1" applyBorder="1" applyAlignment="1" applyProtection="1">
      <alignment horizontal="center" vertical="center"/>
      <protection hidden="1"/>
    </xf>
    <xf numFmtId="1" fontId="10" fillId="0" borderId="19" xfId="0" applyNumberFormat="1" applyFont="1" applyBorder="1" applyAlignment="1" applyProtection="1">
      <alignment horizontal="center" vertical="center"/>
      <protection hidden="1"/>
    </xf>
    <xf numFmtId="1" fontId="10" fillId="0" borderId="1" xfId="0" applyNumberFormat="1" applyFont="1" applyBorder="1" applyAlignment="1" applyProtection="1">
      <alignment horizontal="center" vertical="center"/>
      <protection hidden="1"/>
    </xf>
    <xf numFmtId="1" fontId="10" fillId="0" borderId="4" xfId="0" applyNumberFormat="1" applyFont="1" applyBorder="1" applyAlignment="1" applyProtection="1">
      <alignment horizontal="center" vertical="center"/>
      <protection hidden="1"/>
    </xf>
    <xf numFmtId="1" fontId="10" fillId="0" borderId="17" xfId="0" applyNumberFormat="1" applyFont="1" applyBorder="1" applyAlignment="1" applyProtection="1">
      <alignment horizontal="center" vertical="center"/>
      <protection hidden="1"/>
    </xf>
    <xf numFmtId="0" fontId="18" fillId="4" borderId="7" xfId="0" applyFont="1" applyFill="1" applyBorder="1" applyAlignment="1" applyProtection="1">
      <alignment horizontal="center" vertical="center"/>
      <protection hidden="1"/>
    </xf>
    <xf numFmtId="0" fontId="18" fillId="4" borderId="6" xfId="0" applyFont="1" applyFill="1" applyBorder="1" applyAlignment="1" applyProtection="1">
      <alignment horizontal="center" vertical="center"/>
      <protection hidden="1"/>
    </xf>
    <xf numFmtId="0" fontId="18" fillId="4" borderId="19" xfId="0" applyFont="1" applyFill="1" applyBorder="1" applyAlignment="1" applyProtection="1">
      <alignment horizontal="center" vertical="center"/>
      <protection hidden="1"/>
    </xf>
    <xf numFmtId="0" fontId="18" fillId="4" borderId="1" xfId="0" applyFont="1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 applyProtection="1">
      <alignment horizontal="center" vertical="center"/>
      <protection hidden="1"/>
    </xf>
    <xf numFmtId="0" fontId="18" fillId="4" borderId="17" xfId="0" applyFont="1" applyFill="1" applyBorder="1" applyAlignment="1" applyProtection="1">
      <alignment horizontal="center" vertical="center"/>
      <protection hidden="1"/>
    </xf>
    <xf numFmtId="0" fontId="11" fillId="4" borderId="7" xfId="0" applyFont="1" applyFill="1" applyBorder="1" applyAlignment="1" applyProtection="1">
      <alignment horizontal="center" vertical="center" wrapText="1"/>
      <protection hidden="1"/>
    </xf>
    <xf numFmtId="1" fontId="10" fillId="3" borderId="7" xfId="0" applyNumberFormat="1" applyFont="1" applyFill="1" applyBorder="1" applyAlignment="1" applyProtection="1">
      <alignment horizontal="center" vertical="center"/>
      <protection hidden="1"/>
    </xf>
    <xf numFmtId="1" fontId="10" fillId="3" borderId="6" xfId="0" applyNumberFormat="1" applyFont="1" applyFill="1" applyBorder="1" applyAlignment="1" applyProtection="1">
      <alignment horizontal="center" vertical="center"/>
      <protection hidden="1"/>
    </xf>
    <xf numFmtId="1" fontId="10" fillId="3" borderId="19" xfId="0" applyNumberFormat="1" applyFont="1" applyFill="1" applyBorder="1" applyAlignment="1" applyProtection="1">
      <alignment horizontal="center" vertical="center"/>
      <protection hidden="1"/>
    </xf>
    <xf numFmtId="1" fontId="10" fillId="3" borderId="1" xfId="0" applyNumberFormat="1" applyFont="1" applyFill="1" applyBorder="1" applyAlignment="1" applyProtection="1">
      <alignment horizontal="center" vertical="center"/>
      <protection hidden="1"/>
    </xf>
    <xf numFmtId="1" fontId="10" fillId="3" borderId="4" xfId="0" applyNumberFormat="1" applyFont="1" applyFill="1" applyBorder="1" applyAlignment="1" applyProtection="1">
      <alignment horizontal="center" vertical="center"/>
      <protection hidden="1"/>
    </xf>
    <xf numFmtId="1" fontId="10" fillId="3" borderId="17" xfId="0" applyNumberFormat="1" applyFont="1" applyFill="1" applyBorder="1" applyAlignment="1" applyProtection="1">
      <alignment horizontal="center" vertical="center"/>
      <protection hidden="1"/>
    </xf>
    <xf numFmtId="0" fontId="10" fillId="3" borderId="18" xfId="0" applyNumberFormat="1" applyFont="1" applyFill="1" applyBorder="1" applyAlignment="1" applyProtection="1">
      <alignment horizontal="center" vertical="center"/>
      <protection locked="0"/>
    </xf>
    <xf numFmtId="0" fontId="10" fillId="3" borderId="26" xfId="0" applyNumberFormat="1" applyFont="1" applyFill="1" applyBorder="1" applyAlignment="1" applyProtection="1">
      <alignment horizontal="center" vertical="center"/>
      <protection locked="0"/>
    </xf>
    <xf numFmtId="0" fontId="10" fillId="3" borderId="12" xfId="0" applyNumberFormat="1" applyFont="1" applyFill="1" applyBorder="1" applyAlignment="1" applyProtection="1">
      <alignment horizontal="center" vertical="center"/>
      <protection locked="0"/>
    </xf>
    <xf numFmtId="0" fontId="10" fillId="3" borderId="18" xfId="0" applyFont="1" applyFill="1" applyBorder="1" applyAlignment="1" applyProtection="1">
      <alignment horizontal="center" vertical="center"/>
      <protection locked="0"/>
    </xf>
    <xf numFmtId="0" fontId="10" fillId="3" borderId="26" xfId="0" applyFont="1" applyFill="1" applyBorder="1" applyAlignment="1" applyProtection="1">
      <alignment horizontal="center" vertical="center"/>
      <protection locked="0"/>
    </xf>
    <xf numFmtId="0" fontId="10" fillId="3" borderId="12" xfId="0" applyFont="1" applyFill="1" applyBorder="1" applyAlignment="1" applyProtection="1">
      <alignment horizontal="center" vertical="center"/>
      <protection locked="0"/>
    </xf>
    <xf numFmtId="0" fontId="10" fillId="3" borderId="7" xfId="0" applyFont="1" applyFill="1" applyBorder="1" applyAlignment="1" applyProtection="1">
      <alignment horizontal="center" vertical="center"/>
      <protection hidden="1"/>
    </xf>
    <xf numFmtId="0" fontId="10" fillId="3" borderId="6" xfId="0" applyFont="1" applyFill="1" applyBorder="1" applyAlignment="1" applyProtection="1">
      <alignment horizontal="center" vertical="center"/>
      <protection hidden="1"/>
    </xf>
    <xf numFmtId="0" fontId="10" fillId="3" borderId="19" xfId="0" applyFont="1" applyFill="1" applyBorder="1" applyAlignment="1" applyProtection="1">
      <alignment horizontal="center" vertical="center"/>
      <protection hidden="1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0" fillId="3" borderId="4" xfId="0" applyFont="1" applyFill="1" applyBorder="1" applyAlignment="1" applyProtection="1">
      <alignment horizontal="center" vertical="center"/>
      <protection hidden="1"/>
    </xf>
    <xf numFmtId="0" fontId="10" fillId="3" borderId="17" xfId="0" applyFont="1" applyFill="1" applyBorder="1" applyAlignment="1" applyProtection="1">
      <alignment horizontal="center" vertical="center"/>
      <protection hidden="1"/>
    </xf>
    <xf numFmtId="1" fontId="16" fillId="0" borderId="20" xfId="0" applyNumberFormat="1" applyFont="1" applyBorder="1" applyAlignment="1" applyProtection="1">
      <alignment horizontal="center" vertical="center"/>
    </xf>
    <xf numFmtId="1" fontId="16" fillId="0" borderId="21" xfId="0" applyNumberFormat="1" applyFont="1" applyBorder="1" applyAlignment="1" applyProtection="1">
      <alignment horizontal="center" vertical="center"/>
    </xf>
    <xf numFmtId="0" fontId="4" fillId="2" borderId="7" xfId="0" applyFont="1" applyFill="1" applyBorder="1" applyAlignment="1" applyProtection="1">
      <alignment horizontal="center" vertical="center" wrapTex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6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16" xfId="0" applyFont="1" applyFill="1" applyBorder="1" applyAlignment="1" applyProtection="1">
      <alignment horizontal="center" vertical="center" wrapText="1"/>
      <protection hidden="1"/>
    </xf>
    <xf numFmtId="0" fontId="4" fillId="2" borderId="17" xfId="0" applyFont="1" applyFill="1" applyBorder="1" applyAlignment="1" applyProtection="1">
      <alignment horizontal="center" vertical="center" wrapText="1"/>
      <protection hidden="1"/>
    </xf>
    <xf numFmtId="0" fontId="16" fillId="0" borderId="13" xfId="0" applyFont="1" applyFill="1" applyBorder="1" applyAlignment="1" applyProtection="1">
      <alignment horizontal="center" vertical="center"/>
      <protection hidden="1"/>
    </xf>
    <xf numFmtId="0" fontId="16" fillId="0" borderId="15" xfId="0" applyFont="1" applyFill="1" applyBorder="1" applyAlignment="1" applyProtection="1">
      <alignment horizontal="center" vertical="center"/>
      <protection hidden="1"/>
    </xf>
    <xf numFmtId="0" fontId="16" fillId="0" borderId="14" xfId="0" applyFont="1" applyFill="1" applyBorder="1" applyAlignment="1" applyProtection="1">
      <alignment horizontal="center" vertical="center"/>
      <protection hidden="1"/>
    </xf>
    <xf numFmtId="0" fontId="3" fillId="3" borderId="13" xfId="0" applyFont="1" applyFill="1" applyBorder="1" applyAlignment="1" applyProtection="1">
      <alignment horizontal="center" vertical="center"/>
      <protection hidden="1"/>
    </xf>
    <xf numFmtId="0" fontId="3" fillId="3" borderId="15" xfId="0" applyFont="1" applyFill="1" applyBorder="1" applyAlignment="1" applyProtection="1">
      <alignment horizontal="center" vertical="center"/>
      <protection hidden="1"/>
    </xf>
    <xf numFmtId="0" fontId="3" fillId="3" borderId="14" xfId="0" applyFont="1" applyFill="1" applyBorder="1" applyAlignment="1" applyProtection="1">
      <alignment horizontal="center" vertical="center"/>
      <protection hidden="1"/>
    </xf>
    <xf numFmtId="14" fontId="7" fillId="2" borderId="13" xfId="0" applyNumberFormat="1" applyFont="1" applyFill="1" applyBorder="1" applyAlignment="1" applyProtection="1">
      <alignment horizontal="center" vertical="center"/>
      <protection hidden="1"/>
    </xf>
    <xf numFmtId="14" fontId="7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5" xfId="0" applyFont="1" applyFill="1" applyBorder="1" applyAlignment="1" applyProtection="1">
      <alignment horizontal="center" vertical="center" wrapText="1"/>
      <protection hidden="1"/>
    </xf>
    <xf numFmtId="0" fontId="4" fillId="2" borderId="14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Border="1" applyAlignment="1" applyProtection="1">
      <alignment horizontal="center" vertical="center"/>
      <protection hidden="1"/>
    </xf>
    <xf numFmtId="0" fontId="3" fillId="0" borderId="12" xfId="0" applyFont="1" applyBorder="1" applyAlignment="1" applyProtection="1">
      <alignment horizontal="center" vertical="center"/>
      <protection hidden="1"/>
    </xf>
    <xf numFmtId="0" fontId="3" fillId="0" borderId="6" xfId="0" applyFont="1" applyBorder="1" applyAlignment="1" applyProtection="1">
      <alignment horizontal="center" vertical="center"/>
      <protection hidden="1"/>
    </xf>
    <xf numFmtId="0" fontId="3" fillId="0" borderId="17" xfId="0" applyFont="1" applyBorder="1" applyAlignment="1" applyProtection="1">
      <alignment horizontal="center" vertical="center"/>
      <protection hidden="1"/>
    </xf>
    <xf numFmtId="0" fontId="3" fillId="0" borderId="26" xfId="0" applyFont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1" fontId="21" fillId="8" borderId="27" xfId="0" applyNumberFormat="1" applyFont="1" applyFill="1" applyBorder="1" applyAlignment="1" applyProtection="1">
      <alignment horizontal="center" vertical="center" wrapText="1"/>
    </xf>
    <xf numFmtId="1" fontId="12" fillId="7" borderId="0" xfId="0" applyNumberFormat="1" applyFont="1" applyFill="1" applyBorder="1" applyAlignment="1" applyProtection="1">
      <alignment horizontal="center" vertical="center"/>
      <protection hidden="1"/>
    </xf>
    <xf numFmtId="0" fontId="12" fillId="7" borderId="0" xfId="0" applyFont="1" applyFill="1" applyBorder="1" applyAlignment="1" applyProtection="1">
      <alignment horizontal="center" vertical="center"/>
      <protection hidden="1"/>
    </xf>
    <xf numFmtId="0" fontId="19" fillId="7" borderId="0" xfId="0" applyFont="1" applyFill="1" applyBorder="1" applyAlignment="1" applyProtection="1">
      <alignment horizontal="center" vertical="center"/>
      <protection hidden="1"/>
    </xf>
    <xf numFmtId="1" fontId="21" fillId="9" borderId="27" xfId="0" applyNumberFormat="1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3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10A028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00"/>
      <color rgb="FF00CC00"/>
      <color rgb="FF10A0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IB TRANSPORT'!A1"/><Relationship Id="rId13" Type="http://schemas.openxmlformats.org/officeDocument/2006/relationships/hyperlink" Target="#'L HAY LES ROSES'!A1"/><Relationship Id="rId18" Type="http://schemas.openxmlformats.org/officeDocument/2006/relationships/hyperlink" Target="#'EN PANNE'!A1"/><Relationship Id="rId3" Type="http://schemas.openxmlformats.org/officeDocument/2006/relationships/hyperlink" Target="#'ATHIS MONS'!A1"/><Relationship Id="rId7" Type="http://schemas.openxmlformats.org/officeDocument/2006/relationships/hyperlink" Target="#JSL!A1"/><Relationship Id="rId12" Type="http://schemas.openxmlformats.org/officeDocument/2006/relationships/hyperlink" Target="#'INSTANCE C1'!A1"/><Relationship Id="rId17" Type="http://schemas.openxmlformats.org/officeDocument/2006/relationships/hyperlink" Target="#INTERNES!A1"/><Relationship Id="rId2" Type="http://schemas.openxmlformats.org/officeDocument/2006/relationships/hyperlink" Target="#'GO TRANSPORT'!A1"/><Relationship Id="rId16" Type="http://schemas.openxmlformats.org/officeDocument/2006/relationships/hyperlink" Target="#'INSTANCE C2'!A1"/><Relationship Id="rId20" Type="http://schemas.openxmlformats.org/officeDocument/2006/relationships/hyperlink" Target="#TJM!A1"/><Relationship Id="rId1" Type="http://schemas.openxmlformats.org/officeDocument/2006/relationships/hyperlink" Target="#KIFAITOUT!A1"/><Relationship Id="rId6" Type="http://schemas.openxmlformats.org/officeDocument/2006/relationships/hyperlink" Target="#'W3'!A1"/><Relationship Id="rId11" Type="http://schemas.openxmlformats.org/officeDocument/2006/relationships/hyperlink" Target="#'HMZ - KAIS'!A1"/><Relationship Id="rId5" Type="http://schemas.openxmlformats.org/officeDocument/2006/relationships/hyperlink" Target="#SSN!A1"/><Relationship Id="rId15" Type="http://schemas.openxmlformats.org/officeDocument/2006/relationships/hyperlink" Target="#SCEAUX!A1"/><Relationship Id="rId10" Type="http://schemas.openxmlformats.org/officeDocument/2006/relationships/hyperlink" Target="#'2 ZT'!A1"/><Relationship Id="rId19" Type="http://schemas.openxmlformats.org/officeDocument/2006/relationships/hyperlink" Target="#'NON RENTRE'!A1"/><Relationship Id="rId4" Type="http://schemas.openxmlformats.org/officeDocument/2006/relationships/hyperlink" Target="#'2S EXPRESS'!A1"/><Relationship Id="rId9" Type="http://schemas.openxmlformats.org/officeDocument/2006/relationships/hyperlink" Target="#'LUXE DRIVE'!A1"/><Relationship Id="rId14" Type="http://schemas.openxmlformats.org/officeDocument/2006/relationships/hyperlink" Target="#RUNGI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cid:image006.png@01D101C3.9F083220" TargetMode="External"/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cid:image006.png@01D101C3.9F083220" TargetMode="External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438151</xdr:colOff>
      <xdr:row>3</xdr:row>
      <xdr:rowOff>19049</xdr:rowOff>
    </xdr:from>
    <xdr:to>
      <xdr:col>6</xdr:col>
      <xdr:colOff>733426</xdr:colOff>
      <xdr:row>8</xdr:row>
      <xdr:rowOff>28575</xdr:rowOff>
    </xdr:to>
    <xdr:sp macro="" textlink="">
      <xdr:nvSpPr>
        <xdr:cNvPr id="15" name="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9F4571-2795-482E-996D-96B0191E4400}"/>
            </a:ext>
          </a:extLst>
        </xdr:cNvPr>
        <xdr:cNvSpPr/>
      </xdr:nvSpPr>
      <xdr:spPr>
        <a:xfrm>
          <a:off x="3171826" y="514349"/>
          <a:ext cx="1504950" cy="81915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KIFAITOUT</a:t>
          </a:r>
          <a:endParaRPr lang="fr-FR" sz="2000" b="1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19050</xdr:colOff>
      <xdr:row>14</xdr:row>
      <xdr:rowOff>161924</xdr:rowOff>
    </xdr:from>
    <xdr:to>
      <xdr:col>2</xdr:col>
      <xdr:colOff>742949</xdr:colOff>
      <xdr:row>20</xdr:row>
      <xdr:rowOff>19050</xdr:rowOff>
    </xdr:to>
    <xdr:sp macro="" textlink="">
      <xdr:nvSpPr>
        <xdr:cNvPr id="25" name="Rectangle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8BE438A-465A-4473-A839-8382DE18B75E}"/>
            </a:ext>
          </a:extLst>
        </xdr:cNvPr>
        <xdr:cNvSpPr/>
      </xdr:nvSpPr>
      <xdr:spPr>
        <a:xfrm>
          <a:off x="781050" y="2447924"/>
          <a:ext cx="1485899" cy="83820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ysClr val="windowText" lastClr="000000"/>
              </a:solidFill>
            </a:rPr>
            <a:t>GO</a:t>
          </a:r>
          <a:r>
            <a:rPr lang="fr-FR" sz="1800" b="1" baseline="0">
              <a:solidFill>
                <a:sysClr val="windowText" lastClr="000000"/>
              </a:solidFill>
            </a:rPr>
            <a:t> TRANSPORT</a:t>
          </a:r>
        </a:p>
      </xdr:txBody>
    </xdr:sp>
    <xdr:clientData/>
  </xdr:twoCellAnchor>
  <xdr:twoCellAnchor>
    <xdr:from>
      <xdr:col>5</xdr:col>
      <xdr:colOff>19050</xdr:colOff>
      <xdr:row>27</xdr:row>
      <xdr:rowOff>9524</xdr:rowOff>
    </xdr:from>
    <xdr:to>
      <xdr:col>6</xdr:col>
      <xdr:colOff>742949</xdr:colOff>
      <xdr:row>32</xdr:row>
      <xdr:rowOff>9525</xdr:rowOff>
    </xdr:to>
    <xdr:sp macro="" textlink="">
      <xdr:nvSpPr>
        <xdr:cNvPr id="26" name="Rectangle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0023855-9660-4963-9BC2-D5404EACB141}"/>
            </a:ext>
          </a:extLst>
        </xdr:cNvPr>
        <xdr:cNvSpPr/>
      </xdr:nvSpPr>
      <xdr:spPr>
        <a:xfrm>
          <a:off x="3200400" y="4381499"/>
          <a:ext cx="1485899" cy="809626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ATHIS</a:t>
          </a:r>
          <a:r>
            <a:rPr lang="fr-FR" sz="2000" b="1" baseline="0">
              <a:solidFill>
                <a:sysClr val="windowText" lastClr="000000"/>
              </a:solidFill>
            </a:rPr>
            <a:t> MONS</a:t>
          </a:r>
          <a:endParaRPr lang="fr-FR" sz="2000" b="1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19050</xdr:colOff>
      <xdr:row>2</xdr:row>
      <xdr:rowOff>161924</xdr:rowOff>
    </xdr:from>
    <xdr:to>
      <xdr:col>2</xdr:col>
      <xdr:colOff>742949</xdr:colOff>
      <xdr:row>8</xdr:row>
      <xdr:rowOff>19050</xdr:rowOff>
    </xdr:to>
    <xdr:sp macro="" textlink="">
      <xdr:nvSpPr>
        <xdr:cNvPr id="27" name="Rectangle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BEB74F5-1F07-463C-9D5E-51BFD05947B7}"/>
            </a:ext>
          </a:extLst>
        </xdr:cNvPr>
        <xdr:cNvSpPr/>
      </xdr:nvSpPr>
      <xdr:spPr>
        <a:xfrm>
          <a:off x="781050" y="485774"/>
          <a:ext cx="1485899" cy="82867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2S</a:t>
          </a:r>
          <a:r>
            <a:rPr lang="fr-FR" sz="2000" b="1" baseline="0">
              <a:solidFill>
                <a:sysClr val="windowText" lastClr="000000"/>
              </a:solidFill>
            </a:rPr>
            <a:t> EXPRESS</a:t>
          </a:r>
          <a:endParaRPr lang="fr-FR" sz="2000" b="1">
            <a:solidFill>
              <a:srgbClr val="FFFF00"/>
            </a:solidFill>
          </a:endParaRPr>
        </a:p>
      </xdr:txBody>
    </xdr:sp>
    <xdr:clientData/>
  </xdr:twoCellAnchor>
  <xdr:twoCellAnchor>
    <xdr:from>
      <xdr:col>5</xdr:col>
      <xdr:colOff>9525</xdr:colOff>
      <xdr:row>15</xdr:row>
      <xdr:rowOff>19049</xdr:rowOff>
    </xdr:from>
    <xdr:to>
      <xdr:col>6</xdr:col>
      <xdr:colOff>733424</xdr:colOff>
      <xdr:row>20</xdr:row>
      <xdr:rowOff>47625</xdr:rowOff>
    </xdr:to>
    <xdr:sp macro="" textlink="">
      <xdr:nvSpPr>
        <xdr:cNvPr id="28" name="Rectangl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729C19E-EED3-46CC-8E5E-0561F2CCB2CF}"/>
            </a:ext>
          </a:extLst>
        </xdr:cNvPr>
        <xdr:cNvSpPr/>
      </xdr:nvSpPr>
      <xdr:spPr>
        <a:xfrm>
          <a:off x="3190875" y="2466974"/>
          <a:ext cx="1485899" cy="84772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SSN</a:t>
          </a:r>
        </a:p>
      </xdr:txBody>
    </xdr:sp>
    <xdr:clientData/>
  </xdr:twoCellAnchor>
  <xdr:twoCellAnchor>
    <xdr:from>
      <xdr:col>5</xdr:col>
      <xdr:colOff>9525</xdr:colOff>
      <xdr:row>21</xdr:row>
      <xdr:rowOff>47624</xdr:rowOff>
    </xdr:from>
    <xdr:to>
      <xdr:col>6</xdr:col>
      <xdr:colOff>733424</xdr:colOff>
      <xdr:row>26</xdr:row>
      <xdr:rowOff>38100</xdr:rowOff>
    </xdr:to>
    <xdr:sp macro="" textlink="">
      <xdr:nvSpPr>
        <xdr:cNvPr id="29" name="Rectangle 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5BE530B-0414-4F4C-A4E6-5B58317BBACD}"/>
            </a:ext>
          </a:extLst>
        </xdr:cNvPr>
        <xdr:cNvSpPr/>
      </xdr:nvSpPr>
      <xdr:spPr>
        <a:xfrm>
          <a:off x="3190875" y="3486149"/>
          <a:ext cx="1485899" cy="81915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W3</a:t>
          </a:r>
          <a:endParaRPr lang="fr-FR" sz="2000" b="1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19050</xdr:colOff>
      <xdr:row>32</xdr:row>
      <xdr:rowOff>133349</xdr:rowOff>
    </xdr:from>
    <xdr:to>
      <xdr:col>2</xdr:col>
      <xdr:colOff>742949</xdr:colOff>
      <xdr:row>37</xdr:row>
      <xdr:rowOff>152400</xdr:rowOff>
    </xdr:to>
    <xdr:sp macro="" textlink="">
      <xdr:nvSpPr>
        <xdr:cNvPr id="31" name="Rectangle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8403643-D60A-4084-98A7-6864937BEB02}"/>
            </a:ext>
          </a:extLst>
        </xdr:cNvPr>
        <xdr:cNvSpPr/>
      </xdr:nvSpPr>
      <xdr:spPr>
        <a:xfrm>
          <a:off x="781050" y="5400674"/>
          <a:ext cx="1485899" cy="82867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JSL</a:t>
          </a:r>
          <a:endParaRPr lang="fr-FR" sz="2000" b="1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19050</xdr:colOff>
      <xdr:row>26</xdr:row>
      <xdr:rowOff>171449</xdr:rowOff>
    </xdr:from>
    <xdr:to>
      <xdr:col>2</xdr:col>
      <xdr:colOff>742949</xdr:colOff>
      <xdr:row>32</xdr:row>
      <xdr:rowOff>19050</xdr:rowOff>
    </xdr:to>
    <xdr:sp macro="" textlink="">
      <xdr:nvSpPr>
        <xdr:cNvPr id="32" name="Rectangle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6B29CE2-5A16-4B35-BDF0-3E6A09232426}"/>
            </a:ext>
          </a:extLst>
        </xdr:cNvPr>
        <xdr:cNvSpPr/>
      </xdr:nvSpPr>
      <xdr:spPr>
        <a:xfrm>
          <a:off x="781050" y="4438649"/>
          <a:ext cx="1485899" cy="84772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ysClr val="windowText" lastClr="000000"/>
              </a:solidFill>
            </a:rPr>
            <a:t>IB TRANSPORT</a:t>
          </a:r>
          <a:endParaRPr lang="fr-FR" sz="1800" b="1">
            <a:solidFill>
              <a:srgbClr val="FFFF00"/>
            </a:solidFill>
          </a:endParaRPr>
        </a:p>
      </xdr:txBody>
    </xdr:sp>
    <xdr:clientData/>
  </xdr:twoCellAnchor>
  <xdr:twoCellAnchor>
    <xdr:from>
      <xdr:col>5</xdr:col>
      <xdr:colOff>9525</xdr:colOff>
      <xdr:row>8</xdr:row>
      <xdr:rowOff>171449</xdr:rowOff>
    </xdr:from>
    <xdr:to>
      <xdr:col>6</xdr:col>
      <xdr:colOff>733424</xdr:colOff>
      <xdr:row>14</xdr:row>
      <xdr:rowOff>38100</xdr:rowOff>
    </xdr:to>
    <xdr:sp macro="" textlink="">
      <xdr:nvSpPr>
        <xdr:cNvPr id="33" name="Rectangle 3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611DAF9-4206-4956-A137-C6B0A731B385}"/>
            </a:ext>
          </a:extLst>
        </xdr:cNvPr>
        <xdr:cNvSpPr/>
      </xdr:nvSpPr>
      <xdr:spPr>
        <a:xfrm>
          <a:off x="3190875" y="1476374"/>
          <a:ext cx="1485899" cy="84772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 baseline="0">
              <a:solidFill>
                <a:sysClr val="windowText" lastClr="000000"/>
              </a:solidFill>
            </a:rPr>
            <a:t>LUXE DRIVE</a:t>
          </a:r>
          <a:endParaRPr lang="fr-FR" sz="2000" b="1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19050</xdr:colOff>
      <xdr:row>8</xdr:row>
      <xdr:rowOff>161924</xdr:rowOff>
    </xdr:from>
    <xdr:to>
      <xdr:col>2</xdr:col>
      <xdr:colOff>742949</xdr:colOff>
      <xdr:row>14</xdr:row>
      <xdr:rowOff>9525</xdr:rowOff>
    </xdr:to>
    <xdr:sp macro="" textlink="">
      <xdr:nvSpPr>
        <xdr:cNvPr id="34" name="Rectangle 3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4201869-0851-4139-B3C4-5C4AA47CFB5B}"/>
            </a:ext>
          </a:extLst>
        </xdr:cNvPr>
        <xdr:cNvSpPr/>
      </xdr:nvSpPr>
      <xdr:spPr>
        <a:xfrm>
          <a:off x="781050" y="1466849"/>
          <a:ext cx="1485899" cy="82867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 baseline="0">
              <a:solidFill>
                <a:sysClr val="windowText" lastClr="000000"/>
              </a:solidFill>
            </a:rPr>
            <a:t>2 ZT</a:t>
          </a:r>
          <a:r>
            <a:rPr lang="fr-FR" sz="2000" b="1" baseline="0">
              <a:solidFill>
                <a:srgbClr val="FFFF00"/>
              </a:solidFill>
            </a:rPr>
            <a:t> </a:t>
          </a:r>
          <a:endParaRPr lang="fr-FR" sz="2000" b="1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19050</xdr:colOff>
      <xdr:row>20</xdr:row>
      <xdr:rowOff>171449</xdr:rowOff>
    </xdr:from>
    <xdr:to>
      <xdr:col>2</xdr:col>
      <xdr:colOff>742949</xdr:colOff>
      <xdr:row>26</xdr:row>
      <xdr:rowOff>0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7C7F9DE-28CB-43C4-9A70-9B7BBC0830AF}"/>
            </a:ext>
          </a:extLst>
        </xdr:cNvPr>
        <xdr:cNvSpPr/>
      </xdr:nvSpPr>
      <xdr:spPr>
        <a:xfrm>
          <a:off x="781050" y="3438524"/>
          <a:ext cx="1485899" cy="82867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HMZ / KAIS</a:t>
          </a:r>
          <a:endParaRPr lang="fr-FR" sz="2000" b="1">
            <a:solidFill>
              <a:srgbClr val="FFFF00"/>
            </a:solidFill>
          </a:endParaRPr>
        </a:p>
      </xdr:txBody>
    </xdr:sp>
    <xdr:clientData/>
  </xdr:twoCellAnchor>
  <xdr:twoCellAnchor>
    <xdr:from>
      <xdr:col>9</xdr:col>
      <xdr:colOff>19050</xdr:colOff>
      <xdr:row>21</xdr:row>
      <xdr:rowOff>9525</xdr:rowOff>
    </xdr:from>
    <xdr:to>
      <xdr:col>10</xdr:col>
      <xdr:colOff>742949</xdr:colOff>
      <xdr:row>26</xdr:row>
      <xdr:rowOff>1</xdr:rowOff>
    </xdr:to>
    <xdr:sp macro="" textlink="">
      <xdr:nvSpPr>
        <xdr:cNvPr id="16" name="Rectangle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530359B-8D3B-4AE8-A37E-285D35536771}"/>
            </a:ext>
          </a:extLst>
        </xdr:cNvPr>
        <xdr:cNvSpPr/>
      </xdr:nvSpPr>
      <xdr:spPr>
        <a:xfrm>
          <a:off x="5619750" y="3409950"/>
          <a:ext cx="1485899" cy="800101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INSTANCES</a:t>
          </a:r>
          <a:r>
            <a:rPr lang="fr-FR" sz="2000" b="1" baseline="0">
              <a:solidFill>
                <a:sysClr val="windowText" lastClr="000000"/>
              </a:solidFill>
            </a:rPr>
            <a:t> C1</a:t>
          </a:r>
          <a:endParaRPr lang="fr-FR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19050</xdr:colOff>
      <xdr:row>3</xdr:row>
      <xdr:rowOff>0</xdr:rowOff>
    </xdr:from>
    <xdr:to>
      <xdr:col>10</xdr:col>
      <xdr:colOff>742949</xdr:colOff>
      <xdr:row>8</xdr:row>
      <xdr:rowOff>9526</xdr:rowOff>
    </xdr:to>
    <xdr:sp macro="" textlink="">
      <xdr:nvSpPr>
        <xdr:cNvPr id="17" name="Rectangle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E4097E5-4C3E-483C-A951-1FF5635CA221}"/>
            </a:ext>
          </a:extLst>
        </xdr:cNvPr>
        <xdr:cNvSpPr/>
      </xdr:nvSpPr>
      <xdr:spPr>
        <a:xfrm>
          <a:off x="5619750" y="485775"/>
          <a:ext cx="1485899" cy="819151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L'</a:t>
          </a:r>
          <a:r>
            <a:rPr lang="fr-FR" sz="2000" b="1" baseline="0">
              <a:solidFill>
                <a:sysClr val="windowText" lastClr="000000"/>
              </a:solidFill>
            </a:rPr>
            <a:t>HAY LES ROSES</a:t>
          </a:r>
          <a:endParaRPr lang="fr-FR" sz="2000" b="1">
            <a:solidFill>
              <a:srgbClr val="FFFF00"/>
            </a:solidFill>
          </a:endParaRPr>
        </a:p>
      </xdr:txBody>
    </xdr:sp>
    <xdr:clientData/>
  </xdr:twoCellAnchor>
  <xdr:twoCellAnchor>
    <xdr:from>
      <xdr:col>9</xdr:col>
      <xdr:colOff>19050</xdr:colOff>
      <xdr:row>9</xdr:row>
      <xdr:rowOff>0</xdr:rowOff>
    </xdr:from>
    <xdr:to>
      <xdr:col>10</xdr:col>
      <xdr:colOff>742949</xdr:colOff>
      <xdr:row>14</xdr:row>
      <xdr:rowOff>1</xdr:rowOff>
    </xdr:to>
    <xdr:sp macro="" textlink="">
      <xdr:nvSpPr>
        <xdr:cNvPr id="18" name="Rectangle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D581DB7-B8EF-4413-B4FB-4F33C7C00A79}"/>
            </a:ext>
          </a:extLst>
        </xdr:cNvPr>
        <xdr:cNvSpPr/>
      </xdr:nvSpPr>
      <xdr:spPr>
        <a:xfrm>
          <a:off x="5619750" y="1457325"/>
          <a:ext cx="1485899" cy="809626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RUNGIS</a:t>
          </a:r>
          <a:endParaRPr lang="fr-FR" sz="2000" b="1">
            <a:solidFill>
              <a:srgbClr val="FFFF00"/>
            </a:solidFill>
          </a:endParaRPr>
        </a:p>
      </xdr:txBody>
    </xdr:sp>
    <xdr:clientData/>
  </xdr:twoCellAnchor>
  <xdr:twoCellAnchor>
    <xdr:from>
      <xdr:col>9</xdr:col>
      <xdr:colOff>19050</xdr:colOff>
      <xdr:row>15</xdr:row>
      <xdr:rowOff>19050</xdr:rowOff>
    </xdr:from>
    <xdr:to>
      <xdr:col>10</xdr:col>
      <xdr:colOff>742949</xdr:colOff>
      <xdr:row>20</xdr:row>
      <xdr:rowOff>9526</xdr:rowOff>
    </xdr:to>
    <xdr:sp macro="" textlink="">
      <xdr:nvSpPr>
        <xdr:cNvPr id="19" name="Rectangle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8C754BF-08C9-4625-9177-BC1A6B1CFFC9}"/>
            </a:ext>
          </a:extLst>
        </xdr:cNvPr>
        <xdr:cNvSpPr/>
      </xdr:nvSpPr>
      <xdr:spPr>
        <a:xfrm>
          <a:off x="5619750" y="2447925"/>
          <a:ext cx="1485899" cy="800101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SCEAUX</a:t>
          </a:r>
          <a:endParaRPr lang="fr-FR" sz="2000" b="1">
            <a:solidFill>
              <a:srgbClr val="FFFF00"/>
            </a:solidFill>
          </a:endParaRPr>
        </a:p>
      </xdr:txBody>
    </xdr:sp>
    <xdr:clientData/>
  </xdr:twoCellAnchor>
  <xdr:twoCellAnchor>
    <xdr:from>
      <xdr:col>9</xdr:col>
      <xdr:colOff>19050</xdr:colOff>
      <xdr:row>26</xdr:row>
      <xdr:rowOff>152400</xdr:rowOff>
    </xdr:from>
    <xdr:to>
      <xdr:col>10</xdr:col>
      <xdr:colOff>742949</xdr:colOff>
      <xdr:row>32</xdr:row>
      <xdr:rowOff>1</xdr:rowOff>
    </xdr:to>
    <xdr:sp macro="" textlink="">
      <xdr:nvSpPr>
        <xdr:cNvPr id="20" name="Rectangle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BD29796-EBDC-4691-89B5-AF9135F0CF70}"/>
            </a:ext>
          </a:extLst>
        </xdr:cNvPr>
        <xdr:cNvSpPr/>
      </xdr:nvSpPr>
      <xdr:spPr>
        <a:xfrm>
          <a:off x="5619750" y="4362450"/>
          <a:ext cx="1485899" cy="819151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INSTANCES</a:t>
          </a:r>
          <a:r>
            <a:rPr lang="fr-FR" sz="2000" b="1" baseline="0">
              <a:solidFill>
                <a:sysClr val="windowText" lastClr="000000"/>
              </a:solidFill>
            </a:rPr>
            <a:t> C2</a:t>
          </a:r>
          <a:endParaRPr lang="fr-FR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0</xdr:colOff>
      <xdr:row>33</xdr:row>
      <xdr:rowOff>0</xdr:rowOff>
    </xdr:from>
    <xdr:to>
      <xdr:col>6</xdr:col>
      <xdr:colOff>723899</xdr:colOff>
      <xdr:row>38</xdr:row>
      <xdr:rowOff>9526</xdr:rowOff>
    </xdr:to>
    <xdr:sp macro="" textlink="">
      <xdr:nvSpPr>
        <xdr:cNvPr id="21" name="Rectangle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0531F38-6A9E-4543-9109-808D3CBC6F91}"/>
            </a:ext>
          </a:extLst>
        </xdr:cNvPr>
        <xdr:cNvSpPr/>
      </xdr:nvSpPr>
      <xdr:spPr>
        <a:xfrm>
          <a:off x="3181350" y="5429250"/>
          <a:ext cx="1485899" cy="819151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INTERNES</a:t>
          </a:r>
        </a:p>
      </xdr:txBody>
    </xdr:sp>
    <xdr:clientData/>
  </xdr:twoCellAnchor>
  <xdr:twoCellAnchor>
    <xdr:from>
      <xdr:col>9</xdr:col>
      <xdr:colOff>19050</xdr:colOff>
      <xdr:row>32</xdr:row>
      <xdr:rowOff>152400</xdr:rowOff>
    </xdr:from>
    <xdr:to>
      <xdr:col>10</xdr:col>
      <xdr:colOff>742949</xdr:colOff>
      <xdr:row>38</xdr:row>
      <xdr:rowOff>1</xdr:rowOff>
    </xdr:to>
    <xdr:sp macro="" textlink="">
      <xdr:nvSpPr>
        <xdr:cNvPr id="23" name="Rectangle 2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3BA6434-7A6D-488E-BE42-B53DA573C06D}"/>
            </a:ext>
          </a:extLst>
        </xdr:cNvPr>
        <xdr:cNvSpPr/>
      </xdr:nvSpPr>
      <xdr:spPr>
        <a:xfrm>
          <a:off x="5619750" y="5334000"/>
          <a:ext cx="1485899" cy="819151"/>
        </a:xfrm>
        <a:prstGeom prst="rect">
          <a:avLst/>
        </a:prstGeom>
        <a:solidFill>
          <a:srgbClr val="7030A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EN</a:t>
          </a:r>
          <a:r>
            <a:rPr lang="fr-FR" sz="2000" b="1" baseline="0">
              <a:solidFill>
                <a:sysClr val="windowText" lastClr="000000"/>
              </a:solidFill>
            </a:rPr>
            <a:t> PANNE</a:t>
          </a:r>
        </a:p>
      </xdr:txBody>
    </xdr:sp>
    <xdr:clientData/>
  </xdr:twoCellAnchor>
  <xdr:twoCellAnchor>
    <xdr:from>
      <xdr:col>15</xdr:col>
      <xdr:colOff>76200</xdr:colOff>
      <xdr:row>20</xdr:row>
      <xdr:rowOff>76200</xdr:rowOff>
    </xdr:from>
    <xdr:to>
      <xdr:col>17</xdr:col>
      <xdr:colOff>400049</xdr:colOff>
      <xdr:row>25</xdr:row>
      <xdr:rowOff>85726</xdr:rowOff>
    </xdr:to>
    <xdr:sp macro="" textlink="">
      <xdr:nvSpPr>
        <xdr:cNvPr id="22" name="Rectangle 2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5804130-F199-4F80-AE5D-018F909163BE}"/>
            </a:ext>
          </a:extLst>
        </xdr:cNvPr>
        <xdr:cNvSpPr/>
      </xdr:nvSpPr>
      <xdr:spPr>
        <a:xfrm>
          <a:off x="9258300" y="3314700"/>
          <a:ext cx="1485899" cy="819151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ysClr val="windowText" lastClr="000000"/>
              </a:solidFill>
            </a:rPr>
            <a:t>NON RENDU NON</a:t>
          </a:r>
          <a:r>
            <a:rPr lang="fr-FR" sz="1800" b="1" baseline="0">
              <a:solidFill>
                <a:sysClr val="windowText" lastClr="000000"/>
              </a:solidFill>
            </a:rPr>
            <a:t> </a:t>
          </a:r>
          <a:r>
            <a:rPr lang="fr-FR" sz="1800" b="1">
              <a:solidFill>
                <a:sysClr val="windowText" lastClr="000000"/>
              </a:solidFill>
            </a:rPr>
            <a:t>RENTRE</a:t>
          </a:r>
        </a:p>
      </xdr:txBody>
    </xdr:sp>
    <xdr:clientData/>
  </xdr:twoCellAnchor>
  <xdr:twoCellAnchor>
    <xdr:from>
      <xdr:col>1</xdr:col>
      <xdr:colOff>19050</xdr:colOff>
      <xdr:row>38</xdr:row>
      <xdr:rowOff>142874</xdr:rowOff>
    </xdr:from>
    <xdr:to>
      <xdr:col>2</xdr:col>
      <xdr:colOff>742949</xdr:colOff>
      <xdr:row>44</xdr:row>
      <xdr:rowOff>0</xdr:rowOff>
    </xdr:to>
    <xdr:sp macro="" textlink="">
      <xdr:nvSpPr>
        <xdr:cNvPr id="24" name="Rectangle 23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19B58410-98AB-4790-8223-86809D61F809}"/>
            </a:ext>
          </a:extLst>
        </xdr:cNvPr>
        <xdr:cNvSpPr/>
      </xdr:nvSpPr>
      <xdr:spPr>
        <a:xfrm>
          <a:off x="781050" y="6296024"/>
          <a:ext cx="1485899" cy="82867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TJM</a:t>
          </a:r>
          <a:endParaRPr lang="fr-FR" sz="2000" b="1">
            <a:solidFill>
              <a:srgbClr val="FFFF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514349</xdr:colOff>
      <xdr:row>0</xdr:row>
      <xdr:rowOff>0</xdr:rowOff>
    </xdr:from>
    <xdr:to>
      <xdr:col>15</xdr:col>
      <xdr:colOff>447674</xdr:colOff>
      <xdr:row>6</xdr:row>
      <xdr:rowOff>0</xdr:rowOff>
    </xdr:to>
    <xdr:sp macro="" textlink="">
      <xdr:nvSpPr>
        <xdr:cNvPr id="4" name="Flèche : gauch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9DACC8-F35B-470B-87D5-7BDC14011B18}"/>
            </a:ext>
          </a:extLst>
        </xdr:cNvPr>
        <xdr:cNvSpPr/>
      </xdr:nvSpPr>
      <xdr:spPr>
        <a:xfrm>
          <a:off x="14077949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5" name="Image 1" descr="Colissimo">
          <a:extLst>
            <a:ext uri="{FF2B5EF4-FFF2-40B4-BE49-F238E27FC236}">
              <a16:creationId xmlns:a16="http://schemas.microsoft.com/office/drawing/2014/main" id="{B4B51D0C-25D8-4A62-B5AF-D58A1F6EA9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4" name="Image 1" descr="Colissimo">
          <a:extLst>
            <a:ext uri="{FF2B5EF4-FFF2-40B4-BE49-F238E27FC236}">
              <a16:creationId xmlns:a16="http://schemas.microsoft.com/office/drawing/2014/main" id="{5985FA3E-13E3-452D-A88A-B08E34EF6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6" name="Image 1" descr="Colissimo">
          <a:extLst>
            <a:ext uri="{FF2B5EF4-FFF2-40B4-BE49-F238E27FC236}">
              <a16:creationId xmlns:a16="http://schemas.microsoft.com/office/drawing/2014/main" id="{E4A871BD-9BAA-40FF-B0A1-8D1660BCE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8" name="Flèche : gauche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67333C4-5354-4548-8E5F-F69D0A1DC302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61506" name="Image 1" descr="Colissimo">
          <a:extLst>
            <a:ext uri="{FF2B5EF4-FFF2-40B4-BE49-F238E27FC236}">
              <a16:creationId xmlns:a16="http://schemas.microsoft.com/office/drawing/2014/main" id="{506358AD-6A99-482F-939A-1ABF190908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5" name="Image 1" descr="Colissimo">
          <a:extLst>
            <a:ext uri="{FF2B5EF4-FFF2-40B4-BE49-F238E27FC236}">
              <a16:creationId xmlns:a16="http://schemas.microsoft.com/office/drawing/2014/main" id="{14E02B22-2507-43BC-BC2B-2C76D57A3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6" name="Flèche : gauch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077462-54B4-452F-ABDE-774B7694DB49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6" name="Image 1" descr="Colissimo">
          <a:extLst>
            <a:ext uri="{FF2B5EF4-FFF2-40B4-BE49-F238E27FC236}">
              <a16:creationId xmlns:a16="http://schemas.microsoft.com/office/drawing/2014/main" id="{10294FDA-368A-4430-B1C6-E1B6B7CC8C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7" name="Image 1" descr="Colissimo">
          <a:extLst>
            <a:ext uri="{FF2B5EF4-FFF2-40B4-BE49-F238E27FC236}">
              <a16:creationId xmlns:a16="http://schemas.microsoft.com/office/drawing/2014/main" id="{41A7ABB1-52B9-48FB-9EA1-AE38B8A5DD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123825</xdr:rowOff>
    </xdr:to>
    <xdr:sp macro="" textlink="">
      <xdr:nvSpPr>
        <xdr:cNvPr id="8" name="Flèche : gauche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64B36A-9A08-4A20-BC20-B89527CE2375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4" name="Image 1" descr="Colissimo">
          <a:extLst>
            <a:ext uri="{FF2B5EF4-FFF2-40B4-BE49-F238E27FC236}">
              <a16:creationId xmlns:a16="http://schemas.microsoft.com/office/drawing/2014/main" id="{9F3A0EAE-67AA-4CDE-A9B7-4256EBFEBB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5" name="Image 1" descr="Colissimo">
          <a:extLst>
            <a:ext uri="{FF2B5EF4-FFF2-40B4-BE49-F238E27FC236}">
              <a16:creationId xmlns:a16="http://schemas.microsoft.com/office/drawing/2014/main" id="{6BC9346B-ED07-478C-8A96-21887B8512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6" name="Flèche : gauch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5AB0F5B-A2C9-49AE-9C4F-99249FFBBBA3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4" name="Image 1" descr="Colissimo">
          <a:extLst>
            <a:ext uri="{FF2B5EF4-FFF2-40B4-BE49-F238E27FC236}">
              <a16:creationId xmlns:a16="http://schemas.microsoft.com/office/drawing/2014/main" id="{398E0F2A-ECAC-4CBA-8C76-035E4C143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5" name="Image 1" descr="Colissimo">
          <a:extLst>
            <a:ext uri="{FF2B5EF4-FFF2-40B4-BE49-F238E27FC236}">
              <a16:creationId xmlns:a16="http://schemas.microsoft.com/office/drawing/2014/main" id="{7EC68A59-0E0F-4DE0-8CE9-EEC9E48CAC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6" name="Flèche : gauch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953EFA0-030E-41F8-865D-474D83B06230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5" name="Image 1" descr="Colissimo">
          <a:extLst>
            <a:ext uri="{FF2B5EF4-FFF2-40B4-BE49-F238E27FC236}">
              <a16:creationId xmlns:a16="http://schemas.microsoft.com/office/drawing/2014/main" id="{85405752-6B77-49F7-A136-3FF6041DB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6" name="Image 1" descr="Colissimo">
          <a:extLst>
            <a:ext uri="{FF2B5EF4-FFF2-40B4-BE49-F238E27FC236}">
              <a16:creationId xmlns:a16="http://schemas.microsoft.com/office/drawing/2014/main" id="{F9018237-481D-4B22-BDBE-A53B2DD836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7" name="Flèche : gauch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1AFEC45-7D99-4842-9040-7352B13AF6E7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4" name="Image 1" descr="Colissimo">
          <a:extLst>
            <a:ext uri="{FF2B5EF4-FFF2-40B4-BE49-F238E27FC236}">
              <a16:creationId xmlns:a16="http://schemas.microsoft.com/office/drawing/2014/main" id="{FE870A91-6F67-486B-806B-821BEE7F01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5" name="Image 1" descr="Colissimo">
          <a:extLst>
            <a:ext uri="{FF2B5EF4-FFF2-40B4-BE49-F238E27FC236}">
              <a16:creationId xmlns:a16="http://schemas.microsoft.com/office/drawing/2014/main" id="{73CC0D2C-DF4D-4649-A8E1-A50294656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6" name="Flèche : gauch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128F9AE-521E-43C9-8FC6-C588C8BF5EB2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4" name="Image 1" descr="Colissimo">
          <a:extLst>
            <a:ext uri="{FF2B5EF4-FFF2-40B4-BE49-F238E27FC236}">
              <a16:creationId xmlns:a16="http://schemas.microsoft.com/office/drawing/2014/main" id="{8EA46E47-6EB5-4DC0-9D5C-5BB76E8A2C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5" name="Image 1" descr="Colissimo">
          <a:extLst>
            <a:ext uri="{FF2B5EF4-FFF2-40B4-BE49-F238E27FC236}">
              <a16:creationId xmlns:a16="http://schemas.microsoft.com/office/drawing/2014/main" id="{36871F6B-CDDE-45C8-9CDB-8CF157CE37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6" name="Flèche : gauch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EBD4C7A-E3FC-43F9-9009-A8CA70BBB4C3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2" name="Image 1" descr="Colissimo">
          <a:extLst>
            <a:ext uri="{FF2B5EF4-FFF2-40B4-BE49-F238E27FC236}">
              <a16:creationId xmlns:a16="http://schemas.microsoft.com/office/drawing/2014/main" id="{D26825D6-9B22-4546-B19A-084A4D525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3" name="Image 1" descr="Colissimo">
          <a:extLst>
            <a:ext uri="{FF2B5EF4-FFF2-40B4-BE49-F238E27FC236}">
              <a16:creationId xmlns:a16="http://schemas.microsoft.com/office/drawing/2014/main" id="{0D0949DB-931E-48D1-BBFA-2F5BE749C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4" name="Flèche : gauch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07D6F0-94D5-4D1F-950B-639CCCB6C643}"/>
            </a:ext>
          </a:extLst>
        </xdr:cNvPr>
        <xdr:cNvSpPr/>
      </xdr:nvSpPr>
      <xdr:spPr>
        <a:xfrm>
          <a:off x="1264920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4" name="Image 1" descr="Colissimo">
          <a:extLst>
            <a:ext uri="{FF2B5EF4-FFF2-40B4-BE49-F238E27FC236}">
              <a16:creationId xmlns:a16="http://schemas.microsoft.com/office/drawing/2014/main" id="{129427AB-1692-494A-B67F-A38E596539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5" name="Image 1" descr="Colissimo">
          <a:extLst>
            <a:ext uri="{FF2B5EF4-FFF2-40B4-BE49-F238E27FC236}">
              <a16:creationId xmlns:a16="http://schemas.microsoft.com/office/drawing/2014/main" id="{96F3B321-4029-4432-A854-CB62DFA006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6" name="Flèche : gauch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1FA1EC-D5F8-4CBF-8AEE-BD156B35100E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4" name="Image 1" descr="Colissimo">
          <a:extLst>
            <a:ext uri="{FF2B5EF4-FFF2-40B4-BE49-F238E27FC236}">
              <a16:creationId xmlns:a16="http://schemas.microsoft.com/office/drawing/2014/main" id="{EA7CBF9F-E31B-4E2D-839D-E152BF469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5" name="Image 1" descr="Colissimo">
          <a:extLst>
            <a:ext uri="{FF2B5EF4-FFF2-40B4-BE49-F238E27FC236}">
              <a16:creationId xmlns:a16="http://schemas.microsoft.com/office/drawing/2014/main" id="{959030AB-4BA1-4FAA-9A0B-631EB8B5A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6" name="Flèche : gauch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33474A2-7563-4667-8D80-6EF7F9DD676F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3" name="Image 1" descr="Colissimo">
          <a:extLst>
            <a:ext uri="{FF2B5EF4-FFF2-40B4-BE49-F238E27FC236}">
              <a16:creationId xmlns:a16="http://schemas.microsoft.com/office/drawing/2014/main" id="{ED3797C5-26C7-4984-BBFB-CE3B070A94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4" name="Image 1" descr="Colissimo">
          <a:extLst>
            <a:ext uri="{FF2B5EF4-FFF2-40B4-BE49-F238E27FC236}">
              <a16:creationId xmlns:a16="http://schemas.microsoft.com/office/drawing/2014/main" id="{6A7608C4-DC97-4443-B49F-FBF4752033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5" name="Flèche : gauch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3C7682-972D-4ED4-923C-FDF803AC7B73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3" name="Image 1" descr="Colissimo">
          <a:extLst>
            <a:ext uri="{FF2B5EF4-FFF2-40B4-BE49-F238E27FC236}">
              <a16:creationId xmlns:a16="http://schemas.microsoft.com/office/drawing/2014/main" id="{EB7A0C5F-214F-439F-8F15-A4D757995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4" name="Image 1" descr="Colissimo">
          <a:extLst>
            <a:ext uri="{FF2B5EF4-FFF2-40B4-BE49-F238E27FC236}">
              <a16:creationId xmlns:a16="http://schemas.microsoft.com/office/drawing/2014/main" id="{7CF50CA2-4F64-4F05-9C31-A3B3339AB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5" name="Flèche : gauch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D405117-9F90-46B5-A401-FBA7AAEBCE64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3" name="Image 1" descr="Colissimo">
          <a:extLst>
            <a:ext uri="{FF2B5EF4-FFF2-40B4-BE49-F238E27FC236}">
              <a16:creationId xmlns:a16="http://schemas.microsoft.com/office/drawing/2014/main" id="{DD587B2C-2CB1-4C32-B9B1-F96ACE6FB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4" name="Image 1" descr="Colissimo">
          <a:extLst>
            <a:ext uri="{FF2B5EF4-FFF2-40B4-BE49-F238E27FC236}">
              <a16:creationId xmlns:a16="http://schemas.microsoft.com/office/drawing/2014/main" id="{10097200-E1DA-45E0-BC0D-DF79D7304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5" name="Flèche : gauch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027DA9D-FE8B-45AF-B15B-300CF2A75E42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3" name="Image 1" descr="Colissimo">
          <a:extLst>
            <a:ext uri="{FF2B5EF4-FFF2-40B4-BE49-F238E27FC236}">
              <a16:creationId xmlns:a16="http://schemas.microsoft.com/office/drawing/2014/main" id="{178BAF34-4451-4634-837F-6FA80D5C5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4" name="Image 1" descr="Colissimo">
          <a:extLst>
            <a:ext uri="{FF2B5EF4-FFF2-40B4-BE49-F238E27FC236}">
              <a16:creationId xmlns:a16="http://schemas.microsoft.com/office/drawing/2014/main" id="{8EF5C7A2-F400-4098-BCDB-1E1493464A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5" name="Flèche : gauch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DDB4940-3B45-4E83-8284-F0EE49ECD396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3" name="Image 1" descr="Colissimo">
          <a:extLst>
            <a:ext uri="{FF2B5EF4-FFF2-40B4-BE49-F238E27FC236}">
              <a16:creationId xmlns:a16="http://schemas.microsoft.com/office/drawing/2014/main" id="{E5BD3640-86F9-4134-9EF5-36B54304B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4" name="Image 1" descr="Colissimo">
          <a:extLst>
            <a:ext uri="{FF2B5EF4-FFF2-40B4-BE49-F238E27FC236}">
              <a16:creationId xmlns:a16="http://schemas.microsoft.com/office/drawing/2014/main" id="{CF6D9D85-CE2F-4A51-BF82-2D83306CA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5" name="Flèche : gauch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AE2B62-DDED-4FF0-BF51-AD6375040D91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3" name="Image 1" descr="Colissimo">
          <a:extLst>
            <a:ext uri="{FF2B5EF4-FFF2-40B4-BE49-F238E27FC236}">
              <a16:creationId xmlns:a16="http://schemas.microsoft.com/office/drawing/2014/main" id="{ABD70F5B-6D2D-4DA8-B036-ABD3A29DF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4" name="Image 1" descr="Colissimo">
          <a:extLst>
            <a:ext uri="{FF2B5EF4-FFF2-40B4-BE49-F238E27FC236}">
              <a16:creationId xmlns:a16="http://schemas.microsoft.com/office/drawing/2014/main" id="{9FEB9972-F681-4031-BD0B-165EA8B375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447675</xdr:colOff>
      <xdr:row>6</xdr:row>
      <xdr:rowOff>47625</xdr:rowOff>
    </xdr:to>
    <xdr:sp macro="" textlink="">
      <xdr:nvSpPr>
        <xdr:cNvPr id="5" name="Flèche : gauch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C582C-37BD-46D9-97F6-0E20447049CB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2" name="Image 1" descr="Colissimo">
          <a:extLst>
            <a:ext uri="{FF2B5EF4-FFF2-40B4-BE49-F238E27FC236}">
              <a16:creationId xmlns:a16="http://schemas.microsoft.com/office/drawing/2014/main" id="{A1C81770-B911-4B7A-A571-A451F680C6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1</xdr:row>
      <xdr:rowOff>9525</xdr:rowOff>
    </xdr:from>
    <xdr:to>
      <xdr:col>0</xdr:col>
      <xdr:colOff>1371600</xdr:colOff>
      <xdr:row>1</xdr:row>
      <xdr:rowOff>285750</xdr:rowOff>
    </xdr:to>
    <xdr:pic>
      <xdr:nvPicPr>
        <xdr:cNvPr id="3" name="Image 1" descr="Colissimo">
          <a:extLst>
            <a:ext uri="{FF2B5EF4-FFF2-40B4-BE49-F238E27FC236}">
              <a16:creationId xmlns:a16="http://schemas.microsoft.com/office/drawing/2014/main" id="{AE094064-1F68-47B5-90C6-2237CD456F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80975"/>
          <a:ext cx="1143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0</xdr:colOff>
      <xdr:row>0</xdr:row>
      <xdr:rowOff>0</xdr:rowOff>
    </xdr:from>
    <xdr:to>
      <xdr:col>14</xdr:col>
      <xdr:colOff>447675</xdr:colOff>
      <xdr:row>6</xdr:row>
      <xdr:rowOff>47625</xdr:rowOff>
    </xdr:to>
    <xdr:sp macro="" textlink="">
      <xdr:nvSpPr>
        <xdr:cNvPr id="4" name="Flèche : gauch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F80D5FD-D498-4E39-9A10-CD442CB9611F}"/>
            </a:ext>
          </a:extLst>
        </xdr:cNvPr>
        <xdr:cNvSpPr/>
      </xdr:nvSpPr>
      <xdr:spPr>
        <a:xfrm>
          <a:off x="1407795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</xdr:colOff>
      <xdr:row>0</xdr:row>
      <xdr:rowOff>0</xdr:rowOff>
    </xdr:from>
    <xdr:to>
      <xdr:col>23</xdr:col>
      <xdr:colOff>476251</xdr:colOff>
      <xdr:row>3</xdr:row>
      <xdr:rowOff>28575</xdr:rowOff>
    </xdr:to>
    <xdr:sp macro="" textlink="">
      <xdr:nvSpPr>
        <xdr:cNvPr id="3" name="Flèche : gauch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A7D919-59D0-41EF-B216-5B13B60D731F}"/>
            </a:ext>
          </a:extLst>
        </xdr:cNvPr>
        <xdr:cNvSpPr/>
      </xdr:nvSpPr>
      <xdr:spPr>
        <a:xfrm>
          <a:off x="6686551" y="0"/>
          <a:ext cx="4857750" cy="514350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10</xdr:col>
      <xdr:colOff>542925</xdr:colOff>
      <xdr:row>10</xdr:row>
      <xdr:rowOff>28575</xdr:rowOff>
    </xdr:to>
    <xdr:sp macro="" textlink="">
      <xdr:nvSpPr>
        <xdr:cNvPr id="2" name="Flèche : gauch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22FC26-09F4-447B-AA77-8A158D235518}"/>
            </a:ext>
          </a:extLst>
        </xdr:cNvPr>
        <xdr:cNvSpPr/>
      </xdr:nvSpPr>
      <xdr:spPr>
        <a:xfrm>
          <a:off x="14097000" y="0"/>
          <a:ext cx="1990725" cy="16859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400"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5BDAC-9B64-5741-A4B4-DD90741EFC0E}">
  <sheetPr codeName="Feuil12">
    <tabColor rgb="FF92D050"/>
  </sheetPr>
  <dimension ref="A1:AE52"/>
  <sheetViews>
    <sheetView showGridLines="0" tabSelected="1" workbookViewId="0"/>
  </sheetViews>
  <sheetFormatPr baseColWidth="10" defaultColWidth="11.42578125" defaultRowHeight="12.75" x14ac:dyDescent="0.2"/>
  <cols>
    <col min="1" max="3" width="11.42578125" style="10"/>
    <col min="4" max="4" width="14.7109375" style="10" customWidth="1"/>
    <col min="5" max="5" width="6.7109375" style="10" customWidth="1"/>
    <col min="6" max="7" width="11.42578125" style="10"/>
    <col min="8" max="8" width="14.7109375" style="10" customWidth="1"/>
    <col min="9" max="9" width="6.7109375" style="10" customWidth="1"/>
    <col min="10" max="11" width="11.42578125" style="10"/>
    <col min="12" max="12" width="14.7109375" style="10" customWidth="1"/>
    <col min="13" max="13" width="6.7109375" style="10" customWidth="1"/>
    <col min="14" max="17" width="8.7109375" style="10" customWidth="1"/>
    <col min="18" max="18" width="11.42578125" style="10"/>
    <col min="19" max="19" width="6.7109375" style="10" customWidth="1"/>
    <col min="20" max="21" width="11.42578125" style="10"/>
    <col min="22" max="22" width="11.42578125" style="10" customWidth="1"/>
    <col min="23" max="23" width="11.42578125" style="10"/>
    <col min="24" max="24" width="0" style="10" hidden="1" customWidth="1"/>
    <col min="25" max="25" width="11.85546875" style="17" hidden="1" customWidth="1"/>
    <col min="26" max="26" width="11.42578125" style="17" hidden="1" customWidth="1"/>
    <col min="27" max="27" width="11.42578125" style="10"/>
    <col min="28" max="29" width="12.7109375" style="14" customWidth="1"/>
    <col min="30" max="16384" width="11.42578125" style="10"/>
  </cols>
  <sheetData>
    <row r="1" spans="1:31" ht="12.75" customHeight="1" x14ac:dyDescent="0.2">
      <c r="A1" s="30" t="s">
        <v>0</v>
      </c>
      <c r="B1" s="133" t="s">
        <v>722</v>
      </c>
      <c r="C1" s="133"/>
      <c r="D1" s="132" t="s">
        <v>723</v>
      </c>
      <c r="E1" s="132"/>
      <c r="F1" s="132"/>
    </row>
    <row r="2" spans="1:31" ht="12.75" customHeight="1" x14ac:dyDescent="0.2">
      <c r="B2" s="133"/>
      <c r="C2" s="133"/>
      <c r="D2" s="132"/>
      <c r="E2" s="132"/>
      <c r="F2" s="132"/>
    </row>
    <row r="3" spans="1:31" ht="12.75" customHeight="1" thickBot="1" x14ac:dyDescent="0.25">
      <c r="B3" s="133"/>
      <c r="C3" s="133"/>
      <c r="D3" s="132"/>
      <c r="E3" s="132"/>
      <c r="F3" s="132"/>
    </row>
    <row r="4" spans="1:31" ht="12.75" customHeight="1" thickBot="1" x14ac:dyDescent="0.25">
      <c r="D4" s="120" t="str">
        <f>IF('2S EXPRESS'!$A$53=0,"OK",SUM('2S EXPRESS'!$A$53-'2S EXPRESS'!$G$53))&amp;"/3"</f>
        <v>OK/3</v>
      </c>
      <c r="E4" s="122" t="str">
        <f>IF('2S EXPRESS'!$D$53&gt;=1,"!","")&amp;IF('2S EXPRESS'!$J$53&gt;=1,"!","")&amp;IF('2S EXPRESS'!$M$12&gt;'2S EXPRESS'!$M$9,"?","")</f>
        <v/>
      </c>
      <c r="H4" s="120" t="str">
        <f>IF(KIFAITOUT!$A$53=0,"OK",SUM(KIFAITOUT!$A$53-KIFAITOUT!$G$53))&amp;"/8"</f>
        <v>OK/8</v>
      </c>
      <c r="I4" s="122" t="str">
        <f>IF(KIFAITOUT!$D$53&gt;=1,"!","")&amp;IF(KIFAITOUT!$J$53&gt;=1,"!","")&amp;IF(KIFAITOUT!$M$12&gt;KIFAITOUT!$M$9,"?","")</f>
        <v/>
      </c>
      <c r="L4" s="120" t="str">
        <f>IF('L HAY LES ROSES'!$A$53=0,"OK",SUM('L HAY LES ROSES'!$A$53-'L HAY LES ROSES'!$G$53))&amp;"/8"</f>
        <v>OK/8</v>
      </c>
      <c r="M4" s="122" t="str">
        <f>IF('L HAY LES ROSES'!$D$53&gt;=1,"!","")&amp;IF('L HAY LES ROSES'!$J$53&gt;=1,"!","")&amp;IF('L HAY LES ROSES'!$M$12&gt;'L HAY LES ROSES'!$M$9,"?","")</f>
        <v/>
      </c>
      <c r="N4" s="180">
        <v>27</v>
      </c>
      <c r="O4" s="183" t="s">
        <v>1</v>
      </c>
      <c r="P4" s="186">
        <v>2020</v>
      </c>
      <c r="Q4" s="187"/>
      <c r="R4" s="31"/>
      <c r="T4" s="127" t="s">
        <v>2</v>
      </c>
      <c r="U4" s="128"/>
      <c r="V4" s="128"/>
      <c r="W4" s="129"/>
      <c r="Y4" s="32" t="s">
        <v>3</v>
      </c>
      <c r="Z4" s="32" t="s">
        <v>3</v>
      </c>
      <c r="AD4" s="79"/>
      <c r="AE4" s="79"/>
    </row>
    <row r="5" spans="1:31" ht="12.75" customHeight="1" thickBot="1" x14ac:dyDescent="0.25">
      <c r="D5" s="121"/>
      <c r="E5" s="122"/>
      <c r="H5" s="121"/>
      <c r="I5" s="122"/>
      <c r="L5" s="120"/>
      <c r="M5" s="122"/>
      <c r="N5" s="181"/>
      <c r="O5" s="184"/>
      <c r="P5" s="188"/>
      <c r="Q5" s="189"/>
      <c r="R5" s="31"/>
      <c r="T5" s="130" t="s">
        <v>9</v>
      </c>
      <c r="U5" s="131"/>
      <c r="V5" s="130" t="s">
        <v>10</v>
      </c>
      <c r="W5" s="131"/>
      <c r="Y5" s="32" t="s">
        <v>4</v>
      </c>
      <c r="Z5" s="32" t="s">
        <v>4</v>
      </c>
      <c r="AD5" s="79"/>
      <c r="AE5" s="79"/>
    </row>
    <row r="6" spans="1:31" ht="12.75" customHeight="1" x14ac:dyDescent="0.2">
      <c r="D6" s="121"/>
      <c r="E6" s="122"/>
      <c r="H6" s="121"/>
      <c r="I6" s="122"/>
      <c r="L6" s="120"/>
      <c r="M6" s="122"/>
      <c r="N6" s="181"/>
      <c r="O6" s="184"/>
      <c r="P6" s="188"/>
      <c r="Q6" s="189"/>
      <c r="R6" s="31"/>
      <c r="T6" s="192" t="str">
        <f>IF('2S EXPRESS'!D7&gt;=1,'2S EXPRESS'!A7,"")&amp;IF('2 ZT'!D7&gt;=1,'2 ZT'!A7,"")&amp;IF('GO TRANSPORT'!D7&gt;=1,'GO TRANSPORT'!A7,"")&amp;IF('HMZ - KAIS'!D7&gt;=1,'HMZ - KAIS'!A7,"")&amp;IF('IB TRANSPORT'!D7&gt;=1,'IB TRANSPORT'!A7,"")&amp;IF(JSL!D7&gt;=1,JSL!A7,"")&amp;IF(KIFAITOUT!D7&gt;=1,KIFAITOUT!A7,"")&amp;IF('LUXE DRIVE'!D7&gt;=1,'LUXE DRIVE'!A7,"")&amp;IF(SSN!D7&gt;=1,SSN!A7,"")&amp;IF('W3'!D7&gt;=1,'W3'!A7,"")&amp;IF('ATHIS MONS'!D7&gt;=1,'ATHIS MONS'!A7,"")&amp;IF(INTERNES!D7&gt;=1,INTERNES!A7,"")&amp;IF('L HAY LES ROSES'!D7&gt;=1,'L HAY LES ROSES'!A7,"")&amp;IF(RUNGIS!D7&gt;=1,RUNGIS!A7,"")&amp;IF(SCEAUX!D7&gt;=1,SCEAUX!A7,"")&amp;IF('INSTANCE C1'!D7&gt;=1,'INSTANCE C1'!A7,"")&amp;IF('INSTANCE C2'!D7&gt;=1,'INSTANCE C2'!A7,"")&amp;IF('EN PANNE'!D7&gt;=1,'EN PANNE'!A7,"")&amp;IF(TJM!D7&gt;=1,TJM!A7,"")</f>
        <v/>
      </c>
      <c r="U6" s="193"/>
      <c r="V6" s="192" t="str">
        <f>IF('2S EXPRESS'!J7&gt;=1,'2S EXPRESS'!G7,"")&amp;IF('2 ZT'!J7&gt;=1,'2 ZT'!G7,"")&amp;IF('GO TRANSPORT'!J7&gt;=1,'GO TRANSPORT'!G7,"")&amp;IF('HMZ - KAIS'!J7&gt;=1,'HMZ - KAIS'!G7,"")&amp;IF('IB TRANSPORT'!J7&gt;=1,'IB TRANSPORT'!G7,"")&amp;IF(JSL!J7&gt;=1,JSL!G7,"")&amp;IF(KIFAITOUT!J7&gt;=1,KIFAITOUT!G7,"")&amp;IF('LUXE DRIVE'!J7&gt;=1,'LUXE DRIVE'!G7,"")&amp;IF(SSN!J7&gt;=1,SSN!G7,"")&amp;IF('W3'!J7&gt;=1,'W3'!G7,"")&amp;IF('ATHIS MONS'!J7&gt;=1,'ATHIS MONS'!G7,"")&amp;IF(INTERNES!J7&gt;=1,INTERNES!G7,"")&amp;IF('L HAY LES ROSES'!J7&gt;=1,'L HAY LES ROSES'!G7,"")&amp;IF(RUNGIS!J7&gt;=1,RUNGIS!G7,"")&amp;IF(SCEAUX!J7&gt;=1,SCEAUX!G7,"")&amp;IF('INSTANCE C1'!J7&gt;=1,'INSTANCE C1'!G7,"")&amp;IF('INSTANCE C2'!J7&gt;=1,'INSTANCE C2'!G7,"")&amp;IF('EN PANNE'!J7&gt;=1,'EN PANNE'!G7,"")&amp;IF(TJM!J7&gt;=1,TJM!G7,"")</f>
        <v/>
      </c>
      <c r="W6" s="193"/>
      <c r="Y6" s="32" t="s">
        <v>5</v>
      </c>
      <c r="Z6" s="32" t="s">
        <v>5</v>
      </c>
      <c r="AB6" s="80"/>
      <c r="AC6" s="80"/>
    </row>
    <row r="7" spans="1:31" ht="12.75" customHeight="1" x14ac:dyDescent="0.2">
      <c r="D7" s="121"/>
      <c r="E7" s="122"/>
      <c r="H7" s="121"/>
      <c r="I7" s="122"/>
      <c r="L7" s="120"/>
      <c r="M7" s="122"/>
      <c r="N7" s="181"/>
      <c r="O7" s="184"/>
      <c r="P7" s="188"/>
      <c r="Q7" s="189"/>
      <c r="R7" s="57"/>
      <c r="T7" s="123" t="str">
        <f>IF('2S EXPRESS'!D8&gt;=1,'2S EXPRESS'!A8,"")&amp;IF('2 ZT'!D8&gt;=1,'2 ZT'!A8,"")&amp;IF('GO TRANSPORT'!D8&gt;=1,'GO TRANSPORT'!A8,"")&amp;IF('HMZ - KAIS'!D8&gt;=1,'HMZ - KAIS'!A8,"")&amp;IF('IB TRANSPORT'!D8&gt;=1,'IB TRANSPORT'!A8,"")&amp;IF(JSL!D8&gt;=1,JSL!A8,"")&amp;IF(KIFAITOUT!D8&gt;=1,KIFAITOUT!A8,"")&amp;IF('LUXE DRIVE'!D8&gt;=1,'LUXE DRIVE'!A8,"")&amp;IF(SSN!D8&gt;=1,SSN!A8,"")&amp;IF('W3'!D8&gt;=1,'W3'!A8,"")&amp;IF('ATHIS MONS'!D8&gt;=1,'ATHIS MONS'!A8,"")&amp;IF(INTERNES!D8&gt;=1,INTERNES!A8,"")&amp;IF('L HAY LES ROSES'!D8&gt;=1,'L HAY LES ROSES'!A8,"")&amp;IF(RUNGIS!D8&gt;=1,RUNGIS!A8,"")&amp;IF(SCEAUX!D8&gt;=1,SCEAUX!A8,"")&amp;IF('INSTANCE C1'!D8&gt;=1,'INSTANCE C1'!A8,"")&amp;IF('INSTANCE C2'!D8&gt;=1,'INSTANCE C2'!A8,"")&amp;IF('EN PANNE'!D8&gt;=1,'EN PANNE'!A8,"")&amp;IF(TJM!D8&gt;=1,TJM!A8,"")</f>
        <v/>
      </c>
      <c r="U7" s="124"/>
      <c r="V7" s="123" t="str">
        <f>IF('2S EXPRESS'!J8&gt;=1,'2S EXPRESS'!G8,"")&amp;IF('2 ZT'!J8&gt;=1,'2 ZT'!G8,"")&amp;IF('GO TRANSPORT'!J8&gt;=1,'GO TRANSPORT'!G8,"")&amp;IF('HMZ - KAIS'!J8&gt;=1,'HMZ - KAIS'!G8,"")&amp;IF('IB TRANSPORT'!J8&gt;=1,'IB TRANSPORT'!G8,"")&amp;IF(JSL!J8&gt;=1,JSL!G8,"")&amp;IF(KIFAITOUT!J8&gt;=1,KIFAITOUT!G8,"")&amp;IF('LUXE DRIVE'!J8&gt;=1,'LUXE DRIVE'!G8,"")&amp;IF(SSN!J8&gt;=1,SSN!G8,"")&amp;IF('W3'!J8&gt;=1,'W3'!G8,"")&amp;IF('ATHIS MONS'!J8&gt;=1,'ATHIS MONS'!G8,"")&amp;IF(INTERNES!J8&gt;=1,INTERNES!G8,"")&amp;IF('L HAY LES ROSES'!J8&gt;=1,'L HAY LES ROSES'!G8,"")&amp;IF(RUNGIS!J8&gt;=1,RUNGIS!G8,"")&amp;IF(SCEAUX!J8&gt;=1,SCEAUX!G8,"")&amp;IF('INSTANCE C1'!J8&gt;=1,'INSTANCE C1'!G8,"")&amp;IF('INSTANCE C2'!J8&gt;=1,'INSTANCE C2'!G8,"")&amp;IF('EN PANNE'!J8&gt;=1,'EN PANNE'!G8,"")&amp;IF(TJM!J8&gt;=1,TJM!G8,"")</f>
        <v/>
      </c>
      <c r="W7" s="124"/>
      <c r="Y7" s="32" t="s">
        <v>6</v>
      </c>
      <c r="Z7" s="32" t="s">
        <v>6</v>
      </c>
    </row>
    <row r="8" spans="1:31" ht="12.75" customHeight="1" x14ac:dyDescent="0.2">
      <c r="D8" s="121"/>
      <c r="E8" s="122"/>
      <c r="H8" s="121"/>
      <c r="I8" s="122"/>
      <c r="L8" s="120"/>
      <c r="M8" s="122"/>
      <c r="N8" s="181"/>
      <c r="O8" s="184"/>
      <c r="P8" s="188"/>
      <c r="Q8" s="189"/>
      <c r="R8" s="57"/>
      <c r="T8" s="123" t="str">
        <f>IF('2S EXPRESS'!D9&gt;=1,'2S EXPRESS'!A9,"")&amp;IF('2 ZT'!D9&gt;=1,'2 ZT'!A9,"")&amp;IF('GO TRANSPORT'!D9&gt;=1,'GO TRANSPORT'!A9,"")&amp;IF('HMZ - KAIS'!D9&gt;=1,'HMZ - KAIS'!A9,"")&amp;IF('IB TRANSPORT'!D9&gt;=1,'IB TRANSPORT'!A9,"")&amp;IF(JSL!D9&gt;=1,JSL!A9,"")&amp;IF(KIFAITOUT!D9&gt;=1,KIFAITOUT!A9,"")&amp;IF('LUXE DRIVE'!D9&gt;=1,'LUXE DRIVE'!A9,"")&amp;IF(SSN!D9&gt;=1,SSN!A9,"")&amp;IF('W3'!D9&gt;=1,'W3'!A9,"")&amp;IF('ATHIS MONS'!D9&gt;=1,'ATHIS MONS'!A9,"")&amp;IF(INTERNES!D9&gt;=1,INTERNES!A9,"")&amp;IF('L HAY LES ROSES'!D9&gt;=1,'L HAY LES ROSES'!A9,"")&amp;IF(RUNGIS!D9&gt;=1,RUNGIS!A9,"")&amp;IF(SCEAUX!D9&gt;=1,SCEAUX!A9,"")&amp;IF('INSTANCE C1'!D9&gt;=1,'INSTANCE C1'!A9,"")&amp;IF('INSTANCE C2'!D9&gt;=1,'INSTANCE C2'!A9,"")&amp;IF('EN PANNE'!D9&gt;=1,'EN PANNE'!A9,"")&amp;IF(TJM!D9&gt;=1,TJM!A9,"")</f>
        <v/>
      </c>
      <c r="U8" s="124"/>
      <c r="V8" s="123" t="str">
        <f>IF('2S EXPRESS'!J9&gt;=1,'2S EXPRESS'!G9,"")&amp;IF('2 ZT'!J9&gt;=1,'2 ZT'!G9,"")&amp;IF('GO TRANSPORT'!J9&gt;=1,'GO TRANSPORT'!G9,"")&amp;IF('HMZ - KAIS'!J9&gt;=1,'HMZ - KAIS'!G9,"")&amp;IF('IB TRANSPORT'!J9&gt;=1,'IB TRANSPORT'!G9,"")&amp;IF(JSL!J9&gt;=1,JSL!G9,"")&amp;IF(KIFAITOUT!J9&gt;=1,KIFAITOUT!G9,"")&amp;IF('LUXE DRIVE'!J9&gt;=1,'LUXE DRIVE'!G9,"")&amp;IF(SSN!J9&gt;=1,SSN!G9,"")&amp;IF('W3'!J9&gt;=1,'W3'!G9,"")&amp;IF('ATHIS MONS'!J9&gt;=1,'ATHIS MONS'!G9,"")&amp;IF(INTERNES!J9&gt;=1,INTERNES!G9,"")&amp;IF('L HAY LES ROSES'!J9&gt;=1,'L HAY LES ROSES'!G9,"")&amp;IF(RUNGIS!J9&gt;=1,RUNGIS!G9,"")&amp;IF(SCEAUX!J9&gt;=1,SCEAUX!G9,"")&amp;IF('INSTANCE C1'!J9&gt;=1,'INSTANCE C1'!G9,"")&amp;IF('INSTANCE C2'!J9&gt;=1,'INSTANCE C2'!G9,"")&amp;IF('EN PANNE'!J9&gt;=1,'EN PANNE'!G9,"")&amp;IF(TJM!J9&gt;=1,TJM!G9,"")</f>
        <v/>
      </c>
      <c r="W8" s="124"/>
      <c r="Y8" s="32" t="s">
        <v>7</v>
      </c>
      <c r="Z8" s="32" t="s">
        <v>7</v>
      </c>
    </row>
    <row r="9" spans="1:31" ht="12.75" customHeight="1" thickBot="1" x14ac:dyDescent="0.25">
      <c r="N9" s="182"/>
      <c r="O9" s="185"/>
      <c r="P9" s="190"/>
      <c r="Q9" s="191"/>
      <c r="R9" s="57"/>
      <c r="T9" s="123" t="str">
        <f>IF('2S EXPRESS'!D10&gt;=1,'2S EXPRESS'!A10,"")&amp;IF('2 ZT'!D10&gt;=1,'2 ZT'!A10,"")&amp;IF('GO TRANSPORT'!D10&gt;=1,'GO TRANSPORT'!A10,"")&amp;IF('HMZ - KAIS'!D10&gt;=1,'HMZ - KAIS'!A10,"")&amp;IF('IB TRANSPORT'!D10&gt;=1,'IB TRANSPORT'!A10,"")&amp;IF(JSL!D10&gt;=1,JSL!A10,"")&amp;IF(KIFAITOUT!D10&gt;=1,KIFAITOUT!A10,"")&amp;IF('LUXE DRIVE'!D10&gt;=1,'LUXE DRIVE'!A10,"")&amp;IF(SSN!D10&gt;=1,SSN!A10,"")&amp;IF('W3'!D10&gt;=1,'W3'!A10,"")&amp;IF('ATHIS MONS'!D10&gt;=1,'ATHIS MONS'!A10,"")&amp;IF(INTERNES!D10&gt;=1,INTERNES!A10,"")&amp;IF('L HAY LES ROSES'!D10&gt;=1,'L HAY LES ROSES'!A10,"")&amp;IF(RUNGIS!D10&gt;=1,RUNGIS!A10,"")&amp;IF(SCEAUX!D10&gt;=1,SCEAUX!A10,"")&amp;IF('INSTANCE C1'!D10&gt;=1,'INSTANCE C1'!A10,"")&amp;IF('INSTANCE C2'!D10&gt;=1,'INSTANCE C2'!A10,"")&amp;IF('EN PANNE'!D10&gt;=1,'EN PANNE'!A10,"")&amp;IF(TJM!D10&gt;=1,TJM!A10,"")</f>
        <v/>
      </c>
      <c r="U9" s="124"/>
      <c r="V9" s="123" t="str">
        <f>IF('2S EXPRESS'!J10&gt;=1,'2S EXPRESS'!G10,"")&amp;IF('2 ZT'!J10&gt;=1,'2 ZT'!G10,"")&amp;IF('GO TRANSPORT'!J10&gt;=1,'GO TRANSPORT'!G10,"")&amp;IF('HMZ - KAIS'!J10&gt;=1,'HMZ - KAIS'!G10,"")&amp;IF('IB TRANSPORT'!J10&gt;=1,'IB TRANSPORT'!G10,"")&amp;IF(JSL!J10&gt;=1,JSL!G10,"")&amp;IF(KIFAITOUT!J10&gt;=1,KIFAITOUT!G10,"")&amp;IF('LUXE DRIVE'!J10&gt;=1,'LUXE DRIVE'!G10,"")&amp;IF(SSN!J10&gt;=1,SSN!G10,"")&amp;IF('W3'!J10&gt;=1,'W3'!G10,"")&amp;IF('ATHIS MONS'!J10&gt;=1,'ATHIS MONS'!G10,"")&amp;IF(INTERNES!J10&gt;=1,INTERNES!G10,"")&amp;IF('L HAY LES ROSES'!J10&gt;=1,'L HAY LES ROSES'!G10,"")&amp;IF(RUNGIS!J10&gt;=1,RUNGIS!G10,"")&amp;IF(SCEAUX!J10&gt;=1,SCEAUX!G10,"")&amp;IF('INSTANCE C1'!J10&gt;=1,'INSTANCE C1'!G10,"")&amp;IF('INSTANCE C2'!J10&gt;=1,'INSTANCE C2'!G10,"")&amp;IF('EN PANNE'!J10&gt;=1,'EN PANNE'!G10,"")&amp;IF(TJM!J10&gt;=1,TJM!G10,"")</f>
        <v/>
      </c>
      <c r="W9" s="124"/>
      <c r="Y9" s="32" t="s">
        <v>1</v>
      </c>
      <c r="Z9" s="32" t="s">
        <v>1</v>
      </c>
    </row>
    <row r="10" spans="1:31" ht="12.75" customHeight="1" thickBot="1" x14ac:dyDescent="0.25">
      <c r="D10" s="120" t="str">
        <f>IF('2 ZT'!$A$53=0,"OK",SUM('2 ZT'!$A$53-'2 ZT'!$G$53))&amp;"/7"</f>
        <v>OK/7</v>
      </c>
      <c r="E10" s="122" t="str">
        <f>IF('2 ZT'!$D$53&gt;=1,"!","")&amp;IF('2 ZT'!$J$53&gt;=1,"!","")&amp;IF('2 ZT'!$M$12&gt;'2 ZT'!$M$9,"?","")</f>
        <v/>
      </c>
      <c r="H10" s="120" t="str">
        <f>IF('LUXE DRIVE'!$A$53=0,"OK",SUM('LUXE DRIVE'!$A$53-'LUXE DRIVE'!$G$53))&amp;"/11"</f>
        <v>OK/11</v>
      </c>
      <c r="I10" s="122" t="str">
        <f>IF('LUXE DRIVE'!$D$53&gt;=1,"!","")&amp;IF('LUXE DRIVE'!$J$53&gt;=1,"!","")&amp;IF('LUXE DRIVE'!$M$12&gt;'LUXE DRIVE'!$M$9,"?","")</f>
        <v/>
      </c>
      <c r="L10" s="120" t="str">
        <f>IF(RUNGIS!$A$53=0,"OK",SUM(RUNGIS!$A$53-RUNGIS!$G$53))&amp;"/3"</f>
        <v>OK/3</v>
      </c>
      <c r="M10" s="122" t="str">
        <f>IF(RUNGIS!$D$53&gt;=1,"!","")&amp;IF(RUNGIS!$J$53&gt;=1,"!","")&amp;IF(RUNGIS!$M$12&gt;RUNGIS!$M$9,"?","")</f>
        <v/>
      </c>
      <c r="T10" s="123" t="str">
        <f>IF('2S EXPRESS'!D11&gt;=1,'2S EXPRESS'!A11,"")&amp;IF('2 ZT'!D11&gt;=1,'2 ZT'!A11,"")&amp;IF('GO TRANSPORT'!D11&gt;=1,'GO TRANSPORT'!A11,"")&amp;IF('HMZ - KAIS'!D11&gt;=1,'HMZ - KAIS'!A11,"")&amp;IF('IB TRANSPORT'!D11&gt;=1,'IB TRANSPORT'!A11,"")&amp;IF(JSL!D11&gt;=1,JSL!A11,"")&amp;IF(KIFAITOUT!D11&gt;=1,KIFAITOUT!A11,"")&amp;IF('LUXE DRIVE'!D11&gt;=1,'LUXE DRIVE'!A11,"")&amp;IF(SSN!D11&gt;=1,SSN!A11,"")&amp;IF('W3'!D11&gt;=1,'W3'!A11,"")&amp;IF('ATHIS MONS'!D11&gt;=1,'ATHIS MONS'!A11,"")&amp;IF(INTERNES!D11&gt;=1,INTERNES!A11,"")&amp;IF('L HAY LES ROSES'!D11&gt;=1,'L HAY LES ROSES'!A11,"")&amp;IF(RUNGIS!D11&gt;=1,RUNGIS!A11,"")&amp;IF(SCEAUX!D11&gt;=1,SCEAUX!A11,"")&amp;IF('INSTANCE C1'!D11&gt;=1,'INSTANCE C1'!A11,"")&amp;IF('INSTANCE C2'!D11&gt;=1,'INSTANCE C2'!A11,"")&amp;IF('EN PANNE'!D11&gt;=1,'EN PANNE'!A11,"")&amp;IF(TJM!D11&gt;=1,TJM!A11,"")</f>
        <v/>
      </c>
      <c r="U10" s="124"/>
      <c r="V10" s="123" t="str">
        <f>IF('2S EXPRESS'!J11&gt;=1,'2S EXPRESS'!G11,"")&amp;IF('2 ZT'!J11&gt;=1,'2 ZT'!G11,"")&amp;IF('GO TRANSPORT'!J11&gt;=1,'GO TRANSPORT'!G11,"")&amp;IF('HMZ - KAIS'!J11&gt;=1,'HMZ - KAIS'!G11,"")&amp;IF('IB TRANSPORT'!J11&gt;=1,'IB TRANSPORT'!G11,"")&amp;IF(JSL!J11&gt;=1,JSL!G11,"")&amp;IF(KIFAITOUT!J11&gt;=1,KIFAITOUT!G11,"")&amp;IF('LUXE DRIVE'!J11&gt;=1,'LUXE DRIVE'!G11,"")&amp;IF(SSN!J11&gt;=1,SSN!G11,"")&amp;IF('W3'!J11&gt;=1,'W3'!G11,"")&amp;IF('ATHIS MONS'!J11&gt;=1,'ATHIS MONS'!G11,"")&amp;IF(INTERNES!J11&gt;=1,INTERNES!G11,"")&amp;IF('L HAY LES ROSES'!J11&gt;=1,'L HAY LES ROSES'!G11,"")&amp;IF(RUNGIS!J11&gt;=1,RUNGIS!G11,"")&amp;IF(SCEAUX!J11&gt;=1,SCEAUX!G11,"")&amp;IF('INSTANCE C1'!J11&gt;=1,'INSTANCE C1'!G11,"")&amp;IF('INSTANCE C2'!J11&gt;=1,'INSTANCE C2'!G11,"")&amp;IF('EN PANNE'!J11&gt;=1,'EN PANNE'!G11,"")&amp;IF(TJM!J11&gt;=1,TJM!G11,"")</f>
        <v/>
      </c>
      <c r="W10" s="124"/>
      <c r="Y10" s="32" t="s">
        <v>8</v>
      </c>
      <c r="Z10" s="32" t="s">
        <v>8</v>
      </c>
      <c r="AB10" s="80"/>
      <c r="AC10" s="80"/>
    </row>
    <row r="11" spans="1:31" ht="12.75" customHeight="1" x14ac:dyDescent="0.2">
      <c r="D11" s="121"/>
      <c r="E11" s="122"/>
      <c r="H11" s="121"/>
      <c r="I11" s="122"/>
      <c r="L11" s="120"/>
      <c r="M11" s="122"/>
      <c r="N11" s="167" t="s">
        <v>9</v>
      </c>
      <c r="O11" s="168"/>
      <c r="Q11" s="167" t="s">
        <v>10</v>
      </c>
      <c r="R11" s="168"/>
      <c r="T11" s="123" t="str">
        <f>IF('2S EXPRESS'!D12&gt;=1,'2S EXPRESS'!A12,"")&amp;IF('2 ZT'!D12&gt;=1,'2 ZT'!A12,"")&amp;IF('GO TRANSPORT'!D12&gt;=1,'GO TRANSPORT'!A12,"")&amp;IF('HMZ - KAIS'!D12&gt;=1,'HMZ - KAIS'!A12,"")&amp;IF('IB TRANSPORT'!D12&gt;=1,'IB TRANSPORT'!A12,"")&amp;IF(JSL!D12&gt;=1,JSL!A12,"")&amp;IF(KIFAITOUT!D12&gt;=1,KIFAITOUT!A12,"")&amp;IF('LUXE DRIVE'!D12&gt;=1,'LUXE DRIVE'!A12,"")&amp;IF(SSN!D12&gt;=1,SSN!A12,"")&amp;IF('W3'!D12&gt;=1,'W3'!A12,"")&amp;IF('ATHIS MONS'!D12&gt;=1,'ATHIS MONS'!A12,"")&amp;IF(INTERNES!D12&gt;=1,INTERNES!A12,"")&amp;IF('L HAY LES ROSES'!D12&gt;=1,'L HAY LES ROSES'!A12,"")&amp;IF(RUNGIS!D12&gt;=1,RUNGIS!A12,"")&amp;IF(SCEAUX!D12&gt;=1,SCEAUX!A12,"")&amp;IF('INSTANCE C1'!D12&gt;=1,'INSTANCE C1'!A12,"")&amp;IF('INSTANCE C2'!D12&gt;=1,'INSTANCE C2'!A12,"")&amp;IF('EN PANNE'!D12&gt;=1,'EN PANNE'!A12,"")&amp;IF(TJM!D12&gt;=1,TJM!A12,"")</f>
        <v/>
      </c>
      <c r="U11" s="124"/>
      <c r="V11" s="123" t="str">
        <f>IF('2S EXPRESS'!J12&gt;=1,'2S EXPRESS'!G12,"")&amp;IF('2 ZT'!J12&gt;=1,'2 ZT'!G12,"")&amp;IF('GO TRANSPORT'!J12&gt;=1,'GO TRANSPORT'!G12,"")&amp;IF('HMZ - KAIS'!J12&gt;=1,'HMZ - KAIS'!G12,"")&amp;IF('IB TRANSPORT'!J12&gt;=1,'IB TRANSPORT'!G12,"")&amp;IF(JSL!J12&gt;=1,JSL!G12,"")&amp;IF(KIFAITOUT!J12&gt;=1,KIFAITOUT!G12,"")&amp;IF('LUXE DRIVE'!J12&gt;=1,'LUXE DRIVE'!G12,"")&amp;IF(SSN!J12&gt;=1,SSN!G12,"")&amp;IF('W3'!J12&gt;=1,'W3'!G12,"")&amp;IF('ATHIS MONS'!J12&gt;=1,'ATHIS MONS'!G12,"")&amp;IF(INTERNES!J12&gt;=1,INTERNES!G12,"")&amp;IF('L HAY LES ROSES'!J12&gt;=1,'L HAY LES ROSES'!G12,"")&amp;IF(RUNGIS!J12&gt;=1,RUNGIS!G12,"")&amp;IF(SCEAUX!J12&gt;=1,SCEAUX!G12,"")&amp;IF('INSTANCE C1'!J12&gt;=1,'INSTANCE C1'!G12,"")&amp;IF('INSTANCE C2'!J12&gt;=1,'INSTANCE C2'!G12,"")&amp;IF('EN PANNE'!J12&gt;=1,'EN PANNE'!G12,"")&amp;IF(TJM!J12&gt;=1,TJM!G12,"")</f>
        <v/>
      </c>
      <c r="W11" s="124"/>
      <c r="Y11" s="32" t="s">
        <v>11</v>
      </c>
      <c r="Z11" s="32" t="s">
        <v>11</v>
      </c>
      <c r="AB11" s="80"/>
      <c r="AC11" s="80"/>
    </row>
    <row r="12" spans="1:31" ht="12.75" customHeight="1" x14ac:dyDescent="0.2">
      <c r="D12" s="121"/>
      <c r="E12" s="122"/>
      <c r="H12" s="121"/>
      <c r="I12" s="122"/>
      <c r="L12" s="120"/>
      <c r="M12" s="122"/>
      <c r="N12" s="169"/>
      <c r="O12" s="170"/>
      <c r="Q12" s="169"/>
      <c r="R12" s="170"/>
      <c r="T12" s="123" t="str">
        <f>IF('2S EXPRESS'!D13&gt;=1,'2S EXPRESS'!A13,"")&amp;IF('2 ZT'!D13&gt;=1,'2 ZT'!A13,"")&amp;IF('GO TRANSPORT'!D13&gt;=1,'GO TRANSPORT'!A13,"")&amp;IF('HMZ - KAIS'!D13&gt;=1,'HMZ - KAIS'!A13,"")&amp;IF('IB TRANSPORT'!D13&gt;=1,'IB TRANSPORT'!A13,"")&amp;IF(JSL!D13&gt;=1,JSL!A13,"")&amp;IF(KIFAITOUT!D13&gt;=1,KIFAITOUT!A13,"")&amp;IF('LUXE DRIVE'!D13&gt;=1,'LUXE DRIVE'!A13,"")&amp;IF(SSN!D13&gt;=1,SSN!A13,"")&amp;IF('W3'!D13&gt;=1,'W3'!A13,"")&amp;IF('ATHIS MONS'!D13&gt;=1,'ATHIS MONS'!A13,"")&amp;IF(INTERNES!D13&gt;=1,INTERNES!A13,"")&amp;IF('L HAY LES ROSES'!D13&gt;=1,'L HAY LES ROSES'!A13,"")&amp;IF(RUNGIS!D13&gt;=1,RUNGIS!A13,"")&amp;IF(SCEAUX!D13&gt;=1,SCEAUX!A13,"")&amp;IF('INSTANCE C1'!D13&gt;=1,'INSTANCE C1'!A13,"")&amp;IF('INSTANCE C2'!D13&gt;=1,'INSTANCE C2'!A13,"")&amp;IF('EN PANNE'!D13&gt;=1,'EN PANNE'!A13,"")&amp;IF(TJM!D13&gt;=1,TJM!A13,"")</f>
        <v/>
      </c>
      <c r="U12" s="124"/>
      <c r="V12" s="123" t="str">
        <f>IF('2S EXPRESS'!J13&gt;=1,'2S EXPRESS'!G13,"")&amp;IF('2 ZT'!J13&gt;=1,'2 ZT'!G13,"")&amp;IF('GO TRANSPORT'!J13&gt;=1,'GO TRANSPORT'!G13,"")&amp;IF('HMZ - KAIS'!J13&gt;=1,'HMZ - KAIS'!G13,"")&amp;IF('IB TRANSPORT'!J13&gt;=1,'IB TRANSPORT'!G13,"")&amp;IF(JSL!J13&gt;=1,JSL!G13,"")&amp;IF(KIFAITOUT!J13&gt;=1,KIFAITOUT!G13,"")&amp;IF('LUXE DRIVE'!J13&gt;=1,'LUXE DRIVE'!G13,"")&amp;IF(SSN!J13&gt;=1,SSN!G13,"")&amp;IF('W3'!J13&gt;=1,'W3'!G13,"")&amp;IF('ATHIS MONS'!J13&gt;=1,'ATHIS MONS'!G13,"")&amp;IF(INTERNES!J13&gt;=1,INTERNES!G13,"")&amp;IF('L HAY LES ROSES'!J13&gt;=1,'L HAY LES ROSES'!G13,"")&amp;IF(RUNGIS!J13&gt;=1,RUNGIS!G13,"")&amp;IF(SCEAUX!J13&gt;=1,SCEAUX!G13,"")&amp;IF('INSTANCE C1'!J13&gt;=1,'INSTANCE C1'!G13,"")&amp;IF('INSTANCE C2'!J13&gt;=1,'INSTANCE C2'!G13,"")&amp;IF('EN PANNE'!J13&gt;=1,'EN PANNE'!G13,"")&amp;IF(TJM!J13&gt;=1,TJM!G13,"")</f>
        <v/>
      </c>
      <c r="W12" s="124"/>
      <c r="Y12" s="32" t="s">
        <v>12</v>
      </c>
      <c r="Z12" s="32" t="s">
        <v>12</v>
      </c>
      <c r="AB12" s="80"/>
      <c r="AC12" s="80"/>
    </row>
    <row r="13" spans="1:31" ht="12.75" customHeight="1" x14ac:dyDescent="0.2">
      <c r="D13" s="121"/>
      <c r="E13" s="122"/>
      <c r="H13" s="121"/>
      <c r="I13" s="122"/>
      <c r="L13" s="120"/>
      <c r="M13" s="122"/>
      <c r="N13" s="169"/>
      <c r="O13" s="170"/>
      <c r="Q13" s="169"/>
      <c r="R13" s="170"/>
      <c r="T13" s="123" t="str">
        <f>IF('2S EXPRESS'!D14&gt;=1,'2S EXPRESS'!A14,"")&amp;IF('2 ZT'!D14&gt;=1,'2 ZT'!A14,"")&amp;IF('GO TRANSPORT'!D14&gt;=1,'GO TRANSPORT'!A14,"")&amp;IF('HMZ - KAIS'!D14&gt;=1,'HMZ - KAIS'!A14,"")&amp;IF('IB TRANSPORT'!D14&gt;=1,'IB TRANSPORT'!A14,"")&amp;IF(JSL!D14&gt;=1,JSL!A14,"")&amp;IF(KIFAITOUT!D14&gt;=1,KIFAITOUT!A14,"")&amp;IF('LUXE DRIVE'!D14&gt;=1,'LUXE DRIVE'!A14,"")&amp;IF(SSN!D14&gt;=1,SSN!A14,"")&amp;IF('W3'!D14&gt;=1,'W3'!A14,"")&amp;IF('ATHIS MONS'!D14&gt;=1,'ATHIS MONS'!A14,"")&amp;IF(INTERNES!D14&gt;=1,INTERNES!A14,"")&amp;IF('L HAY LES ROSES'!D14&gt;=1,'L HAY LES ROSES'!A14,"")&amp;IF(RUNGIS!D14&gt;=1,RUNGIS!A14,"")&amp;IF(SCEAUX!D14&gt;=1,SCEAUX!A14,"")&amp;IF('INSTANCE C1'!D14&gt;=1,'INSTANCE C1'!A14,"")&amp;IF('INSTANCE C2'!D14&gt;=1,'INSTANCE C2'!A14,"")&amp;IF('EN PANNE'!D14&gt;=1,'EN PANNE'!A14,"")&amp;IF(TJM!D14&gt;=1,TJM!A14,"")</f>
        <v/>
      </c>
      <c r="U13" s="124"/>
      <c r="V13" s="123" t="str">
        <f>IF('2S EXPRESS'!J14&gt;=1,'2S EXPRESS'!G14,"")&amp;IF('2 ZT'!J14&gt;=1,'2 ZT'!G14,"")&amp;IF('GO TRANSPORT'!J14&gt;=1,'GO TRANSPORT'!G14,"")&amp;IF('HMZ - KAIS'!J14&gt;=1,'HMZ - KAIS'!G14,"")&amp;IF('IB TRANSPORT'!J14&gt;=1,'IB TRANSPORT'!G14,"")&amp;IF(JSL!J14&gt;=1,JSL!G14,"")&amp;IF(KIFAITOUT!J14&gt;=1,KIFAITOUT!G14,"")&amp;IF('LUXE DRIVE'!J14&gt;=1,'LUXE DRIVE'!G14,"")&amp;IF(SSN!J14&gt;=1,SSN!G14,"")&amp;IF('W3'!J14&gt;=1,'W3'!G14,"")&amp;IF('ATHIS MONS'!J14&gt;=1,'ATHIS MONS'!G14,"")&amp;IF(INTERNES!J14&gt;=1,INTERNES!G14,"")&amp;IF('L HAY LES ROSES'!J14&gt;=1,'L HAY LES ROSES'!G14,"")&amp;IF(RUNGIS!J14&gt;=1,RUNGIS!G14,"")&amp;IF(SCEAUX!J14&gt;=1,SCEAUX!G14,"")&amp;IF('INSTANCE C1'!J14&gt;=1,'INSTANCE C1'!G14,"")&amp;IF('INSTANCE C2'!J14&gt;=1,'INSTANCE C2'!G14,"")&amp;IF('EN PANNE'!J14&gt;=1,'EN PANNE'!G14,"")&amp;IF(TJM!J14&gt;=1,TJM!G14,"")</f>
        <v/>
      </c>
      <c r="W13" s="124"/>
      <c r="Y13" s="17">
        <v>10</v>
      </c>
      <c r="Z13" s="17">
        <v>10</v>
      </c>
      <c r="AB13" s="80"/>
      <c r="AC13" s="80"/>
    </row>
    <row r="14" spans="1:31" ht="12.75" customHeight="1" thickBot="1" x14ac:dyDescent="0.25">
      <c r="D14" s="121"/>
      <c r="E14" s="122"/>
      <c r="H14" s="121"/>
      <c r="I14" s="122"/>
      <c r="L14" s="120"/>
      <c r="M14" s="122"/>
      <c r="N14" s="171"/>
      <c r="O14" s="172"/>
      <c r="Q14" s="171"/>
      <c r="R14" s="172"/>
      <c r="T14" s="123" t="str">
        <f>IF('2S EXPRESS'!D15&gt;=1,'2S EXPRESS'!A15,"")&amp;IF('2 ZT'!D15&gt;=1,'2 ZT'!A15,"")&amp;IF('GO TRANSPORT'!D15&gt;=1,'GO TRANSPORT'!A15,"")&amp;IF('HMZ - KAIS'!D15&gt;=1,'HMZ - KAIS'!A15,"")&amp;IF('IB TRANSPORT'!D15&gt;=1,'IB TRANSPORT'!A15,"")&amp;IF(JSL!D15&gt;=1,JSL!A15,"")&amp;IF(KIFAITOUT!D15&gt;=1,KIFAITOUT!A15,"")&amp;IF('LUXE DRIVE'!D15&gt;=1,'LUXE DRIVE'!A15,"")&amp;IF(SSN!D15&gt;=1,SSN!A15,"")&amp;IF('W3'!D15&gt;=1,'W3'!A15,"")&amp;IF('ATHIS MONS'!D15&gt;=1,'ATHIS MONS'!A15,"")&amp;IF(INTERNES!D15&gt;=1,INTERNES!A15,"")&amp;IF('L HAY LES ROSES'!D15&gt;=1,'L HAY LES ROSES'!A15,"")&amp;IF(RUNGIS!D15&gt;=1,RUNGIS!A15,"")&amp;IF(SCEAUX!D15&gt;=1,SCEAUX!A15,"")&amp;IF('INSTANCE C1'!D15&gt;=1,'INSTANCE C1'!A15,"")&amp;IF('INSTANCE C2'!D15&gt;=1,'INSTANCE C2'!A15,"")&amp;IF('EN PANNE'!D15&gt;=1,'EN PANNE'!A15,"")&amp;IF(TJM!D15&gt;=1,TJM!A15,"")</f>
        <v/>
      </c>
      <c r="U14" s="124"/>
      <c r="V14" s="123" t="str">
        <f>IF('2S EXPRESS'!J15&gt;=1,'2S EXPRESS'!G15,"")&amp;IF('2 ZT'!J15&gt;=1,'2 ZT'!G15,"")&amp;IF('GO TRANSPORT'!J15&gt;=1,'GO TRANSPORT'!G15,"")&amp;IF('HMZ - KAIS'!J15&gt;=1,'HMZ - KAIS'!G15,"")&amp;IF('IB TRANSPORT'!J15&gt;=1,'IB TRANSPORT'!G15,"")&amp;IF(JSL!J15&gt;=1,JSL!G15,"")&amp;IF(KIFAITOUT!J15&gt;=1,KIFAITOUT!G15,"")&amp;IF('LUXE DRIVE'!J15&gt;=1,'LUXE DRIVE'!G15,"")&amp;IF(SSN!J15&gt;=1,SSN!G15,"")&amp;IF('W3'!J15&gt;=1,'W3'!G15,"")&amp;IF('ATHIS MONS'!J15&gt;=1,'ATHIS MONS'!G15,"")&amp;IF(INTERNES!J15&gt;=1,INTERNES!G15,"")&amp;IF('L HAY LES ROSES'!J15&gt;=1,'L HAY LES ROSES'!G15,"")&amp;IF(RUNGIS!J15&gt;=1,RUNGIS!G15,"")&amp;IF(SCEAUX!J15&gt;=1,SCEAUX!G15,"")&amp;IF('INSTANCE C1'!J15&gt;=1,'INSTANCE C1'!G15,"")&amp;IF('INSTANCE C2'!J15&gt;=1,'INSTANCE C2'!G15,"")&amp;IF('EN PANNE'!J15&gt;=1,'EN PANNE'!G15,"")&amp;IF(TJM!J15&gt;=1,TJM!G15,"")</f>
        <v/>
      </c>
      <c r="W14" s="124"/>
      <c r="Y14" s="17">
        <v>11</v>
      </c>
      <c r="Z14" s="17">
        <v>11</v>
      </c>
      <c r="AB14" s="80"/>
      <c r="AC14" s="80"/>
    </row>
    <row r="15" spans="1:31" ht="12.75" customHeight="1" x14ac:dyDescent="0.2">
      <c r="E15" s="30" t="s">
        <v>0</v>
      </c>
      <c r="N15" s="174">
        <f>SUM('HMZ - KAIS'!A53,'2S EXPRESS'!A53,'LUXE DRIVE'!A53,'GO TRANSPORT'!A53,'W3'!A53,'2 ZT'!A53,KIFAITOUT!A53,JSL!A53,'IB TRANSPORT'!A53,SSN!A53,'ATHIS MONS'!A53,'L HAY LES ROSES'!A53,RUNGIS!A53,SCEAUX!A53,'INSTANCE C1'!A53,'INSTANCE C2'!A53,INTERNES!A53,TJM!A53)</f>
        <v>0</v>
      </c>
      <c r="O15" s="175"/>
      <c r="Q15" s="174">
        <f>SUM('HMZ - KAIS'!F53,'2S EXPRESS'!F53,'LUXE DRIVE'!F53,'GO TRANSPORT'!F53,'W3'!F53,'2 ZT'!F53,KIFAITOUT!F53,JSL!F53,'IB TRANSPORT'!F53,SSN!F53,'ATHIS MONS'!F53,'L HAY LES ROSES'!F53,RUNGIS!F53,SCEAUX!F53,'INSTANCE C1'!F53,'INSTANCE C2'!F53,INTERNES!F53,TJM!F53)</f>
        <v>0</v>
      </c>
      <c r="R15" s="175"/>
      <c r="T15" s="123" t="str">
        <f>IF('2S EXPRESS'!D16&gt;=1,'2S EXPRESS'!A16,"")&amp;IF('2 ZT'!D16&gt;=1,'2 ZT'!A16,"")&amp;IF('GO TRANSPORT'!D16&gt;=1,'GO TRANSPORT'!A16,"")&amp;IF('HMZ - KAIS'!D16&gt;=1,'HMZ - KAIS'!A16,"")&amp;IF('IB TRANSPORT'!D16&gt;=1,'IB TRANSPORT'!A16,"")&amp;IF(JSL!D16&gt;=1,JSL!A16,"")&amp;IF(KIFAITOUT!D16&gt;=1,KIFAITOUT!A16,"")&amp;IF('LUXE DRIVE'!D16&gt;=1,'LUXE DRIVE'!A16,"")&amp;IF(SSN!D16&gt;=1,SSN!A16,"")&amp;IF('W3'!D16&gt;=1,'W3'!A16,"")&amp;IF('ATHIS MONS'!D16&gt;=1,'ATHIS MONS'!A16,"")&amp;IF(INTERNES!D16&gt;=1,INTERNES!A16,"")&amp;IF('L HAY LES ROSES'!D16&gt;=1,'L HAY LES ROSES'!A16,"")&amp;IF(RUNGIS!D16&gt;=1,RUNGIS!A16,"")&amp;IF(SCEAUX!D16&gt;=1,SCEAUX!A16,"")&amp;IF('INSTANCE C1'!D16&gt;=1,'INSTANCE C1'!A16,"")&amp;IF('INSTANCE C2'!D16&gt;=1,'INSTANCE C2'!A16,"")&amp;IF('EN PANNE'!D16&gt;=1,'EN PANNE'!A16,"")&amp;IF(TJM!D16&gt;=1,TJM!A16,"")</f>
        <v/>
      </c>
      <c r="U15" s="124"/>
      <c r="V15" s="123" t="str">
        <f>IF('2S EXPRESS'!J16&gt;=1,'2S EXPRESS'!G16,"")&amp;IF('2 ZT'!J16&gt;=1,'2 ZT'!G16,"")&amp;IF('GO TRANSPORT'!J16&gt;=1,'GO TRANSPORT'!G16,"")&amp;IF('HMZ - KAIS'!J16&gt;=1,'HMZ - KAIS'!G16,"")&amp;IF('IB TRANSPORT'!J16&gt;=1,'IB TRANSPORT'!G16,"")&amp;IF(JSL!J16&gt;=1,JSL!G16,"")&amp;IF(KIFAITOUT!J16&gt;=1,KIFAITOUT!G16,"")&amp;IF('LUXE DRIVE'!J16&gt;=1,'LUXE DRIVE'!G16,"")&amp;IF(SSN!J16&gt;=1,SSN!G16,"")&amp;IF('W3'!J16&gt;=1,'W3'!G16,"")&amp;IF('ATHIS MONS'!J16&gt;=1,'ATHIS MONS'!G16,"")&amp;IF(INTERNES!J16&gt;=1,INTERNES!G16,"")&amp;IF('L HAY LES ROSES'!J16&gt;=1,'L HAY LES ROSES'!G16,"")&amp;IF(RUNGIS!J16&gt;=1,RUNGIS!G16,"")&amp;IF(SCEAUX!J16&gt;=1,SCEAUX!G16,"")&amp;IF('INSTANCE C1'!J16&gt;=1,'INSTANCE C1'!G16,"")&amp;IF('INSTANCE C2'!J16&gt;=1,'INSTANCE C2'!G16,"")&amp;IF('EN PANNE'!J16&gt;=1,'EN PANNE'!G16,"")&amp;IF(TJM!J16&gt;=1,TJM!G16,"")</f>
        <v/>
      </c>
      <c r="W15" s="124"/>
      <c r="Y15" s="17">
        <v>12</v>
      </c>
      <c r="Z15" s="17">
        <v>12</v>
      </c>
      <c r="AB15" s="80"/>
      <c r="AC15" s="80"/>
    </row>
    <row r="16" spans="1:31" ht="12.75" customHeight="1" x14ac:dyDescent="0.2">
      <c r="D16" s="120" t="str">
        <f>IF('GO TRANSPORT'!$A$53=0,"OK",SUM('GO TRANSPORT'!$A$53-'GO TRANSPORT'!$G$53))&amp;"/24"</f>
        <v>OK/24</v>
      </c>
      <c r="E16" s="122" t="str">
        <f>IF('GO TRANSPORT'!$D$53&gt;=1,"!","")&amp;IF('GO TRANSPORT'!$J$53&gt;=1,"!","")&amp;IF('GO TRANSPORT'!$M$12&gt;'GO TRANSPORT'!$M$9,"?","")</f>
        <v/>
      </c>
      <c r="H16" s="120" t="str">
        <f>IF(SSN!$A$53=0,"OK",SUM(SSN!$A$53-SSN!$G$53))&amp;"/6"</f>
        <v>OK/6</v>
      </c>
      <c r="I16" s="122" t="str">
        <f>IF(SSN!$D$53&gt;=1,"!","")&amp;IF(SSN!$J$53&gt;=1,"!","")&amp;IF(SSN!$M$12&gt;SSN!$M$9,"?","")</f>
        <v/>
      </c>
      <c r="L16" s="120" t="str">
        <f>IF(SCEAUX!$A$53=0,"OK",SUM(SCEAUX!$A$53-SCEAUX!$G$53))&amp;"/7"</f>
        <v>OK/7</v>
      </c>
      <c r="M16" s="122" t="str">
        <f>IF(SCEAUX!$D$53&gt;=1,"!","")&amp;IF(SCEAUX!$J$53&gt;=1,"!","")&amp;IF(SCEAUX!$M$12&gt;SCEAUX!$M$9,"?","")</f>
        <v/>
      </c>
      <c r="N16" s="176"/>
      <c r="O16" s="177"/>
      <c r="Q16" s="176"/>
      <c r="R16" s="177"/>
      <c r="T16" s="123" t="str">
        <f>IF('2S EXPRESS'!D17&gt;=1,'2S EXPRESS'!A17,"")&amp;IF('2 ZT'!D17&gt;=1,'2 ZT'!A17,"")&amp;IF('GO TRANSPORT'!D17&gt;=1,'GO TRANSPORT'!A17,"")&amp;IF('HMZ - KAIS'!D17&gt;=1,'HMZ - KAIS'!A17,"")&amp;IF('IB TRANSPORT'!D17&gt;=1,'IB TRANSPORT'!A17,"")&amp;IF(JSL!D17&gt;=1,JSL!A17,"")&amp;IF(KIFAITOUT!D17&gt;=1,KIFAITOUT!A17,"")&amp;IF('LUXE DRIVE'!D17&gt;=1,'LUXE DRIVE'!A17,"")&amp;IF(SSN!D17&gt;=1,SSN!A17,"")&amp;IF('W3'!D17&gt;=1,'W3'!A17,"")&amp;IF('ATHIS MONS'!D17&gt;=1,'ATHIS MONS'!A17,"")&amp;IF(INTERNES!D17&gt;=1,INTERNES!A17,"")&amp;IF('L HAY LES ROSES'!D17&gt;=1,'L HAY LES ROSES'!A17,"")&amp;IF(RUNGIS!D17&gt;=1,RUNGIS!A17,"")&amp;IF(SCEAUX!D17&gt;=1,SCEAUX!A17,"")&amp;IF('INSTANCE C1'!D17&gt;=1,'INSTANCE C1'!A17,"")&amp;IF('INSTANCE C2'!D17&gt;=1,'INSTANCE C2'!A17,"")&amp;IF('EN PANNE'!D17&gt;=1,'EN PANNE'!A17,"")&amp;IF(TJM!D17&gt;=1,TJM!A17,"")</f>
        <v/>
      </c>
      <c r="U16" s="124"/>
      <c r="V16" s="123" t="str">
        <f>IF('2S EXPRESS'!J17&gt;=1,'2S EXPRESS'!G17,"")&amp;IF('2 ZT'!J17&gt;=1,'2 ZT'!G17,"")&amp;IF('GO TRANSPORT'!J17&gt;=1,'GO TRANSPORT'!G17,"")&amp;IF('HMZ - KAIS'!J17&gt;=1,'HMZ - KAIS'!G17,"")&amp;IF('IB TRANSPORT'!J17&gt;=1,'IB TRANSPORT'!G17,"")&amp;IF(JSL!J17&gt;=1,JSL!G17,"")&amp;IF(KIFAITOUT!J17&gt;=1,KIFAITOUT!G17,"")&amp;IF('LUXE DRIVE'!J17&gt;=1,'LUXE DRIVE'!G17,"")&amp;IF(SSN!J17&gt;=1,SSN!G17,"")&amp;IF('W3'!J17&gt;=1,'W3'!G17,"")&amp;IF('ATHIS MONS'!J17&gt;=1,'ATHIS MONS'!G17,"")&amp;IF(INTERNES!J17&gt;=1,INTERNES!G17,"")&amp;IF('L HAY LES ROSES'!J17&gt;=1,'L HAY LES ROSES'!G17,"")&amp;IF(RUNGIS!J17&gt;=1,RUNGIS!G17,"")&amp;IF(SCEAUX!J17&gt;=1,SCEAUX!G17,"")&amp;IF('INSTANCE C1'!J17&gt;=1,'INSTANCE C1'!G17,"")&amp;IF('INSTANCE C2'!J17&gt;=1,'INSTANCE C2'!G17,"")&amp;IF('EN PANNE'!J17&gt;=1,'EN PANNE'!G17,"")&amp;IF(TJM!J17&gt;=1,TJM!G17,"")</f>
        <v/>
      </c>
      <c r="W16" s="124"/>
      <c r="Y16" s="17">
        <v>13</v>
      </c>
      <c r="AB16" s="80"/>
      <c r="AC16" s="80"/>
    </row>
    <row r="17" spans="4:29" ht="12.75" customHeight="1" x14ac:dyDescent="0.2">
      <c r="D17" s="121"/>
      <c r="E17" s="122"/>
      <c r="H17" s="121"/>
      <c r="I17" s="122"/>
      <c r="L17" s="120"/>
      <c r="M17" s="122"/>
      <c r="N17" s="176"/>
      <c r="O17" s="177"/>
      <c r="Q17" s="176"/>
      <c r="R17" s="177"/>
      <c r="T17" s="123" t="str">
        <f>IF('2S EXPRESS'!D18&gt;=1,'2S EXPRESS'!A18,"")&amp;IF('2 ZT'!D18&gt;=1,'2 ZT'!A18,"")&amp;IF('GO TRANSPORT'!D18&gt;=1,'GO TRANSPORT'!A18,"")&amp;IF('HMZ - KAIS'!D18&gt;=1,'HMZ - KAIS'!A18,"")&amp;IF('IB TRANSPORT'!D18&gt;=1,'IB TRANSPORT'!A18,"")&amp;IF(JSL!D18&gt;=1,JSL!A18,"")&amp;IF(KIFAITOUT!D18&gt;=1,KIFAITOUT!A18,"")&amp;IF('LUXE DRIVE'!D18&gt;=1,'LUXE DRIVE'!A18,"")&amp;IF(SSN!D18&gt;=1,SSN!A18,"")&amp;IF('W3'!D18&gt;=1,'W3'!A18,"")&amp;IF('ATHIS MONS'!D18&gt;=1,'ATHIS MONS'!A18,"")&amp;IF(INTERNES!D18&gt;=1,INTERNES!A18,"")&amp;IF('L HAY LES ROSES'!D18&gt;=1,'L HAY LES ROSES'!A18,"")&amp;IF(RUNGIS!D18&gt;=1,RUNGIS!A18,"")&amp;IF(SCEAUX!D18&gt;=1,SCEAUX!A18,"")&amp;IF('INSTANCE C1'!D18&gt;=1,'INSTANCE C1'!A18,"")&amp;IF('INSTANCE C2'!D18&gt;=1,'INSTANCE C2'!A18,"")&amp;IF('EN PANNE'!D18&gt;=1,'EN PANNE'!A18,"")&amp;IF(TJM!D18&gt;=1,TJM!A18,"")</f>
        <v/>
      </c>
      <c r="U17" s="124"/>
      <c r="V17" s="123" t="str">
        <f>IF('2S EXPRESS'!J18&gt;=1,'2S EXPRESS'!G18,"")&amp;IF('2 ZT'!J18&gt;=1,'2 ZT'!G18,"")&amp;IF('GO TRANSPORT'!J18&gt;=1,'GO TRANSPORT'!G18,"")&amp;IF('HMZ - KAIS'!J18&gt;=1,'HMZ - KAIS'!G18,"")&amp;IF('IB TRANSPORT'!J18&gt;=1,'IB TRANSPORT'!G18,"")&amp;IF(JSL!J18&gt;=1,JSL!G18,"")&amp;IF(KIFAITOUT!J18&gt;=1,KIFAITOUT!G18,"")&amp;IF('LUXE DRIVE'!J18&gt;=1,'LUXE DRIVE'!G18,"")&amp;IF(SSN!J18&gt;=1,SSN!G18,"")&amp;IF('W3'!J18&gt;=1,'W3'!G18,"")&amp;IF('ATHIS MONS'!J18&gt;=1,'ATHIS MONS'!G18,"")&amp;IF(INTERNES!J18&gt;=1,INTERNES!G18,"")&amp;IF('L HAY LES ROSES'!J18&gt;=1,'L HAY LES ROSES'!G18,"")&amp;IF(RUNGIS!J18&gt;=1,RUNGIS!G18,"")&amp;IF(SCEAUX!J18&gt;=1,SCEAUX!G18,"")&amp;IF('INSTANCE C1'!J18&gt;=1,'INSTANCE C1'!G18,"")&amp;IF('INSTANCE C2'!J18&gt;=1,'INSTANCE C2'!G18,"")&amp;IF('EN PANNE'!J18&gt;=1,'EN PANNE'!G18,"")&amp;IF(TJM!J18&gt;=1,TJM!G18,"")</f>
        <v/>
      </c>
      <c r="W17" s="124"/>
      <c r="Y17" s="17">
        <v>14</v>
      </c>
      <c r="AB17" s="80"/>
      <c r="AC17" s="80"/>
    </row>
    <row r="18" spans="4:29" ht="12.75" customHeight="1" thickBot="1" x14ac:dyDescent="0.25">
      <c r="D18" s="121"/>
      <c r="E18" s="122"/>
      <c r="H18" s="121"/>
      <c r="I18" s="122"/>
      <c r="L18" s="120"/>
      <c r="M18" s="122"/>
      <c r="N18" s="178"/>
      <c r="O18" s="179"/>
      <c r="Q18" s="178"/>
      <c r="R18" s="179"/>
      <c r="T18" s="123" t="str">
        <f>IF('2S EXPRESS'!D19&gt;=1,'2S EXPRESS'!A19,"")&amp;IF('2 ZT'!D19&gt;=1,'2 ZT'!A19,"")&amp;IF('GO TRANSPORT'!D19&gt;=1,'GO TRANSPORT'!A19,"")&amp;IF('HMZ - KAIS'!D19&gt;=1,'HMZ - KAIS'!A19,"")&amp;IF('IB TRANSPORT'!D19&gt;=1,'IB TRANSPORT'!A19,"")&amp;IF(JSL!D19&gt;=1,JSL!A19,"")&amp;IF(KIFAITOUT!D19&gt;=1,KIFAITOUT!A19,"")&amp;IF('LUXE DRIVE'!D19&gt;=1,'LUXE DRIVE'!A19,"")&amp;IF(SSN!D19&gt;=1,SSN!A19,"")&amp;IF('W3'!D19&gt;=1,'W3'!A19,"")&amp;IF('ATHIS MONS'!D19&gt;=1,'ATHIS MONS'!A19,"")&amp;IF(INTERNES!D19&gt;=1,INTERNES!A19,"")&amp;IF('L HAY LES ROSES'!D19&gt;=1,'L HAY LES ROSES'!A19,"")&amp;IF(RUNGIS!D19&gt;=1,RUNGIS!A19,"")&amp;IF(SCEAUX!D19&gt;=1,SCEAUX!A19,"")&amp;IF('INSTANCE C1'!D19&gt;=1,'INSTANCE C1'!A19,"")&amp;IF('INSTANCE C2'!D19&gt;=1,'INSTANCE C2'!A19,"")&amp;IF('EN PANNE'!D19&gt;=1,'EN PANNE'!A19,"")&amp;IF(TJM!D19&gt;=1,TJM!A19,"")</f>
        <v/>
      </c>
      <c r="U18" s="124"/>
      <c r="V18" s="123" t="str">
        <f>IF('2S EXPRESS'!J19&gt;=1,'2S EXPRESS'!G19,"")&amp;IF('2 ZT'!J19&gt;=1,'2 ZT'!G19,"")&amp;IF('GO TRANSPORT'!J19&gt;=1,'GO TRANSPORT'!G19,"")&amp;IF('HMZ - KAIS'!J19&gt;=1,'HMZ - KAIS'!G19,"")&amp;IF('IB TRANSPORT'!J19&gt;=1,'IB TRANSPORT'!G19,"")&amp;IF(JSL!J19&gt;=1,JSL!G19,"")&amp;IF(KIFAITOUT!J19&gt;=1,KIFAITOUT!G19,"")&amp;IF('LUXE DRIVE'!J19&gt;=1,'LUXE DRIVE'!G19,"")&amp;IF(SSN!J19&gt;=1,SSN!G19,"")&amp;IF('W3'!J19&gt;=1,'W3'!G19,"")&amp;IF('ATHIS MONS'!J19&gt;=1,'ATHIS MONS'!G19,"")&amp;IF(INTERNES!J19&gt;=1,INTERNES!G19,"")&amp;IF('L HAY LES ROSES'!J19&gt;=1,'L HAY LES ROSES'!G19,"")&amp;IF(RUNGIS!J19&gt;=1,RUNGIS!G19,"")&amp;IF(SCEAUX!J19&gt;=1,SCEAUX!G19,"")&amp;IF('INSTANCE C1'!J19&gt;=1,'INSTANCE C1'!G19,"")&amp;IF('INSTANCE C2'!J19&gt;=1,'INSTANCE C2'!G19,"")&amp;IF('EN PANNE'!J19&gt;=1,'EN PANNE'!G19,"")&amp;IF(TJM!J19&gt;=1,TJM!G19,"")</f>
        <v/>
      </c>
      <c r="W18" s="124"/>
      <c r="Y18" s="17">
        <v>15</v>
      </c>
      <c r="AB18" s="80"/>
      <c r="AC18" s="80"/>
    </row>
    <row r="19" spans="4:29" ht="12.75" customHeight="1" thickBot="1" x14ac:dyDescent="0.25">
      <c r="D19" s="121"/>
      <c r="E19" s="122"/>
      <c r="H19" s="121"/>
      <c r="I19" s="122"/>
      <c r="L19" s="120"/>
      <c r="M19" s="122"/>
      <c r="T19" s="123" t="str">
        <f>IF('2S EXPRESS'!D20&gt;=1,'2S EXPRESS'!A20,"")&amp;IF('2 ZT'!D20&gt;=1,'2 ZT'!A20,"")&amp;IF('GO TRANSPORT'!D20&gt;=1,'GO TRANSPORT'!A20,"")&amp;IF('HMZ - KAIS'!D20&gt;=1,'HMZ - KAIS'!A20,"")&amp;IF('IB TRANSPORT'!D20&gt;=1,'IB TRANSPORT'!A20,"")&amp;IF(JSL!D20&gt;=1,JSL!A20,"")&amp;IF(KIFAITOUT!D20&gt;=1,KIFAITOUT!A20,"")&amp;IF('LUXE DRIVE'!D20&gt;=1,'LUXE DRIVE'!A20,"")&amp;IF(SSN!D20&gt;=1,SSN!A20,"")&amp;IF('W3'!D20&gt;=1,'W3'!A20,"")&amp;IF('ATHIS MONS'!D20&gt;=1,'ATHIS MONS'!A20,"")&amp;IF(INTERNES!D20&gt;=1,INTERNES!A20,"")&amp;IF('L HAY LES ROSES'!D20&gt;=1,'L HAY LES ROSES'!A20,"")&amp;IF(RUNGIS!D20&gt;=1,RUNGIS!A20,"")&amp;IF(SCEAUX!D20&gt;=1,SCEAUX!A20,"")&amp;IF('INSTANCE C1'!D20&gt;=1,'INSTANCE C1'!A20,"")&amp;IF('INSTANCE C2'!D20&gt;=1,'INSTANCE C2'!A20,"")&amp;IF('EN PANNE'!D20&gt;=1,'EN PANNE'!A20,"")&amp;IF(TJM!D20&gt;=1,TJM!A20,"")</f>
        <v/>
      </c>
      <c r="U19" s="124"/>
      <c r="V19" s="123" t="str">
        <f>IF('2S EXPRESS'!J20&gt;=1,'2S EXPRESS'!G20,"")&amp;IF('2 ZT'!J20&gt;=1,'2 ZT'!G20,"")&amp;IF('GO TRANSPORT'!J20&gt;=1,'GO TRANSPORT'!G20,"")&amp;IF('HMZ - KAIS'!J20&gt;=1,'HMZ - KAIS'!G20,"")&amp;IF('IB TRANSPORT'!J20&gt;=1,'IB TRANSPORT'!G20,"")&amp;IF(JSL!J20&gt;=1,JSL!G20,"")&amp;IF(KIFAITOUT!J20&gt;=1,KIFAITOUT!G20,"")&amp;IF('LUXE DRIVE'!J20&gt;=1,'LUXE DRIVE'!G20,"")&amp;IF(SSN!J20&gt;=1,SSN!G20,"")&amp;IF('W3'!J20&gt;=1,'W3'!G20,"")&amp;IF('ATHIS MONS'!J20&gt;=1,'ATHIS MONS'!G20,"")&amp;IF(INTERNES!J20&gt;=1,INTERNES!G20,"")&amp;IF('L HAY LES ROSES'!J20&gt;=1,'L HAY LES ROSES'!G20,"")&amp;IF(RUNGIS!J20&gt;=1,RUNGIS!G20,"")&amp;IF(SCEAUX!J20&gt;=1,SCEAUX!G20,"")&amp;IF('INSTANCE C1'!J20&gt;=1,'INSTANCE C1'!G20,"")&amp;IF('INSTANCE C2'!J20&gt;=1,'INSTANCE C2'!G20,"")&amp;IF('EN PANNE'!J20&gt;=1,'EN PANNE'!G20,"")&amp;IF(TJM!J20&gt;=1,TJM!G20,"")</f>
        <v/>
      </c>
      <c r="W19" s="124"/>
      <c r="Y19" s="17">
        <v>16</v>
      </c>
      <c r="AB19" s="80"/>
      <c r="AC19" s="80"/>
    </row>
    <row r="20" spans="4:29" ht="12.75" customHeight="1" x14ac:dyDescent="0.2">
      <c r="D20" s="121"/>
      <c r="E20" s="122"/>
      <c r="H20" s="121"/>
      <c r="I20" s="122"/>
      <c r="L20" s="120"/>
      <c r="M20" s="122"/>
      <c r="N20" s="173" t="s">
        <v>13</v>
      </c>
      <c r="O20" s="136"/>
      <c r="Q20" s="26"/>
      <c r="R20" s="26"/>
      <c r="S20" s="24"/>
      <c r="T20" s="123" t="str">
        <f>IF('2S EXPRESS'!D21&gt;=1,'2S EXPRESS'!A21,"")&amp;IF('2 ZT'!D21&gt;=1,'2 ZT'!A21,"")&amp;IF('GO TRANSPORT'!D21&gt;=1,'GO TRANSPORT'!A21,"")&amp;IF('HMZ - KAIS'!D21&gt;=1,'HMZ - KAIS'!A21,"")&amp;IF('IB TRANSPORT'!D21&gt;=1,'IB TRANSPORT'!A21,"")&amp;IF(JSL!D21&gt;=1,JSL!A21,"")&amp;IF(KIFAITOUT!D21&gt;=1,KIFAITOUT!A21,"")&amp;IF('LUXE DRIVE'!D21&gt;=1,'LUXE DRIVE'!A21,"")&amp;IF(SSN!D21&gt;=1,SSN!A21,"")&amp;IF('W3'!D21&gt;=1,'W3'!A21,"")&amp;IF('ATHIS MONS'!D21&gt;=1,'ATHIS MONS'!A21,"")&amp;IF(INTERNES!D21&gt;=1,INTERNES!A21,"")&amp;IF('L HAY LES ROSES'!D21&gt;=1,'L HAY LES ROSES'!A21,"")&amp;IF(RUNGIS!D21&gt;=1,RUNGIS!A21,"")&amp;IF(SCEAUX!D21&gt;=1,SCEAUX!A21,"")&amp;IF('INSTANCE C1'!D21&gt;=1,'INSTANCE C1'!A21,"")&amp;IF('INSTANCE C2'!D21&gt;=1,'INSTANCE C2'!A21,"")&amp;IF('EN PANNE'!D21&gt;=1,'EN PANNE'!A21,"")&amp;IF(TJM!D21&gt;=1,TJM!A21,"")</f>
        <v/>
      </c>
      <c r="U20" s="124"/>
      <c r="V20" s="123" t="str">
        <f>IF('2S EXPRESS'!J21&gt;=1,'2S EXPRESS'!G21,"")&amp;IF('2 ZT'!J21&gt;=1,'2 ZT'!G21,"")&amp;IF('GO TRANSPORT'!J21&gt;=1,'GO TRANSPORT'!G21,"")&amp;IF('HMZ - KAIS'!J21&gt;=1,'HMZ - KAIS'!G21,"")&amp;IF('IB TRANSPORT'!J21&gt;=1,'IB TRANSPORT'!G21,"")&amp;IF(JSL!J21&gt;=1,JSL!G21,"")&amp;IF(KIFAITOUT!J21&gt;=1,KIFAITOUT!G21,"")&amp;IF('LUXE DRIVE'!J21&gt;=1,'LUXE DRIVE'!G21,"")&amp;IF(SSN!J21&gt;=1,SSN!G21,"")&amp;IF('W3'!J21&gt;=1,'W3'!G21,"")&amp;IF('ATHIS MONS'!J21&gt;=1,'ATHIS MONS'!G21,"")&amp;IF(INTERNES!J21&gt;=1,INTERNES!G21,"")&amp;IF('L HAY LES ROSES'!J21&gt;=1,'L HAY LES ROSES'!G21,"")&amp;IF(RUNGIS!J21&gt;=1,RUNGIS!G21,"")&amp;IF(SCEAUX!J21&gt;=1,SCEAUX!G21,"")&amp;IF('INSTANCE C1'!J21&gt;=1,'INSTANCE C1'!G21,"")&amp;IF('INSTANCE C2'!J21&gt;=1,'INSTANCE C2'!G21,"")&amp;IF('EN PANNE'!J21&gt;=1,'EN PANNE'!G21,"")&amp;IF(TJM!J21&gt;=1,TJM!G21,"")</f>
        <v/>
      </c>
      <c r="W20" s="124"/>
      <c r="Y20" s="17">
        <v>17</v>
      </c>
      <c r="AB20" s="80"/>
      <c r="AC20" s="80"/>
    </row>
    <row r="21" spans="4:29" ht="12.75" customHeight="1" x14ac:dyDescent="0.2">
      <c r="N21" s="137"/>
      <c r="O21" s="139"/>
      <c r="Q21" s="26"/>
      <c r="R21" s="26"/>
      <c r="S21" s="24"/>
      <c r="T21" s="123" t="str">
        <f>IF('2S EXPRESS'!D22&gt;=1,'2S EXPRESS'!A22,"")&amp;IF('2 ZT'!D22&gt;=1,'2 ZT'!A22,"")&amp;IF('GO TRANSPORT'!D22&gt;=1,'GO TRANSPORT'!A22,"")&amp;IF('HMZ - KAIS'!D22&gt;=1,'HMZ - KAIS'!A22,"")&amp;IF('IB TRANSPORT'!D22&gt;=1,'IB TRANSPORT'!A22,"")&amp;IF(JSL!D22&gt;=1,JSL!A22,"")&amp;IF(KIFAITOUT!D22&gt;=1,KIFAITOUT!A22,"")&amp;IF('LUXE DRIVE'!D22&gt;=1,'LUXE DRIVE'!A22,"")&amp;IF(SSN!D22&gt;=1,SSN!A22,"")&amp;IF('W3'!D22&gt;=1,'W3'!A22,"")&amp;IF('ATHIS MONS'!D22&gt;=1,'ATHIS MONS'!A22,"")&amp;IF(INTERNES!D22&gt;=1,INTERNES!A22,"")&amp;IF('L HAY LES ROSES'!D22&gt;=1,'L HAY LES ROSES'!A22,"")&amp;IF(RUNGIS!D22&gt;=1,RUNGIS!A22,"")&amp;IF(SCEAUX!D22&gt;=1,SCEAUX!A22,"")&amp;IF('INSTANCE C1'!D22&gt;=1,'INSTANCE C1'!A22,"")&amp;IF('INSTANCE C2'!D22&gt;=1,'INSTANCE C2'!A22,"")&amp;IF('EN PANNE'!D22&gt;=1,'EN PANNE'!A22,"")&amp;IF(TJM!D22&gt;=1,TJM!A22,"")</f>
        <v/>
      </c>
      <c r="U21" s="124"/>
      <c r="V21" s="123" t="str">
        <f>IF('2S EXPRESS'!J22&gt;=1,'2S EXPRESS'!G22,"")&amp;IF('2 ZT'!J22&gt;=1,'2 ZT'!G22,"")&amp;IF('GO TRANSPORT'!J22&gt;=1,'GO TRANSPORT'!G22,"")&amp;IF('HMZ - KAIS'!J22&gt;=1,'HMZ - KAIS'!G22,"")&amp;IF('IB TRANSPORT'!J22&gt;=1,'IB TRANSPORT'!G22,"")&amp;IF(JSL!J22&gt;=1,JSL!G22,"")&amp;IF(KIFAITOUT!J22&gt;=1,KIFAITOUT!G22,"")&amp;IF('LUXE DRIVE'!J22&gt;=1,'LUXE DRIVE'!G22,"")&amp;IF(SSN!J22&gt;=1,SSN!G22,"")&amp;IF('W3'!J22&gt;=1,'W3'!G22,"")&amp;IF('ATHIS MONS'!J22&gt;=1,'ATHIS MONS'!G22,"")&amp;IF(INTERNES!J22&gt;=1,INTERNES!G22,"")&amp;IF('L HAY LES ROSES'!J22&gt;=1,'L HAY LES ROSES'!G22,"")&amp;IF(RUNGIS!J22&gt;=1,RUNGIS!G22,"")&amp;IF(SCEAUX!J22&gt;=1,SCEAUX!G22,"")&amp;IF('INSTANCE C1'!J22&gt;=1,'INSTANCE C1'!G22,"")&amp;IF('INSTANCE C2'!J22&gt;=1,'INSTANCE C2'!G22,"")&amp;IF('EN PANNE'!J22&gt;=1,'EN PANNE'!G22,"")&amp;IF(TJM!J22&gt;=1,TJM!G22,"")</f>
        <v/>
      </c>
      <c r="W21" s="124"/>
      <c r="Y21" s="17">
        <v>18</v>
      </c>
      <c r="AB21" s="80"/>
      <c r="AC21" s="80"/>
    </row>
    <row r="22" spans="4:29" ht="12.75" customHeight="1" x14ac:dyDescent="0.2">
      <c r="D22" s="120" t="str">
        <f>IF('HMZ - KAIS'!$A$53=0,"OK",SUM('HMZ - KAIS'!$A$53-'HMZ - KAIS'!$G$53))&amp;"/28"</f>
        <v>OK/28</v>
      </c>
      <c r="E22" s="122" t="str">
        <f>IF('HMZ - KAIS'!$D$53&gt;=1,"!","")&amp;IF('HMZ - KAIS'!$J$53&gt;=1,"!","")&amp;IF('HMZ - KAIS'!$M$12&gt;'HMZ - KAIS'!$M$9,"?","")</f>
        <v/>
      </c>
      <c r="H22" s="120" t="str">
        <f>IF('W3'!$A$53=0,"OK",SUM('W3'!$A$53-'W3'!$G$53))&amp;"/6"</f>
        <v>OK/6</v>
      </c>
      <c r="I22" s="122" t="str">
        <f>IF('W3'!$D$53&gt;=1,"!","")&amp;IF('W3'!$J$53&gt;=1,"!","")&amp;IF('W3'!$M$12&gt;'W3'!$M$9,"?","")</f>
        <v/>
      </c>
      <c r="L22" s="120" t="str">
        <f>IF('INSTANCE C1'!$A$53=0,"OK",SUM('INSTANCE C1'!$A$53-'INSTANCE C1'!$G$53))</f>
        <v>OK</v>
      </c>
      <c r="M22" s="122" t="str">
        <f>IF('INSTANCE C1'!$D$53&gt;=1,"!","")&amp;IF('INSTANCE C1'!$J$53&gt;=1,"!","")&amp;IF('INSTANCE C1'!$M$12&gt;'INSTANCE C1'!$M$9,"?","")</f>
        <v/>
      </c>
      <c r="N22" s="137"/>
      <c r="O22" s="139"/>
      <c r="Q22" s="26"/>
      <c r="R22" s="26"/>
      <c r="S22" s="24"/>
      <c r="T22" s="123" t="str">
        <f>IF('2S EXPRESS'!D23&gt;=1,'2S EXPRESS'!A23,"")&amp;IF('2 ZT'!D23&gt;=1,'2 ZT'!A23,"")&amp;IF('GO TRANSPORT'!D23&gt;=1,'GO TRANSPORT'!A23,"")&amp;IF('HMZ - KAIS'!D23&gt;=1,'HMZ - KAIS'!A23,"")&amp;IF('IB TRANSPORT'!D23&gt;=1,'IB TRANSPORT'!A23,"")&amp;IF(JSL!D23&gt;=1,JSL!A23,"")&amp;IF(KIFAITOUT!D23&gt;=1,KIFAITOUT!A23,"")&amp;IF('LUXE DRIVE'!D23&gt;=1,'LUXE DRIVE'!A23,"")&amp;IF(SSN!D23&gt;=1,SSN!A23,"")&amp;IF('W3'!D23&gt;=1,'W3'!A23,"")&amp;IF('ATHIS MONS'!D23&gt;=1,'ATHIS MONS'!A23,"")&amp;IF(INTERNES!D23&gt;=1,INTERNES!A23,"")&amp;IF('L HAY LES ROSES'!D23&gt;=1,'L HAY LES ROSES'!A23,"")&amp;IF(RUNGIS!D23&gt;=1,RUNGIS!A23,"")&amp;IF(SCEAUX!D23&gt;=1,SCEAUX!A23,"")&amp;IF('INSTANCE C1'!D23&gt;=1,'INSTANCE C1'!A23,"")&amp;IF('INSTANCE C2'!D23&gt;=1,'INSTANCE C2'!A23,"")&amp;IF('EN PANNE'!D23&gt;=1,'EN PANNE'!A23,"")&amp;IF(TJM!D23&gt;=1,TJM!A23,"")</f>
        <v/>
      </c>
      <c r="U22" s="124"/>
      <c r="V22" s="123" t="str">
        <f>IF('2S EXPRESS'!J23&gt;=1,'2S EXPRESS'!G23,"")&amp;IF('2 ZT'!J23&gt;=1,'2 ZT'!G23,"")&amp;IF('GO TRANSPORT'!J23&gt;=1,'GO TRANSPORT'!G23,"")&amp;IF('HMZ - KAIS'!J23&gt;=1,'HMZ - KAIS'!G23,"")&amp;IF('IB TRANSPORT'!J23&gt;=1,'IB TRANSPORT'!G23,"")&amp;IF(JSL!J23&gt;=1,JSL!G23,"")&amp;IF(KIFAITOUT!J23&gt;=1,KIFAITOUT!G23,"")&amp;IF('LUXE DRIVE'!J23&gt;=1,'LUXE DRIVE'!G23,"")&amp;IF(SSN!J23&gt;=1,SSN!G23,"")&amp;IF('W3'!J23&gt;=1,'W3'!G23,"")&amp;IF('ATHIS MONS'!J23&gt;=1,'ATHIS MONS'!G23,"")&amp;IF(INTERNES!J23&gt;=1,INTERNES!G23,"")&amp;IF('L HAY LES ROSES'!J23&gt;=1,'L HAY LES ROSES'!G23,"")&amp;IF(RUNGIS!J23&gt;=1,RUNGIS!G23,"")&amp;IF(SCEAUX!J23&gt;=1,SCEAUX!G23,"")&amp;IF('INSTANCE C1'!J23&gt;=1,'INSTANCE C1'!G23,"")&amp;IF('INSTANCE C2'!J23&gt;=1,'INSTANCE C2'!G23,"")&amp;IF('EN PANNE'!J23&gt;=1,'EN PANNE'!G23,"")&amp;IF(TJM!J23&gt;=1,TJM!G23,"")</f>
        <v/>
      </c>
      <c r="W22" s="124"/>
      <c r="Y22" s="17">
        <v>19</v>
      </c>
      <c r="AB22" s="80"/>
      <c r="AC22" s="80"/>
    </row>
    <row r="23" spans="4:29" ht="12.75" customHeight="1" thickBot="1" x14ac:dyDescent="0.25">
      <c r="D23" s="121"/>
      <c r="E23" s="122"/>
      <c r="H23" s="121"/>
      <c r="I23" s="122"/>
      <c r="L23" s="120"/>
      <c r="M23" s="122"/>
      <c r="N23" s="140"/>
      <c r="O23" s="142"/>
      <c r="Q23" s="26"/>
      <c r="R23" s="26"/>
      <c r="S23" s="24"/>
      <c r="T23" s="123" t="str">
        <f>IF('2S EXPRESS'!D24&gt;=1,'2S EXPRESS'!A24,"")&amp;IF('2 ZT'!D24&gt;=1,'2 ZT'!A24,"")&amp;IF('GO TRANSPORT'!D24&gt;=1,'GO TRANSPORT'!A24,"")&amp;IF('HMZ - KAIS'!D24&gt;=1,'HMZ - KAIS'!A24,"")&amp;IF('IB TRANSPORT'!D24&gt;=1,'IB TRANSPORT'!A24,"")&amp;IF(JSL!D24&gt;=1,JSL!A24,"")&amp;IF(KIFAITOUT!D24&gt;=1,KIFAITOUT!A24,"")&amp;IF('LUXE DRIVE'!D24&gt;=1,'LUXE DRIVE'!A24,"")&amp;IF(SSN!D24&gt;=1,SSN!A24,"")&amp;IF('W3'!D24&gt;=1,'W3'!A24,"")&amp;IF('ATHIS MONS'!D24&gt;=1,'ATHIS MONS'!A24,"")&amp;IF(INTERNES!D24&gt;=1,INTERNES!A24,"")&amp;IF('L HAY LES ROSES'!D24&gt;=1,'L HAY LES ROSES'!A24,"")&amp;IF(RUNGIS!D24&gt;=1,RUNGIS!A24,"")&amp;IF(SCEAUX!D24&gt;=1,SCEAUX!A24,"")&amp;IF('INSTANCE C1'!D24&gt;=1,'INSTANCE C1'!A24,"")&amp;IF('INSTANCE C2'!D24&gt;=1,'INSTANCE C2'!A24,"")&amp;IF('EN PANNE'!D24&gt;=1,'EN PANNE'!A24,"")&amp;IF(TJM!D24&gt;=1,TJM!A24,"")</f>
        <v/>
      </c>
      <c r="U23" s="124"/>
      <c r="V23" s="123" t="str">
        <f>IF('2S EXPRESS'!J24&gt;=1,'2S EXPRESS'!G24,"")&amp;IF('2 ZT'!J24&gt;=1,'2 ZT'!G24,"")&amp;IF('GO TRANSPORT'!J24&gt;=1,'GO TRANSPORT'!G24,"")&amp;IF('HMZ - KAIS'!J24&gt;=1,'HMZ - KAIS'!G24,"")&amp;IF('IB TRANSPORT'!J24&gt;=1,'IB TRANSPORT'!G24,"")&amp;IF(JSL!J24&gt;=1,JSL!G24,"")&amp;IF(KIFAITOUT!J24&gt;=1,KIFAITOUT!G24,"")&amp;IF('LUXE DRIVE'!J24&gt;=1,'LUXE DRIVE'!G24,"")&amp;IF(SSN!J24&gt;=1,SSN!G24,"")&amp;IF('W3'!J24&gt;=1,'W3'!G24,"")&amp;IF('ATHIS MONS'!J24&gt;=1,'ATHIS MONS'!G24,"")&amp;IF(INTERNES!J24&gt;=1,INTERNES!G24,"")&amp;IF('L HAY LES ROSES'!J24&gt;=1,'L HAY LES ROSES'!G24,"")&amp;IF(RUNGIS!J24&gt;=1,RUNGIS!G24,"")&amp;IF(SCEAUX!J24&gt;=1,SCEAUX!G24,"")&amp;IF('INSTANCE C1'!J24&gt;=1,'INSTANCE C1'!G24,"")&amp;IF('INSTANCE C2'!J24&gt;=1,'INSTANCE C2'!G24,"")&amp;IF('EN PANNE'!J24&gt;=1,'EN PANNE'!G24,"")&amp;IF(TJM!J24&gt;=1,TJM!G24,"")</f>
        <v/>
      </c>
      <c r="W23" s="124"/>
      <c r="Y23" s="17">
        <v>20</v>
      </c>
      <c r="AB23" s="80"/>
      <c r="AC23" s="80"/>
    </row>
    <row r="24" spans="4:29" ht="12.75" customHeight="1" x14ac:dyDescent="0.2">
      <c r="D24" s="121"/>
      <c r="E24" s="122"/>
      <c r="H24" s="121"/>
      <c r="I24" s="122"/>
      <c r="L24" s="120"/>
      <c r="M24" s="122"/>
      <c r="N24" s="161">
        <f>N15-Q15</f>
        <v>0</v>
      </c>
      <c r="O24" s="162"/>
      <c r="T24" s="123" t="str">
        <f>IF('2S EXPRESS'!D25&gt;=1,'2S EXPRESS'!A25,"")&amp;IF('2 ZT'!D25&gt;=1,'2 ZT'!A25,"")&amp;IF('GO TRANSPORT'!D25&gt;=1,'GO TRANSPORT'!A25,"")&amp;IF('HMZ - KAIS'!D25&gt;=1,'HMZ - KAIS'!A25,"")&amp;IF('IB TRANSPORT'!D25&gt;=1,'IB TRANSPORT'!A25,"")&amp;IF(JSL!D25&gt;=1,JSL!A25,"")&amp;IF(KIFAITOUT!D25&gt;=1,KIFAITOUT!A25,"")&amp;IF('LUXE DRIVE'!D25&gt;=1,'LUXE DRIVE'!A25,"")&amp;IF(SSN!D25&gt;=1,SSN!A25,"")&amp;IF('W3'!D25&gt;=1,'W3'!A25,"")&amp;IF('ATHIS MONS'!D25&gt;=1,'ATHIS MONS'!A25,"")&amp;IF(INTERNES!D25&gt;=1,INTERNES!A25,"")&amp;IF('L HAY LES ROSES'!D25&gt;=1,'L HAY LES ROSES'!A25,"")&amp;IF(RUNGIS!D25&gt;=1,RUNGIS!A25,"")&amp;IF(SCEAUX!D25&gt;=1,SCEAUX!A25,"")&amp;IF('INSTANCE C1'!D25&gt;=1,'INSTANCE C1'!A25,"")&amp;IF('INSTANCE C2'!D25&gt;=1,'INSTANCE C2'!A25,"")&amp;IF('EN PANNE'!D25&gt;=1,'EN PANNE'!A25,"")&amp;IF(TJM!D25&gt;=1,TJM!A25,"")</f>
        <v/>
      </c>
      <c r="U24" s="124"/>
      <c r="V24" s="123" t="str">
        <f>IF('2S EXPRESS'!J25&gt;=1,'2S EXPRESS'!G25,"")&amp;IF('2 ZT'!J25&gt;=1,'2 ZT'!G25,"")&amp;IF('GO TRANSPORT'!J25&gt;=1,'GO TRANSPORT'!G25,"")&amp;IF('HMZ - KAIS'!J25&gt;=1,'HMZ - KAIS'!G25,"")&amp;IF('IB TRANSPORT'!J25&gt;=1,'IB TRANSPORT'!G25,"")&amp;IF(JSL!J25&gt;=1,JSL!G25,"")&amp;IF(KIFAITOUT!J25&gt;=1,KIFAITOUT!G25,"")&amp;IF('LUXE DRIVE'!J25&gt;=1,'LUXE DRIVE'!G25,"")&amp;IF(SSN!J25&gt;=1,SSN!G25,"")&amp;IF('W3'!J25&gt;=1,'W3'!G25,"")&amp;IF('ATHIS MONS'!J25&gt;=1,'ATHIS MONS'!G25,"")&amp;IF(INTERNES!J25&gt;=1,INTERNES!G25,"")&amp;IF('L HAY LES ROSES'!J25&gt;=1,'L HAY LES ROSES'!G25,"")&amp;IF(RUNGIS!J25&gt;=1,RUNGIS!G25,"")&amp;IF(SCEAUX!J25&gt;=1,SCEAUX!G25,"")&amp;IF('INSTANCE C1'!J25&gt;=1,'INSTANCE C1'!G25,"")&amp;IF('INSTANCE C2'!J25&gt;=1,'INSTANCE C2'!G25,"")&amp;IF('EN PANNE'!J25&gt;=1,'EN PANNE'!G25,"")&amp;IF(TJM!J25&gt;=1,TJM!G25,"")</f>
        <v/>
      </c>
      <c r="W24" s="124"/>
      <c r="Y24" s="17">
        <v>21</v>
      </c>
      <c r="AB24" s="80"/>
      <c r="AC24" s="80"/>
    </row>
    <row r="25" spans="4:29" ht="12.75" customHeight="1" x14ac:dyDescent="0.2">
      <c r="D25" s="121"/>
      <c r="E25" s="122"/>
      <c r="H25" s="121"/>
      <c r="I25" s="122"/>
      <c r="L25" s="120"/>
      <c r="M25" s="122"/>
      <c r="N25" s="163"/>
      <c r="O25" s="164"/>
      <c r="T25" s="123" t="str">
        <f>IF('2S EXPRESS'!D26&gt;=1,'2S EXPRESS'!A26,"")&amp;IF('2 ZT'!D26&gt;=1,'2 ZT'!A26,"")&amp;IF('GO TRANSPORT'!D26&gt;=1,'GO TRANSPORT'!A26,"")&amp;IF('HMZ - KAIS'!D26&gt;=1,'HMZ - KAIS'!A26,"")&amp;IF('IB TRANSPORT'!D26&gt;=1,'IB TRANSPORT'!A26,"")&amp;IF(JSL!D26&gt;=1,JSL!A26,"")&amp;IF(KIFAITOUT!D26&gt;=1,KIFAITOUT!A26,"")&amp;IF('LUXE DRIVE'!D26&gt;=1,'LUXE DRIVE'!A26,"")&amp;IF(SSN!D26&gt;=1,SSN!A26,"")&amp;IF('W3'!D26&gt;=1,'W3'!A26,"")&amp;IF('ATHIS MONS'!D26&gt;=1,'ATHIS MONS'!A26,"")&amp;IF(INTERNES!D26&gt;=1,INTERNES!A26,"")&amp;IF('L HAY LES ROSES'!D26&gt;=1,'L HAY LES ROSES'!A26,"")&amp;IF(RUNGIS!D26&gt;=1,RUNGIS!A26,"")&amp;IF(SCEAUX!D26&gt;=1,SCEAUX!A26,"")&amp;IF('INSTANCE C1'!D26&gt;=1,'INSTANCE C1'!A26,"")&amp;IF('INSTANCE C2'!D26&gt;=1,'INSTANCE C2'!A26,"")&amp;IF('EN PANNE'!D26&gt;=1,'EN PANNE'!A26,"")&amp;IF(TJM!D26&gt;=1,TJM!A26,"")</f>
        <v/>
      </c>
      <c r="U25" s="124"/>
      <c r="V25" s="123" t="str">
        <f>IF('2S EXPRESS'!J26&gt;=1,'2S EXPRESS'!G26,"")&amp;IF('2 ZT'!J26&gt;=1,'2 ZT'!G26,"")&amp;IF('GO TRANSPORT'!J26&gt;=1,'GO TRANSPORT'!G26,"")&amp;IF('HMZ - KAIS'!J26&gt;=1,'HMZ - KAIS'!G26,"")&amp;IF('IB TRANSPORT'!J26&gt;=1,'IB TRANSPORT'!G26,"")&amp;IF(JSL!J26&gt;=1,JSL!G26,"")&amp;IF(KIFAITOUT!J26&gt;=1,KIFAITOUT!G26,"")&amp;IF('LUXE DRIVE'!J26&gt;=1,'LUXE DRIVE'!G26,"")&amp;IF(SSN!J26&gt;=1,SSN!G26,"")&amp;IF('W3'!J26&gt;=1,'W3'!G26,"")&amp;IF('ATHIS MONS'!J26&gt;=1,'ATHIS MONS'!G26,"")&amp;IF(INTERNES!J26&gt;=1,INTERNES!G26,"")&amp;IF('L HAY LES ROSES'!J26&gt;=1,'L HAY LES ROSES'!G26,"")&amp;IF(RUNGIS!J26&gt;=1,RUNGIS!G26,"")&amp;IF(SCEAUX!J26&gt;=1,SCEAUX!G26,"")&amp;IF('INSTANCE C1'!J26&gt;=1,'INSTANCE C1'!G26,"")&amp;IF('INSTANCE C2'!J26&gt;=1,'INSTANCE C2'!G26,"")&amp;IF('EN PANNE'!J26&gt;=1,'EN PANNE'!G26,"")&amp;IF(TJM!J26&gt;=1,TJM!G26,"")</f>
        <v/>
      </c>
      <c r="W25" s="124"/>
      <c r="Y25" s="17">
        <v>22</v>
      </c>
      <c r="AB25" s="80"/>
      <c r="AC25" s="80"/>
    </row>
    <row r="26" spans="4:29" ht="12.75" customHeight="1" x14ac:dyDescent="0.2">
      <c r="D26" s="121"/>
      <c r="E26" s="122"/>
      <c r="H26" s="121"/>
      <c r="I26" s="122"/>
      <c r="L26" s="120"/>
      <c r="M26" s="122"/>
      <c r="N26" s="163"/>
      <c r="O26" s="164"/>
      <c r="T26" s="123" t="str">
        <f>IF('2S EXPRESS'!D27&gt;=1,'2S EXPRESS'!A27,"")&amp;IF('2 ZT'!D27&gt;=1,'2 ZT'!A27,"")&amp;IF('GO TRANSPORT'!D27&gt;=1,'GO TRANSPORT'!A27,"")&amp;IF('HMZ - KAIS'!D27&gt;=1,'HMZ - KAIS'!A27,"")&amp;IF('IB TRANSPORT'!D27&gt;=1,'IB TRANSPORT'!A27,"")&amp;IF(JSL!D27&gt;=1,JSL!A27,"")&amp;IF(KIFAITOUT!D27&gt;=1,KIFAITOUT!A27,"")&amp;IF('LUXE DRIVE'!D27&gt;=1,'LUXE DRIVE'!A27,"")&amp;IF(SSN!D27&gt;=1,SSN!A27,"")&amp;IF('W3'!D27&gt;=1,'W3'!A27,"")&amp;IF('ATHIS MONS'!D27&gt;=1,'ATHIS MONS'!A27,"")&amp;IF(INTERNES!D27&gt;=1,INTERNES!A27,"")&amp;IF('L HAY LES ROSES'!D27&gt;=1,'L HAY LES ROSES'!A27,"")&amp;IF(RUNGIS!D27&gt;=1,RUNGIS!A27,"")&amp;IF(SCEAUX!D27&gt;=1,SCEAUX!A27,"")&amp;IF('INSTANCE C1'!D27&gt;=1,'INSTANCE C1'!A27,"")&amp;IF('INSTANCE C2'!D27&gt;=1,'INSTANCE C2'!A27,"")&amp;IF('EN PANNE'!D27&gt;=1,'EN PANNE'!A27,"")&amp;IF(TJM!D27&gt;=1,TJM!A27,"")</f>
        <v/>
      </c>
      <c r="U26" s="124"/>
      <c r="V26" s="123" t="str">
        <f>IF('2S EXPRESS'!J27&gt;=1,'2S EXPRESS'!G27,"")&amp;IF('2 ZT'!J27&gt;=1,'2 ZT'!G27,"")&amp;IF('GO TRANSPORT'!J27&gt;=1,'GO TRANSPORT'!G27,"")&amp;IF('HMZ - KAIS'!J27&gt;=1,'HMZ - KAIS'!G27,"")&amp;IF('IB TRANSPORT'!J27&gt;=1,'IB TRANSPORT'!G27,"")&amp;IF(JSL!J27&gt;=1,JSL!G27,"")&amp;IF(KIFAITOUT!J27&gt;=1,KIFAITOUT!G27,"")&amp;IF('LUXE DRIVE'!J27&gt;=1,'LUXE DRIVE'!G27,"")&amp;IF(SSN!J27&gt;=1,SSN!G27,"")&amp;IF('W3'!J27&gt;=1,'W3'!G27,"")&amp;IF('ATHIS MONS'!J27&gt;=1,'ATHIS MONS'!G27,"")&amp;IF(INTERNES!J27&gt;=1,INTERNES!G27,"")&amp;IF('L HAY LES ROSES'!J27&gt;=1,'L HAY LES ROSES'!G27,"")&amp;IF(RUNGIS!J27&gt;=1,RUNGIS!G27,"")&amp;IF(SCEAUX!J27&gt;=1,SCEAUX!G27,"")&amp;IF('INSTANCE C1'!J27&gt;=1,'INSTANCE C1'!G27,"")&amp;IF('INSTANCE C2'!J27&gt;=1,'INSTANCE C2'!G27,"")&amp;IF('EN PANNE'!J27&gt;=1,'EN PANNE'!G27,"")&amp;IF(TJM!J27&gt;=1,TJM!G27,"")</f>
        <v/>
      </c>
      <c r="W26" s="124"/>
      <c r="Y26" s="17">
        <v>23</v>
      </c>
      <c r="AB26" s="80"/>
      <c r="AC26" s="80"/>
    </row>
    <row r="27" spans="4:29" ht="12.75" customHeight="1" thickBot="1" x14ac:dyDescent="0.25">
      <c r="N27" s="165"/>
      <c r="O27" s="166"/>
      <c r="T27" s="123" t="str">
        <f>IF('2S EXPRESS'!D28&gt;=1,'2S EXPRESS'!A28,"")&amp;IF('2 ZT'!D28&gt;=1,'2 ZT'!A28,"")&amp;IF('GO TRANSPORT'!D28&gt;=1,'GO TRANSPORT'!A28,"")&amp;IF('HMZ - KAIS'!D28&gt;=1,'HMZ - KAIS'!A28,"")&amp;IF('IB TRANSPORT'!D28&gt;=1,'IB TRANSPORT'!A28,"")&amp;IF(JSL!D28&gt;=1,JSL!A28,"")&amp;IF(KIFAITOUT!D28&gt;=1,KIFAITOUT!A28,"")&amp;IF('LUXE DRIVE'!D28&gt;=1,'LUXE DRIVE'!A28,"")&amp;IF(SSN!D28&gt;=1,SSN!A28,"")&amp;IF('W3'!D28&gt;=1,'W3'!A28,"")&amp;IF('ATHIS MONS'!D28&gt;=1,'ATHIS MONS'!A28,"")&amp;IF(INTERNES!D28&gt;=1,INTERNES!A28,"")&amp;IF('L HAY LES ROSES'!D28&gt;=1,'L HAY LES ROSES'!A28,"")&amp;IF(RUNGIS!D28&gt;=1,RUNGIS!A28,"")&amp;IF(SCEAUX!D28&gt;=1,SCEAUX!A28,"")&amp;IF('INSTANCE C1'!D28&gt;=1,'INSTANCE C1'!A28,"")&amp;IF('INSTANCE C2'!D28&gt;=1,'INSTANCE C2'!A28,"")&amp;IF('EN PANNE'!D28&gt;=1,'EN PANNE'!A28,"")&amp;IF(TJM!D28&gt;=1,TJM!A28,"")</f>
        <v/>
      </c>
      <c r="U27" s="124"/>
      <c r="V27" s="123" t="str">
        <f>IF('2S EXPRESS'!J28&gt;=1,'2S EXPRESS'!G28,"")&amp;IF('2 ZT'!J28&gt;=1,'2 ZT'!G28,"")&amp;IF('GO TRANSPORT'!J28&gt;=1,'GO TRANSPORT'!G28,"")&amp;IF('HMZ - KAIS'!J28&gt;=1,'HMZ - KAIS'!G28,"")&amp;IF('IB TRANSPORT'!J28&gt;=1,'IB TRANSPORT'!G28,"")&amp;IF(JSL!J28&gt;=1,JSL!G28,"")&amp;IF(KIFAITOUT!J28&gt;=1,KIFAITOUT!G28,"")&amp;IF('LUXE DRIVE'!J28&gt;=1,'LUXE DRIVE'!G28,"")&amp;IF(SSN!J28&gt;=1,SSN!G28,"")&amp;IF('W3'!J28&gt;=1,'W3'!G28,"")&amp;IF('ATHIS MONS'!J28&gt;=1,'ATHIS MONS'!G28,"")&amp;IF(INTERNES!J28&gt;=1,INTERNES!G28,"")&amp;IF('L HAY LES ROSES'!J28&gt;=1,'L HAY LES ROSES'!G28,"")&amp;IF(RUNGIS!J28&gt;=1,RUNGIS!G28,"")&amp;IF(SCEAUX!J28&gt;=1,SCEAUX!G28,"")&amp;IF('INSTANCE C1'!J28&gt;=1,'INSTANCE C1'!G28,"")&amp;IF('INSTANCE C2'!J28&gt;=1,'INSTANCE C2'!G28,"")&amp;IF('EN PANNE'!J28&gt;=1,'EN PANNE'!G28,"")&amp;IF(TJM!J28&gt;=1,TJM!G28,"")</f>
        <v/>
      </c>
      <c r="W27" s="124"/>
      <c r="Y27" s="17">
        <v>24</v>
      </c>
      <c r="AB27" s="80"/>
      <c r="AC27" s="80"/>
    </row>
    <row r="28" spans="4:29" ht="12.75" customHeight="1" x14ac:dyDescent="0.2">
      <c r="D28" s="120" t="str">
        <f>IF('IB TRANSPORT'!$A$53=0,"OK",SUM('IB TRANSPORT'!$A$53-'IB TRANSPORT'!$G$53))&amp;"/5"</f>
        <v>OK/5</v>
      </c>
      <c r="E28" s="122" t="str">
        <f>IF('IB TRANSPORT'!$D$53&gt;=1,"!","")&amp;IF('IB TRANSPORT'!$J$53&gt;=1,"!","")&amp;IF('IB TRANSPORT'!$M$12&gt;'IB TRANSPORT'!$M$9,"?","")</f>
        <v/>
      </c>
      <c r="H28" s="120" t="str">
        <f>IF('ATHIS MONS'!$A$53=0,"OK",SUM('ATHIS MONS'!$A$53-'ATHIS MONS'!$G$53))&amp;"/8"</f>
        <v>OK/8</v>
      </c>
      <c r="I28" s="122" t="str">
        <f>IF('ATHIS MONS'!$D$53&gt;=1,"!","")&amp;IF('ATHIS MONS'!$J$53&gt;=1,"!","")&amp;IF('ATHIS MONS'!$M$12&gt;'ATHIS MONS'!$M$9,"?","")</f>
        <v/>
      </c>
      <c r="L28" s="120" t="str">
        <f>IF('INSTANCE C2'!$A$53=0,"OK",SUM('INSTANCE C2'!$A$53-'INSTANCE C2'!$G$53))</f>
        <v>OK</v>
      </c>
      <c r="M28" s="122" t="str">
        <f>IF('INSTANCE C2'!$D$53&gt;=1,"!","")&amp;IF('INSTANCE C2'!$J$53&gt;=1,"!","")&amp;IF('INSTANCE C2'!$M$12&gt;'INSTANCE C2'!$M$9,"?","")</f>
        <v/>
      </c>
      <c r="T28" s="123" t="str">
        <f>IF('2S EXPRESS'!D29&gt;=1,'2S EXPRESS'!A29,"")&amp;IF('2 ZT'!D29&gt;=1,'2 ZT'!A29,"")&amp;IF('GO TRANSPORT'!D29&gt;=1,'GO TRANSPORT'!A29,"")&amp;IF('HMZ - KAIS'!D29&gt;=1,'HMZ - KAIS'!A29,"")&amp;IF('IB TRANSPORT'!D29&gt;=1,'IB TRANSPORT'!A29,"")&amp;IF(JSL!D29&gt;=1,JSL!A29,"")&amp;IF(KIFAITOUT!D29&gt;=1,KIFAITOUT!A29,"")&amp;IF('LUXE DRIVE'!D29&gt;=1,'LUXE DRIVE'!A29,"")&amp;IF(SSN!D29&gt;=1,SSN!A29,"")&amp;IF('W3'!D29&gt;=1,'W3'!A29,"")&amp;IF('ATHIS MONS'!D29&gt;=1,'ATHIS MONS'!A29,"")&amp;IF(INTERNES!D29&gt;=1,INTERNES!A29,"")&amp;IF('L HAY LES ROSES'!D29&gt;=1,'L HAY LES ROSES'!A29,"")&amp;IF(RUNGIS!D29&gt;=1,RUNGIS!A29,"")&amp;IF(SCEAUX!D29&gt;=1,SCEAUX!A29,"")&amp;IF('INSTANCE C1'!D29&gt;=1,'INSTANCE C1'!A29,"")&amp;IF('INSTANCE C2'!D29&gt;=1,'INSTANCE C2'!A29,"")&amp;IF('EN PANNE'!D29&gt;=1,'EN PANNE'!A29,"")&amp;IF(TJM!D29&gt;=1,TJM!A29,"")</f>
        <v/>
      </c>
      <c r="U28" s="124"/>
      <c r="V28" s="123" t="str">
        <f>IF('2S EXPRESS'!J29&gt;=1,'2S EXPRESS'!G29,"")&amp;IF('2 ZT'!J29&gt;=1,'2 ZT'!G29,"")&amp;IF('GO TRANSPORT'!J29&gt;=1,'GO TRANSPORT'!G29,"")&amp;IF('HMZ - KAIS'!J29&gt;=1,'HMZ - KAIS'!G29,"")&amp;IF('IB TRANSPORT'!J29&gt;=1,'IB TRANSPORT'!G29,"")&amp;IF(JSL!J29&gt;=1,JSL!G29,"")&amp;IF(KIFAITOUT!J29&gt;=1,KIFAITOUT!G29,"")&amp;IF('LUXE DRIVE'!J29&gt;=1,'LUXE DRIVE'!G29,"")&amp;IF(SSN!J29&gt;=1,SSN!G29,"")&amp;IF('W3'!J29&gt;=1,'W3'!G29,"")&amp;IF('ATHIS MONS'!J29&gt;=1,'ATHIS MONS'!G29,"")&amp;IF(INTERNES!J29&gt;=1,INTERNES!G29,"")&amp;IF('L HAY LES ROSES'!J29&gt;=1,'L HAY LES ROSES'!G29,"")&amp;IF(RUNGIS!J29&gt;=1,RUNGIS!G29,"")&amp;IF(SCEAUX!J29&gt;=1,SCEAUX!G29,"")&amp;IF('INSTANCE C1'!J29&gt;=1,'INSTANCE C1'!G29,"")&amp;IF('INSTANCE C2'!J29&gt;=1,'INSTANCE C2'!G29,"")&amp;IF('EN PANNE'!J29&gt;=1,'EN PANNE'!G29,"")&amp;IF(TJM!J29&gt;=1,TJM!G29,"")</f>
        <v/>
      </c>
      <c r="W28" s="124"/>
      <c r="Y28" s="17">
        <v>25</v>
      </c>
      <c r="AB28" s="80"/>
      <c r="AC28" s="80"/>
    </row>
    <row r="29" spans="4:29" ht="12.75" customHeight="1" thickBot="1" x14ac:dyDescent="0.25">
      <c r="D29" s="121"/>
      <c r="E29" s="122"/>
      <c r="H29" s="121"/>
      <c r="I29" s="122"/>
      <c r="L29" s="121"/>
      <c r="M29" s="122"/>
      <c r="T29" s="123" t="str">
        <f>IF('2S EXPRESS'!D30&gt;=1,'2S EXPRESS'!A30,"")&amp;IF('2 ZT'!D30&gt;=1,'2 ZT'!A30,"")&amp;IF('GO TRANSPORT'!D30&gt;=1,'GO TRANSPORT'!A30,"")&amp;IF('HMZ - KAIS'!D30&gt;=1,'HMZ - KAIS'!A30,"")&amp;IF('IB TRANSPORT'!D30&gt;=1,'IB TRANSPORT'!A30,"")&amp;IF(JSL!D30&gt;=1,JSL!A30,"")&amp;IF(KIFAITOUT!D30&gt;=1,KIFAITOUT!A30,"")&amp;IF('LUXE DRIVE'!D30&gt;=1,'LUXE DRIVE'!A30,"")&amp;IF(SSN!D30&gt;=1,SSN!A30,"")&amp;IF('W3'!D30&gt;=1,'W3'!A30,"")&amp;IF('ATHIS MONS'!D30&gt;=1,'ATHIS MONS'!A30,"")&amp;IF(INTERNES!D30&gt;=1,INTERNES!A30,"")&amp;IF('L HAY LES ROSES'!D30&gt;=1,'L HAY LES ROSES'!A30,"")&amp;IF(RUNGIS!D30&gt;=1,RUNGIS!A30,"")&amp;IF(SCEAUX!D30&gt;=1,SCEAUX!A30,"")&amp;IF('INSTANCE C1'!D30&gt;=1,'INSTANCE C1'!A30,"")&amp;IF('INSTANCE C2'!D30&gt;=1,'INSTANCE C2'!A30,"")&amp;IF('EN PANNE'!D30&gt;=1,'EN PANNE'!A30,"")&amp;IF(TJM!D30&gt;=1,TJM!A30,"")</f>
        <v/>
      </c>
      <c r="U29" s="124"/>
      <c r="V29" s="123" t="str">
        <f>IF('2S EXPRESS'!J30&gt;=1,'2S EXPRESS'!G30,"")&amp;IF('2 ZT'!J30&gt;=1,'2 ZT'!G30,"")&amp;IF('GO TRANSPORT'!J30&gt;=1,'GO TRANSPORT'!G30,"")&amp;IF('HMZ - KAIS'!J30&gt;=1,'HMZ - KAIS'!G30,"")&amp;IF('IB TRANSPORT'!J30&gt;=1,'IB TRANSPORT'!G30,"")&amp;IF(JSL!J30&gt;=1,JSL!G30,"")&amp;IF(KIFAITOUT!J30&gt;=1,KIFAITOUT!G30,"")&amp;IF('LUXE DRIVE'!J30&gt;=1,'LUXE DRIVE'!G30,"")&amp;IF(SSN!J30&gt;=1,SSN!G30,"")&amp;IF('W3'!J30&gt;=1,'W3'!G30,"")&amp;IF('ATHIS MONS'!J30&gt;=1,'ATHIS MONS'!G30,"")&amp;IF(INTERNES!J30&gt;=1,INTERNES!G30,"")&amp;IF('L HAY LES ROSES'!J30&gt;=1,'L HAY LES ROSES'!G30,"")&amp;IF(RUNGIS!J30&gt;=1,RUNGIS!G30,"")&amp;IF(SCEAUX!J30&gt;=1,SCEAUX!G30,"")&amp;IF('INSTANCE C1'!J30&gt;=1,'INSTANCE C1'!G30,"")&amp;IF('INSTANCE C2'!J30&gt;=1,'INSTANCE C2'!G30,"")&amp;IF('EN PANNE'!J30&gt;=1,'EN PANNE'!G30,"")&amp;IF(TJM!J30&gt;=1,TJM!G30,"")</f>
        <v/>
      </c>
      <c r="W29" s="124"/>
      <c r="Y29" s="17">
        <v>26</v>
      </c>
      <c r="AB29" s="80"/>
      <c r="AC29" s="80"/>
    </row>
    <row r="30" spans="4:29" ht="12.75" customHeight="1" x14ac:dyDescent="0.2">
      <c r="D30" s="121"/>
      <c r="E30" s="122"/>
      <c r="H30" s="121"/>
      <c r="I30" s="122"/>
      <c r="L30" s="121"/>
      <c r="M30" s="122"/>
      <c r="N30" s="134" t="s">
        <v>14</v>
      </c>
      <c r="O30" s="135"/>
      <c r="P30" s="135"/>
      <c r="Q30" s="135"/>
      <c r="R30" s="136"/>
      <c r="T30" s="123" t="str">
        <f>IF('2S EXPRESS'!D31&gt;=1,'2S EXPRESS'!A31,"")&amp;IF('2 ZT'!D31&gt;=1,'2 ZT'!A31,"")&amp;IF('GO TRANSPORT'!D31&gt;=1,'GO TRANSPORT'!A31,"")&amp;IF('HMZ - KAIS'!D31&gt;=1,'HMZ - KAIS'!A31,"")&amp;IF('IB TRANSPORT'!D31&gt;=1,'IB TRANSPORT'!A31,"")&amp;IF(JSL!D31&gt;=1,JSL!A31,"")&amp;IF(KIFAITOUT!D31&gt;=1,KIFAITOUT!A31,"")&amp;IF('LUXE DRIVE'!D31&gt;=1,'LUXE DRIVE'!A31,"")&amp;IF(SSN!D31&gt;=1,SSN!A31,"")&amp;IF('W3'!D31&gt;=1,'W3'!A31,"")&amp;IF('ATHIS MONS'!D31&gt;=1,'ATHIS MONS'!A31,"")&amp;IF(INTERNES!D31&gt;=1,INTERNES!A31,"")&amp;IF('L HAY LES ROSES'!D31&gt;=1,'L HAY LES ROSES'!A31,"")&amp;IF(RUNGIS!D31&gt;=1,RUNGIS!A31,"")&amp;IF(SCEAUX!D31&gt;=1,SCEAUX!A31,"")&amp;IF('INSTANCE C1'!D31&gt;=1,'INSTANCE C1'!A31,"")&amp;IF('INSTANCE C2'!D31&gt;=1,'INSTANCE C2'!A31,"")&amp;IF('EN PANNE'!D31&gt;=1,'EN PANNE'!A31,"")&amp;IF(TJM!D31&gt;=1,TJM!A31,"")</f>
        <v/>
      </c>
      <c r="U30" s="124"/>
      <c r="V30" s="123" t="str">
        <f>IF('2S EXPRESS'!J31&gt;=1,'2S EXPRESS'!G31,"")&amp;IF('2 ZT'!J31&gt;=1,'2 ZT'!G31,"")&amp;IF('GO TRANSPORT'!J31&gt;=1,'GO TRANSPORT'!G31,"")&amp;IF('HMZ - KAIS'!J31&gt;=1,'HMZ - KAIS'!G31,"")&amp;IF('IB TRANSPORT'!J31&gt;=1,'IB TRANSPORT'!G31,"")&amp;IF(JSL!J31&gt;=1,JSL!G31,"")&amp;IF(KIFAITOUT!J31&gt;=1,KIFAITOUT!G31,"")&amp;IF('LUXE DRIVE'!J31&gt;=1,'LUXE DRIVE'!G31,"")&amp;IF(SSN!J31&gt;=1,SSN!G31,"")&amp;IF('W3'!J31&gt;=1,'W3'!G31,"")&amp;IF('ATHIS MONS'!J31&gt;=1,'ATHIS MONS'!G31,"")&amp;IF(INTERNES!J31&gt;=1,INTERNES!G31,"")&amp;IF('L HAY LES ROSES'!J31&gt;=1,'L HAY LES ROSES'!G31,"")&amp;IF(RUNGIS!J31&gt;=1,RUNGIS!G31,"")&amp;IF(SCEAUX!J31&gt;=1,SCEAUX!G31,"")&amp;IF('INSTANCE C1'!J31&gt;=1,'INSTANCE C1'!G31,"")&amp;IF('INSTANCE C2'!J31&gt;=1,'INSTANCE C2'!G31,"")&amp;IF('EN PANNE'!J31&gt;=1,'EN PANNE'!G31,"")&amp;IF(TJM!J31&gt;=1,TJM!G31,"")</f>
        <v/>
      </c>
      <c r="W30" s="124"/>
      <c r="Y30" s="17">
        <v>27</v>
      </c>
      <c r="AB30" s="80"/>
      <c r="AC30" s="80"/>
    </row>
    <row r="31" spans="4:29" ht="12.75" customHeight="1" x14ac:dyDescent="0.2">
      <c r="D31" s="121"/>
      <c r="E31" s="122"/>
      <c r="H31" s="121"/>
      <c r="I31" s="122"/>
      <c r="L31" s="121"/>
      <c r="M31" s="122"/>
      <c r="N31" s="137"/>
      <c r="O31" s="138"/>
      <c r="P31" s="138"/>
      <c r="Q31" s="138"/>
      <c r="R31" s="139"/>
      <c r="T31" s="123" t="str">
        <f>IF('2S EXPRESS'!D32&gt;=1,'2S EXPRESS'!A32,"")&amp;IF('2 ZT'!D32&gt;=1,'2 ZT'!A32,"")&amp;IF('GO TRANSPORT'!D32&gt;=1,'GO TRANSPORT'!A32,"")&amp;IF('HMZ - KAIS'!D32&gt;=1,'HMZ - KAIS'!A32,"")&amp;IF('IB TRANSPORT'!D32&gt;=1,'IB TRANSPORT'!A32,"")&amp;IF(JSL!D32&gt;=1,JSL!A32,"")&amp;IF(KIFAITOUT!D32&gt;=1,KIFAITOUT!A32,"")&amp;IF('LUXE DRIVE'!D32&gt;=1,'LUXE DRIVE'!A32,"")&amp;IF(SSN!D32&gt;=1,SSN!A32,"")&amp;IF('W3'!D32&gt;=1,'W3'!A32,"")&amp;IF('ATHIS MONS'!D32&gt;=1,'ATHIS MONS'!A32,"")&amp;IF(INTERNES!D32&gt;=1,INTERNES!A32,"")&amp;IF('L HAY LES ROSES'!D32&gt;=1,'L HAY LES ROSES'!A32,"")&amp;IF(RUNGIS!D32&gt;=1,RUNGIS!A32,"")&amp;IF(SCEAUX!D32&gt;=1,SCEAUX!A32,"")&amp;IF('INSTANCE C1'!D32&gt;=1,'INSTANCE C1'!A32,"")&amp;IF('INSTANCE C2'!D32&gt;=1,'INSTANCE C2'!A32,"")&amp;IF('EN PANNE'!D32&gt;=1,'EN PANNE'!A32,"")&amp;IF(TJM!D32&gt;=1,TJM!A32,"")</f>
        <v/>
      </c>
      <c r="U31" s="124"/>
      <c r="V31" s="123" t="str">
        <f>IF('2S EXPRESS'!J32&gt;=1,'2S EXPRESS'!G32,"")&amp;IF('2 ZT'!J32&gt;=1,'2 ZT'!G32,"")&amp;IF('GO TRANSPORT'!J32&gt;=1,'GO TRANSPORT'!G32,"")&amp;IF('HMZ - KAIS'!J32&gt;=1,'HMZ - KAIS'!G32,"")&amp;IF('IB TRANSPORT'!J32&gt;=1,'IB TRANSPORT'!G32,"")&amp;IF(JSL!J32&gt;=1,JSL!G32,"")&amp;IF(KIFAITOUT!J32&gt;=1,KIFAITOUT!G32,"")&amp;IF('LUXE DRIVE'!J32&gt;=1,'LUXE DRIVE'!G32,"")&amp;IF(SSN!J32&gt;=1,SSN!G32,"")&amp;IF('W3'!J32&gt;=1,'W3'!G32,"")&amp;IF('ATHIS MONS'!J32&gt;=1,'ATHIS MONS'!G32,"")&amp;IF(INTERNES!J32&gt;=1,INTERNES!G32,"")&amp;IF('L HAY LES ROSES'!J32&gt;=1,'L HAY LES ROSES'!G32,"")&amp;IF(RUNGIS!J32&gt;=1,RUNGIS!G32,"")&amp;IF(SCEAUX!J32&gt;=1,SCEAUX!G32,"")&amp;IF('INSTANCE C1'!J32&gt;=1,'INSTANCE C1'!G32,"")&amp;IF('INSTANCE C2'!J32&gt;=1,'INSTANCE C2'!G32,"")&amp;IF('EN PANNE'!J32&gt;=1,'EN PANNE'!G32,"")&amp;IF(TJM!J32&gt;=1,TJM!G32,"")</f>
        <v/>
      </c>
      <c r="W31" s="124"/>
      <c r="Y31" s="17">
        <v>28</v>
      </c>
      <c r="AB31" s="80"/>
      <c r="AC31" s="80"/>
    </row>
    <row r="32" spans="4:29" ht="12.75" customHeight="1" thickBot="1" x14ac:dyDescent="0.25">
      <c r="D32" s="121"/>
      <c r="E32" s="122"/>
      <c r="H32" s="121"/>
      <c r="I32" s="122"/>
      <c r="L32" s="121"/>
      <c r="M32" s="122"/>
      <c r="N32" s="140"/>
      <c r="O32" s="141"/>
      <c r="P32" s="141"/>
      <c r="Q32" s="141"/>
      <c r="R32" s="142"/>
      <c r="T32" s="123" t="str">
        <f>IF('2S EXPRESS'!D33&gt;=1,'2S EXPRESS'!A33,"")&amp;IF('2 ZT'!D33&gt;=1,'2 ZT'!A33,"")&amp;IF('GO TRANSPORT'!D33&gt;=1,'GO TRANSPORT'!A33,"")&amp;IF('HMZ - KAIS'!D33&gt;=1,'HMZ - KAIS'!A33,"")&amp;IF('IB TRANSPORT'!D33&gt;=1,'IB TRANSPORT'!A33,"")&amp;IF(JSL!D33&gt;=1,JSL!A33,"")&amp;IF(KIFAITOUT!D33&gt;=1,KIFAITOUT!A33,"")&amp;IF('LUXE DRIVE'!D33&gt;=1,'LUXE DRIVE'!A33,"")&amp;IF(SSN!D33&gt;=1,SSN!A33,"")&amp;IF('W3'!D33&gt;=1,'W3'!A33,"")&amp;IF('ATHIS MONS'!D33&gt;=1,'ATHIS MONS'!A33,"")&amp;IF(INTERNES!D33&gt;=1,INTERNES!A33,"")&amp;IF('L HAY LES ROSES'!D33&gt;=1,'L HAY LES ROSES'!A33,"")&amp;IF(RUNGIS!D33&gt;=1,RUNGIS!A33,"")&amp;IF(SCEAUX!D33&gt;=1,SCEAUX!A33,"")&amp;IF('INSTANCE C1'!D33&gt;=1,'INSTANCE C1'!A33,"")&amp;IF('INSTANCE C2'!D33&gt;=1,'INSTANCE C2'!A33,"")&amp;IF('EN PANNE'!D33&gt;=1,'EN PANNE'!A33,"")&amp;IF(TJM!D33&gt;=1,TJM!A33,"")</f>
        <v/>
      </c>
      <c r="U32" s="124"/>
      <c r="V32" s="123" t="str">
        <f>IF('2S EXPRESS'!J33&gt;=1,'2S EXPRESS'!G33,"")&amp;IF('2 ZT'!J33&gt;=1,'2 ZT'!G33,"")&amp;IF('GO TRANSPORT'!J33&gt;=1,'GO TRANSPORT'!G33,"")&amp;IF('HMZ - KAIS'!J33&gt;=1,'HMZ - KAIS'!G33,"")&amp;IF('IB TRANSPORT'!J33&gt;=1,'IB TRANSPORT'!G33,"")&amp;IF(JSL!J33&gt;=1,JSL!G33,"")&amp;IF(KIFAITOUT!J33&gt;=1,KIFAITOUT!G33,"")&amp;IF('LUXE DRIVE'!J33&gt;=1,'LUXE DRIVE'!G33,"")&amp;IF(SSN!J33&gt;=1,SSN!G33,"")&amp;IF('W3'!J33&gt;=1,'W3'!G33,"")&amp;IF('ATHIS MONS'!J33&gt;=1,'ATHIS MONS'!G33,"")&amp;IF(INTERNES!J33&gt;=1,INTERNES!G33,"")&amp;IF('L HAY LES ROSES'!J33&gt;=1,'L HAY LES ROSES'!G33,"")&amp;IF(RUNGIS!J33&gt;=1,RUNGIS!G33,"")&amp;IF(SCEAUX!J33&gt;=1,SCEAUX!G33,"")&amp;IF('INSTANCE C1'!J33&gt;=1,'INSTANCE C1'!G33,"")&amp;IF('INSTANCE C2'!J33&gt;=1,'INSTANCE C2'!G33,"")&amp;IF('EN PANNE'!J33&gt;=1,'EN PANNE'!G33,"")&amp;IF(TJM!J33&gt;=1,TJM!G33,"")</f>
        <v/>
      </c>
      <c r="W32" s="124"/>
      <c r="Y32" s="17">
        <v>29</v>
      </c>
      <c r="AB32" s="80"/>
      <c r="AC32" s="80"/>
    </row>
    <row r="33" spans="4:29" ht="12.75" customHeight="1" x14ac:dyDescent="0.2">
      <c r="N33" s="134" t="s">
        <v>15</v>
      </c>
      <c r="O33" s="136"/>
      <c r="P33" s="152"/>
      <c r="Q33" s="153"/>
      <c r="R33" s="154"/>
      <c r="T33" s="123" t="str">
        <f>IF('2S EXPRESS'!D34&gt;=1,'2S EXPRESS'!A34,"")&amp;IF('2 ZT'!D34&gt;=1,'2 ZT'!A34,"")&amp;IF('GO TRANSPORT'!D34&gt;=1,'GO TRANSPORT'!A34,"")&amp;IF('HMZ - KAIS'!D34&gt;=1,'HMZ - KAIS'!A34,"")&amp;IF('IB TRANSPORT'!D34&gt;=1,'IB TRANSPORT'!A34,"")&amp;IF(JSL!D34&gt;=1,JSL!A34,"")&amp;IF(KIFAITOUT!D34&gt;=1,KIFAITOUT!A34,"")&amp;IF('LUXE DRIVE'!D34&gt;=1,'LUXE DRIVE'!A34,"")&amp;IF(SSN!D34&gt;=1,SSN!A34,"")&amp;IF('W3'!D34&gt;=1,'W3'!A34,"")&amp;IF('ATHIS MONS'!D34&gt;=1,'ATHIS MONS'!A34,"")&amp;IF(INTERNES!D34&gt;=1,INTERNES!A34,"")&amp;IF('L HAY LES ROSES'!D34&gt;=1,'L HAY LES ROSES'!A34,"")&amp;IF(RUNGIS!D34&gt;=1,RUNGIS!A34,"")&amp;IF(SCEAUX!D34&gt;=1,SCEAUX!A34,"")&amp;IF('INSTANCE C1'!D34&gt;=1,'INSTANCE C1'!A34,"")&amp;IF('INSTANCE C2'!D34&gt;=1,'INSTANCE C2'!A34,"")&amp;IF('EN PANNE'!D34&gt;=1,'EN PANNE'!A34,"")&amp;IF(TJM!D34&gt;=1,TJM!A34,"")</f>
        <v/>
      </c>
      <c r="U33" s="124"/>
      <c r="V33" s="123" t="str">
        <f>IF('2S EXPRESS'!J34&gt;=1,'2S EXPRESS'!G34,"")&amp;IF('2 ZT'!J34&gt;=1,'2 ZT'!G34,"")&amp;IF('GO TRANSPORT'!J34&gt;=1,'GO TRANSPORT'!G34,"")&amp;IF('HMZ - KAIS'!J34&gt;=1,'HMZ - KAIS'!G34,"")&amp;IF('IB TRANSPORT'!J34&gt;=1,'IB TRANSPORT'!G34,"")&amp;IF(JSL!J34&gt;=1,JSL!G34,"")&amp;IF(KIFAITOUT!J34&gt;=1,KIFAITOUT!G34,"")&amp;IF('LUXE DRIVE'!J34&gt;=1,'LUXE DRIVE'!G34,"")&amp;IF(SSN!J34&gt;=1,SSN!G34,"")&amp;IF('W3'!J34&gt;=1,'W3'!G34,"")&amp;IF('ATHIS MONS'!J34&gt;=1,'ATHIS MONS'!G34,"")&amp;IF(INTERNES!J34&gt;=1,INTERNES!G34,"")&amp;IF('L HAY LES ROSES'!J34&gt;=1,'L HAY LES ROSES'!G34,"")&amp;IF(RUNGIS!J34&gt;=1,RUNGIS!G34,"")&amp;IF(SCEAUX!J34&gt;=1,SCEAUX!G34,"")&amp;IF('INSTANCE C1'!J34&gt;=1,'INSTANCE C1'!G34,"")&amp;IF('INSTANCE C2'!J34&gt;=1,'INSTANCE C2'!G34,"")&amp;IF('EN PANNE'!J34&gt;=1,'EN PANNE'!G34,"")&amp;IF(TJM!J34&gt;=1,TJM!G34,"")</f>
        <v/>
      </c>
      <c r="W33" s="124"/>
      <c r="Y33" s="17">
        <v>30</v>
      </c>
      <c r="AB33" s="80"/>
      <c r="AC33" s="80"/>
    </row>
    <row r="34" spans="4:29" ht="12.75" customHeight="1" x14ac:dyDescent="0.2">
      <c r="D34" s="120" t="str">
        <f>IF(JSL!$A$53=0,"OK",SUM(JSL!$A$53-JSL!$G$53))&amp;"/13"</f>
        <v>OK/13</v>
      </c>
      <c r="E34" s="122" t="str">
        <f>IF(JSL!$D$53&gt;=1,"!","")&amp;IF(JSL!$J$53&gt;=1,"!","")&amp;IF(JSL!$M$12&gt;JSL!$M$9,"?","")</f>
        <v/>
      </c>
      <c r="H34" s="120" t="str">
        <f>IF(INTERNES!$A$53=0,"OK",SUM(INTERNES!$A$53-INTERNES!$G$53))</f>
        <v>OK</v>
      </c>
      <c r="I34" s="122" t="str">
        <f>IF(INTERNES!$D$53&gt;=1,"!","")&amp;IF(INTERNES!$J$53&gt;=1,"!","")&amp;IF(INTERNES!$M$12&gt;INTERNES!$M$9,"?","")</f>
        <v/>
      </c>
      <c r="L34" s="120" t="str">
        <f>IF('EN PANNE'!$A$53=0,"OK",SUM('EN PANNE'!$A$53-'EN PANNE'!$G$53))</f>
        <v>OK</v>
      </c>
      <c r="M34" s="122"/>
      <c r="N34" s="137"/>
      <c r="O34" s="139"/>
      <c r="P34" s="155"/>
      <c r="Q34" s="156"/>
      <c r="R34" s="157"/>
      <c r="T34" s="123" t="str">
        <f>IF('2S EXPRESS'!D35&gt;=1,'2S EXPRESS'!A35,"")&amp;IF('2 ZT'!D35&gt;=1,'2 ZT'!A35,"")&amp;IF('GO TRANSPORT'!D35&gt;=1,'GO TRANSPORT'!A35,"")&amp;IF('HMZ - KAIS'!D35&gt;=1,'HMZ - KAIS'!A35,"")&amp;IF('IB TRANSPORT'!D35&gt;=1,'IB TRANSPORT'!A35,"")&amp;IF(JSL!D35&gt;=1,JSL!A35,"")&amp;IF(KIFAITOUT!D35&gt;=1,KIFAITOUT!A35,"")&amp;IF('LUXE DRIVE'!D35&gt;=1,'LUXE DRIVE'!A35,"")&amp;IF(SSN!D35&gt;=1,SSN!A35,"")&amp;IF('W3'!D35&gt;=1,'W3'!A35,"")&amp;IF('ATHIS MONS'!D35&gt;=1,'ATHIS MONS'!A35,"")&amp;IF(INTERNES!D35&gt;=1,INTERNES!A35,"")&amp;IF('L HAY LES ROSES'!D35&gt;=1,'L HAY LES ROSES'!A35,"")&amp;IF(RUNGIS!D35&gt;=1,RUNGIS!A35,"")&amp;IF(SCEAUX!D35&gt;=1,SCEAUX!A35,"")&amp;IF('INSTANCE C1'!D35&gt;=1,'INSTANCE C1'!A35,"")&amp;IF('INSTANCE C2'!D35&gt;=1,'INSTANCE C2'!A35,"")&amp;IF('EN PANNE'!D35&gt;=1,'EN PANNE'!A35,"")&amp;IF(TJM!D35&gt;=1,TJM!A35,"")</f>
        <v/>
      </c>
      <c r="U34" s="124"/>
      <c r="V34" s="123" t="str">
        <f>IF('2S EXPRESS'!J35&gt;=1,'2S EXPRESS'!G35,"")&amp;IF('2 ZT'!J35&gt;=1,'2 ZT'!G35,"")&amp;IF('GO TRANSPORT'!J35&gt;=1,'GO TRANSPORT'!G35,"")&amp;IF('HMZ - KAIS'!J35&gt;=1,'HMZ - KAIS'!G35,"")&amp;IF('IB TRANSPORT'!J35&gt;=1,'IB TRANSPORT'!G35,"")&amp;IF(JSL!J35&gt;=1,JSL!G35,"")&amp;IF(KIFAITOUT!J35&gt;=1,KIFAITOUT!G35,"")&amp;IF('LUXE DRIVE'!J35&gt;=1,'LUXE DRIVE'!G35,"")&amp;IF(SSN!J35&gt;=1,SSN!G35,"")&amp;IF('W3'!J35&gt;=1,'W3'!G35,"")&amp;IF('ATHIS MONS'!J35&gt;=1,'ATHIS MONS'!G35,"")&amp;IF(INTERNES!J35&gt;=1,INTERNES!G35,"")&amp;IF('L HAY LES ROSES'!J35&gt;=1,'L HAY LES ROSES'!G35,"")&amp;IF(RUNGIS!J35&gt;=1,RUNGIS!G35,"")&amp;IF(SCEAUX!J35&gt;=1,SCEAUX!G35,"")&amp;IF('INSTANCE C1'!J35&gt;=1,'INSTANCE C1'!G35,"")&amp;IF('INSTANCE C2'!J35&gt;=1,'INSTANCE C2'!G35,"")&amp;IF('EN PANNE'!J35&gt;=1,'EN PANNE'!G35,"")&amp;IF(TJM!J35&gt;=1,TJM!G35,"")</f>
        <v/>
      </c>
      <c r="W34" s="124"/>
      <c r="Y34" s="17">
        <v>31</v>
      </c>
      <c r="AB34" s="80"/>
      <c r="AC34" s="80"/>
    </row>
    <row r="35" spans="4:29" ht="12.75" customHeight="1" thickBot="1" x14ac:dyDescent="0.55000000000000004">
      <c r="D35" s="121"/>
      <c r="E35" s="122"/>
      <c r="H35" s="121"/>
      <c r="I35" s="122"/>
      <c r="K35" s="11"/>
      <c r="L35" s="121"/>
      <c r="M35" s="122"/>
      <c r="N35" s="140"/>
      <c r="O35" s="142"/>
      <c r="P35" s="158"/>
      <c r="Q35" s="159"/>
      <c r="R35" s="160"/>
      <c r="T35" s="123" t="str">
        <f>IF('2S EXPRESS'!D36&gt;=1,'2S EXPRESS'!A36,"")&amp;IF('2 ZT'!D36&gt;=1,'2 ZT'!A36,"")&amp;IF('GO TRANSPORT'!D36&gt;=1,'GO TRANSPORT'!A36,"")&amp;IF('HMZ - KAIS'!D36&gt;=1,'HMZ - KAIS'!A36,"")&amp;IF('IB TRANSPORT'!D36&gt;=1,'IB TRANSPORT'!A36,"")&amp;IF(JSL!D36&gt;=1,JSL!A36,"")&amp;IF(KIFAITOUT!D36&gt;=1,KIFAITOUT!A36,"")&amp;IF('LUXE DRIVE'!D36&gt;=1,'LUXE DRIVE'!A36,"")&amp;IF(SSN!D36&gt;=1,SSN!A36,"")&amp;IF('W3'!D36&gt;=1,'W3'!A36,"")&amp;IF('ATHIS MONS'!D36&gt;=1,'ATHIS MONS'!A36,"")&amp;IF(INTERNES!D36&gt;=1,INTERNES!A36,"")&amp;IF('L HAY LES ROSES'!D36&gt;=1,'L HAY LES ROSES'!A36,"")&amp;IF(RUNGIS!D36&gt;=1,RUNGIS!A36,"")&amp;IF(SCEAUX!D36&gt;=1,SCEAUX!A36,"")&amp;IF('INSTANCE C1'!D36&gt;=1,'INSTANCE C1'!A36,"")&amp;IF('INSTANCE C2'!D36&gt;=1,'INSTANCE C2'!A36,"")&amp;IF('EN PANNE'!D36&gt;=1,'EN PANNE'!A36,"")&amp;IF(TJM!D36&gt;=1,TJM!A36,"")</f>
        <v/>
      </c>
      <c r="U35" s="124"/>
      <c r="V35" s="123" t="str">
        <f>IF('2S EXPRESS'!J36&gt;=1,'2S EXPRESS'!G36,"")&amp;IF('2 ZT'!J36&gt;=1,'2 ZT'!G36,"")&amp;IF('GO TRANSPORT'!J36&gt;=1,'GO TRANSPORT'!G36,"")&amp;IF('HMZ - KAIS'!J36&gt;=1,'HMZ - KAIS'!G36,"")&amp;IF('IB TRANSPORT'!J36&gt;=1,'IB TRANSPORT'!G36,"")&amp;IF(JSL!J36&gt;=1,JSL!G36,"")&amp;IF(KIFAITOUT!J36&gt;=1,KIFAITOUT!G36,"")&amp;IF('LUXE DRIVE'!J36&gt;=1,'LUXE DRIVE'!G36,"")&amp;IF(SSN!J36&gt;=1,SSN!G36,"")&amp;IF('W3'!J36&gt;=1,'W3'!G36,"")&amp;IF('ATHIS MONS'!J36&gt;=1,'ATHIS MONS'!G36,"")&amp;IF(INTERNES!J36&gt;=1,INTERNES!G36,"")&amp;IF('L HAY LES ROSES'!J36&gt;=1,'L HAY LES ROSES'!G36,"")&amp;IF(RUNGIS!J36&gt;=1,RUNGIS!G36,"")&amp;IF(SCEAUX!J36&gt;=1,SCEAUX!G36,"")&amp;IF('INSTANCE C1'!J36&gt;=1,'INSTANCE C1'!G36,"")&amp;IF('INSTANCE C2'!J36&gt;=1,'INSTANCE C2'!G36,"")&amp;IF('EN PANNE'!J36&gt;=1,'EN PANNE'!G36,"")&amp;IF(TJM!J36&gt;=1,TJM!G36,"")</f>
        <v/>
      </c>
      <c r="W35" s="124"/>
      <c r="AB35" s="80"/>
      <c r="AC35" s="80"/>
    </row>
    <row r="36" spans="4:29" ht="12.75" customHeight="1" x14ac:dyDescent="0.5">
      <c r="D36" s="121"/>
      <c r="E36" s="122"/>
      <c r="H36" s="121"/>
      <c r="I36" s="122"/>
      <c r="K36" s="11"/>
      <c r="L36" s="121"/>
      <c r="M36" s="122"/>
      <c r="N36" s="134" t="s">
        <v>16</v>
      </c>
      <c r="O36" s="136"/>
      <c r="P36" s="143" t="str">
        <f>IFERROR(IF(P33="","",VLOOKUP(PUK!L6,PUK!C:E,3,0)),"")</f>
        <v/>
      </c>
      <c r="Q36" s="144"/>
      <c r="R36" s="145"/>
      <c r="T36" s="123" t="str">
        <f>IF('2S EXPRESS'!D37&gt;=1,'2S EXPRESS'!A37,"")&amp;IF('2 ZT'!D37&gt;=1,'2 ZT'!A37,"")&amp;IF('GO TRANSPORT'!D37&gt;=1,'GO TRANSPORT'!A37,"")&amp;IF('HMZ - KAIS'!D37&gt;=1,'HMZ - KAIS'!A37,"")&amp;IF('IB TRANSPORT'!D37&gt;=1,'IB TRANSPORT'!A37,"")&amp;IF(JSL!D37&gt;=1,JSL!A37,"")&amp;IF(KIFAITOUT!D37&gt;=1,KIFAITOUT!A37,"")&amp;IF('LUXE DRIVE'!D37&gt;=1,'LUXE DRIVE'!A37,"")&amp;IF(SSN!D37&gt;=1,SSN!A37,"")&amp;IF('W3'!D37&gt;=1,'W3'!A37,"")&amp;IF('ATHIS MONS'!D37&gt;=1,'ATHIS MONS'!A37,"")&amp;IF(INTERNES!D37&gt;=1,INTERNES!A37,"")&amp;IF('L HAY LES ROSES'!D37&gt;=1,'L HAY LES ROSES'!A37,"")&amp;IF(RUNGIS!D37&gt;=1,RUNGIS!A37,"")&amp;IF(SCEAUX!D37&gt;=1,SCEAUX!A37,"")&amp;IF('INSTANCE C1'!D37&gt;=1,'INSTANCE C1'!A37,"")&amp;IF('INSTANCE C2'!D37&gt;=1,'INSTANCE C2'!A37,"")&amp;IF('EN PANNE'!D37&gt;=1,'EN PANNE'!A37,"")&amp;IF(TJM!D37&gt;=1,TJM!A37,"")</f>
        <v/>
      </c>
      <c r="U36" s="124"/>
      <c r="V36" s="123" t="str">
        <f>IF('2S EXPRESS'!J37&gt;=1,'2S EXPRESS'!G37,"")&amp;IF('2 ZT'!J37&gt;=1,'2 ZT'!G37,"")&amp;IF('GO TRANSPORT'!J37&gt;=1,'GO TRANSPORT'!G37,"")&amp;IF('HMZ - KAIS'!J37&gt;=1,'HMZ - KAIS'!G37,"")&amp;IF('IB TRANSPORT'!J37&gt;=1,'IB TRANSPORT'!G37,"")&amp;IF(JSL!J37&gt;=1,JSL!G37,"")&amp;IF(KIFAITOUT!J37&gt;=1,KIFAITOUT!G37,"")&amp;IF('LUXE DRIVE'!J37&gt;=1,'LUXE DRIVE'!G37,"")&amp;IF(SSN!J37&gt;=1,SSN!G37,"")&amp;IF('W3'!J37&gt;=1,'W3'!G37,"")&amp;IF('ATHIS MONS'!J37&gt;=1,'ATHIS MONS'!G37,"")&amp;IF(INTERNES!J37&gt;=1,INTERNES!G37,"")&amp;IF('L HAY LES ROSES'!J37&gt;=1,'L HAY LES ROSES'!G37,"")&amp;IF(RUNGIS!J37&gt;=1,RUNGIS!G37,"")&amp;IF(SCEAUX!J37&gt;=1,SCEAUX!G37,"")&amp;IF('INSTANCE C1'!J37&gt;=1,'INSTANCE C1'!G37,"")&amp;IF('INSTANCE C2'!J37&gt;=1,'INSTANCE C2'!G37,"")&amp;IF('EN PANNE'!J37&gt;=1,'EN PANNE'!G37,"")&amp;IF(TJM!J37&gt;=1,TJM!G37,"")</f>
        <v/>
      </c>
      <c r="W36" s="124"/>
      <c r="AB36" s="80"/>
      <c r="AC36" s="80"/>
    </row>
    <row r="37" spans="4:29" ht="12.75" customHeight="1" x14ac:dyDescent="0.5">
      <c r="D37" s="121"/>
      <c r="E37" s="122"/>
      <c r="H37" s="121"/>
      <c r="I37" s="122"/>
      <c r="K37" s="11"/>
      <c r="L37" s="121"/>
      <c r="M37" s="122"/>
      <c r="N37" s="137"/>
      <c r="O37" s="139"/>
      <c r="P37" s="146"/>
      <c r="Q37" s="147"/>
      <c r="R37" s="148"/>
      <c r="T37" s="123" t="str">
        <f>IF('2S EXPRESS'!D38&gt;=1,'2S EXPRESS'!A38,"")&amp;IF('2 ZT'!D38&gt;=1,'2 ZT'!A38,"")&amp;IF('GO TRANSPORT'!D38&gt;=1,'GO TRANSPORT'!A38,"")&amp;IF('HMZ - KAIS'!D38&gt;=1,'HMZ - KAIS'!A38,"")&amp;IF('IB TRANSPORT'!D38&gt;=1,'IB TRANSPORT'!A38,"")&amp;IF(JSL!D38&gt;=1,JSL!A38,"")&amp;IF(KIFAITOUT!D38&gt;=1,KIFAITOUT!A38,"")&amp;IF('LUXE DRIVE'!D38&gt;=1,'LUXE DRIVE'!A38,"")&amp;IF(SSN!D38&gt;=1,SSN!A38,"")&amp;IF('W3'!D38&gt;=1,'W3'!A38,"")&amp;IF('ATHIS MONS'!D38&gt;=1,'ATHIS MONS'!A38,"")&amp;IF(INTERNES!D38&gt;=1,INTERNES!A38,"")&amp;IF('L HAY LES ROSES'!D38&gt;=1,'L HAY LES ROSES'!A38,"")&amp;IF(RUNGIS!D38&gt;=1,RUNGIS!A38,"")&amp;IF(SCEAUX!D38&gt;=1,SCEAUX!A38,"")&amp;IF('INSTANCE C1'!D38&gt;=1,'INSTANCE C1'!A38,"")&amp;IF('INSTANCE C2'!D38&gt;=1,'INSTANCE C2'!A38,"")&amp;IF('EN PANNE'!D38&gt;=1,'EN PANNE'!A38,"")&amp;IF(TJM!D38&gt;=1,TJM!A38,"")</f>
        <v/>
      </c>
      <c r="U37" s="124"/>
      <c r="V37" s="123" t="str">
        <f>IF('2S EXPRESS'!J38&gt;=1,'2S EXPRESS'!G38,"")&amp;IF('2 ZT'!J38&gt;=1,'2 ZT'!G38,"")&amp;IF('GO TRANSPORT'!J38&gt;=1,'GO TRANSPORT'!G38,"")&amp;IF('HMZ - KAIS'!J38&gt;=1,'HMZ - KAIS'!G38,"")&amp;IF('IB TRANSPORT'!J38&gt;=1,'IB TRANSPORT'!G38,"")&amp;IF(JSL!J38&gt;=1,JSL!G38,"")&amp;IF(KIFAITOUT!J38&gt;=1,KIFAITOUT!G38,"")&amp;IF('LUXE DRIVE'!J38&gt;=1,'LUXE DRIVE'!G38,"")&amp;IF(SSN!J38&gt;=1,SSN!G38,"")&amp;IF('W3'!J38&gt;=1,'W3'!G38,"")&amp;IF('ATHIS MONS'!J38&gt;=1,'ATHIS MONS'!G38,"")&amp;IF(INTERNES!J38&gt;=1,INTERNES!G38,"")&amp;IF('L HAY LES ROSES'!J38&gt;=1,'L HAY LES ROSES'!G38,"")&amp;IF(RUNGIS!J38&gt;=1,RUNGIS!G38,"")&amp;IF(SCEAUX!J38&gt;=1,SCEAUX!G38,"")&amp;IF('INSTANCE C1'!J38&gt;=1,'INSTANCE C1'!G38,"")&amp;IF('INSTANCE C2'!J38&gt;=1,'INSTANCE C2'!G38,"")&amp;IF('EN PANNE'!J38&gt;=1,'EN PANNE'!G38,"")&amp;IF(TJM!J38&gt;=1,TJM!G38,"")</f>
        <v/>
      </c>
      <c r="W37" s="124"/>
      <c r="AB37" s="80"/>
      <c r="AC37" s="80"/>
    </row>
    <row r="38" spans="4:29" ht="12.75" customHeight="1" thickBot="1" x14ac:dyDescent="0.55000000000000004">
      <c r="D38" s="121"/>
      <c r="E38" s="122"/>
      <c r="H38" s="121"/>
      <c r="I38" s="122"/>
      <c r="K38" s="11"/>
      <c r="L38" s="121"/>
      <c r="M38" s="122"/>
      <c r="N38" s="140"/>
      <c r="O38" s="142"/>
      <c r="P38" s="149"/>
      <c r="Q38" s="150"/>
      <c r="R38" s="151"/>
      <c r="T38" s="123" t="str">
        <f>IF('2S EXPRESS'!D39&gt;=1,'2S EXPRESS'!A39,"")&amp;IF('2 ZT'!D39&gt;=1,'2 ZT'!A39,"")&amp;IF('GO TRANSPORT'!D39&gt;=1,'GO TRANSPORT'!A39,"")&amp;IF('HMZ - KAIS'!D39&gt;=1,'HMZ - KAIS'!A39,"")&amp;IF('IB TRANSPORT'!D39&gt;=1,'IB TRANSPORT'!A39,"")&amp;IF(JSL!D39&gt;=1,JSL!A39,"")&amp;IF(KIFAITOUT!D39&gt;=1,KIFAITOUT!A39,"")&amp;IF('LUXE DRIVE'!D39&gt;=1,'LUXE DRIVE'!A39,"")&amp;IF(SSN!D39&gt;=1,SSN!A39,"")&amp;IF('W3'!D39&gt;=1,'W3'!A39,"")&amp;IF('ATHIS MONS'!D39&gt;=1,'ATHIS MONS'!A39,"")&amp;IF(INTERNES!D39&gt;=1,INTERNES!A39,"")&amp;IF('L HAY LES ROSES'!D39&gt;=1,'L HAY LES ROSES'!A39,"")&amp;IF(RUNGIS!D39&gt;=1,RUNGIS!A39,"")&amp;IF(SCEAUX!D39&gt;=1,SCEAUX!A39,"")&amp;IF('INSTANCE C1'!D39&gt;=1,'INSTANCE C1'!A39,"")&amp;IF('INSTANCE C2'!D39&gt;=1,'INSTANCE C2'!A39,"")&amp;IF('EN PANNE'!D39&gt;=1,'EN PANNE'!A39,"")&amp;IF(TJM!D39&gt;=1,TJM!A39,"")</f>
        <v/>
      </c>
      <c r="U38" s="124"/>
      <c r="V38" s="123" t="str">
        <f>IF('2S EXPRESS'!J39&gt;=1,'2S EXPRESS'!G39,"")&amp;IF('2 ZT'!J39&gt;=1,'2 ZT'!G39,"")&amp;IF('GO TRANSPORT'!J39&gt;=1,'GO TRANSPORT'!G39,"")&amp;IF('HMZ - KAIS'!J39&gt;=1,'HMZ - KAIS'!G39,"")&amp;IF('IB TRANSPORT'!J39&gt;=1,'IB TRANSPORT'!G39,"")&amp;IF(JSL!J39&gt;=1,JSL!G39,"")&amp;IF(KIFAITOUT!J39&gt;=1,KIFAITOUT!G39,"")&amp;IF('LUXE DRIVE'!J39&gt;=1,'LUXE DRIVE'!G39,"")&amp;IF(SSN!J39&gt;=1,SSN!G39,"")&amp;IF('W3'!J39&gt;=1,'W3'!G39,"")&amp;IF('ATHIS MONS'!J39&gt;=1,'ATHIS MONS'!G39,"")&amp;IF(INTERNES!J39&gt;=1,INTERNES!G39,"")&amp;IF('L HAY LES ROSES'!J39&gt;=1,'L HAY LES ROSES'!G39,"")&amp;IF(RUNGIS!J39&gt;=1,RUNGIS!G39,"")&amp;IF(SCEAUX!J39&gt;=1,SCEAUX!G39,"")&amp;IF('INSTANCE C1'!J39&gt;=1,'INSTANCE C1'!G39,"")&amp;IF('INSTANCE C2'!J39&gt;=1,'INSTANCE C2'!G39,"")&amp;IF('EN PANNE'!J39&gt;=1,'EN PANNE'!G39,"")&amp;IF(TJM!J39&gt;=1,TJM!G39,"")</f>
        <v/>
      </c>
      <c r="W38" s="124"/>
      <c r="AB38" s="80"/>
      <c r="AC38" s="80"/>
    </row>
    <row r="39" spans="4:29" ht="12.75" customHeight="1" x14ac:dyDescent="0.2">
      <c r="T39" s="123" t="str">
        <f>IF('2S EXPRESS'!D40&gt;=1,'2S EXPRESS'!A40,"")&amp;IF('2 ZT'!D40&gt;=1,'2 ZT'!A40,"")&amp;IF('GO TRANSPORT'!D40&gt;=1,'GO TRANSPORT'!A40,"")&amp;IF('HMZ - KAIS'!D40&gt;=1,'HMZ - KAIS'!A40,"")&amp;IF('IB TRANSPORT'!D40&gt;=1,'IB TRANSPORT'!A40,"")&amp;IF(JSL!D40&gt;=1,JSL!A40,"")&amp;IF(KIFAITOUT!D40&gt;=1,KIFAITOUT!A40,"")&amp;IF('LUXE DRIVE'!D40&gt;=1,'LUXE DRIVE'!A40,"")&amp;IF(SSN!D40&gt;=1,SSN!A40,"")&amp;IF('W3'!D40&gt;=1,'W3'!A40,"")&amp;IF('ATHIS MONS'!D40&gt;=1,'ATHIS MONS'!A40,"")&amp;IF(INTERNES!D40&gt;=1,INTERNES!A40,"")&amp;IF('L HAY LES ROSES'!D40&gt;=1,'L HAY LES ROSES'!A40,"")&amp;IF(RUNGIS!D40&gt;=1,RUNGIS!A40,"")&amp;IF(SCEAUX!D40&gt;=1,SCEAUX!A40,"")&amp;IF('INSTANCE C1'!D40&gt;=1,'INSTANCE C1'!A40,"")&amp;IF('INSTANCE C2'!D40&gt;=1,'INSTANCE C2'!A40,"")&amp;IF('EN PANNE'!D40&gt;=1,'EN PANNE'!A40,"")&amp;IF(TJM!D40&gt;=1,TJM!A40,"")</f>
        <v/>
      </c>
      <c r="U39" s="124"/>
      <c r="V39" s="123" t="str">
        <f>IF('2S EXPRESS'!J40&gt;=1,'2S EXPRESS'!G40,"")&amp;IF('2 ZT'!J40&gt;=1,'2 ZT'!G40,"")&amp;IF('GO TRANSPORT'!J40&gt;=1,'GO TRANSPORT'!G40,"")&amp;IF('HMZ - KAIS'!J40&gt;=1,'HMZ - KAIS'!G40,"")&amp;IF('IB TRANSPORT'!J40&gt;=1,'IB TRANSPORT'!G40,"")&amp;IF(JSL!J40&gt;=1,JSL!G40,"")&amp;IF(KIFAITOUT!J40&gt;=1,KIFAITOUT!G40,"")&amp;IF('LUXE DRIVE'!J40&gt;=1,'LUXE DRIVE'!G40,"")&amp;IF(SSN!J40&gt;=1,SSN!G40,"")&amp;IF('W3'!J40&gt;=1,'W3'!G40,"")&amp;IF('ATHIS MONS'!J40&gt;=1,'ATHIS MONS'!G40,"")&amp;IF(INTERNES!J40&gt;=1,INTERNES!G40,"")&amp;IF('L HAY LES ROSES'!J40&gt;=1,'L HAY LES ROSES'!G40,"")&amp;IF(RUNGIS!J40&gt;=1,RUNGIS!G40,"")&amp;IF(SCEAUX!J40&gt;=1,SCEAUX!G40,"")&amp;IF('INSTANCE C1'!J40&gt;=1,'INSTANCE C1'!G40,"")&amp;IF('INSTANCE C2'!J40&gt;=1,'INSTANCE C2'!G40,"")&amp;IF('EN PANNE'!J40&gt;=1,'EN PANNE'!G40,"")&amp;IF(TJM!J40&gt;=1,TJM!G40,"")</f>
        <v/>
      </c>
      <c r="W39" s="124"/>
      <c r="AB39" s="80"/>
      <c r="AC39" s="80"/>
    </row>
    <row r="40" spans="4:29" ht="12.75" customHeight="1" x14ac:dyDescent="0.2">
      <c r="D40" s="120" t="str">
        <f>IF(TJM!$A$53=0,"OK",SUM(TJM!$A$53-TJM!$G$53))&amp;"/2"</f>
        <v>OK/2</v>
      </c>
      <c r="E40" s="122" t="str">
        <f>IF(TJM!$D$53&gt;=1,"!","")&amp;IF(TJM!$J$53&gt;=1,"!","")&amp;IF(TJM!$M$12&gt;TJM!$M$9,"?","")</f>
        <v/>
      </c>
      <c r="T40" s="123" t="str">
        <f>IF('2S EXPRESS'!D41&gt;=1,'2S EXPRESS'!A41,"")&amp;IF('2 ZT'!D41&gt;=1,'2 ZT'!A41,"")&amp;IF('GO TRANSPORT'!D41&gt;=1,'GO TRANSPORT'!A41,"")&amp;IF('HMZ - KAIS'!D41&gt;=1,'HMZ - KAIS'!A41,"")&amp;IF('IB TRANSPORT'!D41&gt;=1,'IB TRANSPORT'!A41,"")&amp;IF(JSL!D41&gt;=1,JSL!A41,"")&amp;IF(KIFAITOUT!D41&gt;=1,KIFAITOUT!A41,"")&amp;IF('LUXE DRIVE'!D41&gt;=1,'LUXE DRIVE'!A41,"")&amp;IF(SSN!D41&gt;=1,SSN!A41,"")&amp;IF('W3'!D41&gt;=1,'W3'!A41,"")&amp;IF('ATHIS MONS'!D41&gt;=1,'ATHIS MONS'!A41,"")&amp;IF(INTERNES!D41&gt;=1,INTERNES!A41,"")&amp;IF('L HAY LES ROSES'!D41&gt;=1,'L HAY LES ROSES'!A41,"")&amp;IF(RUNGIS!D41&gt;=1,RUNGIS!A41,"")&amp;IF(SCEAUX!D41&gt;=1,SCEAUX!A41,"")&amp;IF('INSTANCE C1'!D41&gt;=1,'INSTANCE C1'!A41,"")&amp;IF('INSTANCE C2'!D41&gt;=1,'INSTANCE C2'!A41,"")&amp;IF('EN PANNE'!D41&gt;=1,'EN PANNE'!A41,"")&amp;IF(TJM!D41&gt;=1,TJM!A41,"")</f>
        <v/>
      </c>
      <c r="U40" s="124"/>
      <c r="V40" s="123" t="str">
        <f>IF('2S EXPRESS'!J41&gt;=1,'2S EXPRESS'!G41,"")&amp;IF('2 ZT'!J41&gt;=1,'2 ZT'!G41,"")&amp;IF('GO TRANSPORT'!J41&gt;=1,'GO TRANSPORT'!G41,"")&amp;IF('HMZ - KAIS'!J41&gt;=1,'HMZ - KAIS'!G41,"")&amp;IF('IB TRANSPORT'!J41&gt;=1,'IB TRANSPORT'!G41,"")&amp;IF(JSL!J41&gt;=1,JSL!G41,"")&amp;IF(KIFAITOUT!J41&gt;=1,KIFAITOUT!G41,"")&amp;IF('LUXE DRIVE'!J41&gt;=1,'LUXE DRIVE'!G41,"")&amp;IF(SSN!J41&gt;=1,SSN!G41,"")&amp;IF('W3'!J41&gt;=1,'W3'!G41,"")&amp;IF('ATHIS MONS'!J41&gt;=1,'ATHIS MONS'!G41,"")&amp;IF(INTERNES!J41&gt;=1,INTERNES!G41,"")&amp;IF('L HAY LES ROSES'!J41&gt;=1,'L HAY LES ROSES'!G41,"")&amp;IF(RUNGIS!J41&gt;=1,RUNGIS!G41,"")&amp;IF(SCEAUX!J41&gt;=1,SCEAUX!G41,"")&amp;IF('INSTANCE C1'!J41&gt;=1,'INSTANCE C1'!G41,"")&amp;IF('INSTANCE C2'!J41&gt;=1,'INSTANCE C2'!G41,"")&amp;IF('EN PANNE'!J41&gt;=1,'EN PANNE'!G41,"")&amp;IF(TJM!J41&gt;=1,TJM!G41,"")</f>
        <v/>
      </c>
      <c r="W40" s="124"/>
      <c r="AB40" s="80"/>
      <c r="AC40" s="80"/>
    </row>
    <row r="41" spans="4:29" ht="12.75" customHeight="1" x14ac:dyDescent="0.2">
      <c r="D41" s="121"/>
      <c r="E41" s="122"/>
      <c r="T41" s="123" t="str">
        <f>IF('2S EXPRESS'!D42&gt;=1,'2S EXPRESS'!A42,"")&amp;IF('2 ZT'!D42&gt;=1,'2 ZT'!A42,"")&amp;IF('GO TRANSPORT'!D42&gt;=1,'GO TRANSPORT'!A42,"")&amp;IF('HMZ - KAIS'!D42&gt;=1,'HMZ - KAIS'!A42,"")&amp;IF('IB TRANSPORT'!D42&gt;=1,'IB TRANSPORT'!A42,"")&amp;IF(JSL!D42&gt;=1,JSL!A42,"")&amp;IF(KIFAITOUT!D42&gt;=1,KIFAITOUT!A42,"")&amp;IF('LUXE DRIVE'!D42&gt;=1,'LUXE DRIVE'!A42,"")&amp;IF(SSN!D42&gt;=1,SSN!A42,"")&amp;IF('W3'!D42&gt;=1,'W3'!A42,"")&amp;IF('ATHIS MONS'!D42&gt;=1,'ATHIS MONS'!A42,"")&amp;IF(INTERNES!D42&gt;=1,INTERNES!A42,"")&amp;IF('L HAY LES ROSES'!D42&gt;=1,'L HAY LES ROSES'!A42,"")&amp;IF(RUNGIS!D42&gt;=1,RUNGIS!A42,"")&amp;IF(SCEAUX!D42&gt;=1,SCEAUX!A42,"")&amp;IF('INSTANCE C1'!D42&gt;=1,'INSTANCE C1'!A42,"")&amp;IF('INSTANCE C2'!D42&gt;=1,'INSTANCE C2'!A42,"")&amp;IF('EN PANNE'!D42&gt;=1,'EN PANNE'!A42,"")&amp;IF(TJM!D42&gt;=1,TJM!A42,"")</f>
        <v/>
      </c>
      <c r="U41" s="124"/>
      <c r="V41" s="123" t="str">
        <f>IF('2S EXPRESS'!J42&gt;=1,'2S EXPRESS'!G42,"")&amp;IF('2 ZT'!J42&gt;=1,'2 ZT'!G42,"")&amp;IF('GO TRANSPORT'!J42&gt;=1,'GO TRANSPORT'!G42,"")&amp;IF('HMZ - KAIS'!J42&gt;=1,'HMZ - KAIS'!G42,"")&amp;IF('IB TRANSPORT'!J42&gt;=1,'IB TRANSPORT'!G42,"")&amp;IF(JSL!J42&gt;=1,JSL!G42,"")&amp;IF(KIFAITOUT!J42&gt;=1,KIFAITOUT!G42,"")&amp;IF('LUXE DRIVE'!J42&gt;=1,'LUXE DRIVE'!G42,"")&amp;IF(SSN!J42&gt;=1,SSN!G42,"")&amp;IF('W3'!J42&gt;=1,'W3'!G42,"")&amp;IF('ATHIS MONS'!J42&gt;=1,'ATHIS MONS'!G42,"")&amp;IF(INTERNES!J42&gt;=1,INTERNES!G42,"")&amp;IF('L HAY LES ROSES'!J42&gt;=1,'L HAY LES ROSES'!G42,"")&amp;IF(RUNGIS!J42&gt;=1,RUNGIS!G42,"")&amp;IF(SCEAUX!J42&gt;=1,SCEAUX!G42,"")&amp;IF('INSTANCE C1'!J42&gt;=1,'INSTANCE C1'!G42,"")&amp;IF('INSTANCE C2'!J42&gt;=1,'INSTANCE C2'!G42,"")&amp;IF('EN PANNE'!J42&gt;=1,'EN PANNE'!G42,"")&amp;IF(TJM!J42&gt;=1,TJM!G42,"")</f>
        <v/>
      </c>
      <c r="W41" s="124"/>
      <c r="AB41" s="80"/>
      <c r="AC41" s="80"/>
    </row>
    <row r="42" spans="4:29" ht="12.75" customHeight="1" x14ac:dyDescent="0.2">
      <c r="D42" s="121"/>
      <c r="E42" s="122"/>
      <c r="T42" s="123" t="str">
        <f>IF('2S EXPRESS'!D43&gt;=1,'2S EXPRESS'!A43,"")&amp;IF('2 ZT'!D43&gt;=1,'2 ZT'!A43,"")&amp;IF('GO TRANSPORT'!D43&gt;=1,'GO TRANSPORT'!A43,"")&amp;IF('HMZ - KAIS'!D43&gt;=1,'HMZ - KAIS'!A43,"")&amp;IF('IB TRANSPORT'!D43&gt;=1,'IB TRANSPORT'!A43,"")&amp;IF(JSL!D43&gt;=1,JSL!A43,"")&amp;IF(KIFAITOUT!D43&gt;=1,KIFAITOUT!A43,"")&amp;IF('LUXE DRIVE'!D43&gt;=1,'LUXE DRIVE'!A43,"")&amp;IF(SSN!D43&gt;=1,SSN!A43,"")&amp;IF('W3'!D43&gt;=1,'W3'!A43,"")&amp;IF('ATHIS MONS'!D43&gt;=1,'ATHIS MONS'!A43,"")&amp;IF(INTERNES!D43&gt;=1,INTERNES!A43,"")&amp;IF('L HAY LES ROSES'!D43&gt;=1,'L HAY LES ROSES'!A43,"")&amp;IF(RUNGIS!D43&gt;=1,RUNGIS!A43,"")&amp;IF(SCEAUX!D43&gt;=1,SCEAUX!A43,"")&amp;IF('INSTANCE C1'!D43&gt;=1,'INSTANCE C1'!A43,"")&amp;IF('INSTANCE C2'!D43&gt;=1,'INSTANCE C2'!A43,"")&amp;IF('EN PANNE'!D43&gt;=1,'EN PANNE'!A43,"")&amp;IF(TJM!D43&gt;=1,TJM!A43,"")</f>
        <v/>
      </c>
      <c r="U42" s="124"/>
      <c r="V42" s="123" t="str">
        <f>IF('2S EXPRESS'!J43&gt;=1,'2S EXPRESS'!G43,"")&amp;IF('2 ZT'!J43&gt;=1,'2 ZT'!G43,"")&amp;IF('GO TRANSPORT'!J43&gt;=1,'GO TRANSPORT'!G43,"")&amp;IF('HMZ - KAIS'!J43&gt;=1,'HMZ - KAIS'!G43,"")&amp;IF('IB TRANSPORT'!J43&gt;=1,'IB TRANSPORT'!G43,"")&amp;IF(JSL!J43&gt;=1,JSL!G43,"")&amp;IF(KIFAITOUT!J43&gt;=1,KIFAITOUT!G43,"")&amp;IF('LUXE DRIVE'!J43&gt;=1,'LUXE DRIVE'!G43,"")&amp;IF(SSN!J43&gt;=1,SSN!G43,"")&amp;IF('W3'!J43&gt;=1,'W3'!G43,"")&amp;IF('ATHIS MONS'!J43&gt;=1,'ATHIS MONS'!G43,"")&amp;IF(INTERNES!J43&gt;=1,INTERNES!G43,"")&amp;IF('L HAY LES ROSES'!J43&gt;=1,'L HAY LES ROSES'!G43,"")&amp;IF(RUNGIS!J43&gt;=1,RUNGIS!G43,"")&amp;IF(SCEAUX!J43&gt;=1,SCEAUX!G43,"")&amp;IF('INSTANCE C1'!J43&gt;=1,'INSTANCE C1'!G43,"")&amp;IF('INSTANCE C2'!J43&gt;=1,'INSTANCE C2'!G43,"")&amp;IF('EN PANNE'!J43&gt;=1,'EN PANNE'!G43,"")&amp;IF(TJM!J43&gt;=1,TJM!G43,"")</f>
        <v/>
      </c>
      <c r="W42" s="124"/>
      <c r="AB42" s="80"/>
      <c r="AC42" s="80"/>
    </row>
    <row r="43" spans="4:29" ht="12.75" customHeight="1" x14ac:dyDescent="0.2">
      <c r="D43" s="121"/>
      <c r="E43" s="122"/>
      <c r="T43" s="123" t="str">
        <f>IF('2S EXPRESS'!D44&gt;=1,'2S EXPRESS'!A44,"")&amp;IF('2 ZT'!D44&gt;=1,'2 ZT'!A44,"")&amp;IF('GO TRANSPORT'!D44&gt;=1,'GO TRANSPORT'!A44,"")&amp;IF('HMZ - KAIS'!D44&gt;=1,'HMZ - KAIS'!A44,"")&amp;IF('IB TRANSPORT'!D44&gt;=1,'IB TRANSPORT'!A44,"")&amp;IF(JSL!D44&gt;=1,JSL!A44,"")&amp;IF(KIFAITOUT!D44&gt;=1,KIFAITOUT!A44,"")&amp;IF('LUXE DRIVE'!D44&gt;=1,'LUXE DRIVE'!A44,"")&amp;IF(SSN!D44&gt;=1,SSN!A44,"")&amp;IF('W3'!D44&gt;=1,'W3'!A44,"")&amp;IF('ATHIS MONS'!D44&gt;=1,'ATHIS MONS'!A44,"")&amp;IF(INTERNES!D44&gt;=1,INTERNES!A44,"")&amp;IF('L HAY LES ROSES'!D44&gt;=1,'L HAY LES ROSES'!A44,"")&amp;IF(RUNGIS!D44&gt;=1,RUNGIS!A44,"")&amp;IF(SCEAUX!D44&gt;=1,SCEAUX!A44,"")&amp;IF('INSTANCE C1'!D44&gt;=1,'INSTANCE C1'!A44,"")&amp;IF('INSTANCE C2'!D44&gt;=1,'INSTANCE C2'!A44,"")&amp;IF('EN PANNE'!D44&gt;=1,'EN PANNE'!A44,"")&amp;IF(TJM!D44&gt;=1,TJM!A44,"")</f>
        <v/>
      </c>
      <c r="U43" s="124"/>
      <c r="V43" s="123" t="str">
        <f>IF('2S EXPRESS'!J44&gt;=1,'2S EXPRESS'!G44,"")&amp;IF('2 ZT'!J44&gt;=1,'2 ZT'!G44,"")&amp;IF('GO TRANSPORT'!J44&gt;=1,'GO TRANSPORT'!G44,"")&amp;IF('HMZ - KAIS'!J44&gt;=1,'HMZ - KAIS'!G44,"")&amp;IF('IB TRANSPORT'!J44&gt;=1,'IB TRANSPORT'!G44,"")&amp;IF(JSL!J44&gt;=1,JSL!G44,"")&amp;IF(KIFAITOUT!J44&gt;=1,KIFAITOUT!G44,"")&amp;IF('LUXE DRIVE'!J44&gt;=1,'LUXE DRIVE'!G44,"")&amp;IF(SSN!J44&gt;=1,SSN!G44,"")&amp;IF('W3'!J44&gt;=1,'W3'!G44,"")&amp;IF('ATHIS MONS'!J44&gt;=1,'ATHIS MONS'!G44,"")&amp;IF(INTERNES!J44&gt;=1,INTERNES!G44,"")&amp;IF('L HAY LES ROSES'!J44&gt;=1,'L HAY LES ROSES'!G44,"")&amp;IF(RUNGIS!J44&gt;=1,RUNGIS!G44,"")&amp;IF(SCEAUX!J44&gt;=1,SCEAUX!G44,"")&amp;IF('INSTANCE C1'!J44&gt;=1,'INSTANCE C1'!G44,"")&amp;IF('INSTANCE C2'!J44&gt;=1,'INSTANCE C2'!G44,"")&amp;IF('EN PANNE'!J44&gt;=1,'EN PANNE'!G44,"")&amp;IF(TJM!J44&gt;=1,TJM!G44,"")</f>
        <v/>
      </c>
      <c r="W43" s="124"/>
      <c r="AB43" s="80"/>
      <c r="AC43" s="80"/>
    </row>
    <row r="44" spans="4:29" ht="12.75" customHeight="1" x14ac:dyDescent="0.2">
      <c r="D44" s="121"/>
      <c r="E44" s="122"/>
      <c r="T44" s="123" t="str">
        <f>IF('2S EXPRESS'!D45&gt;=1,'2S EXPRESS'!A45,"")&amp;IF('2 ZT'!D45&gt;=1,'2 ZT'!A45,"")&amp;IF('GO TRANSPORT'!D45&gt;=1,'GO TRANSPORT'!A45,"")&amp;IF('HMZ - KAIS'!D45&gt;=1,'HMZ - KAIS'!A45,"")&amp;IF('IB TRANSPORT'!D45&gt;=1,'IB TRANSPORT'!A45,"")&amp;IF(JSL!D45&gt;=1,JSL!A45,"")&amp;IF(KIFAITOUT!D45&gt;=1,KIFAITOUT!A45,"")&amp;IF('LUXE DRIVE'!D45&gt;=1,'LUXE DRIVE'!A45,"")&amp;IF(SSN!D45&gt;=1,SSN!A45,"")&amp;IF('W3'!D45&gt;=1,'W3'!A45,"")&amp;IF('ATHIS MONS'!D45&gt;=1,'ATHIS MONS'!A45,"")&amp;IF(INTERNES!D45&gt;=1,INTERNES!A45,"")&amp;IF('L HAY LES ROSES'!D45&gt;=1,'L HAY LES ROSES'!A45,"")&amp;IF(RUNGIS!D45&gt;=1,RUNGIS!A45,"")&amp;IF(SCEAUX!D45&gt;=1,SCEAUX!A45,"")&amp;IF('INSTANCE C1'!D45&gt;=1,'INSTANCE C1'!A45,"")&amp;IF('INSTANCE C2'!D45&gt;=1,'INSTANCE C2'!A45,"")&amp;IF('EN PANNE'!D45&gt;=1,'EN PANNE'!A45,"")&amp;IF(TJM!D45&gt;=1,TJM!A45,"")</f>
        <v/>
      </c>
      <c r="U44" s="124"/>
      <c r="V44" s="123" t="str">
        <f>IF('2S EXPRESS'!J45&gt;=1,'2S EXPRESS'!G45,"")&amp;IF('2 ZT'!J45&gt;=1,'2 ZT'!G45,"")&amp;IF('GO TRANSPORT'!J45&gt;=1,'GO TRANSPORT'!G45,"")&amp;IF('HMZ - KAIS'!J45&gt;=1,'HMZ - KAIS'!G45,"")&amp;IF('IB TRANSPORT'!J45&gt;=1,'IB TRANSPORT'!G45,"")&amp;IF(JSL!J45&gt;=1,JSL!G45,"")&amp;IF(KIFAITOUT!J45&gt;=1,KIFAITOUT!G45,"")&amp;IF('LUXE DRIVE'!J45&gt;=1,'LUXE DRIVE'!G45,"")&amp;IF(SSN!J45&gt;=1,SSN!G45,"")&amp;IF('W3'!J45&gt;=1,'W3'!G45,"")&amp;IF('ATHIS MONS'!J45&gt;=1,'ATHIS MONS'!G45,"")&amp;IF(INTERNES!J45&gt;=1,INTERNES!G45,"")&amp;IF('L HAY LES ROSES'!J45&gt;=1,'L HAY LES ROSES'!G45,"")&amp;IF(RUNGIS!J45&gt;=1,RUNGIS!G45,"")&amp;IF(SCEAUX!J45&gt;=1,SCEAUX!G45,"")&amp;IF('INSTANCE C1'!J45&gt;=1,'INSTANCE C1'!G45,"")&amp;IF('INSTANCE C2'!J45&gt;=1,'INSTANCE C2'!G45,"")&amp;IF('EN PANNE'!J45&gt;=1,'EN PANNE'!G45,"")&amp;IF(TJM!J45&gt;=1,TJM!G45,"")</f>
        <v/>
      </c>
      <c r="W44" s="124"/>
      <c r="AB44" s="80"/>
      <c r="AC44" s="80"/>
    </row>
    <row r="45" spans="4:29" ht="12.75" customHeight="1" x14ac:dyDescent="0.2">
      <c r="K45" s="12"/>
      <c r="T45" s="123" t="str">
        <f>IF('2S EXPRESS'!D46&gt;=1,'2S EXPRESS'!A46,"")&amp;IF('2 ZT'!D46&gt;=1,'2 ZT'!A46,"")&amp;IF('GO TRANSPORT'!D46&gt;=1,'GO TRANSPORT'!A46,"")&amp;IF('HMZ - KAIS'!D46&gt;=1,'HMZ - KAIS'!A46,"")&amp;IF('IB TRANSPORT'!D46&gt;=1,'IB TRANSPORT'!A46,"")&amp;IF(JSL!D46&gt;=1,JSL!A46,"")&amp;IF(KIFAITOUT!D46&gt;=1,KIFAITOUT!A46,"")&amp;IF('LUXE DRIVE'!D46&gt;=1,'LUXE DRIVE'!A46,"")&amp;IF(SSN!D46&gt;=1,SSN!A46,"")&amp;IF('W3'!D46&gt;=1,'W3'!A46,"")&amp;IF('ATHIS MONS'!D46&gt;=1,'ATHIS MONS'!A46,"")&amp;IF(INTERNES!D46&gt;=1,INTERNES!A46,"")&amp;IF('L HAY LES ROSES'!D46&gt;=1,'L HAY LES ROSES'!A46,"")&amp;IF(RUNGIS!D46&gt;=1,RUNGIS!A46,"")&amp;IF(SCEAUX!D46&gt;=1,SCEAUX!A46,"")&amp;IF('INSTANCE C1'!D46&gt;=1,'INSTANCE C1'!A46,"")&amp;IF('INSTANCE C2'!D46&gt;=1,'INSTANCE C2'!A46,"")&amp;IF('EN PANNE'!D46&gt;=1,'EN PANNE'!A46,"")&amp;IF(TJM!D46&gt;=1,TJM!A46,"")</f>
        <v/>
      </c>
      <c r="U45" s="124"/>
      <c r="V45" s="123" t="str">
        <f>IF('2S EXPRESS'!J46&gt;=1,'2S EXPRESS'!G46,"")&amp;IF('2 ZT'!J46&gt;=1,'2 ZT'!G46,"")&amp;IF('GO TRANSPORT'!J46&gt;=1,'GO TRANSPORT'!G46,"")&amp;IF('HMZ - KAIS'!J46&gt;=1,'HMZ - KAIS'!G46,"")&amp;IF('IB TRANSPORT'!J46&gt;=1,'IB TRANSPORT'!G46,"")&amp;IF(JSL!J46&gt;=1,JSL!G46,"")&amp;IF(KIFAITOUT!J46&gt;=1,KIFAITOUT!G46,"")&amp;IF('LUXE DRIVE'!J46&gt;=1,'LUXE DRIVE'!G46,"")&amp;IF(SSN!J46&gt;=1,SSN!G46,"")&amp;IF('W3'!J46&gt;=1,'W3'!G46,"")&amp;IF('ATHIS MONS'!J46&gt;=1,'ATHIS MONS'!G46,"")&amp;IF(INTERNES!J46&gt;=1,INTERNES!G46,"")&amp;IF('L HAY LES ROSES'!J46&gt;=1,'L HAY LES ROSES'!G46,"")&amp;IF(RUNGIS!J46&gt;=1,RUNGIS!G46,"")&amp;IF(SCEAUX!J46&gt;=1,SCEAUX!G46,"")&amp;IF('INSTANCE C1'!J46&gt;=1,'INSTANCE C1'!G46,"")&amp;IF('INSTANCE C2'!J46&gt;=1,'INSTANCE C2'!G46,"")&amp;IF('EN PANNE'!J46&gt;=1,'EN PANNE'!G46,"")&amp;IF(TJM!J46&gt;=1,TJM!G46,"")</f>
        <v/>
      </c>
      <c r="W45" s="124"/>
    </row>
    <row r="46" spans="4:29" ht="12.75" customHeight="1" x14ac:dyDescent="0.2">
      <c r="K46" s="12"/>
      <c r="T46" s="123" t="str">
        <f>IF('2S EXPRESS'!D47&gt;=1,'2S EXPRESS'!A47,"")&amp;IF('2 ZT'!D47&gt;=1,'2 ZT'!A47,"")&amp;IF('GO TRANSPORT'!D47&gt;=1,'GO TRANSPORT'!A47,"")&amp;IF('HMZ - KAIS'!D47&gt;=1,'HMZ - KAIS'!A47,"")&amp;IF('IB TRANSPORT'!D47&gt;=1,'IB TRANSPORT'!A47,"")&amp;IF(JSL!D47&gt;=1,JSL!A47,"")&amp;IF(KIFAITOUT!D47&gt;=1,KIFAITOUT!A47,"")&amp;IF('LUXE DRIVE'!D47&gt;=1,'LUXE DRIVE'!A47,"")&amp;IF(SSN!D47&gt;=1,SSN!A47,"")&amp;IF('W3'!D47&gt;=1,'W3'!A47,"")&amp;IF('ATHIS MONS'!D47&gt;=1,'ATHIS MONS'!A47,"")&amp;IF(INTERNES!D47&gt;=1,INTERNES!A47,"")&amp;IF('L HAY LES ROSES'!D47&gt;=1,'L HAY LES ROSES'!A47,"")&amp;IF(RUNGIS!D47&gt;=1,RUNGIS!A47,"")&amp;IF(SCEAUX!D47&gt;=1,SCEAUX!A47,"")&amp;IF('INSTANCE C1'!D47&gt;=1,'INSTANCE C1'!A47,"")&amp;IF('INSTANCE C2'!D47&gt;=1,'INSTANCE C2'!A47,"")&amp;IF('EN PANNE'!D47&gt;=1,'EN PANNE'!A47,"")&amp;IF(TJM!D47&gt;=1,TJM!A47,"")</f>
        <v/>
      </c>
      <c r="U46" s="124"/>
      <c r="V46" s="123" t="str">
        <f>IF('2S EXPRESS'!J47&gt;=1,'2S EXPRESS'!G47,"")&amp;IF('2 ZT'!J47&gt;=1,'2 ZT'!G47,"")&amp;IF('GO TRANSPORT'!J47&gt;=1,'GO TRANSPORT'!G47,"")&amp;IF('HMZ - KAIS'!J47&gt;=1,'HMZ - KAIS'!G47,"")&amp;IF('IB TRANSPORT'!J47&gt;=1,'IB TRANSPORT'!G47,"")&amp;IF(JSL!J47&gt;=1,JSL!G47,"")&amp;IF(KIFAITOUT!J47&gt;=1,KIFAITOUT!G47,"")&amp;IF('LUXE DRIVE'!J47&gt;=1,'LUXE DRIVE'!G47,"")&amp;IF(SSN!J47&gt;=1,SSN!G47,"")&amp;IF('W3'!J47&gt;=1,'W3'!G47,"")&amp;IF('ATHIS MONS'!J47&gt;=1,'ATHIS MONS'!G47,"")&amp;IF(INTERNES!J47&gt;=1,INTERNES!G47,"")&amp;IF('L HAY LES ROSES'!J47&gt;=1,'L HAY LES ROSES'!G47,"")&amp;IF(RUNGIS!J47&gt;=1,RUNGIS!G47,"")&amp;IF(SCEAUX!J47&gt;=1,SCEAUX!G47,"")&amp;IF('INSTANCE C1'!J47&gt;=1,'INSTANCE C1'!G47,"")&amp;IF('INSTANCE C2'!J47&gt;=1,'INSTANCE C2'!G47,"")&amp;IF('EN PANNE'!J47&gt;=1,'EN PANNE'!G47,"")&amp;IF(TJM!J47&gt;=1,TJM!G47,"")</f>
        <v/>
      </c>
      <c r="W46" s="124"/>
    </row>
    <row r="47" spans="4:29" ht="12.75" customHeight="1" x14ac:dyDescent="0.2">
      <c r="K47" s="12"/>
      <c r="T47" s="123" t="str">
        <f>IF('2S EXPRESS'!D48&gt;=1,'2S EXPRESS'!A48,"")&amp;IF('2 ZT'!D48&gt;=1,'2 ZT'!A48,"")&amp;IF('GO TRANSPORT'!D48&gt;=1,'GO TRANSPORT'!A48,"")&amp;IF('HMZ - KAIS'!D48&gt;=1,'HMZ - KAIS'!A48,"")&amp;IF('IB TRANSPORT'!D48&gt;=1,'IB TRANSPORT'!A48,"")&amp;IF(JSL!D48&gt;=1,JSL!A48,"")&amp;IF(KIFAITOUT!D48&gt;=1,KIFAITOUT!A48,"")&amp;IF('LUXE DRIVE'!D48&gt;=1,'LUXE DRIVE'!A48,"")&amp;IF(SSN!D48&gt;=1,SSN!A48,"")&amp;IF('W3'!D48&gt;=1,'W3'!A48,"")&amp;IF('ATHIS MONS'!D48&gt;=1,'ATHIS MONS'!A48,"")&amp;IF(INTERNES!D48&gt;=1,INTERNES!A48,"")&amp;IF('L HAY LES ROSES'!D48&gt;=1,'L HAY LES ROSES'!A48,"")&amp;IF(RUNGIS!D48&gt;=1,RUNGIS!A48,"")&amp;IF(SCEAUX!D48&gt;=1,SCEAUX!A48,"")&amp;IF('INSTANCE C1'!D48&gt;=1,'INSTANCE C1'!A48,"")&amp;IF('INSTANCE C2'!D48&gt;=1,'INSTANCE C2'!A48,"")&amp;IF('EN PANNE'!D48&gt;=1,'EN PANNE'!A48,"")&amp;IF(TJM!D48&gt;=1,TJM!A48,"")</f>
        <v/>
      </c>
      <c r="U47" s="124"/>
      <c r="V47" s="123" t="str">
        <f>IF('2S EXPRESS'!J48&gt;=1,'2S EXPRESS'!G48,"")&amp;IF('2 ZT'!J48&gt;=1,'2 ZT'!G48,"")&amp;IF('GO TRANSPORT'!J48&gt;=1,'GO TRANSPORT'!G48,"")&amp;IF('HMZ - KAIS'!J48&gt;=1,'HMZ - KAIS'!G48,"")&amp;IF('IB TRANSPORT'!J48&gt;=1,'IB TRANSPORT'!G48,"")&amp;IF(JSL!J48&gt;=1,JSL!G48,"")&amp;IF(KIFAITOUT!J48&gt;=1,KIFAITOUT!G48,"")&amp;IF('LUXE DRIVE'!J48&gt;=1,'LUXE DRIVE'!G48,"")&amp;IF(SSN!J48&gt;=1,SSN!G48,"")&amp;IF('W3'!J48&gt;=1,'W3'!G48,"")&amp;IF('ATHIS MONS'!J48&gt;=1,'ATHIS MONS'!G48,"")&amp;IF(INTERNES!J48&gt;=1,INTERNES!G48,"")&amp;IF('L HAY LES ROSES'!J48&gt;=1,'L HAY LES ROSES'!G48,"")&amp;IF(RUNGIS!J48&gt;=1,RUNGIS!G48,"")&amp;IF(SCEAUX!J48&gt;=1,SCEAUX!G48,"")&amp;IF('INSTANCE C1'!J48&gt;=1,'INSTANCE C1'!G48,"")&amp;IF('INSTANCE C2'!J48&gt;=1,'INSTANCE C2'!G48,"")&amp;IF('EN PANNE'!J48&gt;=1,'EN PANNE'!G48,"")&amp;IF(TJM!J48&gt;=1,TJM!G48,"")</f>
        <v/>
      </c>
      <c r="W47" s="124"/>
    </row>
    <row r="48" spans="4:29" ht="13.5" customHeight="1" x14ac:dyDescent="0.2">
      <c r="K48" s="12"/>
      <c r="T48" s="123" t="str">
        <f>IF('2S EXPRESS'!D49&gt;=1,'2S EXPRESS'!A49,"")&amp;IF('2 ZT'!D49&gt;=1,'2 ZT'!A49,"")&amp;IF('GO TRANSPORT'!D49&gt;=1,'GO TRANSPORT'!A49,"")&amp;IF('HMZ - KAIS'!D49&gt;=1,'HMZ - KAIS'!A49,"")&amp;IF('IB TRANSPORT'!D49&gt;=1,'IB TRANSPORT'!A49,"")&amp;IF(JSL!D49&gt;=1,JSL!A49,"")&amp;IF(KIFAITOUT!D49&gt;=1,KIFAITOUT!A49,"")&amp;IF('LUXE DRIVE'!D49&gt;=1,'LUXE DRIVE'!A49,"")&amp;IF(SSN!D49&gt;=1,SSN!A49,"")&amp;IF('W3'!D49&gt;=1,'W3'!A49,"")&amp;IF('ATHIS MONS'!D49&gt;=1,'ATHIS MONS'!A49,"")&amp;IF(INTERNES!D49&gt;=1,INTERNES!A49,"")&amp;IF('L HAY LES ROSES'!D49&gt;=1,'L HAY LES ROSES'!A49,"")&amp;IF(RUNGIS!D49&gt;=1,RUNGIS!A49,"")&amp;IF(SCEAUX!D49&gt;=1,SCEAUX!A49,"")&amp;IF('INSTANCE C1'!D49&gt;=1,'INSTANCE C1'!A49,"")&amp;IF('INSTANCE C2'!D49&gt;=1,'INSTANCE C2'!A49,"")&amp;IF('EN PANNE'!D49&gt;=1,'EN PANNE'!A49,"")&amp;IF(TJM!D49&gt;=1,TJM!A49,"")</f>
        <v/>
      </c>
      <c r="U48" s="124"/>
      <c r="V48" s="123" t="str">
        <f>IF('2S EXPRESS'!J49&gt;=1,'2S EXPRESS'!G49,"")&amp;IF('2 ZT'!J49&gt;=1,'2 ZT'!G49,"")&amp;IF('GO TRANSPORT'!J49&gt;=1,'GO TRANSPORT'!G49,"")&amp;IF('HMZ - KAIS'!J49&gt;=1,'HMZ - KAIS'!G49,"")&amp;IF('IB TRANSPORT'!J49&gt;=1,'IB TRANSPORT'!G49,"")&amp;IF(JSL!J49&gt;=1,JSL!G49,"")&amp;IF(KIFAITOUT!J49&gt;=1,KIFAITOUT!G49,"")&amp;IF('LUXE DRIVE'!J49&gt;=1,'LUXE DRIVE'!G49,"")&amp;IF(SSN!J49&gt;=1,SSN!G49,"")&amp;IF('W3'!J49&gt;=1,'W3'!G49,"")&amp;IF('ATHIS MONS'!J49&gt;=1,'ATHIS MONS'!G49,"")&amp;IF(INTERNES!J49&gt;=1,INTERNES!G49,"")&amp;IF('L HAY LES ROSES'!J49&gt;=1,'L HAY LES ROSES'!G49,"")&amp;IF(RUNGIS!J49&gt;=1,RUNGIS!G49,"")&amp;IF(SCEAUX!J49&gt;=1,SCEAUX!G49,"")&amp;IF('INSTANCE C1'!J49&gt;=1,'INSTANCE C1'!G49,"")&amp;IF('INSTANCE C2'!J49&gt;=1,'INSTANCE C2'!G49,"")&amp;IF('EN PANNE'!J49&gt;=1,'EN PANNE'!G49,"")&amp;IF(TJM!J49&gt;=1,TJM!G49,"")</f>
        <v/>
      </c>
      <c r="W48" s="124"/>
    </row>
    <row r="49" spans="11:23" ht="12.75" customHeight="1" x14ac:dyDescent="0.2">
      <c r="K49" s="13"/>
      <c r="T49" s="123" t="str">
        <f>IF('2S EXPRESS'!D50&gt;=1,'2S EXPRESS'!A50,"")&amp;IF('2 ZT'!D50&gt;=1,'2 ZT'!A50,"")&amp;IF('GO TRANSPORT'!D50&gt;=1,'GO TRANSPORT'!A50,"")&amp;IF('HMZ - KAIS'!D50&gt;=1,'HMZ - KAIS'!A50,"")&amp;IF('IB TRANSPORT'!D50&gt;=1,'IB TRANSPORT'!A50,"")&amp;IF(JSL!D50&gt;=1,JSL!A50,"")&amp;IF(KIFAITOUT!D50&gt;=1,KIFAITOUT!A50,"")&amp;IF('LUXE DRIVE'!D50&gt;=1,'LUXE DRIVE'!A50,"")&amp;IF(SSN!D50&gt;=1,SSN!A50,"")&amp;IF('W3'!D50&gt;=1,'W3'!A50,"")&amp;IF('ATHIS MONS'!D50&gt;=1,'ATHIS MONS'!A50,"")&amp;IF(INTERNES!D50&gt;=1,INTERNES!A50,"")&amp;IF('L HAY LES ROSES'!D50&gt;=1,'L HAY LES ROSES'!A50,"")&amp;IF(RUNGIS!D50&gt;=1,RUNGIS!A50,"")&amp;IF(SCEAUX!D50&gt;=1,SCEAUX!A50,"")&amp;IF('INSTANCE C1'!D50&gt;=1,'INSTANCE C1'!A50,"")&amp;IF('INSTANCE C2'!D50&gt;=1,'INSTANCE C2'!A50,"")&amp;IF('EN PANNE'!D50&gt;=1,'EN PANNE'!A50,"")&amp;IF(TJM!D50&gt;=1,TJM!A50,"")</f>
        <v/>
      </c>
      <c r="U49" s="124"/>
      <c r="V49" s="123" t="str">
        <f>IF('2S EXPRESS'!J50&gt;=1,'2S EXPRESS'!G50,"")&amp;IF('2 ZT'!J50&gt;=1,'2 ZT'!G50,"")&amp;IF('GO TRANSPORT'!J50&gt;=1,'GO TRANSPORT'!G50,"")&amp;IF('HMZ - KAIS'!J50&gt;=1,'HMZ - KAIS'!G50,"")&amp;IF('IB TRANSPORT'!J50&gt;=1,'IB TRANSPORT'!G50,"")&amp;IF(JSL!J50&gt;=1,JSL!G50,"")&amp;IF(KIFAITOUT!J50&gt;=1,KIFAITOUT!G50,"")&amp;IF('LUXE DRIVE'!J50&gt;=1,'LUXE DRIVE'!G50,"")&amp;IF(SSN!J50&gt;=1,SSN!G50,"")&amp;IF('W3'!J50&gt;=1,'W3'!G50,"")&amp;IF('ATHIS MONS'!J50&gt;=1,'ATHIS MONS'!G50,"")&amp;IF(INTERNES!J50&gt;=1,INTERNES!G50,"")&amp;IF('L HAY LES ROSES'!J50&gt;=1,'L HAY LES ROSES'!G50,"")&amp;IF(RUNGIS!J50&gt;=1,RUNGIS!G50,"")&amp;IF(SCEAUX!J50&gt;=1,SCEAUX!G50,"")&amp;IF('INSTANCE C1'!J50&gt;=1,'INSTANCE C1'!G50,"")&amp;IF('INSTANCE C2'!J50&gt;=1,'INSTANCE C2'!G50,"")&amp;IF('EN PANNE'!J50&gt;=1,'EN PANNE'!G50,"")&amp;IF(TJM!J50&gt;=1,TJM!G50,"")</f>
        <v/>
      </c>
      <c r="W49" s="124"/>
    </row>
    <row r="50" spans="11:23" ht="12.75" customHeight="1" thickBot="1" x14ac:dyDescent="0.25">
      <c r="K50" s="13"/>
      <c r="T50" s="125" t="str">
        <f>IF('2S EXPRESS'!D51&gt;=1,'2S EXPRESS'!A51,"")&amp;IF('2 ZT'!D51&gt;=1,'2 ZT'!A51,"")&amp;IF('GO TRANSPORT'!D51&gt;=1,'GO TRANSPORT'!A51,"")&amp;IF('HMZ - KAIS'!D51&gt;=1,'HMZ - KAIS'!A51,"")&amp;IF('IB TRANSPORT'!D51&gt;=1,'IB TRANSPORT'!A51,"")&amp;IF(JSL!D51&gt;=1,JSL!A51,"")&amp;IF(KIFAITOUT!D51&gt;=1,KIFAITOUT!A51,"")&amp;IF('LUXE DRIVE'!D51&gt;=1,'LUXE DRIVE'!A51,"")&amp;IF(SSN!D51&gt;=1,SSN!A51,"")&amp;IF('W3'!D51&gt;=1,'W3'!A51,"")&amp;IF('ATHIS MONS'!D51&gt;=1,'ATHIS MONS'!A51,"")&amp;IF(INTERNES!D51&gt;=1,INTERNES!A51,"")&amp;IF('L HAY LES ROSES'!D51&gt;=1,'L HAY LES ROSES'!A51,"")&amp;IF(RUNGIS!D51&gt;=1,RUNGIS!A51,"")&amp;IF(SCEAUX!D51&gt;=1,SCEAUX!A51,"")&amp;IF('INSTANCE C1'!D51&gt;=1,'INSTANCE C1'!A51,"")&amp;IF('INSTANCE C2'!D51&gt;=1,'INSTANCE C2'!A51,"")&amp;IF('EN PANNE'!D51&gt;=1,'EN PANNE'!A51,"")&amp;IF(TJM!D51&gt;=1,TJM!A51,"")</f>
        <v/>
      </c>
      <c r="U50" s="126"/>
      <c r="V50" s="125" t="str">
        <f>IF('2S EXPRESS'!J51&gt;=1,'2S EXPRESS'!G51,"")&amp;IF('2 ZT'!J51&gt;=1,'2 ZT'!G51,"")&amp;IF('GO TRANSPORT'!J51&gt;=1,'GO TRANSPORT'!G51,"")&amp;IF('HMZ - KAIS'!J51&gt;=1,'HMZ - KAIS'!G51,"")&amp;IF('IB TRANSPORT'!J51&gt;=1,'IB TRANSPORT'!G51,"")&amp;IF(JSL!J51&gt;=1,JSL!G51,"")&amp;IF(KIFAITOUT!J51&gt;=1,KIFAITOUT!G51,"")&amp;IF('LUXE DRIVE'!J51&gt;=1,'LUXE DRIVE'!G51,"")&amp;IF(SSN!J51&gt;=1,SSN!G51,"")&amp;IF('W3'!J51&gt;=1,'W3'!G51,"")&amp;IF('ATHIS MONS'!J51&gt;=1,'ATHIS MONS'!G51,"")&amp;IF(INTERNES!J51&gt;=1,INTERNES!G51,"")&amp;IF('L HAY LES ROSES'!J51&gt;=1,'L HAY LES ROSES'!G51,"")&amp;IF(RUNGIS!J51&gt;=1,RUNGIS!G51,"")&amp;IF(SCEAUX!J51&gt;=1,SCEAUX!G51,"")&amp;IF('INSTANCE C1'!J51&gt;=1,'INSTANCE C1'!G51,"")&amp;IF('INSTANCE C2'!J51&gt;=1,'INSTANCE C2'!G51,"")&amp;IF('EN PANNE'!J51&gt;=1,'EN PANNE'!G51,"")&amp;IF(TJM!J51&gt;=1,TJM!G51,"")</f>
        <v/>
      </c>
      <c r="W50" s="126"/>
    </row>
    <row r="51" spans="11:23" ht="12.75" customHeight="1" x14ac:dyDescent="0.2">
      <c r="K51" s="13"/>
    </row>
    <row r="52" spans="11:23" ht="13.5" customHeight="1" x14ac:dyDescent="0.2">
      <c r="K52" s="13"/>
    </row>
  </sheetData>
  <mergeCells count="147">
    <mergeCell ref="T37:U37"/>
    <mergeCell ref="V37:W37"/>
    <mergeCell ref="T38:U38"/>
    <mergeCell ref="V38:W38"/>
    <mergeCell ref="T39:U39"/>
    <mergeCell ref="V39:W39"/>
    <mergeCell ref="T43:U43"/>
    <mergeCell ref="V43:W43"/>
    <mergeCell ref="T34:U34"/>
    <mergeCell ref="V34:W34"/>
    <mergeCell ref="T35:U35"/>
    <mergeCell ref="V35:W35"/>
    <mergeCell ref="T36:U36"/>
    <mergeCell ref="V36:W36"/>
    <mergeCell ref="I4:I8"/>
    <mergeCell ref="I10:I14"/>
    <mergeCell ref="I16:I20"/>
    <mergeCell ref="I22:I26"/>
    <mergeCell ref="T33:U33"/>
    <mergeCell ref="V33:W33"/>
    <mergeCell ref="T28:U28"/>
    <mergeCell ref="V28:W28"/>
    <mergeCell ref="T29:U29"/>
    <mergeCell ref="V29:W29"/>
    <mergeCell ref="V15:W15"/>
    <mergeCell ref="V16:W16"/>
    <mergeCell ref="V17:W17"/>
    <mergeCell ref="V18:W18"/>
    <mergeCell ref="V19:W19"/>
    <mergeCell ref="T31:U31"/>
    <mergeCell ref="V31:W31"/>
    <mergeCell ref="T32:U32"/>
    <mergeCell ref="T30:U30"/>
    <mergeCell ref="V30:W30"/>
    <mergeCell ref="T10:U10"/>
    <mergeCell ref="T11:U11"/>
    <mergeCell ref="T12:U12"/>
    <mergeCell ref="T13:U13"/>
    <mergeCell ref="T20:U20"/>
    <mergeCell ref="V26:W26"/>
    <mergeCell ref="V27:W27"/>
    <mergeCell ref="V23:W23"/>
    <mergeCell ref="V24:W24"/>
    <mergeCell ref="T26:U26"/>
    <mergeCell ref="T27:U27"/>
    <mergeCell ref="T22:U22"/>
    <mergeCell ref="T24:U24"/>
    <mergeCell ref="T25:U25"/>
    <mergeCell ref="V8:W8"/>
    <mergeCell ref="V9:W9"/>
    <mergeCell ref="V10:W10"/>
    <mergeCell ref="V11:W11"/>
    <mergeCell ref="V12:W12"/>
    <mergeCell ref="V13:W13"/>
    <mergeCell ref="V14:W14"/>
    <mergeCell ref="V32:W32"/>
    <mergeCell ref="V25:W25"/>
    <mergeCell ref="M16:M20"/>
    <mergeCell ref="L22:L26"/>
    <mergeCell ref="M22:M26"/>
    <mergeCell ref="V20:W20"/>
    <mergeCell ref="V21:W21"/>
    <mergeCell ref="V22:W22"/>
    <mergeCell ref="N4:N9"/>
    <mergeCell ref="O4:O9"/>
    <mergeCell ref="P4:Q9"/>
    <mergeCell ref="T21:U21"/>
    <mergeCell ref="T23:U23"/>
    <mergeCell ref="T9:U9"/>
    <mergeCell ref="Q15:R18"/>
    <mergeCell ref="T6:U6"/>
    <mergeCell ref="T7:U7"/>
    <mergeCell ref="T8:U8"/>
    <mergeCell ref="T14:U14"/>
    <mergeCell ref="T15:U15"/>
    <mergeCell ref="T16:U16"/>
    <mergeCell ref="T17:U17"/>
    <mergeCell ref="T18:U18"/>
    <mergeCell ref="T19:U19"/>
    <mergeCell ref="V6:W6"/>
    <mergeCell ref="V7:W7"/>
    <mergeCell ref="H28:H32"/>
    <mergeCell ref="D28:D32"/>
    <mergeCell ref="N24:O27"/>
    <mergeCell ref="Q11:R14"/>
    <mergeCell ref="N20:O23"/>
    <mergeCell ref="N11:O14"/>
    <mergeCell ref="N15:O18"/>
    <mergeCell ref="D4:D8"/>
    <mergeCell ref="D10:D14"/>
    <mergeCell ref="H4:H8"/>
    <mergeCell ref="H16:H20"/>
    <mergeCell ref="H10:H14"/>
    <mergeCell ref="E10:E14"/>
    <mergeCell ref="E4:E8"/>
    <mergeCell ref="E16:E20"/>
    <mergeCell ref="E22:E26"/>
    <mergeCell ref="D22:D26"/>
    <mergeCell ref="D16:D20"/>
    <mergeCell ref="H22:H26"/>
    <mergeCell ref="L4:L8"/>
    <mergeCell ref="M4:M8"/>
    <mergeCell ref="L10:L14"/>
    <mergeCell ref="M10:M14"/>
    <mergeCell ref="L16:L20"/>
    <mergeCell ref="T50:U50"/>
    <mergeCell ref="V50:W50"/>
    <mergeCell ref="T4:W4"/>
    <mergeCell ref="T5:U5"/>
    <mergeCell ref="V5:W5"/>
    <mergeCell ref="T45:U45"/>
    <mergeCell ref="V45:W45"/>
    <mergeCell ref="D1:F3"/>
    <mergeCell ref="B1:C3"/>
    <mergeCell ref="D34:D38"/>
    <mergeCell ref="H34:H38"/>
    <mergeCell ref="N30:R32"/>
    <mergeCell ref="E28:E32"/>
    <mergeCell ref="E34:E38"/>
    <mergeCell ref="M28:M32"/>
    <mergeCell ref="L34:L38"/>
    <mergeCell ref="M34:M38"/>
    <mergeCell ref="I34:I38"/>
    <mergeCell ref="I28:I32"/>
    <mergeCell ref="P36:R38"/>
    <mergeCell ref="N36:O38"/>
    <mergeCell ref="L28:L32"/>
    <mergeCell ref="N33:O35"/>
    <mergeCell ref="P33:R35"/>
    <mergeCell ref="D40:D44"/>
    <mergeCell ref="E40:E44"/>
    <mergeCell ref="T46:U46"/>
    <mergeCell ref="V46:W46"/>
    <mergeCell ref="T47:U47"/>
    <mergeCell ref="V47:W47"/>
    <mergeCell ref="T48:U48"/>
    <mergeCell ref="V48:W48"/>
    <mergeCell ref="T49:U49"/>
    <mergeCell ref="V49:W49"/>
    <mergeCell ref="T44:U44"/>
    <mergeCell ref="V44:W44"/>
    <mergeCell ref="T40:U40"/>
    <mergeCell ref="V40:W40"/>
    <mergeCell ref="T41:U41"/>
    <mergeCell ref="V41:W41"/>
    <mergeCell ref="T42:U42"/>
    <mergeCell ref="V42:W42"/>
  </mergeCells>
  <conditionalFormatting sqref="N24">
    <cfRule type="cellIs" dxfId="235" priority="85" operator="greaterThan">
      <formula>0</formula>
    </cfRule>
  </conditionalFormatting>
  <conditionalFormatting sqref="D4:D8">
    <cfRule type="notContainsText" dxfId="234" priority="79" operator="notContains" text="OK">
      <formula>ISERROR(SEARCH("OK",D4))</formula>
    </cfRule>
    <cfRule type="containsText" dxfId="233" priority="80" operator="containsText" text="OK">
      <formula>NOT(ISERROR(SEARCH("OK",D4)))</formula>
    </cfRule>
  </conditionalFormatting>
  <conditionalFormatting sqref="D28:D32">
    <cfRule type="notContainsText" dxfId="232" priority="41" operator="notContains" text="OK">
      <formula>ISERROR(SEARCH("OK",D28))</formula>
    </cfRule>
    <cfRule type="containsText" dxfId="231" priority="42" operator="containsText" text="OK">
      <formula>NOT(ISERROR(SEARCH("OK",D28)))</formula>
    </cfRule>
  </conditionalFormatting>
  <conditionalFormatting sqref="H4:H8">
    <cfRule type="notContainsText" dxfId="230" priority="35" operator="notContains" text="OK">
      <formula>ISERROR(SEARCH("OK",H4))</formula>
    </cfRule>
    <cfRule type="containsText" dxfId="229" priority="36" operator="containsText" text="OK">
      <formula>NOT(ISERROR(SEARCH("OK",H4)))</formula>
    </cfRule>
  </conditionalFormatting>
  <conditionalFormatting sqref="D16:D20">
    <cfRule type="notContainsText" dxfId="228" priority="45" operator="notContains" text="OK">
      <formula>ISERROR(SEARCH("OK",D16))</formula>
    </cfRule>
    <cfRule type="containsText" dxfId="227" priority="46" operator="containsText" text="OK">
      <formula>NOT(ISERROR(SEARCH("OK",D16)))</formula>
    </cfRule>
  </conditionalFormatting>
  <conditionalFormatting sqref="D34:D38">
    <cfRule type="notContainsText" dxfId="226" priority="39" operator="notContains" text="OK">
      <formula>ISERROR(SEARCH("OK",D34))</formula>
    </cfRule>
    <cfRule type="containsText" dxfId="225" priority="40" operator="containsText" text="OK">
      <formula>NOT(ISERROR(SEARCH("OK",D34)))</formula>
    </cfRule>
  </conditionalFormatting>
  <conditionalFormatting sqref="D22:D26">
    <cfRule type="notContainsText" dxfId="224" priority="43" operator="notContains" text="OK">
      <formula>ISERROR(SEARCH("OK",D22))</formula>
    </cfRule>
    <cfRule type="containsText" dxfId="223" priority="44" operator="containsText" text="OK">
      <formula>NOT(ISERROR(SEARCH("OK",D22)))</formula>
    </cfRule>
  </conditionalFormatting>
  <conditionalFormatting sqref="D10:D14">
    <cfRule type="notContainsText" dxfId="222" priority="47" operator="notContains" text="OK">
      <formula>ISERROR(SEARCH("OK",D10))</formula>
    </cfRule>
    <cfRule type="containsText" dxfId="221" priority="48" operator="containsText" text="OK">
      <formula>NOT(ISERROR(SEARCH("OK",D10)))</formula>
    </cfRule>
  </conditionalFormatting>
  <conditionalFormatting sqref="H10:H14">
    <cfRule type="notContainsText" dxfId="220" priority="33" operator="notContains" text="OK">
      <formula>ISERROR(SEARCH("OK",H10))</formula>
    </cfRule>
    <cfRule type="containsText" dxfId="219" priority="34" operator="containsText" text="OK">
      <formula>NOT(ISERROR(SEARCH("OK",H10)))</formula>
    </cfRule>
  </conditionalFormatting>
  <conditionalFormatting sqref="L28:L32">
    <cfRule type="notContainsText" dxfId="218" priority="9" operator="notContains" text="OK">
      <formula>ISERROR(SEARCH("OK",L28))</formula>
    </cfRule>
    <cfRule type="containsText" dxfId="217" priority="10" operator="containsText" text="OK">
      <formula>NOT(ISERROR(SEARCH("OK",L28)))</formula>
    </cfRule>
  </conditionalFormatting>
  <conditionalFormatting sqref="H16:H20">
    <cfRule type="notContainsText" dxfId="216" priority="29" operator="notContains" text="OK">
      <formula>ISERROR(SEARCH("OK",H16))</formula>
    </cfRule>
    <cfRule type="containsText" dxfId="215" priority="30" operator="containsText" text="OK">
      <formula>NOT(ISERROR(SEARCH("OK",H16)))</formula>
    </cfRule>
  </conditionalFormatting>
  <conditionalFormatting sqref="H22:H26">
    <cfRule type="notContainsText" dxfId="214" priority="27" operator="notContains" text="OK">
      <formula>ISERROR(SEARCH("OK",H22))</formula>
    </cfRule>
    <cfRule type="containsText" dxfId="213" priority="28" operator="containsText" text="OK">
      <formula>NOT(ISERROR(SEARCH("OK",H22)))</formula>
    </cfRule>
  </conditionalFormatting>
  <conditionalFormatting sqref="L10">
    <cfRule type="notContainsText" dxfId="212" priority="19" operator="notContains" text="OK">
      <formula>ISERROR(SEARCH("OK",L10))</formula>
    </cfRule>
    <cfRule type="containsText" dxfId="211" priority="20" operator="containsText" text="OK">
      <formula>NOT(ISERROR(SEARCH("OK",L10)))</formula>
    </cfRule>
  </conditionalFormatting>
  <conditionalFormatting sqref="L4">
    <cfRule type="notContainsText" dxfId="210" priority="21" operator="notContains" text="OK">
      <formula>ISERROR(SEARCH("OK",L4))</formula>
    </cfRule>
    <cfRule type="containsText" dxfId="209" priority="22" operator="containsText" text="OK">
      <formula>NOT(ISERROR(SEARCH("OK",L4)))</formula>
    </cfRule>
  </conditionalFormatting>
  <conditionalFormatting sqref="L16">
    <cfRule type="notContainsText" dxfId="208" priority="17" operator="notContains" text="OK">
      <formula>ISERROR(SEARCH("OK",L16))</formula>
    </cfRule>
    <cfRule type="containsText" dxfId="207" priority="18" operator="containsText" text="OK">
      <formula>NOT(ISERROR(SEARCH("OK",L16)))</formula>
    </cfRule>
  </conditionalFormatting>
  <conditionalFormatting sqref="L22">
    <cfRule type="notContainsText" dxfId="206" priority="15" operator="notContains" text="OK">
      <formula>ISERROR(SEARCH("OK",L22))</formula>
    </cfRule>
    <cfRule type="containsText" dxfId="205" priority="16" operator="containsText" text="OK">
      <formula>NOT(ISERROR(SEARCH("OK",L22)))</formula>
    </cfRule>
  </conditionalFormatting>
  <conditionalFormatting sqref="H34:H38">
    <cfRule type="notContainsText" dxfId="204" priority="11" operator="notContains" text="OK">
      <formula>ISERROR(SEARCH("OK",H34))</formula>
    </cfRule>
    <cfRule type="containsText" dxfId="203" priority="12" operator="containsText" text="OK">
      <formula>NOT(ISERROR(SEARCH("OK",H34)))</formula>
    </cfRule>
  </conditionalFormatting>
  <conditionalFormatting sqref="H28:H32">
    <cfRule type="notContainsText" dxfId="202" priority="7" operator="notContains" text="OK">
      <formula>ISERROR(SEARCH("OK",H28))</formula>
    </cfRule>
    <cfRule type="containsText" dxfId="201" priority="8" operator="containsText" text="OK">
      <formula>NOT(ISERROR(SEARCH("OK",H28)))</formula>
    </cfRule>
  </conditionalFormatting>
  <conditionalFormatting sqref="S20:S21">
    <cfRule type="containsText" dxfId="200" priority="5" operator="containsText" text="FAUX">
      <formula>NOT(ISERROR(SEARCH("FAUX",S20)))</formula>
    </cfRule>
    <cfRule type="containsText" dxfId="199" priority="6" operator="containsText" text="VRAI">
      <formula>NOT(ISERROR(SEARCH("VRAI",S20)))</formula>
    </cfRule>
  </conditionalFormatting>
  <conditionalFormatting sqref="L34:L38">
    <cfRule type="notContainsText" dxfId="198" priority="3" operator="notContains" text="OK">
      <formula>ISERROR(SEARCH("OK",L34))</formula>
    </cfRule>
    <cfRule type="containsText" dxfId="197" priority="4" operator="containsText" text="OK">
      <formula>NOT(ISERROR(SEARCH("OK",L34)))</formula>
    </cfRule>
  </conditionalFormatting>
  <conditionalFormatting sqref="D40:D44">
    <cfRule type="notContainsText" dxfId="196" priority="1" operator="notContains" text="OK">
      <formula>ISERROR(SEARCH("OK",D40))</formula>
    </cfRule>
    <cfRule type="containsText" dxfId="195" priority="2" operator="containsText" text="OK">
      <formula>NOT(ISERROR(SEARCH("OK",D40)))</formula>
    </cfRule>
  </conditionalFormatting>
  <dataValidations count="2">
    <dataValidation type="list" allowBlank="1" showInputMessage="1" showErrorMessage="1" sqref="N4:N9" xr:uid="{EA401012-0335-45C5-9FF3-2728D8C6C13F}">
      <formula1>$Y$4:$Y$34</formula1>
    </dataValidation>
    <dataValidation type="list" allowBlank="1" showInputMessage="1" showErrorMessage="1" sqref="O4:O9" xr:uid="{DBD2478F-BB31-4D89-9A0C-C68E4ADF6EE3}">
      <formula1>$Z$4:$Z$15</formula1>
    </dataValidation>
  </dataValidations>
  <pageMargins left="0.7" right="0.7" top="0.75" bottom="0.75" header="0.3" footer="0.3"/>
  <pageSetup paperSize="9" orientation="landscape" horizontalDpi="4294967293" r:id="rId1"/>
  <ignoredErrors>
    <ignoredError sqref="Y4:Y5 Y6:Y12 Z4:Z12 O4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1">
    <tabColor rgb="FF92D050"/>
    <pageSetUpPr fitToPage="1"/>
  </sheetPr>
  <dimension ref="A1:Z53"/>
  <sheetViews>
    <sheetView showGridLines="0" zoomScaleNormal="100" workbookViewId="0">
      <selection activeCell="E16" sqref="E16"/>
    </sheetView>
  </sheetViews>
  <sheetFormatPr baseColWidth="10" defaultColWidth="11.42578125" defaultRowHeight="12.75" x14ac:dyDescent="0.2"/>
  <cols>
    <col min="1" max="1" width="25.7109375" style="9" customWidth="1"/>
    <col min="2" max="3" width="10.7109375" style="9" hidden="1" customWidth="1"/>
    <col min="4" max="4" width="7.7109375" style="9" customWidth="1"/>
    <col min="5" max="5" width="50.7109375" style="9" customWidth="1"/>
    <col min="6" max="6" width="13.7109375" style="9" customWidth="1"/>
    <col min="7" max="7" width="25.7109375" style="9" customWidth="1"/>
    <col min="8" max="9" width="10.7109375" style="9" hidden="1" customWidth="1"/>
    <col min="10" max="10" width="7.7109375" style="9" customWidth="1"/>
    <col min="11" max="11" width="50.7109375" style="9" customWidth="1"/>
    <col min="12" max="16" width="7.7109375" style="9" customWidth="1"/>
    <col min="17" max="17" width="22.7109375" style="9" hidden="1" customWidth="1"/>
    <col min="18" max="20" width="7.7109375" style="56" hidden="1" customWidth="1"/>
    <col min="21" max="21" width="11.7109375" style="56" customWidth="1"/>
    <col min="22" max="22" width="12.5703125" style="56" bestFit="1" customWidth="1"/>
    <col min="23" max="26" width="11.42578125" style="56"/>
    <col min="27" max="16384" width="11.42578125" style="9"/>
  </cols>
  <sheetData>
    <row r="1" spans="1:26" ht="13.5" thickBot="1" x14ac:dyDescent="0.25">
      <c r="A1" s="33"/>
      <c r="B1" s="34"/>
      <c r="C1" s="34"/>
      <c r="D1" s="34"/>
      <c r="E1" s="35"/>
      <c r="F1" s="35"/>
      <c r="G1" s="10"/>
      <c r="H1" s="10"/>
      <c r="I1" s="10"/>
      <c r="J1" s="10"/>
      <c r="K1" s="34"/>
    </row>
    <row r="2" spans="1:26" s="39" customFormat="1" ht="24.95" customHeight="1" x14ac:dyDescent="0.2">
      <c r="A2" s="36"/>
      <c r="B2" s="194" t="s">
        <v>17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38"/>
      <c r="S2" s="38"/>
      <c r="T2" s="38"/>
      <c r="U2" s="38"/>
      <c r="V2" s="71"/>
      <c r="W2" s="71"/>
      <c r="X2" s="71"/>
      <c r="Y2" s="71"/>
      <c r="Z2" s="71"/>
    </row>
    <row r="3" spans="1:26" s="39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38"/>
      <c r="S3" s="38"/>
      <c r="T3" s="38"/>
      <c r="U3" s="38"/>
      <c r="V3" s="71"/>
      <c r="W3" s="71"/>
      <c r="X3" s="71"/>
      <c r="Y3" s="71"/>
      <c r="Z3" s="71"/>
    </row>
    <row r="4" spans="1:26" s="39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71"/>
      <c r="X4" s="71"/>
      <c r="Y4" s="71"/>
      <c r="Z4" s="71"/>
    </row>
    <row r="5" spans="1:26" s="39" customFormat="1" ht="30.75" customHeight="1" x14ac:dyDescent="0.2">
      <c r="A5" s="210" t="s">
        <v>19</v>
      </c>
      <c r="B5" s="58"/>
      <c r="C5" s="58"/>
      <c r="D5" s="58"/>
      <c r="E5" s="212" t="s">
        <v>20</v>
      </c>
      <c r="F5" s="214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71"/>
      <c r="X5" s="71"/>
      <c r="Y5" s="71"/>
      <c r="Z5" s="71"/>
    </row>
    <row r="6" spans="1:26" ht="13.5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  <c r="R6" s="72"/>
      <c r="S6" s="72"/>
      <c r="T6" s="72"/>
      <c r="U6" s="72"/>
    </row>
    <row r="7" spans="1:26" ht="24.95" customHeight="1" thickBot="1" x14ac:dyDescent="0.25">
      <c r="A7" s="1"/>
      <c r="B7" s="23">
        <f>(COUNTIF('2S EXPRESS'!$A$7:$A$50,'2S EXPRESS'!A7))+(COUNTIF('2 ZT'!$A$7:$A$50,'2S EXPRESS'!A7))+(COUNTIF('GO TRANSPORT'!$A$7:$A$50,'2S EXPRESS'!A7))+(COUNTIF('HMZ - KAIS'!$A$7:$A$50,'2S EXPRESS'!A7))+(COUNTIF('IB TRANSPORT'!$A$7:$A$50,'2S EXPRESS'!A7))+(COUNTIF(JSL!$A$7:$A$50,'2S EXPRESS'!A7))+(COUNTIF(KIFAITOUT!$A$7:$A$50,'2S EXPRESS'!A7))+(COUNTIF('LUXE DRIVE'!$A$7:$A$50,'2S EXPRESS'!A7))+(COUNTIF(SSN!$A$7:$A$50,'2S EXPRESS'!A7))+(COUNTIF('W3'!$A$7:$A$50,'2S EXPRESS'!A7))+(COUNTIF('ATHIS MONS'!$A$7:$A$50,'2S EXPRESS'!A7))+(COUNTIF('L HAY LES ROSES'!$A$7:$A$50,'2S EXPRESS'!A7))+(COUNTIF(RUNGIS!$A$7:$A$50,'2S EXPRESS'!A7))+(COUNTIF(SCEAUX!$A$7:$A$50,'2S EXPRESS'!A7))+(COUNTIF('INSTANCE C1'!$A$7:$A$50,'2S EXPRESS'!A7))+(COUNTIF('INSTANCE C2'!$A$7:$A$50,'2S EXPRESS'!A7))+(COUNTIF(INTERNES!$A$7:$A$50,'2S EXPRESS'!A7))+(COUNTIF('EN PANNE'!$A$7:$A$50,'2S EXPRESS'!A7))+(COUNTIF(TJM!$A$7:$A$50,'2S EXPRESS'!A7))-C7</f>
        <v>0</v>
      </c>
      <c r="C7" s="23">
        <f>(COUNTIF('2S EXPRESS'!$G$7:$G$50,'2S EXPRESS'!A7))+(COUNTIF('2 ZT'!$G$7:$G$50,'2S EXPRESS'!A7))+(COUNTIF('GO TRANSPORT'!$G$7:$G$50,'2S EXPRESS'!A7))+(COUNTIF('2S EXPRESS'!$G$7:$G$50,'2S EXPRESS'!A7))+(COUNTIF('IB TRANSPORT'!$G$7:$G$50,'2S EXPRESS'!A7))+(COUNTIF(JSL!$G$7:$G$50,'2S EXPRESS'!A7))+(COUNTIF(KIFAITOUT!$G$7:$G$50,'2S EXPRESS'!A7))+(COUNTIF('LUXE DRIVE'!$G$7:$G$50,'2S EXPRESS'!A7))+(COUNTIF(SSN!$G$7:$G$50,'2S EXPRESS'!A7))+(COUNTIF('W3'!$G$7:$G$50,'2S EXPRESS'!A7))+(COUNTIF('ATHIS MONS'!$G$7:$G$50,'2S EXPRESS'!A7))+(COUNTIF('L HAY LES ROSES'!$G$7:$G$50,'2S EXPRESS'!A7))+(COUNTIF(RUNGIS!$G$7:$G$50,'2S EXPRESS'!A7))+(COUNTIF(SCEAUX!$G$7:$G$50,'2S EXPRESS'!A7))+(COUNTIF('INSTANCE C1'!$G$7:$G$50,'2S EXPRESS'!A7))+(COUNTIF('INSTANCE C2'!$G$7:$G$50,'2S EXPRESS'!A7))+(COUNTIF(INTERNES!$G$7:$G$50,'2S EXPRESS'!A7))+(COUNTIF('EN PANNE'!$G$7:$G$50,'2S EXPRESS'!A7))+(COUNTIF(TJM!$G$7:$G$50,'2S EXPRESS'!A7))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EXPRESS'!$G$7:$G$50,'2S EXPRESS'!G7))+(COUNTIF('2 ZT'!$G$7:$G$50,'2S EXPRESS'!G7))+(COUNTIF('GO TRANSPORT'!$G$7:$G$50,'2S EXPRESS'!G7))+(COUNTIF('HMZ - KAIS'!$G$7:$G$50,'2S EXPRESS'!G7))+(COUNTIF('IB TRANSPORT'!$G$7:$G$50,'2S EXPRESS'!G7))+(COUNTIF(JSL!$G$7:$G$50,'2S EXPRESS'!G7))+(COUNTIF(KIFAITOUT!$G$7:$G$50,'2S EXPRESS'!G7))+(COUNTIF('LUXE DRIVE'!$G$7:$G$50,'2S EXPRESS'!G7))+(COUNTIF(SSN!$G$7:$G$50,'2S EXPRESS'!G7))+(COUNTIF('W3'!$G$7:$G$50,'2S EXPRESS'!G7))+(COUNTIF('ATHIS MONS'!$G$7:$G$50,'2S EXPRESS'!G7))+(COUNTIF('L HAY LES ROSES'!$G$7:$G$50,'2S EXPRESS'!G7))+(COUNTIF(RUNGIS!$G$7:$G$50,'2S EXPRESS'!G7))+(COUNTIF(SCEAUX!$G$7:$G$50,'2S EXPRESS'!G7))+(COUNTIF('INSTANCE C1'!$G$7:$G$50,'2S EXPRESS'!G7))+(COUNTIF('INSTANCE C2'!$G$7:$G$50,'2S EXPRESS'!G7))+(COUNTIF(INTERNES!$G$7:$G$50,'2S EXPRESS'!G7))+(COUNTIF('EN PANNE'!$G$7:$G$50,'2S EXPRESS'!G7))+(COUNTIF(TJM!$G$7:$G$50,'2S EXPRESS'!G7))-I7</f>
        <v>0</v>
      </c>
      <c r="I7" s="23">
        <f>(COUNTIF('2S EXPRESS'!$A$7:$A$50,'2S EXPRESS'!G7))+(COUNTIF('2 ZT'!$A$7:$A$50,'2S EXPRESS'!G7))+(COUNTIF('GO TRANSPORT'!$A$7:$A$50,'2S EXPRESS'!G7))+(COUNTIF('HMZ - KAIS'!$A$7:$A$50,'2S EXPRESS'!G7))+(COUNTIF('IB TRANSPORT'!$A$7:$A$50,'2S EXPRESS'!G7))+(COUNTIF(JSL!$A$7:$A$50,'2S EXPRESS'!G7))+(COUNTIF(KIFAITOUT!$A$7:$A$50,'2S EXPRESS'!G7))+(COUNTIF('LUXE DRIVE'!$A$7:$A$50,'2S EXPRESS'!G7))+(COUNTIF(SSN!$A$7:$A$50,'2S EXPRESS'!G7))+(COUNTIF('W3'!$A$7:$A$50,'2S EXPRESS'!G7))+(COUNTIF('ATHIS MONS'!$A$7:$A$50,'2S EXPRESS'!G7))+(COUNTIF('L HAY LES ROSES'!$A$7:$A$50,'2S EXPRESS'!G7))+(COUNTIF(RUNGIS!$A$7:$A$50,'2S EXPRESS'!G7))+(COUNTIF(SCEAUX!$A$7:$A$50,'2S EXPRESS'!G7))+(COUNTIF('INSTANCE C1'!$A$7:$A$50,'2S EXPRESS'!G7))+(COUNTIF('INSTANCE C2'!$A$7:$A$50,'2S EXPRESS'!G7))+(COUNTIF(INTERNES!$A$7:$A$50,'2S EXPRESS'!G7))+(COUNTIF('EN PANNE'!$A$7:$A$50,'2S EXPRESS'!G7))+(COUNTIF(TJM!$A$7:$A$50,'2S EXPRESS'!G7))</f>
        <v>0</v>
      </c>
      <c r="J7" s="27">
        <f>IF(H7&gt;=2,1,0)</f>
        <v>0</v>
      </c>
      <c r="K7" s="1"/>
      <c r="L7" s="47"/>
      <c r="M7" s="48"/>
      <c r="O7" s="48"/>
      <c r="P7" s="48"/>
      <c r="Q7" s="48"/>
      <c r="R7" s="62"/>
      <c r="S7" s="60">
        <f t="shared" ref="S7:S50" si="1">COUNTIF($G$7:$G$50,$A7)</f>
        <v>0</v>
      </c>
      <c r="T7" s="67">
        <f t="shared" ref="T7:T50" si="2">IF($S7=1,"",$A7)</f>
        <v>0</v>
      </c>
      <c r="U7" s="62"/>
      <c r="V7" s="50"/>
    </row>
    <row r="8" spans="1:26" ht="24.95" customHeight="1" thickBot="1" x14ac:dyDescent="0.25">
      <c r="A8" s="2"/>
      <c r="B8" s="23">
        <f>(COUNTIF('2S EXPRESS'!$A$7:$A$50,'2S EXPRESS'!A8))+(COUNTIF('2 ZT'!$A$7:$A$50,'2S EXPRESS'!A8))+(COUNTIF('GO TRANSPORT'!$A$7:$A$50,'2S EXPRESS'!A8))+(COUNTIF('HMZ - KAIS'!$A$7:$A$50,'2S EXPRESS'!A8))+(COUNTIF('IB TRANSPORT'!$A$7:$A$50,'2S EXPRESS'!A8))+(COUNTIF(JSL!$A$7:$A$50,'2S EXPRESS'!A8))+(COUNTIF(KIFAITOUT!$A$7:$A$50,'2S EXPRESS'!A8))+(COUNTIF('LUXE DRIVE'!$A$7:$A$50,'2S EXPRESS'!A8))+(COUNTIF(SSN!$A$7:$A$50,'2S EXPRESS'!A8))+(COUNTIF('W3'!$A$7:$A$50,'2S EXPRESS'!A8))+(COUNTIF('ATHIS MONS'!$A$7:$A$50,'2S EXPRESS'!A8))+(COUNTIF('L HAY LES ROSES'!$A$7:$A$50,'2S EXPRESS'!A8))+(COUNTIF(RUNGIS!$A$7:$A$50,'2S EXPRESS'!A8))+(COUNTIF(SCEAUX!$A$7:$A$50,'2S EXPRESS'!A8))+(COUNTIF('INSTANCE C1'!$A$7:$A$50,'2S EXPRESS'!A8))+(COUNTIF('INSTANCE C2'!$A$7:$A$50,'2S EXPRESS'!A8))+(COUNTIF(INTERNES!$A$7:$A$50,'2S EXPRESS'!A8))+(COUNTIF('EN PANNE'!$A$7:$A$50,'2S EXPRESS'!A8))+(COUNTIF(TJM!$A$7:$A$50,'2S EXPRESS'!A8))-C8</f>
        <v>0</v>
      </c>
      <c r="C8" s="23">
        <f>(COUNTIF('2S EXPRESS'!$G$7:$G$50,'2S EXPRESS'!A8))+(COUNTIF('2 ZT'!$G$7:$G$50,'2S EXPRESS'!A8))+(COUNTIF('GO TRANSPORT'!$G$7:$G$50,'2S EXPRESS'!A8))+(COUNTIF('2S EXPRESS'!$G$7:$G$50,'2S EXPRESS'!A8))+(COUNTIF('IB TRANSPORT'!$G$7:$G$50,'2S EXPRESS'!A8))+(COUNTIF(JSL!$G$7:$G$50,'2S EXPRESS'!A8))+(COUNTIF(KIFAITOUT!$G$7:$G$50,'2S EXPRESS'!A8))+(COUNTIF('LUXE DRIVE'!$G$7:$G$50,'2S EXPRESS'!A8))+(COUNTIF(SSN!$G$7:$G$50,'2S EXPRESS'!A8))+(COUNTIF('W3'!$G$7:$G$50,'2S EXPRESS'!A8))+(COUNTIF('ATHIS MONS'!$G$7:$G$50,'2S EXPRESS'!A8))+(COUNTIF('L HAY LES ROSES'!$G$7:$G$50,'2S EXPRESS'!A8))+(COUNTIF(RUNGIS!$G$7:$G$50,'2S EXPRESS'!A8))+(COUNTIF(SCEAUX!$G$7:$G$50,'2S EXPRESS'!A8))+(COUNTIF('INSTANCE C1'!$G$7:$G$50,'2S EXPRESS'!A8))+(COUNTIF('INSTANCE C2'!$G$7:$G$50,'2S EXPRESS'!A8))+(COUNTIF(INTERNES!$G$7:$G$50,'2S EXPRESS'!A8))+(COUNTIF('EN PANNE'!$G$7:$G$50,'2S EXPRESS'!A8))+(COUNTIF(TJM!$G$7:$G$50,'2S EXPRESS'!A8))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EXPRESS'!$G$7:$G$50,'2S EXPRESS'!G8))+(COUNTIF('2 ZT'!$G$7:$G$50,'2S EXPRESS'!G8))+(COUNTIF('GO TRANSPORT'!$G$7:$G$50,'2S EXPRESS'!G8))+(COUNTIF('HMZ - KAIS'!$G$7:$G$50,'2S EXPRESS'!G8))+(COUNTIF('IB TRANSPORT'!$G$7:$G$50,'2S EXPRESS'!G8))+(COUNTIF(JSL!$G$7:$G$50,'2S EXPRESS'!G8))+(COUNTIF(KIFAITOUT!$G$7:$G$50,'2S EXPRESS'!G8))+(COUNTIF('LUXE DRIVE'!$G$7:$G$50,'2S EXPRESS'!G8))+(COUNTIF(SSN!$G$7:$G$50,'2S EXPRESS'!G8))+(COUNTIF('W3'!$G$7:$G$50,'2S EXPRESS'!G8))+(COUNTIF('ATHIS MONS'!$G$7:$G$50,'2S EXPRESS'!G8))+(COUNTIF('L HAY LES ROSES'!$G$7:$G$50,'2S EXPRESS'!G8))+(COUNTIF(RUNGIS!$G$7:$G$50,'2S EXPRESS'!G8))+(COUNTIF(SCEAUX!$G$7:$G$50,'2S EXPRESS'!G8))+(COUNTIF('INSTANCE C1'!$G$7:$G$50,'2S EXPRESS'!G8))+(COUNTIF('INSTANCE C2'!$G$7:$G$50,'2S EXPRESS'!G8))+(COUNTIF(INTERNES!$G$7:$G$50,'2S EXPRESS'!G8))+(COUNTIF('EN PANNE'!$G$7:$G$50,'2S EXPRESS'!G8))+(COUNTIF(TJM!$G$7:$G$50,'2S EXPRESS'!G8))-I8</f>
        <v>0</v>
      </c>
      <c r="I8" s="23">
        <f>(COUNTIF('2S EXPRESS'!$A$7:$A$50,'2S EXPRESS'!G8))+(COUNTIF('2 ZT'!$A$7:$A$50,'2S EXPRESS'!G8))+(COUNTIF('GO TRANSPORT'!$A$7:$A$50,'2S EXPRESS'!G8))+(COUNTIF('HMZ - KAIS'!$A$7:$A$50,'2S EXPRESS'!G8))+(COUNTIF('IB TRANSPORT'!$A$7:$A$50,'2S EXPRESS'!G8))+(COUNTIF(JSL!$A$7:$A$50,'2S EXPRESS'!G8))+(COUNTIF(KIFAITOUT!$A$7:$A$50,'2S EXPRESS'!G8))+(COUNTIF('LUXE DRIVE'!$A$7:$A$50,'2S EXPRESS'!G8))+(COUNTIF(SSN!$A$7:$A$50,'2S EXPRESS'!G8))+(COUNTIF('W3'!$A$7:$A$50,'2S EXPRESS'!G8))+(COUNTIF('ATHIS MONS'!$A$7:$A$50,'2S EXPRESS'!G8))+(COUNTIF('L HAY LES ROSES'!$A$7:$A$50,'2S EXPRESS'!G8))+(COUNTIF(RUNGIS!$A$7:$A$50,'2S EXPRESS'!G8))+(COUNTIF(SCEAUX!$A$7:$A$50,'2S EXPRESS'!G8))+(COUNTIF('INSTANCE C1'!$A$7:$A$50,'2S EXPRESS'!G8))+(COUNTIF('INSTANCE C2'!$A$7:$A$50,'2S EXPRESS'!G8))+(COUNTIF(INTERNES!$A$7:$A$50,'2S EXPRESS'!G8))+(COUNTIF('EN PANNE'!$A$7:$A$50,'2S EXPRESS'!G8))+(COUNTIF(TJM!$A$7:$A$50,'2S EXPRESS'!G8))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62"/>
      <c r="S8" s="60">
        <f t="shared" si="1"/>
        <v>0</v>
      </c>
      <c r="T8" s="67">
        <f t="shared" si="2"/>
        <v>0</v>
      </c>
      <c r="U8" s="62"/>
      <c r="V8" s="50"/>
    </row>
    <row r="9" spans="1:26" ht="24.95" customHeight="1" thickBot="1" x14ac:dyDescent="0.25">
      <c r="A9" s="2"/>
      <c r="B9" s="23">
        <f>(COUNTIF('2S EXPRESS'!$A$7:$A$50,'2S EXPRESS'!A9))+(COUNTIF('2 ZT'!$A$7:$A$50,'2S EXPRESS'!A9))+(COUNTIF('GO TRANSPORT'!$A$7:$A$50,'2S EXPRESS'!A9))+(COUNTIF('HMZ - KAIS'!$A$7:$A$50,'2S EXPRESS'!A9))+(COUNTIF('IB TRANSPORT'!$A$7:$A$50,'2S EXPRESS'!A9))+(COUNTIF(JSL!$A$7:$A$50,'2S EXPRESS'!A9))+(COUNTIF(KIFAITOUT!$A$7:$A$50,'2S EXPRESS'!A9))+(COUNTIF('LUXE DRIVE'!$A$7:$A$50,'2S EXPRESS'!A9))+(COUNTIF(SSN!$A$7:$A$50,'2S EXPRESS'!A9))+(COUNTIF('W3'!$A$7:$A$50,'2S EXPRESS'!A9))+(COUNTIF('ATHIS MONS'!$A$7:$A$50,'2S EXPRESS'!A9))+(COUNTIF('L HAY LES ROSES'!$A$7:$A$50,'2S EXPRESS'!A9))+(COUNTIF(RUNGIS!$A$7:$A$50,'2S EXPRESS'!A9))+(COUNTIF(SCEAUX!$A$7:$A$50,'2S EXPRESS'!A9))+(COUNTIF('INSTANCE C1'!$A$7:$A$50,'2S EXPRESS'!A9))+(COUNTIF('INSTANCE C2'!$A$7:$A$50,'2S EXPRESS'!A9))+(COUNTIF(INTERNES!$A$7:$A$50,'2S EXPRESS'!A9))+(COUNTIF('EN PANNE'!$A$7:$A$50,'2S EXPRESS'!A9))+(COUNTIF(TJM!$A$7:$A$50,'2S EXPRESS'!A9))-C9</f>
        <v>0</v>
      </c>
      <c r="C9" s="23">
        <f>(COUNTIF('2S EXPRESS'!$G$7:$G$50,'2S EXPRESS'!A9))+(COUNTIF('2 ZT'!$G$7:$G$50,'2S EXPRESS'!A9))+(COUNTIF('GO TRANSPORT'!$G$7:$G$50,'2S EXPRESS'!A9))+(COUNTIF('2S EXPRESS'!$G$7:$G$50,'2S EXPRESS'!A9))+(COUNTIF('IB TRANSPORT'!$G$7:$G$50,'2S EXPRESS'!A9))+(COUNTIF(JSL!$G$7:$G$50,'2S EXPRESS'!A9))+(COUNTIF(KIFAITOUT!$G$7:$G$50,'2S EXPRESS'!A9))+(COUNTIF('LUXE DRIVE'!$G$7:$G$50,'2S EXPRESS'!A9))+(COUNTIF(SSN!$G$7:$G$50,'2S EXPRESS'!A9))+(COUNTIF('W3'!$G$7:$G$50,'2S EXPRESS'!A9))+(COUNTIF('ATHIS MONS'!$G$7:$G$50,'2S EXPRESS'!A9))+(COUNTIF('L HAY LES ROSES'!$G$7:$G$50,'2S EXPRESS'!A9))+(COUNTIF(RUNGIS!$G$7:$G$50,'2S EXPRESS'!A9))+(COUNTIF(SCEAUX!$G$7:$G$50,'2S EXPRESS'!A9))+(COUNTIF('INSTANCE C1'!$G$7:$G$50,'2S EXPRESS'!A9))+(COUNTIF('INSTANCE C2'!$G$7:$G$50,'2S EXPRESS'!A9))+(COUNTIF(INTERNES!$G$7:$G$50,'2S EXPRESS'!A9))+(COUNTIF('EN PANNE'!$G$7:$G$50,'2S EXPRESS'!A9))+(COUNTIF(TJM!$G$7:$G$50,'2S EXPRESS'!A9))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EXPRESS'!$G$7:$G$50,'2S EXPRESS'!G9))+(COUNTIF('2 ZT'!$G$7:$G$50,'2S EXPRESS'!G9))+(COUNTIF('GO TRANSPORT'!$G$7:$G$50,'2S EXPRESS'!G9))+(COUNTIF('HMZ - KAIS'!$G$7:$G$50,'2S EXPRESS'!G9))+(COUNTIF('IB TRANSPORT'!$G$7:$G$50,'2S EXPRESS'!G9))+(COUNTIF(JSL!$G$7:$G$50,'2S EXPRESS'!G9))+(COUNTIF(KIFAITOUT!$G$7:$G$50,'2S EXPRESS'!G9))+(COUNTIF('LUXE DRIVE'!$G$7:$G$50,'2S EXPRESS'!G9))+(COUNTIF(SSN!$G$7:$G$50,'2S EXPRESS'!G9))+(COUNTIF('W3'!$G$7:$G$50,'2S EXPRESS'!G9))+(COUNTIF('ATHIS MONS'!$G$7:$G$50,'2S EXPRESS'!G9))+(COUNTIF('L HAY LES ROSES'!$G$7:$G$50,'2S EXPRESS'!G9))+(COUNTIF(RUNGIS!$G$7:$G$50,'2S EXPRESS'!G9))+(COUNTIF(SCEAUX!$G$7:$G$50,'2S EXPRESS'!G9))+(COUNTIF('INSTANCE C1'!$G$7:$G$50,'2S EXPRESS'!G9))+(COUNTIF('INSTANCE C2'!$G$7:$G$50,'2S EXPRESS'!G9))+(COUNTIF(INTERNES!$G$7:$G$50,'2S EXPRESS'!G9))+(COUNTIF('EN PANNE'!$G$7:$G$50,'2S EXPRESS'!G9))+(COUNTIF(TJM!$G$7:$G$50,'2S EXPRESS'!G9))-I9</f>
        <v>0</v>
      </c>
      <c r="I9" s="23">
        <f>(COUNTIF('2S EXPRESS'!$A$7:$A$50,'2S EXPRESS'!G9))+(COUNTIF('2 ZT'!$A$7:$A$50,'2S EXPRESS'!G9))+(COUNTIF('GO TRANSPORT'!$A$7:$A$50,'2S EXPRESS'!G9))+(COUNTIF('HMZ - KAIS'!$A$7:$A$50,'2S EXPRESS'!G9))+(COUNTIF('IB TRANSPORT'!$A$7:$A$50,'2S EXPRESS'!G9))+(COUNTIF(JSL!$A$7:$A$50,'2S EXPRESS'!G9))+(COUNTIF(KIFAITOUT!$A$7:$A$50,'2S EXPRESS'!G9))+(COUNTIF('LUXE DRIVE'!$A$7:$A$50,'2S EXPRESS'!G9))+(COUNTIF(SSN!$A$7:$A$50,'2S EXPRESS'!G9))+(COUNTIF('W3'!$A$7:$A$50,'2S EXPRESS'!G9))+(COUNTIF('ATHIS MONS'!$A$7:$A$50,'2S EXPRESS'!G9))+(COUNTIF('L HAY LES ROSES'!$A$7:$A$50,'2S EXPRESS'!G9))+(COUNTIF(RUNGIS!$A$7:$A$50,'2S EXPRESS'!G9))+(COUNTIF(SCEAUX!$A$7:$A$50,'2S EXPRESS'!G9))+(COUNTIF('INSTANCE C1'!$A$7:$A$50,'2S EXPRESS'!G9))+(COUNTIF('INSTANCE C2'!$A$7:$A$50,'2S EXPRESS'!G9))+(COUNTIF(INTERNES!$A$7:$A$50,'2S EXPRESS'!G9))+(COUNTIF('EN PANNE'!$A$7:$A$50,'2S EXPRESS'!G9))+(COUNTIF(TJM!$A$7:$A$50,'2S EXPRESS'!G9))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62"/>
      <c r="S9" s="60">
        <f t="shared" si="1"/>
        <v>0</v>
      </c>
      <c r="T9" s="67">
        <f t="shared" si="2"/>
        <v>0</v>
      </c>
      <c r="U9" s="62"/>
      <c r="V9" s="50"/>
    </row>
    <row r="10" spans="1:26" ht="24.95" customHeight="1" thickBot="1" x14ac:dyDescent="0.25">
      <c r="A10" s="2"/>
      <c r="B10" s="23">
        <f>(COUNTIF('2S EXPRESS'!$A$7:$A$50,'2S EXPRESS'!A10))+(COUNTIF('2 ZT'!$A$7:$A$50,'2S EXPRESS'!A10))+(COUNTIF('GO TRANSPORT'!$A$7:$A$50,'2S EXPRESS'!A10))+(COUNTIF('HMZ - KAIS'!$A$7:$A$50,'2S EXPRESS'!A10))+(COUNTIF('IB TRANSPORT'!$A$7:$A$50,'2S EXPRESS'!A10))+(COUNTIF(JSL!$A$7:$A$50,'2S EXPRESS'!A10))+(COUNTIF(KIFAITOUT!$A$7:$A$50,'2S EXPRESS'!A10))+(COUNTIF('LUXE DRIVE'!$A$7:$A$50,'2S EXPRESS'!A10))+(COUNTIF(SSN!$A$7:$A$50,'2S EXPRESS'!A10))+(COUNTIF('W3'!$A$7:$A$50,'2S EXPRESS'!A10))+(COUNTIF('ATHIS MONS'!$A$7:$A$50,'2S EXPRESS'!A10))+(COUNTIF('L HAY LES ROSES'!$A$7:$A$50,'2S EXPRESS'!A10))+(COUNTIF(RUNGIS!$A$7:$A$50,'2S EXPRESS'!A10))+(COUNTIF(SCEAUX!$A$7:$A$50,'2S EXPRESS'!A10))+(COUNTIF('INSTANCE C1'!$A$7:$A$50,'2S EXPRESS'!A10))+(COUNTIF('INSTANCE C2'!$A$7:$A$50,'2S EXPRESS'!A10))+(COUNTIF(INTERNES!$A$7:$A$50,'2S EXPRESS'!A10))+(COUNTIF('EN PANNE'!$A$7:$A$50,'2S EXPRESS'!A10))+(COUNTIF(TJM!$A$7:$A$50,'2S EXPRESS'!A10))-C10</f>
        <v>0</v>
      </c>
      <c r="C10" s="23">
        <f>(COUNTIF('2S EXPRESS'!$G$7:$G$50,'2S EXPRESS'!A10))+(COUNTIF('2 ZT'!$G$7:$G$50,'2S EXPRESS'!A10))+(COUNTIF('GO TRANSPORT'!$G$7:$G$50,'2S EXPRESS'!A10))+(COUNTIF('2S EXPRESS'!$G$7:$G$50,'2S EXPRESS'!A10))+(COUNTIF('IB TRANSPORT'!$G$7:$G$50,'2S EXPRESS'!A10))+(COUNTIF(JSL!$G$7:$G$50,'2S EXPRESS'!A10))+(COUNTIF(KIFAITOUT!$G$7:$G$50,'2S EXPRESS'!A10))+(COUNTIF('LUXE DRIVE'!$G$7:$G$50,'2S EXPRESS'!A10))+(COUNTIF(SSN!$G$7:$G$50,'2S EXPRESS'!A10))+(COUNTIF('W3'!$G$7:$G$50,'2S EXPRESS'!A10))+(COUNTIF('ATHIS MONS'!$G$7:$G$50,'2S EXPRESS'!A10))+(COUNTIF('L HAY LES ROSES'!$G$7:$G$50,'2S EXPRESS'!A10))+(COUNTIF(RUNGIS!$G$7:$G$50,'2S EXPRESS'!A10))+(COUNTIF(SCEAUX!$G$7:$G$50,'2S EXPRESS'!A10))+(COUNTIF('INSTANCE C1'!$G$7:$G$50,'2S EXPRESS'!A10))+(COUNTIF('INSTANCE C2'!$G$7:$G$50,'2S EXPRESS'!A10))+(COUNTIF(INTERNES!$G$7:$G$50,'2S EXPRESS'!A10))+(COUNTIF('EN PANNE'!$G$7:$G$50,'2S EXPRESS'!A10))+(COUNTIF(TJM!$G$7:$G$50,'2S EXPRESS'!A10))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EXPRESS'!$G$7:$G$50,'2S EXPRESS'!G10))+(COUNTIF('2 ZT'!$G$7:$G$50,'2S EXPRESS'!G10))+(COUNTIF('GO TRANSPORT'!$G$7:$G$50,'2S EXPRESS'!G10))+(COUNTIF('HMZ - KAIS'!$G$7:$G$50,'2S EXPRESS'!G10))+(COUNTIF('IB TRANSPORT'!$G$7:$G$50,'2S EXPRESS'!G10))+(COUNTIF(JSL!$G$7:$G$50,'2S EXPRESS'!G10))+(COUNTIF(KIFAITOUT!$G$7:$G$50,'2S EXPRESS'!G10))+(COUNTIF('LUXE DRIVE'!$G$7:$G$50,'2S EXPRESS'!G10))+(COUNTIF(SSN!$G$7:$G$50,'2S EXPRESS'!G10))+(COUNTIF('W3'!$G$7:$G$50,'2S EXPRESS'!G10))+(COUNTIF('ATHIS MONS'!$G$7:$G$50,'2S EXPRESS'!G10))+(COUNTIF('L HAY LES ROSES'!$G$7:$G$50,'2S EXPRESS'!G10))+(COUNTIF(RUNGIS!$G$7:$G$50,'2S EXPRESS'!G10))+(COUNTIF(SCEAUX!$G$7:$G$50,'2S EXPRESS'!G10))+(COUNTIF('INSTANCE C1'!$G$7:$G$50,'2S EXPRESS'!G10))+(COUNTIF('INSTANCE C2'!$G$7:$G$50,'2S EXPRESS'!G10))+(COUNTIF(INTERNES!$G$7:$G$50,'2S EXPRESS'!G10))+(COUNTIF('EN PANNE'!$G$7:$G$50,'2S EXPRESS'!G10))+(COUNTIF(TJM!$G$7:$G$50,'2S EXPRESS'!G10))-I10</f>
        <v>0</v>
      </c>
      <c r="I10" s="23">
        <f>(COUNTIF('2S EXPRESS'!$A$7:$A$50,'2S EXPRESS'!G10))+(COUNTIF('2 ZT'!$A$7:$A$50,'2S EXPRESS'!G10))+(COUNTIF('GO TRANSPORT'!$A$7:$A$50,'2S EXPRESS'!G10))+(COUNTIF('HMZ - KAIS'!$A$7:$A$50,'2S EXPRESS'!G10))+(COUNTIF('IB TRANSPORT'!$A$7:$A$50,'2S EXPRESS'!G10))+(COUNTIF(JSL!$A$7:$A$50,'2S EXPRESS'!G10))+(COUNTIF(KIFAITOUT!$A$7:$A$50,'2S EXPRESS'!G10))+(COUNTIF('LUXE DRIVE'!$A$7:$A$50,'2S EXPRESS'!G10))+(COUNTIF(SSN!$A$7:$A$50,'2S EXPRESS'!G10))+(COUNTIF('W3'!$A$7:$A$50,'2S EXPRESS'!G10))+(COUNTIF('ATHIS MONS'!$A$7:$A$50,'2S EXPRESS'!G10))+(COUNTIF('L HAY LES ROSES'!$A$7:$A$50,'2S EXPRESS'!G10))+(COUNTIF(RUNGIS!$A$7:$A$50,'2S EXPRESS'!G10))+(COUNTIF(SCEAUX!$A$7:$A$50,'2S EXPRESS'!G10))+(COUNTIF('INSTANCE C1'!$A$7:$A$50,'2S EXPRESS'!G10))+(COUNTIF('INSTANCE C2'!$A$7:$A$50,'2S EXPRESS'!G10))+(COUNTIF(INTERNES!$A$7:$A$50,'2S EXPRESS'!G10))+(COUNTIF('EN PANNE'!$A$7:$A$50,'2S EXPRESS'!G10))+(COUNTIF(TJM!$A$7:$A$50,'2S EXPRESS'!G10))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R10" s="62"/>
      <c r="S10" s="60">
        <f t="shared" si="1"/>
        <v>0</v>
      </c>
      <c r="T10" s="67">
        <f t="shared" si="2"/>
        <v>0</v>
      </c>
      <c r="U10" s="62"/>
    </row>
    <row r="11" spans="1:26" ht="24.95" customHeight="1" thickBot="1" x14ac:dyDescent="0.25">
      <c r="A11" s="2"/>
      <c r="B11" s="23">
        <f>(COUNTIF('2S EXPRESS'!$A$7:$A$50,'2S EXPRESS'!A11))+(COUNTIF('2 ZT'!$A$7:$A$50,'2S EXPRESS'!A11))+(COUNTIF('GO TRANSPORT'!$A$7:$A$50,'2S EXPRESS'!A11))+(COUNTIF('HMZ - KAIS'!$A$7:$A$50,'2S EXPRESS'!A11))+(COUNTIF('IB TRANSPORT'!$A$7:$A$50,'2S EXPRESS'!A11))+(COUNTIF(JSL!$A$7:$A$50,'2S EXPRESS'!A11))+(COUNTIF(KIFAITOUT!$A$7:$A$50,'2S EXPRESS'!A11))+(COUNTIF('LUXE DRIVE'!$A$7:$A$50,'2S EXPRESS'!A11))+(COUNTIF(SSN!$A$7:$A$50,'2S EXPRESS'!A11))+(COUNTIF('W3'!$A$7:$A$50,'2S EXPRESS'!A11))+(COUNTIF('ATHIS MONS'!$A$7:$A$50,'2S EXPRESS'!A11))+(COUNTIF('L HAY LES ROSES'!$A$7:$A$50,'2S EXPRESS'!A11))+(COUNTIF(RUNGIS!$A$7:$A$50,'2S EXPRESS'!A11))+(COUNTIF(SCEAUX!$A$7:$A$50,'2S EXPRESS'!A11))+(COUNTIF('INSTANCE C1'!$A$7:$A$50,'2S EXPRESS'!A11))+(COUNTIF('INSTANCE C2'!$A$7:$A$50,'2S EXPRESS'!A11))+(COUNTIF(INTERNES!$A$7:$A$50,'2S EXPRESS'!A11))+(COUNTIF('EN PANNE'!$A$7:$A$50,'2S EXPRESS'!A11))+(COUNTIF(TJM!$A$7:$A$50,'2S EXPRESS'!A11))-C11</f>
        <v>0</v>
      </c>
      <c r="C11" s="23">
        <f>(COUNTIF('2S EXPRESS'!$G$7:$G$50,'2S EXPRESS'!A11))+(COUNTIF('2 ZT'!$G$7:$G$50,'2S EXPRESS'!A11))+(COUNTIF('GO TRANSPORT'!$G$7:$G$50,'2S EXPRESS'!A11))+(COUNTIF('2S EXPRESS'!$G$7:$G$50,'2S EXPRESS'!A11))+(COUNTIF('IB TRANSPORT'!$G$7:$G$50,'2S EXPRESS'!A11))+(COUNTIF(JSL!$G$7:$G$50,'2S EXPRESS'!A11))+(COUNTIF(KIFAITOUT!$G$7:$G$50,'2S EXPRESS'!A11))+(COUNTIF('LUXE DRIVE'!$G$7:$G$50,'2S EXPRESS'!A11))+(COUNTIF(SSN!$G$7:$G$50,'2S EXPRESS'!A11))+(COUNTIF('W3'!$G$7:$G$50,'2S EXPRESS'!A11))+(COUNTIF('ATHIS MONS'!$G$7:$G$50,'2S EXPRESS'!A11))+(COUNTIF('L HAY LES ROSES'!$G$7:$G$50,'2S EXPRESS'!A11))+(COUNTIF(RUNGIS!$G$7:$G$50,'2S EXPRESS'!A11))+(COUNTIF(SCEAUX!$G$7:$G$50,'2S EXPRESS'!A11))+(COUNTIF('INSTANCE C1'!$G$7:$G$50,'2S EXPRESS'!A11))+(COUNTIF('INSTANCE C2'!$G$7:$G$50,'2S EXPRESS'!A11))+(COUNTIF(INTERNES!$G$7:$G$50,'2S EXPRESS'!A11))+(COUNTIF('EN PANNE'!$G$7:$G$50,'2S EXPRESS'!A11))+(COUNTIF(TJM!$G$7:$G$50,'2S EXPRESS'!A11))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EXPRESS'!$G$7:$G$50,'2S EXPRESS'!G11))+(COUNTIF('2 ZT'!$G$7:$G$50,'2S EXPRESS'!G11))+(COUNTIF('GO TRANSPORT'!$G$7:$G$50,'2S EXPRESS'!G11))+(COUNTIF('HMZ - KAIS'!$G$7:$G$50,'2S EXPRESS'!G11))+(COUNTIF('IB TRANSPORT'!$G$7:$G$50,'2S EXPRESS'!G11))+(COUNTIF(JSL!$G$7:$G$50,'2S EXPRESS'!G11))+(COUNTIF(KIFAITOUT!$G$7:$G$50,'2S EXPRESS'!G11))+(COUNTIF('LUXE DRIVE'!$G$7:$G$50,'2S EXPRESS'!G11))+(COUNTIF(SSN!$G$7:$G$50,'2S EXPRESS'!G11))+(COUNTIF('W3'!$G$7:$G$50,'2S EXPRESS'!G11))+(COUNTIF('ATHIS MONS'!$G$7:$G$50,'2S EXPRESS'!G11))+(COUNTIF('L HAY LES ROSES'!$G$7:$G$50,'2S EXPRESS'!G11))+(COUNTIF(RUNGIS!$G$7:$G$50,'2S EXPRESS'!G11))+(COUNTIF(SCEAUX!$G$7:$G$50,'2S EXPRESS'!G11))+(COUNTIF('INSTANCE C1'!$G$7:$G$50,'2S EXPRESS'!G11))+(COUNTIF('INSTANCE C2'!$G$7:$G$50,'2S EXPRESS'!G11))+(COUNTIF(INTERNES!$G$7:$G$50,'2S EXPRESS'!G11))+(COUNTIF('EN PANNE'!$G$7:$G$50,'2S EXPRESS'!G11))+(COUNTIF(TJM!$G$7:$G$50,'2S EXPRESS'!G11))-I11</f>
        <v>0</v>
      </c>
      <c r="I11" s="23">
        <f>(COUNTIF('2S EXPRESS'!$A$7:$A$50,'2S EXPRESS'!G11))+(COUNTIF('2 ZT'!$A$7:$A$50,'2S EXPRESS'!G11))+(COUNTIF('GO TRANSPORT'!$A$7:$A$50,'2S EXPRESS'!G11))+(COUNTIF('HMZ - KAIS'!$A$7:$A$50,'2S EXPRESS'!G11))+(COUNTIF('IB TRANSPORT'!$A$7:$A$50,'2S EXPRESS'!G11))+(COUNTIF(JSL!$A$7:$A$50,'2S EXPRESS'!G11))+(COUNTIF(KIFAITOUT!$A$7:$A$50,'2S EXPRESS'!G11))+(COUNTIF('LUXE DRIVE'!$A$7:$A$50,'2S EXPRESS'!G11))+(COUNTIF(SSN!$A$7:$A$50,'2S EXPRESS'!G11))+(COUNTIF('W3'!$A$7:$A$50,'2S EXPRESS'!G11))+(COUNTIF('ATHIS MONS'!$A$7:$A$50,'2S EXPRESS'!G11))+(COUNTIF('L HAY LES ROSES'!$A$7:$A$50,'2S EXPRESS'!G11))+(COUNTIF(RUNGIS!$A$7:$A$50,'2S EXPRESS'!G11))+(COUNTIF(SCEAUX!$A$7:$A$50,'2S EXPRESS'!G11))+(COUNTIF('INSTANCE C1'!$A$7:$A$50,'2S EXPRESS'!G11))+(COUNTIF('INSTANCE C2'!$A$7:$A$50,'2S EXPRESS'!G11))+(COUNTIF(INTERNES!$A$7:$A$50,'2S EXPRESS'!G11))+(COUNTIF('EN PANNE'!$A$7:$A$50,'2S EXPRESS'!G11))+(COUNTIF(TJM!$A$7:$A$50,'2S EXPRESS'!G11))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R11" s="62"/>
      <c r="S11" s="60">
        <f t="shared" si="1"/>
        <v>0</v>
      </c>
      <c r="T11" s="67">
        <f t="shared" si="2"/>
        <v>0</v>
      </c>
      <c r="U11" s="62"/>
    </row>
    <row r="12" spans="1:26" ht="24.95" customHeight="1" thickBot="1" x14ac:dyDescent="0.25">
      <c r="A12" s="2"/>
      <c r="B12" s="23">
        <f>(COUNTIF('2S EXPRESS'!$A$7:$A$50,'2S EXPRESS'!A12))+(COUNTIF('2 ZT'!$A$7:$A$50,'2S EXPRESS'!A12))+(COUNTIF('GO TRANSPORT'!$A$7:$A$50,'2S EXPRESS'!A12))+(COUNTIF('HMZ - KAIS'!$A$7:$A$50,'2S EXPRESS'!A12))+(COUNTIF('IB TRANSPORT'!$A$7:$A$50,'2S EXPRESS'!A12))+(COUNTIF(JSL!$A$7:$A$50,'2S EXPRESS'!A12))+(COUNTIF(KIFAITOUT!$A$7:$A$50,'2S EXPRESS'!A12))+(COUNTIF('LUXE DRIVE'!$A$7:$A$50,'2S EXPRESS'!A12))+(COUNTIF(SSN!$A$7:$A$50,'2S EXPRESS'!A12))+(COUNTIF('W3'!$A$7:$A$50,'2S EXPRESS'!A12))+(COUNTIF('ATHIS MONS'!$A$7:$A$50,'2S EXPRESS'!A12))+(COUNTIF('L HAY LES ROSES'!$A$7:$A$50,'2S EXPRESS'!A12))+(COUNTIF(RUNGIS!$A$7:$A$50,'2S EXPRESS'!A12))+(COUNTIF(SCEAUX!$A$7:$A$50,'2S EXPRESS'!A12))+(COUNTIF('INSTANCE C1'!$A$7:$A$50,'2S EXPRESS'!A12))+(COUNTIF('INSTANCE C2'!$A$7:$A$50,'2S EXPRESS'!A12))+(COUNTIF(INTERNES!$A$7:$A$50,'2S EXPRESS'!A12))+(COUNTIF('EN PANNE'!$A$7:$A$50,'2S EXPRESS'!A12))+(COUNTIF(TJM!$A$7:$A$50,'2S EXPRESS'!A12))-C12</f>
        <v>0</v>
      </c>
      <c r="C12" s="23">
        <f>(COUNTIF('2S EXPRESS'!$G$7:$G$50,'2S EXPRESS'!A12))+(COUNTIF('2 ZT'!$G$7:$G$50,'2S EXPRESS'!A12))+(COUNTIF('GO TRANSPORT'!$G$7:$G$50,'2S EXPRESS'!A12))+(COUNTIF('2S EXPRESS'!$G$7:$G$50,'2S EXPRESS'!A12))+(COUNTIF('IB TRANSPORT'!$G$7:$G$50,'2S EXPRESS'!A12))+(COUNTIF(JSL!$G$7:$G$50,'2S EXPRESS'!A12))+(COUNTIF(KIFAITOUT!$G$7:$G$50,'2S EXPRESS'!A12))+(COUNTIF('LUXE DRIVE'!$G$7:$G$50,'2S EXPRESS'!A12))+(COUNTIF(SSN!$G$7:$G$50,'2S EXPRESS'!A12))+(COUNTIF('W3'!$G$7:$G$50,'2S EXPRESS'!A12))+(COUNTIF('ATHIS MONS'!$G$7:$G$50,'2S EXPRESS'!A12))+(COUNTIF('L HAY LES ROSES'!$G$7:$G$50,'2S EXPRESS'!A12))+(COUNTIF(RUNGIS!$G$7:$G$50,'2S EXPRESS'!A12))+(COUNTIF(SCEAUX!$G$7:$G$50,'2S EXPRESS'!A12))+(COUNTIF('INSTANCE C1'!$G$7:$G$50,'2S EXPRESS'!A12))+(COUNTIF('INSTANCE C2'!$G$7:$G$50,'2S EXPRESS'!A12))+(COUNTIF(INTERNES!$G$7:$G$50,'2S EXPRESS'!A12))+(COUNTIF('EN PANNE'!$G$7:$G$50,'2S EXPRESS'!A12))+(COUNTIF(TJM!$G$7:$G$50,'2S EXPRESS'!A12))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EXPRESS'!$G$7:$G$50,'2S EXPRESS'!G12))+(COUNTIF('2 ZT'!$G$7:$G$50,'2S EXPRESS'!G12))+(COUNTIF('GO TRANSPORT'!$G$7:$G$50,'2S EXPRESS'!G12))+(COUNTIF('HMZ - KAIS'!$G$7:$G$50,'2S EXPRESS'!G12))+(COUNTIF('IB TRANSPORT'!$G$7:$G$50,'2S EXPRESS'!G12))+(COUNTIF(JSL!$G$7:$G$50,'2S EXPRESS'!G12))+(COUNTIF(KIFAITOUT!$G$7:$G$50,'2S EXPRESS'!G12))+(COUNTIF('LUXE DRIVE'!$G$7:$G$50,'2S EXPRESS'!G12))+(COUNTIF(SSN!$G$7:$G$50,'2S EXPRESS'!G12))+(COUNTIF('W3'!$G$7:$G$50,'2S EXPRESS'!G12))+(COUNTIF('ATHIS MONS'!$G$7:$G$50,'2S EXPRESS'!G12))+(COUNTIF('L HAY LES ROSES'!$G$7:$G$50,'2S EXPRESS'!G12))+(COUNTIF(RUNGIS!$G$7:$G$50,'2S EXPRESS'!G12))+(COUNTIF(SCEAUX!$G$7:$G$50,'2S EXPRESS'!G12))+(COUNTIF('INSTANCE C1'!$G$7:$G$50,'2S EXPRESS'!G12))+(COUNTIF('INSTANCE C2'!$G$7:$G$50,'2S EXPRESS'!G12))+(COUNTIF(INTERNES!$G$7:$G$50,'2S EXPRESS'!G12))+(COUNTIF('EN PANNE'!$G$7:$G$50,'2S EXPRESS'!G12))+(COUNTIF(TJM!$G$7:$G$50,'2S EXPRESS'!G12))-I12</f>
        <v>0</v>
      </c>
      <c r="I12" s="23">
        <f>(COUNTIF('2S EXPRESS'!$A$7:$A$50,'2S EXPRESS'!G12))+(COUNTIF('2 ZT'!$A$7:$A$50,'2S EXPRESS'!G12))+(COUNTIF('GO TRANSPORT'!$A$7:$A$50,'2S EXPRESS'!G12))+(COUNTIF('HMZ - KAIS'!$A$7:$A$50,'2S EXPRESS'!G12))+(COUNTIF('IB TRANSPORT'!$A$7:$A$50,'2S EXPRESS'!G12))+(COUNTIF(JSL!$A$7:$A$50,'2S EXPRESS'!G12))+(COUNTIF(KIFAITOUT!$A$7:$A$50,'2S EXPRESS'!G12))+(COUNTIF('LUXE DRIVE'!$A$7:$A$50,'2S EXPRESS'!G12))+(COUNTIF(SSN!$A$7:$A$50,'2S EXPRESS'!G12))+(COUNTIF('W3'!$A$7:$A$50,'2S EXPRESS'!G12))+(COUNTIF('ATHIS MONS'!$A$7:$A$50,'2S EXPRESS'!G12))+(COUNTIF('L HAY LES ROSES'!$A$7:$A$50,'2S EXPRESS'!G12))+(COUNTIF(RUNGIS!$A$7:$A$50,'2S EXPRESS'!G12))+(COUNTIF(SCEAUX!$A$7:$A$50,'2S EXPRESS'!G12))+(COUNTIF('INSTANCE C1'!$A$7:$A$50,'2S EXPRESS'!G12))+(COUNTIF('INSTANCE C2'!$A$7:$A$50,'2S EXPRESS'!G12))+(COUNTIF(INTERNES!$A$7:$A$50,'2S EXPRESS'!G12))+(COUNTIF('EN PANNE'!$A$7:$A$50,'2S EXPRESS'!G12))+(COUNTIF(TJM!$A$7:$A$50,'2S EXPRESS'!G12))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R12" s="62"/>
      <c r="S12" s="60">
        <f t="shared" si="1"/>
        <v>0</v>
      </c>
      <c r="T12" s="67">
        <f t="shared" si="2"/>
        <v>0</v>
      </c>
      <c r="U12" s="62"/>
    </row>
    <row r="13" spans="1:26" ht="24.95" customHeight="1" x14ac:dyDescent="0.2">
      <c r="A13" s="2"/>
      <c r="B13" s="23">
        <f>(COUNTIF('2S EXPRESS'!$A$7:$A$50,'2S EXPRESS'!A13))+(COUNTIF('2 ZT'!$A$7:$A$50,'2S EXPRESS'!A13))+(COUNTIF('GO TRANSPORT'!$A$7:$A$50,'2S EXPRESS'!A13))+(COUNTIF('HMZ - KAIS'!$A$7:$A$50,'2S EXPRESS'!A13))+(COUNTIF('IB TRANSPORT'!$A$7:$A$50,'2S EXPRESS'!A13))+(COUNTIF(JSL!$A$7:$A$50,'2S EXPRESS'!A13))+(COUNTIF(KIFAITOUT!$A$7:$A$50,'2S EXPRESS'!A13))+(COUNTIF('LUXE DRIVE'!$A$7:$A$50,'2S EXPRESS'!A13))+(COUNTIF(SSN!$A$7:$A$50,'2S EXPRESS'!A13))+(COUNTIF('W3'!$A$7:$A$50,'2S EXPRESS'!A13))+(COUNTIF('ATHIS MONS'!$A$7:$A$50,'2S EXPRESS'!A13))+(COUNTIF('L HAY LES ROSES'!$A$7:$A$50,'2S EXPRESS'!A13))+(COUNTIF(RUNGIS!$A$7:$A$50,'2S EXPRESS'!A13))+(COUNTIF(SCEAUX!$A$7:$A$50,'2S EXPRESS'!A13))+(COUNTIF('INSTANCE C1'!$A$7:$A$50,'2S EXPRESS'!A13))+(COUNTIF('INSTANCE C2'!$A$7:$A$50,'2S EXPRESS'!A13))+(COUNTIF(INTERNES!$A$7:$A$50,'2S EXPRESS'!A13))+(COUNTIF('EN PANNE'!$A$7:$A$50,'2S EXPRESS'!A13))+(COUNTIF(TJM!$A$7:$A$50,'2S EXPRESS'!A13))-C13</f>
        <v>0</v>
      </c>
      <c r="C13" s="23">
        <f>(COUNTIF('2S EXPRESS'!$G$7:$G$50,'2S EXPRESS'!A13))+(COUNTIF('2 ZT'!$G$7:$G$50,'2S EXPRESS'!A13))+(COUNTIF('GO TRANSPORT'!$G$7:$G$50,'2S EXPRESS'!A13))+(COUNTIF('2S EXPRESS'!$G$7:$G$50,'2S EXPRESS'!A13))+(COUNTIF('IB TRANSPORT'!$G$7:$G$50,'2S EXPRESS'!A13))+(COUNTIF(JSL!$G$7:$G$50,'2S EXPRESS'!A13))+(COUNTIF(KIFAITOUT!$G$7:$G$50,'2S EXPRESS'!A13))+(COUNTIF('LUXE DRIVE'!$G$7:$G$50,'2S EXPRESS'!A13))+(COUNTIF(SSN!$G$7:$G$50,'2S EXPRESS'!A13))+(COUNTIF('W3'!$G$7:$G$50,'2S EXPRESS'!A13))+(COUNTIF('ATHIS MONS'!$G$7:$G$50,'2S EXPRESS'!A13))+(COUNTIF('L HAY LES ROSES'!$G$7:$G$50,'2S EXPRESS'!A13))+(COUNTIF(RUNGIS!$G$7:$G$50,'2S EXPRESS'!A13))+(COUNTIF(SCEAUX!$G$7:$G$50,'2S EXPRESS'!A13))+(COUNTIF('INSTANCE C1'!$G$7:$G$50,'2S EXPRESS'!A13))+(COUNTIF('INSTANCE C2'!$G$7:$G$50,'2S EXPRESS'!A13))+(COUNTIF(INTERNES!$G$7:$G$50,'2S EXPRESS'!A13))+(COUNTIF('EN PANNE'!$G$7:$G$50,'2S EXPRESS'!A13))+(COUNTIF(TJM!$G$7:$G$50,'2S EXPRESS'!A13))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EXPRESS'!$G$7:$G$50,'2S EXPRESS'!G13))+(COUNTIF('2 ZT'!$G$7:$G$50,'2S EXPRESS'!G13))+(COUNTIF('GO TRANSPORT'!$G$7:$G$50,'2S EXPRESS'!G13))+(COUNTIF('HMZ - KAIS'!$G$7:$G$50,'2S EXPRESS'!G13))+(COUNTIF('IB TRANSPORT'!$G$7:$G$50,'2S EXPRESS'!G13))+(COUNTIF(JSL!$G$7:$G$50,'2S EXPRESS'!G13))+(COUNTIF(KIFAITOUT!$G$7:$G$50,'2S EXPRESS'!G13))+(COUNTIF('LUXE DRIVE'!$G$7:$G$50,'2S EXPRESS'!G13))+(COUNTIF(SSN!$G$7:$G$50,'2S EXPRESS'!G13))+(COUNTIF('W3'!$G$7:$G$50,'2S EXPRESS'!G13))+(COUNTIF('ATHIS MONS'!$G$7:$G$50,'2S EXPRESS'!G13))+(COUNTIF('L HAY LES ROSES'!$G$7:$G$50,'2S EXPRESS'!G13))+(COUNTIF(RUNGIS!$G$7:$G$50,'2S EXPRESS'!G13))+(COUNTIF(SCEAUX!$G$7:$G$50,'2S EXPRESS'!G13))+(COUNTIF('INSTANCE C1'!$G$7:$G$50,'2S EXPRESS'!G13))+(COUNTIF('INSTANCE C2'!$G$7:$G$50,'2S EXPRESS'!G13))+(COUNTIF(INTERNES!$G$7:$G$50,'2S EXPRESS'!G13))+(COUNTIF('EN PANNE'!$G$7:$G$50,'2S EXPRESS'!G13))+(COUNTIF(TJM!$G$7:$G$50,'2S EXPRESS'!G13))-I13</f>
        <v>0</v>
      </c>
      <c r="I13" s="23">
        <f>(COUNTIF('2S EXPRESS'!$A$7:$A$50,'2S EXPRESS'!G13))+(COUNTIF('2 ZT'!$A$7:$A$50,'2S EXPRESS'!G13))+(COUNTIF('GO TRANSPORT'!$A$7:$A$50,'2S EXPRESS'!G13))+(COUNTIF('HMZ - KAIS'!$A$7:$A$50,'2S EXPRESS'!G13))+(COUNTIF('IB TRANSPORT'!$A$7:$A$50,'2S EXPRESS'!G13))+(COUNTIF(JSL!$A$7:$A$50,'2S EXPRESS'!G13))+(COUNTIF(KIFAITOUT!$A$7:$A$50,'2S EXPRESS'!G13))+(COUNTIF('LUXE DRIVE'!$A$7:$A$50,'2S EXPRESS'!G13))+(COUNTIF(SSN!$A$7:$A$50,'2S EXPRESS'!G13))+(COUNTIF('W3'!$A$7:$A$50,'2S EXPRESS'!G13))+(COUNTIF('ATHIS MONS'!$A$7:$A$50,'2S EXPRESS'!G13))+(COUNTIF('L HAY LES ROSES'!$A$7:$A$50,'2S EXPRESS'!G13))+(COUNTIF(RUNGIS!$A$7:$A$50,'2S EXPRESS'!G13))+(COUNTIF(SCEAUX!$A$7:$A$50,'2S EXPRESS'!G13))+(COUNTIF('INSTANCE C1'!$A$7:$A$50,'2S EXPRESS'!G13))+(COUNTIF('INSTANCE C2'!$A$7:$A$50,'2S EXPRESS'!G13))+(COUNTIF(INTERNES!$A$7:$A$50,'2S EXPRESS'!G13))+(COUNTIF('EN PANNE'!$A$7:$A$50,'2S EXPRESS'!G13))+(COUNTIF(TJM!$A$7:$A$50,'2S EXPRESS'!G13))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R13" s="62"/>
      <c r="S13" s="60">
        <f t="shared" si="1"/>
        <v>0</v>
      </c>
      <c r="T13" s="67">
        <f t="shared" si="2"/>
        <v>0</v>
      </c>
      <c r="U13" s="62"/>
    </row>
    <row r="14" spans="1:26" ht="24.95" customHeight="1" x14ac:dyDescent="0.2">
      <c r="A14" s="2"/>
      <c r="B14" s="23">
        <f>(COUNTIF('2S EXPRESS'!$A$7:$A$50,'2S EXPRESS'!A14))+(COUNTIF('2 ZT'!$A$7:$A$50,'2S EXPRESS'!A14))+(COUNTIF('GO TRANSPORT'!$A$7:$A$50,'2S EXPRESS'!A14))+(COUNTIF('HMZ - KAIS'!$A$7:$A$50,'2S EXPRESS'!A14))+(COUNTIF('IB TRANSPORT'!$A$7:$A$50,'2S EXPRESS'!A14))+(COUNTIF(JSL!$A$7:$A$50,'2S EXPRESS'!A14))+(COUNTIF(KIFAITOUT!$A$7:$A$50,'2S EXPRESS'!A14))+(COUNTIF('LUXE DRIVE'!$A$7:$A$50,'2S EXPRESS'!A14))+(COUNTIF(SSN!$A$7:$A$50,'2S EXPRESS'!A14))+(COUNTIF('W3'!$A$7:$A$50,'2S EXPRESS'!A14))+(COUNTIF('ATHIS MONS'!$A$7:$A$50,'2S EXPRESS'!A14))+(COUNTIF('L HAY LES ROSES'!$A$7:$A$50,'2S EXPRESS'!A14))+(COUNTIF(RUNGIS!$A$7:$A$50,'2S EXPRESS'!A14))+(COUNTIF(SCEAUX!$A$7:$A$50,'2S EXPRESS'!A14))+(COUNTIF('INSTANCE C1'!$A$7:$A$50,'2S EXPRESS'!A14))+(COUNTIF('INSTANCE C2'!$A$7:$A$50,'2S EXPRESS'!A14))+(COUNTIF(INTERNES!$A$7:$A$50,'2S EXPRESS'!A14))+(COUNTIF('EN PANNE'!$A$7:$A$50,'2S EXPRESS'!A14))+(COUNTIF(TJM!$A$7:$A$50,'2S EXPRESS'!A14))-C14</f>
        <v>0</v>
      </c>
      <c r="C14" s="23">
        <f>(COUNTIF('2S EXPRESS'!$G$7:$G$50,'2S EXPRESS'!A14))+(COUNTIF('2 ZT'!$G$7:$G$50,'2S EXPRESS'!A14))+(COUNTIF('GO TRANSPORT'!$G$7:$G$50,'2S EXPRESS'!A14))+(COUNTIF('2S EXPRESS'!$G$7:$G$50,'2S EXPRESS'!A14))+(COUNTIF('IB TRANSPORT'!$G$7:$G$50,'2S EXPRESS'!A14))+(COUNTIF(JSL!$G$7:$G$50,'2S EXPRESS'!A14))+(COUNTIF(KIFAITOUT!$G$7:$G$50,'2S EXPRESS'!A14))+(COUNTIF('LUXE DRIVE'!$G$7:$G$50,'2S EXPRESS'!A14))+(COUNTIF(SSN!$G$7:$G$50,'2S EXPRESS'!A14))+(COUNTIF('W3'!$G$7:$G$50,'2S EXPRESS'!A14))+(COUNTIF('ATHIS MONS'!$G$7:$G$50,'2S EXPRESS'!A14))+(COUNTIF('L HAY LES ROSES'!$G$7:$G$50,'2S EXPRESS'!A14))+(COUNTIF(RUNGIS!$G$7:$G$50,'2S EXPRESS'!A14))+(COUNTIF(SCEAUX!$G$7:$G$50,'2S EXPRESS'!A14))+(COUNTIF('INSTANCE C1'!$G$7:$G$50,'2S EXPRESS'!A14))+(COUNTIF('INSTANCE C2'!$G$7:$G$50,'2S EXPRESS'!A14))+(COUNTIF(INTERNES!$G$7:$G$50,'2S EXPRESS'!A14))+(COUNTIF('EN PANNE'!$G$7:$G$50,'2S EXPRESS'!A14))+(COUNTIF(TJM!$G$7:$G$50,'2S EXPRESS'!A14))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EXPRESS'!$G$7:$G$50,'2S EXPRESS'!G14))+(COUNTIF('2 ZT'!$G$7:$G$50,'2S EXPRESS'!G14))+(COUNTIF('GO TRANSPORT'!$G$7:$G$50,'2S EXPRESS'!G14))+(COUNTIF('HMZ - KAIS'!$G$7:$G$50,'2S EXPRESS'!G14))+(COUNTIF('IB TRANSPORT'!$G$7:$G$50,'2S EXPRESS'!G14))+(COUNTIF(JSL!$G$7:$G$50,'2S EXPRESS'!G14))+(COUNTIF(KIFAITOUT!$G$7:$G$50,'2S EXPRESS'!G14))+(COUNTIF('LUXE DRIVE'!$G$7:$G$50,'2S EXPRESS'!G14))+(COUNTIF(SSN!$G$7:$G$50,'2S EXPRESS'!G14))+(COUNTIF('W3'!$G$7:$G$50,'2S EXPRESS'!G14))+(COUNTIF('ATHIS MONS'!$G$7:$G$50,'2S EXPRESS'!G14))+(COUNTIF('L HAY LES ROSES'!$G$7:$G$50,'2S EXPRESS'!G14))+(COUNTIF(RUNGIS!$G$7:$G$50,'2S EXPRESS'!G14))+(COUNTIF(SCEAUX!$G$7:$G$50,'2S EXPRESS'!G14))+(COUNTIF('INSTANCE C1'!$G$7:$G$50,'2S EXPRESS'!G14))+(COUNTIF('INSTANCE C2'!$G$7:$G$50,'2S EXPRESS'!G14))+(COUNTIF(INTERNES!$G$7:$G$50,'2S EXPRESS'!G14))+(COUNTIF('EN PANNE'!$G$7:$G$50,'2S EXPRESS'!G14))+(COUNTIF(TJM!$G$7:$G$50,'2S EXPRESS'!G14))-I14</f>
        <v>0</v>
      </c>
      <c r="I14" s="23">
        <f>(COUNTIF('2S EXPRESS'!$A$7:$A$50,'2S EXPRESS'!G14))+(COUNTIF('2 ZT'!$A$7:$A$50,'2S EXPRESS'!G14))+(COUNTIF('GO TRANSPORT'!$A$7:$A$50,'2S EXPRESS'!G14))+(COUNTIF('HMZ - KAIS'!$A$7:$A$50,'2S EXPRESS'!G14))+(COUNTIF('IB TRANSPORT'!$A$7:$A$50,'2S EXPRESS'!G14))+(COUNTIF(JSL!$A$7:$A$50,'2S EXPRESS'!G14))+(COUNTIF(KIFAITOUT!$A$7:$A$50,'2S EXPRESS'!G14))+(COUNTIF('LUXE DRIVE'!$A$7:$A$50,'2S EXPRESS'!G14))+(COUNTIF(SSN!$A$7:$A$50,'2S EXPRESS'!G14))+(COUNTIF('W3'!$A$7:$A$50,'2S EXPRESS'!G14))+(COUNTIF('ATHIS MONS'!$A$7:$A$50,'2S EXPRESS'!G14))+(COUNTIF('L HAY LES ROSES'!$A$7:$A$50,'2S EXPRESS'!G14))+(COUNTIF(RUNGIS!$A$7:$A$50,'2S EXPRESS'!G14))+(COUNTIF(SCEAUX!$A$7:$A$50,'2S EXPRESS'!G14))+(COUNTIF('INSTANCE C1'!$A$7:$A$50,'2S EXPRESS'!G14))+(COUNTIF('INSTANCE C2'!$A$7:$A$50,'2S EXPRESS'!G14))+(COUNTIF(INTERNES!$A$7:$A$50,'2S EXPRESS'!G14))+(COUNTIF('EN PANNE'!$A$7:$A$50,'2S EXPRESS'!G14))+(COUNTIF(TJM!$A$7:$A$50,'2S EXPRESS'!G14))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R14" s="62"/>
      <c r="S14" s="60">
        <f t="shared" si="1"/>
        <v>0</v>
      </c>
      <c r="T14" s="67">
        <f t="shared" si="2"/>
        <v>0</v>
      </c>
      <c r="U14" s="62"/>
    </row>
    <row r="15" spans="1:26" ht="24.95" customHeight="1" x14ac:dyDescent="0.2">
      <c r="A15" s="2"/>
      <c r="B15" s="23">
        <f>(COUNTIF('2S EXPRESS'!$A$7:$A$50,'2S EXPRESS'!A15))+(COUNTIF('2 ZT'!$A$7:$A$50,'2S EXPRESS'!A15))+(COUNTIF('GO TRANSPORT'!$A$7:$A$50,'2S EXPRESS'!A15))+(COUNTIF('HMZ - KAIS'!$A$7:$A$50,'2S EXPRESS'!A15))+(COUNTIF('IB TRANSPORT'!$A$7:$A$50,'2S EXPRESS'!A15))+(COUNTIF(JSL!$A$7:$A$50,'2S EXPRESS'!A15))+(COUNTIF(KIFAITOUT!$A$7:$A$50,'2S EXPRESS'!A15))+(COUNTIF('LUXE DRIVE'!$A$7:$A$50,'2S EXPRESS'!A15))+(COUNTIF(SSN!$A$7:$A$50,'2S EXPRESS'!A15))+(COUNTIF('W3'!$A$7:$A$50,'2S EXPRESS'!A15))+(COUNTIF('ATHIS MONS'!$A$7:$A$50,'2S EXPRESS'!A15))+(COUNTIF('L HAY LES ROSES'!$A$7:$A$50,'2S EXPRESS'!A15))+(COUNTIF(RUNGIS!$A$7:$A$50,'2S EXPRESS'!A15))+(COUNTIF(SCEAUX!$A$7:$A$50,'2S EXPRESS'!A15))+(COUNTIF('INSTANCE C1'!$A$7:$A$50,'2S EXPRESS'!A15))+(COUNTIF('INSTANCE C2'!$A$7:$A$50,'2S EXPRESS'!A15))+(COUNTIF(INTERNES!$A$7:$A$50,'2S EXPRESS'!A15))+(COUNTIF('EN PANNE'!$A$7:$A$50,'2S EXPRESS'!A15))+(COUNTIF(TJM!$A$7:$A$50,'2S EXPRESS'!A15))-C15</f>
        <v>0</v>
      </c>
      <c r="C15" s="23">
        <f>(COUNTIF('2S EXPRESS'!$G$7:$G$50,'2S EXPRESS'!A15))+(COUNTIF('2 ZT'!$G$7:$G$50,'2S EXPRESS'!A15))+(COUNTIF('GO TRANSPORT'!$G$7:$G$50,'2S EXPRESS'!A15))+(COUNTIF('2S EXPRESS'!$G$7:$G$50,'2S EXPRESS'!A15))+(COUNTIF('IB TRANSPORT'!$G$7:$G$50,'2S EXPRESS'!A15))+(COUNTIF(JSL!$G$7:$G$50,'2S EXPRESS'!A15))+(COUNTIF(KIFAITOUT!$G$7:$G$50,'2S EXPRESS'!A15))+(COUNTIF('LUXE DRIVE'!$G$7:$G$50,'2S EXPRESS'!A15))+(COUNTIF(SSN!$G$7:$G$50,'2S EXPRESS'!A15))+(COUNTIF('W3'!$G$7:$G$50,'2S EXPRESS'!A15))+(COUNTIF('ATHIS MONS'!$G$7:$G$50,'2S EXPRESS'!A15))+(COUNTIF('L HAY LES ROSES'!$G$7:$G$50,'2S EXPRESS'!A15))+(COUNTIF(RUNGIS!$G$7:$G$50,'2S EXPRESS'!A15))+(COUNTIF(SCEAUX!$G$7:$G$50,'2S EXPRESS'!A15))+(COUNTIF('INSTANCE C1'!$G$7:$G$50,'2S EXPRESS'!A15))+(COUNTIF('INSTANCE C2'!$G$7:$G$50,'2S EXPRESS'!A15))+(COUNTIF(INTERNES!$G$7:$G$50,'2S EXPRESS'!A15))+(COUNTIF('EN PANNE'!$G$7:$G$50,'2S EXPRESS'!A15))+(COUNTIF(TJM!$G$7:$G$50,'2S EXPRESS'!A15))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EXPRESS'!$G$7:$G$50,'2S EXPRESS'!G15))+(COUNTIF('2 ZT'!$G$7:$G$50,'2S EXPRESS'!G15))+(COUNTIF('GO TRANSPORT'!$G$7:$G$50,'2S EXPRESS'!G15))+(COUNTIF('HMZ - KAIS'!$G$7:$G$50,'2S EXPRESS'!G15))+(COUNTIF('IB TRANSPORT'!$G$7:$G$50,'2S EXPRESS'!G15))+(COUNTIF(JSL!$G$7:$G$50,'2S EXPRESS'!G15))+(COUNTIF(KIFAITOUT!$G$7:$G$50,'2S EXPRESS'!G15))+(COUNTIF('LUXE DRIVE'!$G$7:$G$50,'2S EXPRESS'!G15))+(COUNTIF(SSN!$G$7:$G$50,'2S EXPRESS'!G15))+(COUNTIF('W3'!$G$7:$G$50,'2S EXPRESS'!G15))+(COUNTIF('ATHIS MONS'!$G$7:$G$50,'2S EXPRESS'!G15))+(COUNTIF('L HAY LES ROSES'!$G$7:$G$50,'2S EXPRESS'!G15))+(COUNTIF(RUNGIS!$G$7:$G$50,'2S EXPRESS'!G15))+(COUNTIF(SCEAUX!$G$7:$G$50,'2S EXPRESS'!G15))+(COUNTIF('INSTANCE C1'!$G$7:$G$50,'2S EXPRESS'!G15))+(COUNTIF('INSTANCE C2'!$G$7:$G$50,'2S EXPRESS'!G15))+(COUNTIF(INTERNES!$G$7:$G$50,'2S EXPRESS'!G15))+(COUNTIF('EN PANNE'!$G$7:$G$50,'2S EXPRESS'!G15))+(COUNTIF(TJM!$G$7:$G$50,'2S EXPRESS'!G15))-I15</f>
        <v>0</v>
      </c>
      <c r="I15" s="23">
        <f>(COUNTIF('2S EXPRESS'!$A$7:$A$50,'2S EXPRESS'!G15))+(COUNTIF('2 ZT'!$A$7:$A$50,'2S EXPRESS'!G15))+(COUNTIF('GO TRANSPORT'!$A$7:$A$50,'2S EXPRESS'!G15))+(COUNTIF('HMZ - KAIS'!$A$7:$A$50,'2S EXPRESS'!G15))+(COUNTIF('IB TRANSPORT'!$A$7:$A$50,'2S EXPRESS'!G15))+(COUNTIF(JSL!$A$7:$A$50,'2S EXPRESS'!G15))+(COUNTIF(KIFAITOUT!$A$7:$A$50,'2S EXPRESS'!G15))+(COUNTIF('LUXE DRIVE'!$A$7:$A$50,'2S EXPRESS'!G15))+(COUNTIF(SSN!$A$7:$A$50,'2S EXPRESS'!G15))+(COUNTIF('W3'!$A$7:$A$50,'2S EXPRESS'!G15))+(COUNTIF('ATHIS MONS'!$A$7:$A$50,'2S EXPRESS'!G15))+(COUNTIF('L HAY LES ROSES'!$A$7:$A$50,'2S EXPRESS'!G15))+(COUNTIF(RUNGIS!$A$7:$A$50,'2S EXPRESS'!G15))+(COUNTIF(SCEAUX!$A$7:$A$50,'2S EXPRESS'!G15))+(COUNTIF('INSTANCE C1'!$A$7:$A$50,'2S EXPRESS'!G15))+(COUNTIF('INSTANCE C2'!$A$7:$A$50,'2S EXPRESS'!G15))+(COUNTIF(INTERNES!$A$7:$A$50,'2S EXPRESS'!G15))+(COUNTIF('EN PANNE'!$A$7:$A$50,'2S EXPRESS'!G15))+(COUNTIF(TJM!$A$7:$A$50,'2S EXPRESS'!G15))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R15" s="62"/>
      <c r="S15" s="60">
        <f t="shared" si="1"/>
        <v>0</v>
      </c>
      <c r="T15" s="67">
        <f t="shared" si="2"/>
        <v>0</v>
      </c>
      <c r="U15" s="62"/>
    </row>
    <row r="16" spans="1:26" ht="24.95" customHeight="1" x14ac:dyDescent="0.2">
      <c r="A16" s="2"/>
      <c r="B16" s="23">
        <f>(COUNTIF('2S EXPRESS'!$A$7:$A$50,'2S EXPRESS'!A16))+(COUNTIF('2 ZT'!$A$7:$A$50,'2S EXPRESS'!A16))+(COUNTIF('GO TRANSPORT'!$A$7:$A$50,'2S EXPRESS'!A16))+(COUNTIF('HMZ - KAIS'!$A$7:$A$50,'2S EXPRESS'!A16))+(COUNTIF('IB TRANSPORT'!$A$7:$A$50,'2S EXPRESS'!A16))+(COUNTIF(JSL!$A$7:$A$50,'2S EXPRESS'!A16))+(COUNTIF(KIFAITOUT!$A$7:$A$50,'2S EXPRESS'!A16))+(COUNTIF('LUXE DRIVE'!$A$7:$A$50,'2S EXPRESS'!A16))+(COUNTIF(SSN!$A$7:$A$50,'2S EXPRESS'!A16))+(COUNTIF('W3'!$A$7:$A$50,'2S EXPRESS'!A16))+(COUNTIF('ATHIS MONS'!$A$7:$A$50,'2S EXPRESS'!A16))+(COUNTIF('L HAY LES ROSES'!$A$7:$A$50,'2S EXPRESS'!A16))+(COUNTIF(RUNGIS!$A$7:$A$50,'2S EXPRESS'!A16))+(COUNTIF(SCEAUX!$A$7:$A$50,'2S EXPRESS'!A16))+(COUNTIF('INSTANCE C1'!$A$7:$A$50,'2S EXPRESS'!A16))+(COUNTIF('INSTANCE C2'!$A$7:$A$50,'2S EXPRESS'!A16))+(COUNTIF(INTERNES!$A$7:$A$50,'2S EXPRESS'!A16))+(COUNTIF('EN PANNE'!$A$7:$A$50,'2S EXPRESS'!A16))+(COUNTIF(TJM!$A$7:$A$50,'2S EXPRESS'!A16))-C16</f>
        <v>0</v>
      </c>
      <c r="C16" s="23">
        <f>(COUNTIF('2S EXPRESS'!$G$7:$G$50,'2S EXPRESS'!A16))+(COUNTIF('2 ZT'!$G$7:$G$50,'2S EXPRESS'!A16))+(COUNTIF('GO TRANSPORT'!$G$7:$G$50,'2S EXPRESS'!A16))+(COUNTIF('2S EXPRESS'!$G$7:$G$50,'2S EXPRESS'!A16))+(COUNTIF('IB TRANSPORT'!$G$7:$G$50,'2S EXPRESS'!A16))+(COUNTIF(JSL!$G$7:$G$50,'2S EXPRESS'!A16))+(COUNTIF(KIFAITOUT!$G$7:$G$50,'2S EXPRESS'!A16))+(COUNTIF('LUXE DRIVE'!$G$7:$G$50,'2S EXPRESS'!A16))+(COUNTIF(SSN!$G$7:$G$50,'2S EXPRESS'!A16))+(COUNTIF('W3'!$G$7:$G$50,'2S EXPRESS'!A16))+(COUNTIF('ATHIS MONS'!$G$7:$G$50,'2S EXPRESS'!A16))+(COUNTIF('L HAY LES ROSES'!$G$7:$G$50,'2S EXPRESS'!A16))+(COUNTIF(RUNGIS!$G$7:$G$50,'2S EXPRESS'!A16))+(COUNTIF(SCEAUX!$G$7:$G$50,'2S EXPRESS'!A16))+(COUNTIF('INSTANCE C1'!$G$7:$G$50,'2S EXPRESS'!A16))+(COUNTIF('INSTANCE C2'!$G$7:$G$50,'2S EXPRESS'!A16))+(COUNTIF(INTERNES!$G$7:$G$50,'2S EXPRESS'!A16))+(COUNTIF('EN PANNE'!$G$7:$G$50,'2S EXPRESS'!A16))+(COUNTIF(TJM!$G$7:$G$50,'2S EXPRESS'!A16))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EXPRESS'!$G$7:$G$50,'2S EXPRESS'!G16))+(COUNTIF('2 ZT'!$G$7:$G$50,'2S EXPRESS'!G16))+(COUNTIF('GO TRANSPORT'!$G$7:$G$50,'2S EXPRESS'!G16))+(COUNTIF('HMZ - KAIS'!$G$7:$G$50,'2S EXPRESS'!G16))+(COUNTIF('IB TRANSPORT'!$G$7:$G$50,'2S EXPRESS'!G16))+(COUNTIF(JSL!$G$7:$G$50,'2S EXPRESS'!G16))+(COUNTIF(KIFAITOUT!$G$7:$G$50,'2S EXPRESS'!G16))+(COUNTIF('LUXE DRIVE'!$G$7:$G$50,'2S EXPRESS'!G16))+(COUNTIF(SSN!$G$7:$G$50,'2S EXPRESS'!G16))+(COUNTIF('W3'!$G$7:$G$50,'2S EXPRESS'!G16))+(COUNTIF('ATHIS MONS'!$G$7:$G$50,'2S EXPRESS'!G16))+(COUNTIF('L HAY LES ROSES'!$G$7:$G$50,'2S EXPRESS'!G16))+(COUNTIF(RUNGIS!$G$7:$G$50,'2S EXPRESS'!G16))+(COUNTIF(SCEAUX!$G$7:$G$50,'2S EXPRESS'!G16))+(COUNTIF('INSTANCE C1'!$G$7:$G$50,'2S EXPRESS'!G16))+(COUNTIF('INSTANCE C2'!$G$7:$G$50,'2S EXPRESS'!G16))+(COUNTIF(INTERNES!$G$7:$G$50,'2S EXPRESS'!G16))+(COUNTIF('EN PANNE'!$G$7:$G$50,'2S EXPRESS'!G16))+(COUNTIF(TJM!$G$7:$G$50,'2S EXPRESS'!G16))-I16</f>
        <v>0</v>
      </c>
      <c r="I16" s="23">
        <f>(COUNTIF('2S EXPRESS'!$A$7:$A$50,'2S EXPRESS'!G16))+(COUNTIF('2 ZT'!$A$7:$A$50,'2S EXPRESS'!G16))+(COUNTIF('GO TRANSPORT'!$A$7:$A$50,'2S EXPRESS'!G16))+(COUNTIF('HMZ - KAIS'!$A$7:$A$50,'2S EXPRESS'!G16))+(COUNTIF('IB TRANSPORT'!$A$7:$A$50,'2S EXPRESS'!G16))+(COUNTIF(JSL!$A$7:$A$50,'2S EXPRESS'!G16))+(COUNTIF(KIFAITOUT!$A$7:$A$50,'2S EXPRESS'!G16))+(COUNTIF('LUXE DRIVE'!$A$7:$A$50,'2S EXPRESS'!G16))+(COUNTIF(SSN!$A$7:$A$50,'2S EXPRESS'!G16))+(COUNTIF('W3'!$A$7:$A$50,'2S EXPRESS'!G16))+(COUNTIF('ATHIS MONS'!$A$7:$A$50,'2S EXPRESS'!G16))+(COUNTIF('L HAY LES ROSES'!$A$7:$A$50,'2S EXPRESS'!G16))+(COUNTIF(RUNGIS!$A$7:$A$50,'2S EXPRESS'!G16))+(COUNTIF(SCEAUX!$A$7:$A$50,'2S EXPRESS'!G16))+(COUNTIF('INSTANCE C1'!$A$7:$A$50,'2S EXPRESS'!G16))+(COUNTIF('INSTANCE C2'!$A$7:$A$50,'2S EXPRESS'!G16))+(COUNTIF(INTERNES!$A$7:$A$50,'2S EXPRESS'!G16))+(COUNTIF('EN PANNE'!$A$7:$A$50,'2S EXPRESS'!G16))+(COUNTIF(TJM!$A$7:$A$50,'2S EXPRESS'!G16))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R16" s="62"/>
      <c r="S16" s="60">
        <f t="shared" si="1"/>
        <v>0</v>
      </c>
      <c r="T16" s="67">
        <f t="shared" si="2"/>
        <v>0</v>
      </c>
      <c r="U16" s="62"/>
    </row>
    <row r="17" spans="1:21" ht="24.95" customHeight="1" x14ac:dyDescent="0.2">
      <c r="A17" s="2"/>
      <c r="B17" s="23">
        <f>(COUNTIF('2S EXPRESS'!$A$7:$A$50,'2S EXPRESS'!A17))+(COUNTIF('2 ZT'!$A$7:$A$50,'2S EXPRESS'!A17))+(COUNTIF('GO TRANSPORT'!$A$7:$A$50,'2S EXPRESS'!A17))+(COUNTIF('HMZ - KAIS'!$A$7:$A$50,'2S EXPRESS'!A17))+(COUNTIF('IB TRANSPORT'!$A$7:$A$50,'2S EXPRESS'!A17))+(COUNTIF(JSL!$A$7:$A$50,'2S EXPRESS'!A17))+(COUNTIF(KIFAITOUT!$A$7:$A$50,'2S EXPRESS'!A17))+(COUNTIF('LUXE DRIVE'!$A$7:$A$50,'2S EXPRESS'!A17))+(COUNTIF(SSN!$A$7:$A$50,'2S EXPRESS'!A17))+(COUNTIF('W3'!$A$7:$A$50,'2S EXPRESS'!A17))+(COUNTIF('ATHIS MONS'!$A$7:$A$50,'2S EXPRESS'!A17))+(COUNTIF('L HAY LES ROSES'!$A$7:$A$50,'2S EXPRESS'!A17))+(COUNTIF(RUNGIS!$A$7:$A$50,'2S EXPRESS'!A17))+(COUNTIF(SCEAUX!$A$7:$A$50,'2S EXPRESS'!A17))+(COUNTIF('INSTANCE C1'!$A$7:$A$50,'2S EXPRESS'!A17))+(COUNTIF('INSTANCE C2'!$A$7:$A$50,'2S EXPRESS'!A17))+(COUNTIF(INTERNES!$A$7:$A$50,'2S EXPRESS'!A17))+(COUNTIF('EN PANNE'!$A$7:$A$50,'2S EXPRESS'!A17))+(COUNTIF(TJM!$A$7:$A$50,'2S EXPRESS'!A17))-C17</f>
        <v>0</v>
      </c>
      <c r="C17" s="23">
        <f>(COUNTIF('2S EXPRESS'!$G$7:$G$50,'2S EXPRESS'!A17))+(COUNTIF('2 ZT'!$G$7:$G$50,'2S EXPRESS'!A17))+(COUNTIF('GO TRANSPORT'!$G$7:$G$50,'2S EXPRESS'!A17))+(COUNTIF('2S EXPRESS'!$G$7:$G$50,'2S EXPRESS'!A17))+(COUNTIF('IB TRANSPORT'!$G$7:$G$50,'2S EXPRESS'!A17))+(COUNTIF(JSL!$G$7:$G$50,'2S EXPRESS'!A17))+(COUNTIF(KIFAITOUT!$G$7:$G$50,'2S EXPRESS'!A17))+(COUNTIF('LUXE DRIVE'!$G$7:$G$50,'2S EXPRESS'!A17))+(COUNTIF(SSN!$G$7:$G$50,'2S EXPRESS'!A17))+(COUNTIF('W3'!$G$7:$G$50,'2S EXPRESS'!A17))+(COUNTIF('ATHIS MONS'!$G$7:$G$50,'2S EXPRESS'!A17))+(COUNTIF('L HAY LES ROSES'!$G$7:$G$50,'2S EXPRESS'!A17))+(COUNTIF(RUNGIS!$G$7:$G$50,'2S EXPRESS'!A17))+(COUNTIF(SCEAUX!$G$7:$G$50,'2S EXPRESS'!A17))+(COUNTIF('INSTANCE C1'!$G$7:$G$50,'2S EXPRESS'!A17))+(COUNTIF('INSTANCE C2'!$G$7:$G$50,'2S EXPRESS'!A17))+(COUNTIF(INTERNES!$G$7:$G$50,'2S EXPRESS'!A17))+(COUNTIF('EN PANNE'!$G$7:$G$50,'2S EXPRESS'!A17))+(COUNTIF(TJM!$G$7:$G$50,'2S EXPRESS'!A17))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EXPRESS'!$G$7:$G$50,'2S EXPRESS'!G17))+(COUNTIF('2 ZT'!$G$7:$G$50,'2S EXPRESS'!G17))+(COUNTIF('GO TRANSPORT'!$G$7:$G$50,'2S EXPRESS'!G17))+(COUNTIF('HMZ - KAIS'!$G$7:$G$50,'2S EXPRESS'!G17))+(COUNTIF('IB TRANSPORT'!$G$7:$G$50,'2S EXPRESS'!G17))+(COUNTIF(JSL!$G$7:$G$50,'2S EXPRESS'!G17))+(COUNTIF(KIFAITOUT!$G$7:$G$50,'2S EXPRESS'!G17))+(COUNTIF('LUXE DRIVE'!$G$7:$G$50,'2S EXPRESS'!G17))+(COUNTIF(SSN!$G$7:$G$50,'2S EXPRESS'!G17))+(COUNTIF('W3'!$G$7:$G$50,'2S EXPRESS'!G17))+(COUNTIF('ATHIS MONS'!$G$7:$G$50,'2S EXPRESS'!G17))+(COUNTIF('L HAY LES ROSES'!$G$7:$G$50,'2S EXPRESS'!G17))+(COUNTIF(RUNGIS!$G$7:$G$50,'2S EXPRESS'!G17))+(COUNTIF(SCEAUX!$G$7:$G$50,'2S EXPRESS'!G17))+(COUNTIF('INSTANCE C1'!$G$7:$G$50,'2S EXPRESS'!G17))+(COUNTIF('INSTANCE C2'!$G$7:$G$50,'2S EXPRESS'!G17))+(COUNTIF(INTERNES!$G$7:$G$50,'2S EXPRESS'!G17))+(COUNTIF('EN PANNE'!$G$7:$G$50,'2S EXPRESS'!G17))+(COUNTIF(TJM!$G$7:$G$50,'2S EXPRESS'!G17))-I17</f>
        <v>0</v>
      </c>
      <c r="I17" s="23">
        <f>(COUNTIF('2S EXPRESS'!$A$7:$A$50,'2S EXPRESS'!G17))+(COUNTIF('2 ZT'!$A$7:$A$50,'2S EXPRESS'!G17))+(COUNTIF('GO TRANSPORT'!$A$7:$A$50,'2S EXPRESS'!G17))+(COUNTIF('HMZ - KAIS'!$A$7:$A$50,'2S EXPRESS'!G17))+(COUNTIF('IB TRANSPORT'!$A$7:$A$50,'2S EXPRESS'!G17))+(COUNTIF(JSL!$A$7:$A$50,'2S EXPRESS'!G17))+(COUNTIF(KIFAITOUT!$A$7:$A$50,'2S EXPRESS'!G17))+(COUNTIF('LUXE DRIVE'!$A$7:$A$50,'2S EXPRESS'!G17))+(COUNTIF(SSN!$A$7:$A$50,'2S EXPRESS'!G17))+(COUNTIF('W3'!$A$7:$A$50,'2S EXPRESS'!G17))+(COUNTIF('ATHIS MONS'!$A$7:$A$50,'2S EXPRESS'!G17))+(COUNTIF('L HAY LES ROSES'!$A$7:$A$50,'2S EXPRESS'!G17))+(COUNTIF(RUNGIS!$A$7:$A$50,'2S EXPRESS'!G17))+(COUNTIF(SCEAUX!$A$7:$A$50,'2S EXPRESS'!G17))+(COUNTIF('INSTANCE C1'!$A$7:$A$50,'2S EXPRESS'!G17))+(COUNTIF('INSTANCE C2'!$A$7:$A$50,'2S EXPRESS'!G17))+(COUNTIF(INTERNES!$A$7:$A$50,'2S EXPRESS'!G17))+(COUNTIF('EN PANNE'!$A$7:$A$50,'2S EXPRESS'!G17))+(COUNTIF(TJM!$A$7:$A$50,'2S EXPRESS'!G17))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R17" s="62"/>
      <c r="S17" s="60">
        <f t="shared" si="1"/>
        <v>0</v>
      </c>
      <c r="T17" s="67">
        <f t="shared" si="2"/>
        <v>0</v>
      </c>
      <c r="U17" s="62"/>
    </row>
    <row r="18" spans="1:21" ht="24.95" customHeight="1" x14ac:dyDescent="0.2">
      <c r="A18" s="2"/>
      <c r="B18" s="23">
        <f>(COUNTIF('2S EXPRESS'!$A$7:$A$50,'2S EXPRESS'!A18))+(COUNTIF('2 ZT'!$A$7:$A$50,'2S EXPRESS'!A18))+(COUNTIF('GO TRANSPORT'!$A$7:$A$50,'2S EXPRESS'!A18))+(COUNTIF('HMZ - KAIS'!$A$7:$A$50,'2S EXPRESS'!A18))+(COUNTIF('IB TRANSPORT'!$A$7:$A$50,'2S EXPRESS'!A18))+(COUNTIF(JSL!$A$7:$A$50,'2S EXPRESS'!A18))+(COUNTIF(KIFAITOUT!$A$7:$A$50,'2S EXPRESS'!A18))+(COUNTIF('LUXE DRIVE'!$A$7:$A$50,'2S EXPRESS'!A18))+(COUNTIF(SSN!$A$7:$A$50,'2S EXPRESS'!A18))+(COUNTIF('W3'!$A$7:$A$50,'2S EXPRESS'!A18))+(COUNTIF('ATHIS MONS'!$A$7:$A$50,'2S EXPRESS'!A18))+(COUNTIF('L HAY LES ROSES'!$A$7:$A$50,'2S EXPRESS'!A18))+(COUNTIF(RUNGIS!$A$7:$A$50,'2S EXPRESS'!A18))+(COUNTIF(SCEAUX!$A$7:$A$50,'2S EXPRESS'!A18))+(COUNTIF('INSTANCE C1'!$A$7:$A$50,'2S EXPRESS'!A18))+(COUNTIF('INSTANCE C2'!$A$7:$A$50,'2S EXPRESS'!A18))+(COUNTIF(INTERNES!$A$7:$A$50,'2S EXPRESS'!A18))+(COUNTIF('EN PANNE'!$A$7:$A$50,'2S EXPRESS'!A18))+(COUNTIF(TJM!$A$7:$A$50,'2S EXPRESS'!A18))-C18</f>
        <v>0</v>
      </c>
      <c r="C18" s="23">
        <f>(COUNTIF('2S EXPRESS'!$G$7:$G$50,'2S EXPRESS'!A18))+(COUNTIF('2 ZT'!$G$7:$G$50,'2S EXPRESS'!A18))+(COUNTIF('GO TRANSPORT'!$G$7:$G$50,'2S EXPRESS'!A18))+(COUNTIF('2S EXPRESS'!$G$7:$G$50,'2S EXPRESS'!A18))+(COUNTIF('IB TRANSPORT'!$G$7:$G$50,'2S EXPRESS'!A18))+(COUNTIF(JSL!$G$7:$G$50,'2S EXPRESS'!A18))+(COUNTIF(KIFAITOUT!$G$7:$G$50,'2S EXPRESS'!A18))+(COUNTIF('LUXE DRIVE'!$G$7:$G$50,'2S EXPRESS'!A18))+(COUNTIF(SSN!$G$7:$G$50,'2S EXPRESS'!A18))+(COUNTIF('W3'!$G$7:$G$50,'2S EXPRESS'!A18))+(COUNTIF('ATHIS MONS'!$G$7:$G$50,'2S EXPRESS'!A18))+(COUNTIF('L HAY LES ROSES'!$G$7:$G$50,'2S EXPRESS'!A18))+(COUNTIF(RUNGIS!$G$7:$G$50,'2S EXPRESS'!A18))+(COUNTIF(SCEAUX!$G$7:$G$50,'2S EXPRESS'!A18))+(COUNTIF('INSTANCE C1'!$G$7:$G$50,'2S EXPRESS'!A18))+(COUNTIF('INSTANCE C2'!$G$7:$G$50,'2S EXPRESS'!A18))+(COUNTIF(INTERNES!$G$7:$G$50,'2S EXPRESS'!A18))+(COUNTIF('EN PANNE'!$G$7:$G$50,'2S EXPRESS'!A18))+(COUNTIF(TJM!$G$7:$G$50,'2S EXPRESS'!A18))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EXPRESS'!$G$7:$G$50,'2S EXPRESS'!G18))+(COUNTIF('2 ZT'!$G$7:$G$50,'2S EXPRESS'!G18))+(COUNTIF('GO TRANSPORT'!$G$7:$G$50,'2S EXPRESS'!G18))+(COUNTIF('HMZ - KAIS'!$G$7:$G$50,'2S EXPRESS'!G18))+(COUNTIF('IB TRANSPORT'!$G$7:$G$50,'2S EXPRESS'!G18))+(COUNTIF(JSL!$G$7:$G$50,'2S EXPRESS'!G18))+(COUNTIF(KIFAITOUT!$G$7:$G$50,'2S EXPRESS'!G18))+(COUNTIF('LUXE DRIVE'!$G$7:$G$50,'2S EXPRESS'!G18))+(COUNTIF(SSN!$G$7:$G$50,'2S EXPRESS'!G18))+(COUNTIF('W3'!$G$7:$G$50,'2S EXPRESS'!G18))+(COUNTIF('ATHIS MONS'!$G$7:$G$50,'2S EXPRESS'!G18))+(COUNTIF('L HAY LES ROSES'!$G$7:$G$50,'2S EXPRESS'!G18))+(COUNTIF(RUNGIS!$G$7:$G$50,'2S EXPRESS'!G18))+(COUNTIF(SCEAUX!$G$7:$G$50,'2S EXPRESS'!G18))+(COUNTIF('INSTANCE C1'!$G$7:$G$50,'2S EXPRESS'!G18))+(COUNTIF('INSTANCE C2'!$G$7:$G$50,'2S EXPRESS'!G18))+(COUNTIF(INTERNES!$G$7:$G$50,'2S EXPRESS'!G18))+(COUNTIF('EN PANNE'!$G$7:$G$50,'2S EXPRESS'!G18))+(COUNTIF(TJM!$G$7:$G$50,'2S EXPRESS'!G18))-I18</f>
        <v>0</v>
      </c>
      <c r="I18" s="23">
        <f>(COUNTIF('2S EXPRESS'!$A$7:$A$50,'2S EXPRESS'!G18))+(COUNTIF('2 ZT'!$A$7:$A$50,'2S EXPRESS'!G18))+(COUNTIF('GO TRANSPORT'!$A$7:$A$50,'2S EXPRESS'!G18))+(COUNTIF('HMZ - KAIS'!$A$7:$A$50,'2S EXPRESS'!G18))+(COUNTIF('IB TRANSPORT'!$A$7:$A$50,'2S EXPRESS'!G18))+(COUNTIF(JSL!$A$7:$A$50,'2S EXPRESS'!G18))+(COUNTIF(KIFAITOUT!$A$7:$A$50,'2S EXPRESS'!G18))+(COUNTIF('LUXE DRIVE'!$A$7:$A$50,'2S EXPRESS'!G18))+(COUNTIF(SSN!$A$7:$A$50,'2S EXPRESS'!G18))+(COUNTIF('W3'!$A$7:$A$50,'2S EXPRESS'!G18))+(COUNTIF('ATHIS MONS'!$A$7:$A$50,'2S EXPRESS'!G18))+(COUNTIF('L HAY LES ROSES'!$A$7:$A$50,'2S EXPRESS'!G18))+(COUNTIF(RUNGIS!$A$7:$A$50,'2S EXPRESS'!G18))+(COUNTIF(SCEAUX!$A$7:$A$50,'2S EXPRESS'!G18))+(COUNTIF('INSTANCE C1'!$A$7:$A$50,'2S EXPRESS'!G18))+(COUNTIF('INSTANCE C2'!$A$7:$A$50,'2S EXPRESS'!G18))+(COUNTIF(INTERNES!$A$7:$A$50,'2S EXPRESS'!G18))+(COUNTIF('EN PANNE'!$A$7:$A$50,'2S EXPRESS'!G18))+(COUNTIF(TJM!$A$7:$A$50,'2S EXPRESS'!G18))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R18" s="62"/>
      <c r="S18" s="60">
        <f t="shared" si="1"/>
        <v>0</v>
      </c>
      <c r="T18" s="67">
        <f t="shared" si="2"/>
        <v>0</v>
      </c>
      <c r="U18" s="62"/>
    </row>
    <row r="19" spans="1:21" ht="24.95" customHeight="1" x14ac:dyDescent="0.2">
      <c r="A19" s="2"/>
      <c r="B19" s="23">
        <f>(COUNTIF('2S EXPRESS'!$A$7:$A$50,'2S EXPRESS'!A19))+(COUNTIF('2 ZT'!$A$7:$A$50,'2S EXPRESS'!A19))+(COUNTIF('GO TRANSPORT'!$A$7:$A$50,'2S EXPRESS'!A19))+(COUNTIF('HMZ - KAIS'!$A$7:$A$50,'2S EXPRESS'!A19))+(COUNTIF('IB TRANSPORT'!$A$7:$A$50,'2S EXPRESS'!A19))+(COUNTIF(JSL!$A$7:$A$50,'2S EXPRESS'!A19))+(COUNTIF(KIFAITOUT!$A$7:$A$50,'2S EXPRESS'!A19))+(COUNTIF('LUXE DRIVE'!$A$7:$A$50,'2S EXPRESS'!A19))+(COUNTIF(SSN!$A$7:$A$50,'2S EXPRESS'!A19))+(COUNTIF('W3'!$A$7:$A$50,'2S EXPRESS'!A19))+(COUNTIF('ATHIS MONS'!$A$7:$A$50,'2S EXPRESS'!A19))+(COUNTIF('L HAY LES ROSES'!$A$7:$A$50,'2S EXPRESS'!A19))+(COUNTIF(RUNGIS!$A$7:$A$50,'2S EXPRESS'!A19))+(COUNTIF(SCEAUX!$A$7:$A$50,'2S EXPRESS'!A19))+(COUNTIF('INSTANCE C1'!$A$7:$A$50,'2S EXPRESS'!A19))+(COUNTIF('INSTANCE C2'!$A$7:$A$50,'2S EXPRESS'!A19))+(COUNTIF(INTERNES!$A$7:$A$50,'2S EXPRESS'!A19))+(COUNTIF('EN PANNE'!$A$7:$A$50,'2S EXPRESS'!A19))+(COUNTIF(TJM!$A$7:$A$50,'2S EXPRESS'!A19))-C19</f>
        <v>0</v>
      </c>
      <c r="C19" s="23">
        <f>(COUNTIF('2S EXPRESS'!$G$7:$G$50,'2S EXPRESS'!A19))+(COUNTIF('2 ZT'!$G$7:$G$50,'2S EXPRESS'!A19))+(COUNTIF('GO TRANSPORT'!$G$7:$G$50,'2S EXPRESS'!A19))+(COUNTIF('2S EXPRESS'!$G$7:$G$50,'2S EXPRESS'!A19))+(COUNTIF('IB TRANSPORT'!$G$7:$G$50,'2S EXPRESS'!A19))+(COUNTIF(JSL!$G$7:$G$50,'2S EXPRESS'!A19))+(COUNTIF(KIFAITOUT!$G$7:$G$50,'2S EXPRESS'!A19))+(COUNTIF('LUXE DRIVE'!$G$7:$G$50,'2S EXPRESS'!A19))+(COUNTIF(SSN!$G$7:$G$50,'2S EXPRESS'!A19))+(COUNTIF('W3'!$G$7:$G$50,'2S EXPRESS'!A19))+(COUNTIF('ATHIS MONS'!$G$7:$G$50,'2S EXPRESS'!A19))+(COUNTIF('L HAY LES ROSES'!$G$7:$G$50,'2S EXPRESS'!A19))+(COUNTIF(RUNGIS!$G$7:$G$50,'2S EXPRESS'!A19))+(COUNTIF(SCEAUX!$G$7:$G$50,'2S EXPRESS'!A19))+(COUNTIF('INSTANCE C1'!$G$7:$G$50,'2S EXPRESS'!A19))+(COUNTIF('INSTANCE C2'!$G$7:$G$50,'2S EXPRESS'!A19))+(COUNTIF(INTERNES!$G$7:$G$50,'2S EXPRESS'!A19))+(COUNTIF('EN PANNE'!$G$7:$G$50,'2S EXPRESS'!A19))+(COUNTIF(TJM!$G$7:$G$50,'2S EXPRESS'!A19))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EXPRESS'!$G$7:$G$50,'2S EXPRESS'!G19))+(COUNTIF('2 ZT'!$G$7:$G$50,'2S EXPRESS'!G19))+(COUNTIF('GO TRANSPORT'!$G$7:$G$50,'2S EXPRESS'!G19))+(COUNTIF('HMZ - KAIS'!$G$7:$G$50,'2S EXPRESS'!G19))+(COUNTIF('IB TRANSPORT'!$G$7:$G$50,'2S EXPRESS'!G19))+(COUNTIF(JSL!$G$7:$G$50,'2S EXPRESS'!G19))+(COUNTIF(KIFAITOUT!$G$7:$G$50,'2S EXPRESS'!G19))+(COUNTIF('LUXE DRIVE'!$G$7:$G$50,'2S EXPRESS'!G19))+(COUNTIF(SSN!$G$7:$G$50,'2S EXPRESS'!G19))+(COUNTIF('W3'!$G$7:$G$50,'2S EXPRESS'!G19))+(COUNTIF('ATHIS MONS'!$G$7:$G$50,'2S EXPRESS'!G19))+(COUNTIF('L HAY LES ROSES'!$G$7:$G$50,'2S EXPRESS'!G19))+(COUNTIF(RUNGIS!$G$7:$G$50,'2S EXPRESS'!G19))+(COUNTIF(SCEAUX!$G$7:$G$50,'2S EXPRESS'!G19))+(COUNTIF('INSTANCE C1'!$G$7:$G$50,'2S EXPRESS'!G19))+(COUNTIF('INSTANCE C2'!$G$7:$G$50,'2S EXPRESS'!G19))+(COUNTIF(INTERNES!$G$7:$G$50,'2S EXPRESS'!G19))+(COUNTIF('EN PANNE'!$G$7:$G$50,'2S EXPRESS'!G19))+(COUNTIF(TJM!$G$7:$G$50,'2S EXPRESS'!G19))-I19</f>
        <v>0</v>
      </c>
      <c r="I19" s="23">
        <f>(COUNTIF('2S EXPRESS'!$A$7:$A$50,'2S EXPRESS'!G19))+(COUNTIF('2 ZT'!$A$7:$A$50,'2S EXPRESS'!G19))+(COUNTIF('GO TRANSPORT'!$A$7:$A$50,'2S EXPRESS'!G19))+(COUNTIF('HMZ - KAIS'!$A$7:$A$50,'2S EXPRESS'!G19))+(COUNTIF('IB TRANSPORT'!$A$7:$A$50,'2S EXPRESS'!G19))+(COUNTIF(JSL!$A$7:$A$50,'2S EXPRESS'!G19))+(COUNTIF(KIFAITOUT!$A$7:$A$50,'2S EXPRESS'!G19))+(COUNTIF('LUXE DRIVE'!$A$7:$A$50,'2S EXPRESS'!G19))+(COUNTIF(SSN!$A$7:$A$50,'2S EXPRESS'!G19))+(COUNTIF('W3'!$A$7:$A$50,'2S EXPRESS'!G19))+(COUNTIF('ATHIS MONS'!$A$7:$A$50,'2S EXPRESS'!G19))+(COUNTIF('L HAY LES ROSES'!$A$7:$A$50,'2S EXPRESS'!G19))+(COUNTIF(RUNGIS!$A$7:$A$50,'2S EXPRESS'!G19))+(COUNTIF(SCEAUX!$A$7:$A$50,'2S EXPRESS'!G19))+(COUNTIF('INSTANCE C1'!$A$7:$A$50,'2S EXPRESS'!G19))+(COUNTIF('INSTANCE C2'!$A$7:$A$50,'2S EXPRESS'!G19))+(COUNTIF(INTERNES!$A$7:$A$50,'2S EXPRESS'!G19))+(COUNTIF('EN PANNE'!$A$7:$A$50,'2S EXPRESS'!G19))+(COUNTIF(TJM!$A$7:$A$50,'2S EXPRESS'!G19))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R19" s="62"/>
      <c r="S19" s="60">
        <f t="shared" si="1"/>
        <v>0</v>
      </c>
      <c r="T19" s="67">
        <f t="shared" si="2"/>
        <v>0</v>
      </c>
      <c r="U19" s="62"/>
    </row>
    <row r="20" spans="1:21" ht="24.95" customHeight="1" x14ac:dyDescent="0.2">
      <c r="A20" s="2"/>
      <c r="B20" s="23">
        <f>(COUNTIF('2S EXPRESS'!$A$7:$A$50,'2S EXPRESS'!A20))+(COUNTIF('2 ZT'!$A$7:$A$50,'2S EXPRESS'!A20))+(COUNTIF('GO TRANSPORT'!$A$7:$A$50,'2S EXPRESS'!A20))+(COUNTIF('HMZ - KAIS'!$A$7:$A$50,'2S EXPRESS'!A20))+(COUNTIF('IB TRANSPORT'!$A$7:$A$50,'2S EXPRESS'!A20))+(COUNTIF(JSL!$A$7:$A$50,'2S EXPRESS'!A20))+(COUNTIF(KIFAITOUT!$A$7:$A$50,'2S EXPRESS'!A20))+(COUNTIF('LUXE DRIVE'!$A$7:$A$50,'2S EXPRESS'!A20))+(COUNTIF(SSN!$A$7:$A$50,'2S EXPRESS'!A20))+(COUNTIF('W3'!$A$7:$A$50,'2S EXPRESS'!A20))+(COUNTIF('ATHIS MONS'!$A$7:$A$50,'2S EXPRESS'!A20))+(COUNTIF('L HAY LES ROSES'!$A$7:$A$50,'2S EXPRESS'!A20))+(COUNTIF(RUNGIS!$A$7:$A$50,'2S EXPRESS'!A20))+(COUNTIF(SCEAUX!$A$7:$A$50,'2S EXPRESS'!A20))+(COUNTIF('INSTANCE C1'!$A$7:$A$50,'2S EXPRESS'!A20))+(COUNTIF('INSTANCE C2'!$A$7:$A$50,'2S EXPRESS'!A20))+(COUNTIF(INTERNES!$A$7:$A$50,'2S EXPRESS'!A20))+(COUNTIF('EN PANNE'!$A$7:$A$50,'2S EXPRESS'!A20))+(COUNTIF(TJM!$A$7:$A$50,'2S EXPRESS'!A20))-C20</f>
        <v>0</v>
      </c>
      <c r="C20" s="23">
        <f>(COUNTIF('2S EXPRESS'!$G$7:$G$50,'2S EXPRESS'!A20))+(COUNTIF('2 ZT'!$G$7:$G$50,'2S EXPRESS'!A20))+(COUNTIF('GO TRANSPORT'!$G$7:$G$50,'2S EXPRESS'!A20))+(COUNTIF('2S EXPRESS'!$G$7:$G$50,'2S EXPRESS'!A20))+(COUNTIF('IB TRANSPORT'!$G$7:$G$50,'2S EXPRESS'!A20))+(COUNTIF(JSL!$G$7:$G$50,'2S EXPRESS'!A20))+(COUNTIF(KIFAITOUT!$G$7:$G$50,'2S EXPRESS'!A20))+(COUNTIF('LUXE DRIVE'!$G$7:$G$50,'2S EXPRESS'!A20))+(COUNTIF(SSN!$G$7:$G$50,'2S EXPRESS'!A20))+(COUNTIF('W3'!$G$7:$G$50,'2S EXPRESS'!A20))+(COUNTIF('ATHIS MONS'!$G$7:$G$50,'2S EXPRESS'!A20))+(COUNTIF('L HAY LES ROSES'!$G$7:$G$50,'2S EXPRESS'!A20))+(COUNTIF(RUNGIS!$G$7:$G$50,'2S EXPRESS'!A20))+(COUNTIF(SCEAUX!$G$7:$G$50,'2S EXPRESS'!A20))+(COUNTIF('INSTANCE C1'!$G$7:$G$50,'2S EXPRESS'!A20))+(COUNTIF('INSTANCE C2'!$G$7:$G$50,'2S EXPRESS'!A20))+(COUNTIF(INTERNES!$G$7:$G$50,'2S EXPRESS'!A20))+(COUNTIF('EN PANNE'!$G$7:$G$50,'2S EXPRESS'!A20))+(COUNTIF(TJM!$G$7:$G$50,'2S EXPRESS'!A20))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EXPRESS'!$G$7:$G$50,'2S EXPRESS'!G20))+(COUNTIF('2 ZT'!$G$7:$G$50,'2S EXPRESS'!G20))+(COUNTIF('GO TRANSPORT'!$G$7:$G$50,'2S EXPRESS'!G20))+(COUNTIF('HMZ - KAIS'!$G$7:$G$50,'2S EXPRESS'!G20))+(COUNTIF('IB TRANSPORT'!$G$7:$G$50,'2S EXPRESS'!G20))+(COUNTIF(JSL!$G$7:$G$50,'2S EXPRESS'!G20))+(COUNTIF(KIFAITOUT!$G$7:$G$50,'2S EXPRESS'!G20))+(COUNTIF('LUXE DRIVE'!$G$7:$G$50,'2S EXPRESS'!G20))+(COUNTIF(SSN!$G$7:$G$50,'2S EXPRESS'!G20))+(COUNTIF('W3'!$G$7:$G$50,'2S EXPRESS'!G20))+(COUNTIF('ATHIS MONS'!$G$7:$G$50,'2S EXPRESS'!G20))+(COUNTIF('L HAY LES ROSES'!$G$7:$G$50,'2S EXPRESS'!G20))+(COUNTIF(RUNGIS!$G$7:$G$50,'2S EXPRESS'!G20))+(COUNTIF(SCEAUX!$G$7:$G$50,'2S EXPRESS'!G20))+(COUNTIF('INSTANCE C1'!$G$7:$G$50,'2S EXPRESS'!G20))+(COUNTIF('INSTANCE C2'!$G$7:$G$50,'2S EXPRESS'!G20))+(COUNTIF(INTERNES!$G$7:$G$50,'2S EXPRESS'!G20))+(COUNTIF('EN PANNE'!$G$7:$G$50,'2S EXPRESS'!G20))+(COUNTIF(TJM!$G$7:$G$50,'2S EXPRESS'!G20))-I20</f>
        <v>0</v>
      </c>
      <c r="I20" s="23">
        <f>(COUNTIF('2S EXPRESS'!$A$7:$A$50,'2S EXPRESS'!G20))+(COUNTIF('2 ZT'!$A$7:$A$50,'2S EXPRESS'!G20))+(COUNTIF('GO TRANSPORT'!$A$7:$A$50,'2S EXPRESS'!G20))+(COUNTIF('HMZ - KAIS'!$A$7:$A$50,'2S EXPRESS'!G20))+(COUNTIF('IB TRANSPORT'!$A$7:$A$50,'2S EXPRESS'!G20))+(COUNTIF(JSL!$A$7:$A$50,'2S EXPRESS'!G20))+(COUNTIF(KIFAITOUT!$A$7:$A$50,'2S EXPRESS'!G20))+(COUNTIF('LUXE DRIVE'!$A$7:$A$50,'2S EXPRESS'!G20))+(COUNTIF(SSN!$A$7:$A$50,'2S EXPRESS'!G20))+(COUNTIF('W3'!$A$7:$A$50,'2S EXPRESS'!G20))+(COUNTIF('ATHIS MONS'!$A$7:$A$50,'2S EXPRESS'!G20))+(COUNTIF('L HAY LES ROSES'!$A$7:$A$50,'2S EXPRESS'!G20))+(COUNTIF(RUNGIS!$A$7:$A$50,'2S EXPRESS'!G20))+(COUNTIF(SCEAUX!$A$7:$A$50,'2S EXPRESS'!G20))+(COUNTIF('INSTANCE C1'!$A$7:$A$50,'2S EXPRESS'!G20))+(COUNTIF('INSTANCE C2'!$A$7:$A$50,'2S EXPRESS'!G20))+(COUNTIF(INTERNES!$A$7:$A$50,'2S EXPRESS'!G20))+(COUNTIF('EN PANNE'!$A$7:$A$50,'2S EXPRESS'!G20))+(COUNTIF(TJM!$A$7:$A$50,'2S EXPRESS'!G20))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R20" s="62"/>
      <c r="S20" s="60">
        <f t="shared" si="1"/>
        <v>0</v>
      </c>
      <c r="T20" s="67">
        <f t="shared" si="2"/>
        <v>0</v>
      </c>
      <c r="U20" s="62"/>
    </row>
    <row r="21" spans="1:21" ht="24.95" customHeight="1" x14ac:dyDescent="0.2">
      <c r="A21" s="2"/>
      <c r="B21" s="23">
        <f>(COUNTIF('2S EXPRESS'!$A$7:$A$50,'2S EXPRESS'!A21))+(COUNTIF('2 ZT'!$A$7:$A$50,'2S EXPRESS'!A21))+(COUNTIF('GO TRANSPORT'!$A$7:$A$50,'2S EXPRESS'!A21))+(COUNTIF('HMZ - KAIS'!$A$7:$A$50,'2S EXPRESS'!A21))+(COUNTIF('IB TRANSPORT'!$A$7:$A$50,'2S EXPRESS'!A21))+(COUNTIF(JSL!$A$7:$A$50,'2S EXPRESS'!A21))+(COUNTIF(KIFAITOUT!$A$7:$A$50,'2S EXPRESS'!A21))+(COUNTIF('LUXE DRIVE'!$A$7:$A$50,'2S EXPRESS'!A21))+(COUNTIF(SSN!$A$7:$A$50,'2S EXPRESS'!A21))+(COUNTIF('W3'!$A$7:$A$50,'2S EXPRESS'!A21))+(COUNTIF('ATHIS MONS'!$A$7:$A$50,'2S EXPRESS'!A21))+(COUNTIF('L HAY LES ROSES'!$A$7:$A$50,'2S EXPRESS'!A21))+(COUNTIF(RUNGIS!$A$7:$A$50,'2S EXPRESS'!A21))+(COUNTIF(SCEAUX!$A$7:$A$50,'2S EXPRESS'!A21))+(COUNTIF('INSTANCE C1'!$A$7:$A$50,'2S EXPRESS'!A21))+(COUNTIF('INSTANCE C2'!$A$7:$A$50,'2S EXPRESS'!A21))+(COUNTIF(INTERNES!$A$7:$A$50,'2S EXPRESS'!A21))+(COUNTIF('EN PANNE'!$A$7:$A$50,'2S EXPRESS'!A21))+(COUNTIF(TJM!$A$7:$A$50,'2S EXPRESS'!A21))-C21</f>
        <v>0</v>
      </c>
      <c r="C21" s="23">
        <f>(COUNTIF('2S EXPRESS'!$G$7:$G$50,'2S EXPRESS'!A21))+(COUNTIF('2 ZT'!$G$7:$G$50,'2S EXPRESS'!A21))+(COUNTIF('GO TRANSPORT'!$G$7:$G$50,'2S EXPRESS'!A21))+(COUNTIF('2S EXPRESS'!$G$7:$G$50,'2S EXPRESS'!A21))+(COUNTIF('IB TRANSPORT'!$G$7:$G$50,'2S EXPRESS'!A21))+(COUNTIF(JSL!$G$7:$G$50,'2S EXPRESS'!A21))+(COUNTIF(KIFAITOUT!$G$7:$G$50,'2S EXPRESS'!A21))+(COUNTIF('LUXE DRIVE'!$G$7:$G$50,'2S EXPRESS'!A21))+(COUNTIF(SSN!$G$7:$G$50,'2S EXPRESS'!A21))+(COUNTIF('W3'!$G$7:$G$50,'2S EXPRESS'!A21))+(COUNTIF('ATHIS MONS'!$G$7:$G$50,'2S EXPRESS'!A21))+(COUNTIF('L HAY LES ROSES'!$G$7:$G$50,'2S EXPRESS'!A21))+(COUNTIF(RUNGIS!$G$7:$G$50,'2S EXPRESS'!A21))+(COUNTIF(SCEAUX!$G$7:$G$50,'2S EXPRESS'!A21))+(COUNTIF('INSTANCE C1'!$G$7:$G$50,'2S EXPRESS'!A21))+(COUNTIF('INSTANCE C2'!$G$7:$G$50,'2S EXPRESS'!A21))+(COUNTIF(INTERNES!$G$7:$G$50,'2S EXPRESS'!A21))+(COUNTIF('EN PANNE'!$G$7:$G$50,'2S EXPRESS'!A21))+(COUNTIF(TJM!$G$7:$G$50,'2S EXPRESS'!A21))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EXPRESS'!$G$7:$G$50,'2S EXPRESS'!G21))+(COUNTIF('2 ZT'!$G$7:$G$50,'2S EXPRESS'!G21))+(COUNTIF('GO TRANSPORT'!$G$7:$G$50,'2S EXPRESS'!G21))+(COUNTIF('HMZ - KAIS'!$G$7:$G$50,'2S EXPRESS'!G21))+(COUNTIF('IB TRANSPORT'!$G$7:$G$50,'2S EXPRESS'!G21))+(COUNTIF(JSL!$G$7:$G$50,'2S EXPRESS'!G21))+(COUNTIF(KIFAITOUT!$G$7:$G$50,'2S EXPRESS'!G21))+(COUNTIF('LUXE DRIVE'!$G$7:$G$50,'2S EXPRESS'!G21))+(COUNTIF(SSN!$G$7:$G$50,'2S EXPRESS'!G21))+(COUNTIF('W3'!$G$7:$G$50,'2S EXPRESS'!G21))+(COUNTIF('ATHIS MONS'!$G$7:$G$50,'2S EXPRESS'!G21))+(COUNTIF('L HAY LES ROSES'!$G$7:$G$50,'2S EXPRESS'!G21))+(COUNTIF(RUNGIS!$G$7:$G$50,'2S EXPRESS'!G21))+(COUNTIF(SCEAUX!$G$7:$G$50,'2S EXPRESS'!G21))+(COUNTIF('INSTANCE C1'!$G$7:$G$50,'2S EXPRESS'!G21))+(COUNTIF('INSTANCE C2'!$G$7:$G$50,'2S EXPRESS'!G21))+(COUNTIF(INTERNES!$G$7:$G$50,'2S EXPRESS'!G21))+(COUNTIF('EN PANNE'!$G$7:$G$50,'2S EXPRESS'!G21))+(COUNTIF(TJM!$G$7:$G$50,'2S EXPRESS'!G21))-I21</f>
        <v>0</v>
      </c>
      <c r="I21" s="23">
        <f>(COUNTIF('2S EXPRESS'!$A$7:$A$50,'2S EXPRESS'!G21))+(COUNTIF('2 ZT'!$A$7:$A$50,'2S EXPRESS'!G21))+(COUNTIF('GO TRANSPORT'!$A$7:$A$50,'2S EXPRESS'!G21))+(COUNTIF('HMZ - KAIS'!$A$7:$A$50,'2S EXPRESS'!G21))+(COUNTIF('IB TRANSPORT'!$A$7:$A$50,'2S EXPRESS'!G21))+(COUNTIF(JSL!$A$7:$A$50,'2S EXPRESS'!G21))+(COUNTIF(KIFAITOUT!$A$7:$A$50,'2S EXPRESS'!G21))+(COUNTIF('LUXE DRIVE'!$A$7:$A$50,'2S EXPRESS'!G21))+(COUNTIF(SSN!$A$7:$A$50,'2S EXPRESS'!G21))+(COUNTIF('W3'!$A$7:$A$50,'2S EXPRESS'!G21))+(COUNTIF('ATHIS MONS'!$A$7:$A$50,'2S EXPRESS'!G21))+(COUNTIF('L HAY LES ROSES'!$A$7:$A$50,'2S EXPRESS'!G21))+(COUNTIF(RUNGIS!$A$7:$A$50,'2S EXPRESS'!G21))+(COUNTIF(SCEAUX!$A$7:$A$50,'2S EXPRESS'!G21))+(COUNTIF('INSTANCE C1'!$A$7:$A$50,'2S EXPRESS'!G21))+(COUNTIF('INSTANCE C2'!$A$7:$A$50,'2S EXPRESS'!G21))+(COUNTIF(INTERNES!$A$7:$A$50,'2S EXPRESS'!G21))+(COUNTIF('EN PANNE'!$A$7:$A$50,'2S EXPRESS'!G21))+(COUNTIF(TJM!$A$7:$A$50,'2S EXPRESS'!G21))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R21" s="62"/>
      <c r="S21" s="60">
        <f t="shared" si="1"/>
        <v>0</v>
      </c>
      <c r="T21" s="67">
        <f t="shared" si="2"/>
        <v>0</v>
      </c>
      <c r="U21" s="62"/>
    </row>
    <row r="22" spans="1:21" ht="24.95" customHeight="1" x14ac:dyDescent="0.2">
      <c r="A22" s="2"/>
      <c r="B22" s="23">
        <f>(COUNTIF('2S EXPRESS'!$A$7:$A$50,'2S EXPRESS'!A22))+(COUNTIF('2 ZT'!$A$7:$A$50,'2S EXPRESS'!A22))+(COUNTIF('GO TRANSPORT'!$A$7:$A$50,'2S EXPRESS'!A22))+(COUNTIF('HMZ - KAIS'!$A$7:$A$50,'2S EXPRESS'!A22))+(COUNTIF('IB TRANSPORT'!$A$7:$A$50,'2S EXPRESS'!A22))+(COUNTIF(JSL!$A$7:$A$50,'2S EXPRESS'!A22))+(COUNTIF(KIFAITOUT!$A$7:$A$50,'2S EXPRESS'!A22))+(COUNTIF('LUXE DRIVE'!$A$7:$A$50,'2S EXPRESS'!A22))+(COUNTIF(SSN!$A$7:$A$50,'2S EXPRESS'!A22))+(COUNTIF('W3'!$A$7:$A$50,'2S EXPRESS'!A22))+(COUNTIF('ATHIS MONS'!$A$7:$A$50,'2S EXPRESS'!A22))+(COUNTIF('L HAY LES ROSES'!$A$7:$A$50,'2S EXPRESS'!A22))+(COUNTIF(RUNGIS!$A$7:$A$50,'2S EXPRESS'!A22))+(COUNTIF(SCEAUX!$A$7:$A$50,'2S EXPRESS'!A22))+(COUNTIF('INSTANCE C1'!$A$7:$A$50,'2S EXPRESS'!A22))+(COUNTIF('INSTANCE C2'!$A$7:$A$50,'2S EXPRESS'!A22))+(COUNTIF(INTERNES!$A$7:$A$50,'2S EXPRESS'!A22))+(COUNTIF('EN PANNE'!$A$7:$A$50,'2S EXPRESS'!A22))+(COUNTIF(TJM!$A$7:$A$50,'2S EXPRESS'!A22))-C22</f>
        <v>0</v>
      </c>
      <c r="C22" s="23">
        <f>(COUNTIF('2S EXPRESS'!$G$7:$G$50,'2S EXPRESS'!A22))+(COUNTIF('2 ZT'!$G$7:$G$50,'2S EXPRESS'!A22))+(COUNTIF('GO TRANSPORT'!$G$7:$G$50,'2S EXPRESS'!A22))+(COUNTIF('2S EXPRESS'!$G$7:$G$50,'2S EXPRESS'!A22))+(COUNTIF('IB TRANSPORT'!$G$7:$G$50,'2S EXPRESS'!A22))+(COUNTIF(JSL!$G$7:$G$50,'2S EXPRESS'!A22))+(COUNTIF(KIFAITOUT!$G$7:$G$50,'2S EXPRESS'!A22))+(COUNTIF('LUXE DRIVE'!$G$7:$G$50,'2S EXPRESS'!A22))+(COUNTIF(SSN!$G$7:$G$50,'2S EXPRESS'!A22))+(COUNTIF('W3'!$G$7:$G$50,'2S EXPRESS'!A22))+(COUNTIF('ATHIS MONS'!$G$7:$G$50,'2S EXPRESS'!A22))+(COUNTIF('L HAY LES ROSES'!$G$7:$G$50,'2S EXPRESS'!A22))+(COUNTIF(RUNGIS!$G$7:$G$50,'2S EXPRESS'!A22))+(COUNTIF(SCEAUX!$G$7:$G$50,'2S EXPRESS'!A22))+(COUNTIF('INSTANCE C1'!$G$7:$G$50,'2S EXPRESS'!A22))+(COUNTIF('INSTANCE C2'!$G$7:$G$50,'2S EXPRESS'!A22))+(COUNTIF(INTERNES!$G$7:$G$50,'2S EXPRESS'!A22))+(COUNTIF('EN PANNE'!$G$7:$G$50,'2S EXPRESS'!A22))+(COUNTIF(TJM!$G$7:$G$50,'2S EXPRESS'!A22))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EXPRESS'!$G$7:$G$50,'2S EXPRESS'!G22))+(COUNTIF('2 ZT'!$G$7:$G$50,'2S EXPRESS'!G22))+(COUNTIF('GO TRANSPORT'!$G$7:$G$50,'2S EXPRESS'!G22))+(COUNTIF('HMZ - KAIS'!$G$7:$G$50,'2S EXPRESS'!G22))+(COUNTIF('IB TRANSPORT'!$G$7:$G$50,'2S EXPRESS'!G22))+(COUNTIF(JSL!$G$7:$G$50,'2S EXPRESS'!G22))+(COUNTIF(KIFAITOUT!$G$7:$G$50,'2S EXPRESS'!G22))+(COUNTIF('LUXE DRIVE'!$G$7:$G$50,'2S EXPRESS'!G22))+(COUNTIF(SSN!$G$7:$G$50,'2S EXPRESS'!G22))+(COUNTIF('W3'!$G$7:$G$50,'2S EXPRESS'!G22))+(COUNTIF('ATHIS MONS'!$G$7:$G$50,'2S EXPRESS'!G22))+(COUNTIF('L HAY LES ROSES'!$G$7:$G$50,'2S EXPRESS'!G22))+(COUNTIF(RUNGIS!$G$7:$G$50,'2S EXPRESS'!G22))+(COUNTIF(SCEAUX!$G$7:$G$50,'2S EXPRESS'!G22))+(COUNTIF('INSTANCE C1'!$G$7:$G$50,'2S EXPRESS'!G22))+(COUNTIF('INSTANCE C2'!$G$7:$G$50,'2S EXPRESS'!G22))+(COUNTIF(INTERNES!$G$7:$G$50,'2S EXPRESS'!G22))+(COUNTIF('EN PANNE'!$G$7:$G$50,'2S EXPRESS'!G22))+(COUNTIF(TJM!$G$7:$G$50,'2S EXPRESS'!G22))-I22</f>
        <v>0</v>
      </c>
      <c r="I22" s="23">
        <f>(COUNTIF('2S EXPRESS'!$A$7:$A$50,'2S EXPRESS'!G22))+(COUNTIF('2 ZT'!$A$7:$A$50,'2S EXPRESS'!G22))+(COUNTIF('GO TRANSPORT'!$A$7:$A$50,'2S EXPRESS'!G22))+(COUNTIF('HMZ - KAIS'!$A$7:$A$50,'2S EXPRESS'!G22))+(COUNTIF('IB TRANSPORT'!$A$7:$A$50,'2S EXPRESS'!G22))+(COUNTIF(JSL!$A$7:$A$50,'2S EXPRESS'!G22))+(COUNTIF(KIFAITOUT!$A$7:$A$50,'2S EXPRESS'!G22))+(COUNTIF('LUXE DRIVE'!$A$7:$A$50,'2S EXPRESS'!G22))+(COUNTIF(SSN!$A$7:$A$50,'2S EXPRESS'!G22))+(COUNTIF('W3'!$A$7:$A$50,'2S EXPRESS'!G22))+(COUNTIF('ATHIS MONS'!$A$7:$A$50,'2S EXPRESS'!G22))+(COUNTIF('L HAY LES ROSES'!$A$7:$A$50,'2S EXPRESS'!G22))+(COUNTIF(RUNGIS!$A$7:$A$50,'2S EXPRESS'!G22))+(COUNTIF(SCEAUX!$A$7:$A$50,'2S EXPRESS'!G22))+(COUNTIF('INSTANCE C1'!$A$7:$A$50,'2S EXPRESS'!G22))+(COUNTIF('INSTANCE C2'!$A$7:$A$50,'2S EXPRESS'!G22))+(COUNTIF(INTERNES!$A$7:$A$50,'2S EXPRESS'!G22))+(COUNTIF('EN PANNE'!$A$7:$A$50,'2S EXPRESS'!G22))+(COUNTIF(TJM!$A$7:$A$50,'2S EXPRESS'!G22))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R22" s="62"/>
      <c r="S22" s="60">
        <f t="shared" si="1"/>
        <v>0</v>
      </c>
      <c r="T22" s="67">
        <f t="shared" si="2"/>
        <v>0</v>
      </c>
      <c r="U22" s="62"/>
    </row>
    <row r="23" spans="1:21" ht="24.95" customHeight="1" x14ac:dyDescent="0.2">
      <c r="A23" s="2"/>
      <c r="B23" s="23">
        <f>(COUNTIF('2S EXPRESS'!$A$7:$A$50,'2S EXPRESS'!A23))+(COUNTIF('2 ZT'!$A$7:$A$50,'2S EXPRESS'!A23))+(COUNTIF('GO TRANSPORT'!$A$7:$A$50,'2S EXPRESS'!A23))+(COUNTIF('HMZ - KAIS'!$A$7:$A$50,'2S EXPRESS'!A23))+(COUNTIF('IB TRANSPORT'!$A$7:$A$50,'2S EXPRESS'!A23))+(COUNTIF(JSL!$A$7:$A$50,'2S EXPRESS'!A23))+(COUNTIF(KIFAITOUT!$A$7:$A$50,'2S EXPRESS'!A23))+(COUNTIF('LUXE DRIVE'!$A$7:$A$50,'2S EXPRESS'!A23))+(COUNTIF(SSN!$A$7:$A$50,'2S EXPRESS'!A23))+(COUNTIF('W3'!$A$7:$A$50,'2S EXPRESS'!A23))+(COUNTIF('ATHIS MONS'!$A$7:$A$50,'2S EXPRESS'!A23))+(COUNTIF('L HAY LES ROSES'!$A$7:$A$50,'2S EXPRESS'!A23))+(COUNTIF(RUNGIS!$A$7:$A$50,'2S EXPRESS'!A23))+(COUNTIF(SCEAUX!$A$7:$A$50,'2S EXPRESS'!A23))+(COUNTIF('INSTANCE C1'!$A$7:$A$50,'2S EXPRESS'!A23))+(COUNTIF('INSTANCE C2'!$A$7:$A$50,'2S EXPRESS'!A23))+(COUNTIF(INTERNES!$A$7:$A$50,'2S EXPRESS'!A23))+(COUNTIF('EN PANNE'!$A$7:$A$50,'2S EXPRESS'!A23))+(COUNTIF(TJM!$A$7:$A$50,'2S EXPRESS'!A23))-C23</f>
        <v>0</v>
      </c>
      <c r="C23" s="23">
        <f>(COUNTIF('2S EXPRESS'!$G$7:$G$50,'2S EXPRESS'!A23))+(COUNTIF('2 ZT'!$G$7:$G$50,'2S EXPRESS'!A23))+(COUNTIF('GO TRANSPORT'!$G$7:$G$50,'2S EXPRESS'!A23))+(COUNTIF('2S EXPRESS'!$G$7:$G$50,'2S EXPRESS'!A23))+(COUNTIF('IB TRANSPORT'!$G$7:$G$50,'2S EXPRESS'!A23))+(COUNTIF(JSL!$G$7:$G$50,'2S EXPRESS'!A23))+(COUNTIF(KIFAITOUT!$G$7:$G$50,'2S EXPRESS'!A23))+(COUNTIF('LUXE DRIVE'!$G$7:$G$50,'2S EXPRESS'!A23))+(COUNTIF(SSN!$G$7:$G$50,'2S EXPRESS'!A23))+(COUNTIF('W3'!$G$7:$G$50,'2S EXPRESS'!A23))+(COUNTIF('ATHIS MONS'!$G$7:$G$50,'2S EXPRESS'!A23))+(COUNTIF('L HAY LES ROSES'!$G$7:$G$50,'2S EXPRESS'!A23))+(COUNTIF(RUNGIS!$G$7:$G$50,'2S EXPRESS'!A23))+(COUNTIF(SCEAUX!$G$7:$G$50,'2S EXPRESS'!A23))+(COUNTIF('INSTANCE C1'!$G$7:$G$50,'2S EXPRESS'!A23))+(COUNTIF('INSTANCE C2'!$G$7:$G$50,'2S EXPRESS'!A23))+(COUNTIF(INTERNES!$G$7:$G$50,'2S EXPRESS'!A23))+(COUNTIF('EN PANNE'!$G$7:$G$50,'2S EXPRESS'!A23))+(COUNTIF(TJM!$G$7:$G$50,'2S EXPRESS'!A23))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EXPRESS'!$G$7:$G$50,'2S EXPRESS'!G23))+(COUNTIF('2 ZT'!$G$7:$G$50,'2S EXPRESS'!G23))+(COUNTIF('GO TRANSPORT'!$G$7:$G$50,'2S EXPRESS'!G23))+(COUNTIF('HMZ - KAIS'!$G$7:$G$50,'2S EXPRESS'!G23))+(COUNTIF('IB TRANSPORT'!$G$7:$G$50,'2S EXPRESS'!G23))+(COUNTIF(JSL!$G$7:$G$50,'2S EXPRESS'!G23))+(COUNTIF(KIFAITOUT!$G$7:$G$50,'2S EXPRESS'!G23))+(COUNTIF('LUXE DRIVE'!$G$7:$G$50,'2S EXPRESS'!G23))+(COUNTIF(SSN!$G$7:$G$50,'2S EXPRESS'!G23))+(COUNTIF('W3'!$G$7:$G$50,'2S EXPRESS'!G23))+(COUNTIF('ATHIS MONS'!$G$7:$G$50,'2S EXPRESS'!G23))+(COUNTIF('L HAY LES ROSES'!$G$7:$G$50,'2S EXPRESS'!G23))+(COUNTIF(RUNGIS!$G$7:$G$50,'2S EXPRESS'!G23))+(COUNTIF(SCEAUX!$G$7:$G$50,'2S EXPRESS'!G23))+(COUNTIF('INSTANCE C1'!$G$7:$G$50,'2S EXPRESS'!G23))+(COUNTIF('INSTANCE C2'!$G$7:$G$50,'2S EXPRESS'!G23))+(COUNTIF(INTERNES!$G$7:$G$50,'2S EXPRESS'!G23))+(COUNTIF('EN PANNE'!$G$7:$G$50,'2S EXPRESS'!G23))+(COUNTIF(TJM!$G$7:$G$50,'2S EXPRESS'!G23))-I23</f>
        <v>0</v>
      </c>
      <c r="I23" s="23">
        <f>(COUNTIF('2S EXPRESS'!$A$7:$A$50,'2S EXPRESS'!G23))+(COUNTIF('2 ZT'!$A$7:$A$50,'2S EXPRESS'!G23))+(COUNTIF('GO TRANSPORT'!$A$7:$A$50,'2S EXPRESS'!G23))+(COUNTIF('HMZ - KAIS'!$A$7:$A$50,'2S EXPRESS'!G23))+(COUNTIF('IB TRANSPORT'!$A$7:$A$50,'2S EXPRESS'!G23))+(COUNTIF(JSL!$A$7:$A$50,'2S EXPRESS'!G23))+(COUNTIF(KIFAITOUT!$A$7:$A$50,'2S EXPRESS'!G23))+(COUNTIF('LUXE DRIVE'!$A$7:$A$50,'2S EXPRESS'!G23))+(COUNTIF(SSN!$A$7:$A$50,'2S EXPRESS'!G23))+(COUNTIF('W3'!$A$7:$A$50,'2S EXPRESS'!G23))+(COUNTIF('ATHIS MONS'!$A$7:$A$50,'2S EXPRESS'!G23))+(COUNTIF('L HAY LES ROSES'!$A$7:$A$50,'2S EXPRESS'!G23))+(COUNTIF(RUNGIS!$A$7:$A$50,'2S EXPRESS'!G23))+(COUNTIF(SCEAUX!$A$7:$A$50,'2S EXPRESS'!G23))+(COUNTIF('INSTANCE C1'!$A$7:$A$50,'2S EXPRESS'!G23))+(COUNTIF('INSTANCE C2'!$A$7:$A$50,'2S EXPRESS'!G23))+(COUNTIF(INTERNES!$A$7:$A$50,'2S EXPRESS'!G23))+(COUNTIF('EN PANNE'!$A$7:$A$50,'2S EXPRESS'!G23))+(COUNTIF(TJM!$A$7:$A$50,'2S EXPRESS'!G23))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R23" s="62"/>
      <c r="S23" s="60">
        <f t="shared" si="1"/>
        <v>0</v>
      </c>
      <c r="T23" s="67">
        <f t="shared" si="2"/>
        <v>0</v>
      </c>
      <c r="U23" s="62"/>
    </row>
    <row r="24" spans="1:21" ht="24.95" customHeight="1" x14ac:dyDescent="0.2">
      <c r="A24" s="2"/>
      <c r="B24" s="23">
        <f>(COUNTIF('2S EXPRESS'!$A$7:$A$50,'2S EXPRESS'!A24))+(COUNTIF('2 ZT'!$A$7:$A$50,'2S EXPRESS'!A24))+(COUNTIF('GO TRANSPORT'!$A$7:$A$50,'2S EXPRESS'!A24))+(COUNTIF('HMZ - KAIS'!$A$7:$A$50,'2S EXPRESS'!A24))+(COUNTIF('IB TRANSPORT'!$A$7:$A$50,'2S EXPRESS'!A24))+(COUNTIF(JSL!$A$7:$A$50,'2S EXPRESS'!A24))+(COUNTIF(KIFAITOUT!$A$7:$A$50,'2S EXPRESS'!A24))+(COUNTIF('LUXE DRIVE'!$A$7:$A$50,'2S EXPRESS'!A24))+(COUNTIF(SSN!$A$7:$A$50,'2S EXPRESS'!A24))+(COUNTIF('W3'!$A$7:$A$50,'2S EXPRESS'!A24))+(COUNTIF('ATHIS MONS'!$A$7:$A$50,'2S EXPRESS'!A24))+(COUNTIF('L HAY LES ROSES'!$A$7:$A$50,'2S EXPRESS'!A24))+(COUNTIF(RUNGIS!$A$7:$A$50,'2S EXPRESS'!A24))+(COUNTIF(SCEAUX!$A$7:$A$50,'2S EXPRESS'!A24))+(COUNTIF('INSTANCE C1'!$A$7:$A$50,'2S EXPRESS'!A24))+(COUNTIF('INSTANCE C2'!$A$7:$A$50,'2S EXPRESS'!A24))+(COUNTIF(INTERNES!$A$7:$A$50,'2S EXPRESS'!A24))+(COUNTIF('EN PANNE'!$A$7:$A$50,'2S EXPRESS'!A24))+(COUNTIF(TJM!$A$7:$A$50,'2S EXPRESS'!A24))-C24</f>
        <v>0</v>
      </c>
      <c r="C24" s="23">
        <f>(COUNTIF('2S EXPRESS'!$G$7:$G$50,'2S EXPRESS'!A24))+(COUNTIF('2 ZT'!$G$7:$G$50,'2S EXPRESS'!A24))+(COUNTIF('GO TRANSPORT'!$G$7:$G$50,'2S EXPRESS'!A24))+(COUNTIF('2S EXPRESS'!$G$7:$G$50,'2S EXPRESS'!A24))+(COUNTIF('IB TRANSPORT'!$G$7:$G$50,'2S EXPRESS'!A24))+(COUNTIF(JSL!$G$7:$G$50,'2S EXPRESS'!A24))+(COUNTIF(KIFAITOUT!$G$7:$G$50,'2S EXPRESS'!A24))+(COUNTIF('LUXE DRIVE'!$G$7:$G$50,'2S EXPRESS'!A24))+(COUNTIF(SSN!$G$7:$G$50,'2S EXPRESS'!A24))+(COUNTIF('W3'!$G$7:$G$50,'2S EXPRESS'!A24))+(COUNTIF('ATHIS MONS'!$G$7:$G$50,'2S EXPRESS'!A24))+(COUNTIF('L HAY LES ROSES'!$G$7:$G$50,'2S EXPRESS'!A24))+(COUNTIF(RUNGIS!$G$7:$G$50,'2S EXPRESS'!A24))+(COUNTIF(SCEAUX!$G$7:$G$50,'2S EXPRESS'!A24))+(COUNTIF('INSTANCE C1'!$G$7:$G$50,'2S EXPRESS'!A24))+(COUNTIF('INSTANCE C2'!$G$7:$G$50,'2S EXPRESS'!A24))+(COUNTIF(INTERNES!$G$7:$G$50,'2S EXPRESS'!A24))+(COUNTIF('EN PANNE'!$G$7:$G$50,'2S EXPRESS'!A24))+(COUNTIF(TJM!$G$7:$G$50,'2S EXPRESS'!A24))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EXPRESS'!$G$7:$G$50,'2S EXPRESS'!G24))+(COUNTIF('2 ZT'!$G$7:$G$50,'2S EXPRESS'!G24))+(COUNTIF('GO TRANSPORT'!$G$7:$G$50,'2S EXPRESS'!G24))+(COUNTIF('HMZ - KAIS'!$G$7:$G$50,'2S EXPRESS'!G24))+(COUNTIF('IB TRANSPORT'!$G$7:$G$50,'2S EXPRESS'!G24))+(COUNTIF(JSL!$G$7:$G$50,'2S EXPRESS'!G24))+(COUNTIF(KIFAITOUT!$G$7:$G$50,'2S EXPRESS'!G24))+(COUNTIF('LUXE DRIVE'!$G$7:$G$50,'2S EXPRESS'!G24))+(COUNTIF(SSN!$G$7:$G$50,'2S EXPRESS'!G24))+(COUNTIF('W3'!$G$7:$G$50,'2S EXPRESS'!G24))+(COUNTIF('ATHIS MONS'!$G$7:$G$50,'2S EXPRESS'!G24))+(COUNTIF('L HAY LES ROSES'!$G$7:$G$50,'2S EXPRESS'!G24))+(COUNTIF(RUNGIS!$G$7:$G$50,'2S EXPRESS'!G24))+(COUNTIF(SCEAUX!$G$7:$G$50,'2S EXPRESS'!G24))+(COUNTIF('INSTANCE C1'!$G$7:$G$50,'2S EXPRESS'!G24))+(COUNTIF('INSTANCE C2'!$G$7:$G$50,'2S EXPRESS'!G24))+(COUNTIF(INTERNES!$G$7:$G$50,'2S EXPRESS'!G24))+(COUNTIF('EN PANNE'!$G$7:$G$50,'2S EXPRESS'!G24))+(COUNTIF(TJM!$G$7:$G$50,'2S EXPRESS'!G24))-I24</f>
        <v>0</v>
      </c>
      <c r="I24" s="23">
        <f>(COUNTIF('2S EXPRESS'!$A$7:$A$50,'2S EXPRESS'!G24))+(COUNTIF('2 ZT'!$A$7:$A$50,'2S EXPRESS'!G24))+(COUNTIF('GO TRANSPORT'!$A$7:$A$50,'2S EXPRESS'!G24))+(COUNTIF('HMZ - KAIS'!$A$7:$A$50,'2S EXPRESS'!G24))+(COUNTIF('IB TRANSPORT'!$A$7:$A$50,'2S EXPRESS'!G24))+(COUNTIF(JSL!$A$7:$A$50,'2S EXPRESS'!G24))+(COUNTIF(KIFAITOUT!$A$7:$A$50,'2S EXPRESS'!G24))+(COUNTIF('LUXE DRIVE'!$A$7:$A$50,'2S EXPRESS'!G24))+(COUNTIF(SSN!$A$7:$A$50,'2S EXPRESS'!G24))+(COUNTIF('W3'!$A$7:$A$50,'2S EXPRESS'!G24))+(COUNTIF('ATHIS MONS'!$A$7:$A$50,'2S EXPRESS'!G24))+(COUNTIF('L HAY LES ROSES'!$A$7:$A$50,'2S EXPRESS'!G24))+(COUNTIF(RUNGIS!$A$7:$A$50,'2S EXPRESS'!G24))+(COUNTIF(SCEAUX!$A$7:$A$50,'2S EXPRESS'!G24))+(COUNTIF('INSTANCE C1'!$A$7:$A$50,'2S EXPRESS'!G24))+(COUNTIF('INSTANCE C2'!$A$7:$A$50,'2S EXPRESS'!G24))+(COUNTIF(INTERNES!$A$7:$A$50,'2S EXPRESS'!G24))+(COUNTIF('EN PANNE'!$A$7:$A$50,'2S EXPRESS'!G24))+(COUNTIF(TJM!$A$7:$A$50,'2S EXPRESS'!G24))</f>
        <v>0</v>
      </c>
      <c r="J24" s="28">
        <f t="shared" si="4"/>
        <v>0</v>
      </c>
      <c r="K24" s="2"/>
      <c r="L24" s="47"/>
      <c r="S24" s="60">
        <f t="shared" si="1"/>
        <v>0</v>
      </c>
      <c r="T24" s="67">
        <f t="shared" si="2"/>
        <v>0</v>
      </c>
    </row>
    <row r="25" spans="1:21" ht="24.95" customHeight="1" x14ac:dyDescent="0.2">
      <c r="A25" s="2"/>
      <c r="B25" s="23">
        <f>(COUNTIF('2S EXPRESS'!$A$7:$A$50,'2S EXPRESS'!A25))+(COUNTIF('2 ZT'!$A$7:$A$50,'2S EXPRESS'!A25))+(COUNTIF('GO TRANSPORT'!$A$7:$A$50,'2S EXPRESS'!A25))+(COUNTIF('HMZ - KAIS'!$A$7:$A$50,'2S EXPRESS'!A25))+(COUNTIF('IB TRANSPORT'!$A$7:$A$50,'2S EXPRESS'!A25))+(COUNTIF(JSL!$A$7:$A$50,'2S EXPRESS'!A25))+(COUNTIF(KIFAITOUT!$A$7:$A$50,'2S EXPRESS'!A25))+(COUNTIF('LUXE DRIVE'!$A$7:$A$50,'2S EXPRESS'!A25))+(COUNTIF(SSN!$A$7:$A$50,'2S EXPRESS'!A25))+(COUNTIF('W3'!$A$7:$A$50,'2S EXPRESS'!A25))+(COUNTIF('ATHIS MONS'!$A$7:$A$50,'2S EXPRESS'!A25))+(COUNTIF('L HAY LES ROSES'!$A$7:$A$50,'2S EXPRESS'!A25))+(COUNTIF(RUNGIS!$A$7:$A$50,'2S EXPRESS'!A25))+(COUNTIF(SCEAUX!$A$7:$A$50,'2S EXPRESS'!A25))+(COUNTIF('INSTANCE C1'!$A$7:$A$50,'2S EXPRESS'!A25))+(COUNTIF('INSTANCE C2'!$A$7:$A$50,'2S EXPRESS'!A25))+(COUNTIF(INTERNES!$A$7:$A$50,'2S EXPRESS'!A25))+(COUNTIF('EN PANNE'!$A$7:$A$50,'2S EXPRESS'!A25))+(COUNTIF(TJM!$A$7:$A$50,'2S EXPRESS'!A25))-C25</f>
        <v>0</v>
      </c>
      <c r="C25" s="23">
        <f>(COUNTIF('2S EXPRESS'!$G$7:$G$50,'2S EXPRESS'!A25))+(COUNTIF('2 ZT'!$G$7:$G$50,'2S EXPRESS'!A25))+(COUNTIF('GO TRANSPORT'!$G$7:$G$50,'2S EXPRESS'!A25))+(COUNTIF('2S EXPRESS'!$G$7:$G$50,'2S EXPRESS'!A25))+(COUNTIF('IB TRANSPORT'!$G$7:$G$50,'2S EXPRESS'!A25))+(COUNTIF(JSL!$G$7:$G$50,'2S EXPRESS'!A25))+(COUNTIF(KIFAITOUT!$G$7:$G$50,'2S EXPRESS'!A25))+(COUNTIF('LUXE DRIVE'!$G$7:$G$50,'2S EXPRESS'!A25))+(COUNTIF(SSN!$G$7:$G$50,'2S EXPRESS'!A25))+(COUNTIF('W3'!$G$7:$G$50,'2S EXPRESS'!A25))+(COUNTIF('ATHIS MONS'!$G$7:$G$50,'2S EXPRESS'!A25))+(COUNTIF('L HAY LES ROSES'!$G$7:$G$50,'2S EXPRESS'!A25))+(COUNTIF(RUNGIS!$G$7:$G$50,'2S EXPRESS'!A25))+(COUNTIF(SCEAUX!$G$7:$G$50,'2S EXPRESS'!A25))+(COUNTIF('INSTANCE C1'!$G$7:$G$50,'2S EXPRESS'!A25))+(COUNTIF('INSTANCE C2'!$G$7:$G$50,'2S EXPRESS'!A25))+(COUNTIF(INTERNES!$G$7:$G$50,'2S EXPRESS'!A25))+(COUNTIF('EN PANNE'!$G$7:$G$50,'2S EXPRESS'!A25))+(COUNTIF(TJM!$G$7:$G$50,'2S EXPRESS'!A25))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EXPRESS'!$G$7:$G$50,'2S EXPRESS'!G25))+(COUNTIF('2 ZT'!$G$7:$G$50,'2S EXPRESS'!G25))+(COUNTIF('GO TRANSPORT'!$G$7:$G$50,'2S EXPRESS'!G25))+(COUNTIF('HMZ - KAIS'!$G$7:$G$50,'2S EXPRESS'!G25))+(COUNTIF('IB TRANSPORT'!$G$7:$G$50,'2S EXPRESS'!G25))+(COUNTIF(JSL!$G$7:$G$50,'2S EXPRESS'!G25))+(COUNTIF(KIFAITOUT!$G$7:$G$50,'2S EXPRESS'!G25))+(COUNTIF('LUXE DRIVE'!$G$7:$G$50,'2S EXPRESS'!G25))+(COUNTIF(SSN!$G$7:$G$50,'2S EXPRESS'!G25))+(COUNTIF('W3'!$G$7:$G$50,'2S EXPRESS'!G25))+(COUNTIF('ATHIS MONS'!$G$7:$G$50,'2S EXPRESS'!G25))+(COUNTIF('L HAY LES ROSES'!$G$7:$G$50,'2S EXPRESS'!G25))+(COUNTIF(RUNGIS!$G$7:$G$50,'2S EXPRESS'!G25))+(COUNTIF(SCEAUX!$G$7:$G$50,'2S EXPRESS'!G25))+(COUNTIF('INSTANCE C1'!$G$7:$G$50,'2S EXPRESS'!G25))+(COUNTIF('INSTANCE C2'!$G$7:$G$50,'2S EXPRESS'!G25))+(COUNTIF(INTERNES!$G$7:$G$50,'2S EXPRESS'!G25))+(COUNTIF('EN PANNE'!$G$7:$G$50,'2S EXPRESS'!G25))+(COUNTIF(TJM!$G$7:$G$50,'2S EXPRESS'!G25))-I25</f>
        <v>0</v>
      </c>
      <c r="I25" s="23">
        <f>(COUNTIF('2S EXPRESS'!$A$7:$A$50,'2S EXPRESS'!G25))+(COUNTIF('2 ZT'!$A$7:$A$50,'2S EXPRESS'!G25))+(COUNTIF('GO TRANSPORT'!$A$7:$A$50,'2S EXPRESS'!G25))+(COUNTIF('HMZ - KAIS'!$A$7:$A$50,'2S EXPRESS'!G25))+(COUNTIF('IB TRANSPORT'!$A$7:$A$50,'2S EXPRESS'!G25))+(COUNTIF(JSL!$A$7:$A$50,'2S EXPRESS'!G25))+(COUNTIF(KIFAITOUT!$A$7:$A$50,'2S EXPRESS'!G25))+(COUNTIF('LUXE DRIVE'!$A$7:$A$50,'2S EXPRESS'!G25))+(COUNTIF(SSN!$A$7:$A$50,'2S EXPRESS'!G25))+(COUNTIF('W3'!$A$7:$A$50,'2S EXPRESS'!G25))+(COUNTIF('ATHIS MONS'!$A$7:$A$50,'2S EXPRESS'!G25))+(COUNTIF('L HAY LES ROSES'!$A$7:$A$50,'2S EXPRESS'!G25))+(COUNTIF(RUNGIS!$A$7:$A$50,'2S EXPRESS'!G25))+(COUNTIF(SCEAUX!$A$7:$A$50,'2S EXPRESS'!G25))+(COUNTIF('INSTANCE C1'!$A$7:$A$50,'2S EXPRESS'!G25))+(COUNTIF('INSTANCE C2'!$A$7:$A$50,'2S EXPRESS'!G25))+(COUNTIF(INTERNES!$A$7:$A$50,'2S EXPRESS'!G25))+(COUNTIF('EN PANNE'!$A$7:$A$50,'2S EXPRESS'!G25))+(COUNTIF(TJM!$A$7:$A$50,'2S EXPRESS'!G25))</f>
        <v>0</v>
      </c>
      <c r="J25" s="28">
        <f t="shared" si="4"/>
        <v>0</v>
      </c>
      <c r="K25" s="2"/>
      <c r="L25" s="47"/>
      <c r="S25" s="60">
        <f t="shared" si="1"/>
        <v>0</v>
      </c>
      <c r="T25" s="67">
        <f t="shared" si="2"/>
        <v>0</v>
      </c>
    </row>
    <row r="26" spans="1:21" ht="24.95" customHeight="1" x14ac:dyDescent="0.2">
      <c r="A26" s="2"/>
      <c r="B26" s="23">
        <f>(COUNTIF('2S EXPRESS'!$A$7:$A$50,'2S EXPRESS'!A26))+(COUNTIF('2 ZT'!$A$7:$A$50,'2S EXPRESS'!A26))+(COUNTIF('GO TRANSPORT'!$A$7:$A$50,'2S EXPRESS'!A26))+(COUNTIF('HMZ - KAIS'!$A$7:$A$50,'2S EXPRESS'!A26))+(COUNTIF('IB TRANSPORT'!$A$7:$A$50,'2S EXPRESS'!A26))+(COUNTIF(JSL!$A$7:$A$50,'2S EXPRESS'!A26))+(COUNTIF(KIFAITOUT!$A$7:$A$50,'2S EXPRESS'!A26))+(COUNTIF('LUXE DRIVE'!$A$7:$A$50,'2S EXPRESS'!A26))+(COUNTIF(SSN!$A$7:$A$50,'2S EXPRESS'!A26))+(COUNTIF('W3'!$A$7:$A$50,'2S EXPRESS'!A26))+(COUNTIF('ATHIS MONS'!$A$7:$A$50,'2S EXPRESS'!A26))+(COUNTIF('L HAY LES ROSES'!$A$7:$A$50,'2S EXPRESS'!A26))+(COUNTIF(RUNGIS!$A$7:$A$50,'2S EXPRESS'!A26))+(COUNTIF(SCEAUX!$A$7:$A$50,'2S EXPRESS'!A26))+(COUNTIF('INSTANCE C1'!$A$7:$A$50,'2S EXPRESS'!A26))+(COUNTIF('INSTANCE C2'!$A$7:$A$50,'2S EXPRESS'!A26))+(COUNTIF(INTERNES!$A$7:$A$50,'2S EXPRESS'!A26))+(COUNTIF('EN PANNE'!$A$7:$A$50,'2S EXPRESS'!A26))+(COUNTIF(TJM!$A$7:$A$50,'2S EXPRESS'!A26))-C26</f>
        <v>0</v>
      </c>
      <c r="C26" s="23">
        <f>(COUNTIF('2S EXPRESS'!$G$7:$G$50,'2S EXPRESS'!A26))+(COUNTIF('2 ZT'!$G$7:$G$50,'2S EXPRESS'!A26))+(COUNTIF('GO TRANSPORT'!$G$7:$G$50,'2S EXPRESS'!A26))+(COUNTIF('2S EXPRESS'!$G$7:$G$50,'2S EXPRESS'!A26))+(COUNTIF('IB TRANSPORT'!$G$7:$G$50,'2S EXPRESS'!A26))+(COUNTIF(JSL!$G$7:$G$50,'2S EXPRESS'!A26))+(COUNTIF(KIFAITOUT!$G$7:$G$50,'2S EXPRESS'!A26))+(COUNTIF('LUXE DRIVE'!$G$7:$G$50,'2S EXPRESS'!A26))+(COUNTIF(SSN!$G$7:$G$50,'2S EXPRESS'!A26))+(COUNTIF('W3'!$G$7:$G$50,'2S EXPRESS'!A26))+(COUNTIF('ATHIS MONS'!$G$7:$G$50,'2S EXPRESS'!A26))+(COUNTIF('L HAY LES ROSES'!$G$7:$G$50,'2S EXPRESS'!A26))+(COUNTIF(RUNGIS!$G$7:$G$50,'2S EXPRESS'!A26))+(COUNTIF(SCEAUX!$G$7:$G$50,'2S EXPRESS'!A26))+(COUNTIF('INSTANCE C1'!$G$7:$G$50,'2S EXPRESS'!A26))+(COUNTIF('INSTANCE C2'!$G$7:$G$50,'2S EXPRESS'!A26))+(COUNTIF(INTERNES!$G$7:$G$50,'2S EXPRESS'!A26))+(COUNTIF('EN PANNE'!$G$7:$G$50,'2S EXPRESS'!A26))+(COUNTIF(TJM!$G$7:$G$50,'2S EXPRESS'!A26))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EXPRESS'!$G$7:$G$50,'2S EXPRESS'!G26))+(COUNTIF('2 ZT'!$G$7:$G$50,'2S EXPRESS'!G26))+(COUNTIF('GO TRANSPORT'!$G$7:$G$50,'2S EXPRESS'!G26))+(COUNTIF('HMZ - KAIS'!$G$7:$G$50,'2S EXPRESS'!G26))+(COUNTIF('IB TRANSPORT'!$G$7:$G$50,'2S EXPRESS'!G26))+(COUNTIF(JSL!$G$7:$G$50,'2S EXPRESS'!G26))+(COUNTIF(KIFAITOUT!$G$7:$G$50,'2S EXPRESS'!G26))+(COUNTIF('LUXE DRIVE'!$G$7:$G$50,'2S EXPRESS'!G26))+(COUNTIF(SSN!$G$7:$G$50,'2S EXPRESS'!G26))+(COUNTIF('W3'!$G$7:$G$50,'2S EXPRESS'!G26))+(COUNTIF('ATHIS MONS'!$G$7:$G$50,'2S EXPRESS'!G26))+(COUNTIF('L HAY LES ROSES'!$G$7:$G$50,'2S EXPRESS'!G26))+(COUNTIF(RUNGIS!$G$7:$G$50,'2S EXPRESS'!G26))+(COUNTIF(SCEAUX!$G$7:$G$50,'2S EXPRESS'!G26))+(COUNTIF('INSTANCE C1'!$G$7:$G$50,'2S EXPRESS'!G26))+(COUNTIF('INSTANCE C2'!$G$7:$G$50,'2S EXPRESS'!G26))+(COUNTIF(INTERNES!$G$7:$G$50,'2S EXPRESS'!G26))+(COUNTIF('EN PANNE'!$G$7:$G$50,'2S EXPRESS'!G26))+(COUNTIF(TJM!$G$7:$G$50,'2S EXPRESS'!G26))-I26</f>
        <v>0</v>
      </c>
      <c r="I26" s="23">
        <f>(COUNTIF('2S EXPRESS'!$A$7:$A$50,'2S EXPRESS'!G26))+(COUNTIF('2 ZT'!$A$7:$A$50,'2S EXPRESS'!G26))+(COUNTIF('GO TRANSPORT'!$A$7:$A$50,'2S EXPRESS'!G26))+(COUNTIF('HMZ - KAIS'!$A$7:$A$50,'2S EXPRESS'!G26))+(COUNTIF('IB TRANSPORT'!$A$7:$A$50,'2S EXPRESS'!G26))+(COUNTIF(JSL!$A$7:$A$50,'2S EXPRESS'!G26))+(COUNTIF(KIFAITOUT!$A$7:$A$50,'2S EXPRESS'!G26))+(COUNTIF('LUXE DRIVE'!$A$7:$A$50,'2S EXPRESS'!G26))+(COUNTIF(SSN!$A$7:$A$50,'2S EXPRESS'!G26))+(COUNTIF('W3'!$A$7:$A$50,'2S EXPRESS'!G26))+(COUNTIF('ATHIS MONS'!$A$7:$A$50,'2S EXPRESS'!G26))+(COUNTIF('L HAY LES ROSES'!$A$7:$A$50,'2S EXPRESS'!G26))+(COUNTIF(RUNGIS!$A$7:$A$50,'2S EXPRESS'!G26))+(COUNTIF(SCEAUX!$A$7:$A$50,'2S EXPRESS'!G26))+(COUNTIF('INSTANCE C1'!$A$7:$A$50,'2S EXPRESS'!G26))+(COUNTIF('INSTANCE C2'!$A$7:$A$50,'2S EXPRESS'!G26))+(COUNTIF(INTERNES!$A$7:$A$50,'2S EXPRESS'!G26))+(COUNTIF('EN PANNE'!$A$7:$A$50,'2S EXPRESS'!G26))+(COUNTIF(TJM!$A$7:$A$50,'2S EXPRESS'!G26))</f>
        <v>0</v>
      </c>
      <c r="J26" s="28">
        <f t="shared" si="4"/>
        <v>0</v>
      </c>
      <c r="K26" s="2"/>
      <c r="L26" s="47"/>
      <c r="S26" s="60">
        <f t="shared" si="1"/>
        <v>0</v>
      </c>
      <c r="T26" s="67">
        <f t="shared" si="2"/>
        <v>0</v>
      </c>
    </row>
    <row r="27" spans="1:21" ht="24.95" customHeight="1" x14ac:dyDescent="0.2">
      <c r="A27" s="2"/>
      <c r="B27" s="23">
        <f>(COUNTIF('2S EXPRESS'!$A$7:$A$50,'2S EXPRESS'!A27))+(COUNTIF('2 ZT'!$A$7:$A$50,'2S EXPRESS'!A27))+(COUNTIF('GO TRANSPORT'!$A$7:$A$50,'2S EXPRESS'!A27))+(COUNTIF('HMZ - KAIS'!$A$7:$A$50,'2S EXPRESS'!A27))+(COUNTIF('IB TRANSPORT'!$A$7:$A$50,'2S EXPRESS'!A27))+(COUNTIF(JSL!$A$7:$A$50,'2S EXPRESS'!A27))+(COUNTIF(KIFAITOUT!$A$7:$A$50,'2S EXPRESS'!A27))+(COUNTIF('LUXE DRIVE'!$A$7:$A$50,'2S EXPRESS'!A27))+(COUNTIF(SSN!$A$7:$A$50,'2S EXPRESS'!A27))+(COUNTIF('W3'!$A$7:$A$50,'2S EXPRESS'!A27))+(COUNTIF('ATHIS MONS'!$A$7:$A$50,'2S EXPRESS'!A27))+(COUNTIF('L HAY LES ROSES'!$A$7:$A$50,'2S EXPRESS'!A27))+(COUNTIF(RUNGIS!$A$7:$A$50,'2S EXPRESS'!A27))+(COUNTIF(SCEAUX!$A$7:$A$50,'2S EXPRESS'!A27))+(COUNTIF('INSTANCE C1'!$A$7:$A$50,'2S EXPRESS'!A27))+(COUNTIF('INSTANCE C2'!$A$7:$A$50,'2S EXPRESS'!A27))+(COUNTIF(INTERNES!$A$7:$A$50,'2S EXPRESS'!A27))+(COUNTIF('EN PANNE'!$A$7:$A$50,'2S EXPRESS'!A27))+(COUNTIF(TJM!$A$7:$A$50,'2S EXPRESS'!A27))-C27</f>
        <v>0</v>
      </c>
      <c r="C27" s="23">
        <f>(COUNTIF('2S EXPRESS'!$G$7:$G$50,'2S EXPRESS'!A27))+(COUNTIF('2 ZT'!$G$7:$G$50,'2S EXPRESS'!A27))+(COUNTIF('GO TRANSPORT'!$G$7:$G$50,'2S EXPRESS'!A27))+(COUNTIF('2S EXPRESS'!$G$7:$G$50,'2S EXPRESS'!A27))+(COUNTIF('IB TRANSPORT'!$G$7:$G$50,'2S EXPRESS'!A27))+(COUNTIF(JSL!$G$7:$G$50,'2S EXPRESS'!A27))+(COUNTIF(KIFAITOUT!$G$7:$G$50,'2S EXPRESS'!A27))+(COUNTIF('LUXE DRIVE'!$G$7:$G$50,'2S EXPRESS'!A27))+(COUNTIF(SSN!$G$7:$G$50,'2S EXPRESS'!A27))+(COUNTIF('W3'!$G$7:$G$50,'2S EXPRESS'!A27))+(COUNTIF('ATHIS MONS'!$G$7:$G$50,'2S EXPRESS'!A27))+(COUNTIF('L HAY LES ROSES'!$G$7:$G$50,'2S EXPRESS'!A27))+(COUNTIF(RUNGIS!$G$7:$G$50,'2S EXPRESS'!A27))+(COUNTIF(SCEAUX!$G$7:$G$50,'2S EXPRESS'!A27))+(COUNTIF('INSTANCE C1'!$G$7:$G$50,'2S EXPRESS'!A27))+(COUNTIF('INSTANCE C2'!$G$7:$G$50,'2S EXPRESS'!A27))+(COUNTIF(INTERNES!$G$7:$G$50,'2S EXPRESS'!A27))+(COUNTIF('EN PANNE'!$G$7:$G$50,'2S EXPRESS'!A27))+(COUNTIF(TJM!$G$7:$G$50,'2S EXPRESS'!A27))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EXPRESS'!$G$7:$G$50,'2S EXPRESS'!G27))+(COUNTIF('2 ZT'!$G$7:$G$50,'2S EXPRESS'!G27))+(COUNTIF('GO TRANSPORT'!$G$7:$G$50,'2S EXPRESS'!G27))+(COUNTIF('HMZ - KAIS'!$G$7:$G$50,'2S EXPRESS'!G27))+(COUNTIF('IB TRANSPORT'!$G$7:$G$50,'2S EXPRESS'!G27))+(COUNTIF(JSL!$G$7:$G$50,'2S EXPRESS'!G27))+(COUNTIF(KIFAITOUT!$G$7:$G$50,'2S EXPRESS'!G27))+(COUNTIF('LUXE DRIVE'!$G$7:$G$50,'2S EXPRESS'!G27))+(COUNTIF(SSN!$G$7:$G$50,'2S EXPRESS'!G27))+(COUNTIF('W3'!$G$7:$G$50,'2S EXPRESS'!G27))+(COUNTIF('ATHIS MONS'!$G$7:$G$50,'2S EXPRESS'!G27))+(COUNTIF('L HAY LES ROSES'!$G$7:$G$50,'2S EXPRESS'!G27))+(COUNTIF(RUNGIS!$G$7:$G$50,'2S EXPRESS'!G27))+(COUNTIF(SCEAUX!$G$7:$G$50,'2S EXPRESS'!G27))+(COUNTIF('INSTANCE C1'!$G$7:$G$50,'2S EXPRESS'!G27))+(COUNTIF('INSTANCE C2'!$G$7:$G$50,'2S EXPRESS'!G27))+(COUNTIF(INTERNES!$G$7:$G$50,'2S EXPRESS'!G27))+(COUNTIF('EN PANNE'!$G$7:$G$50,'2S EXPRESS'!G27))+(COUNTIF(TJM!$G$7:$G$50,'2S EXPRESS'!G27))-I27</f>
        <v>0</v>
      </c>
      <c r="I27" s="23">
        <f>(COUNTIF('2S EXPRESS'!$A$7:$A$50,'2S EXPRESS'!G27))+(COUNTIF('2 ZT'!$A$7:$A$50,'2S EXPRESS'!G27))+(COUNTIF('GO TRANSPORT'!$A$7:$A$50,'2S EXPRESS'!G27))+(COUNTIF('HMZ - KAIS'!$A$7:$A$50,'2S EXPRESS'!G27))+(COUNTIF('IB TRANSPORT'!$A$7:$A$50,'2S EXPRESS'!G27))+(COUNTIF(JSL!$A$7:$A$50,'2S EXPRESS'!G27))+(COUNTIF(KIFAITOUT!$A$7:$A$50,'2S EXPRESS'!G27))+(COUNTIF('LUXE DRIVE'!$A$7:$A$50,'2S EXPRESS'!G27))+(COUNTIF(SSN!$A$7:$A$50,'2S EXPRESS'!G27))+(COUNTIF('W3'!$A$7:$A$50,'2S EXPRESS'!G27))+(COUNTIF('ATHIS MONS'!$A$7:$A$50,'2S EXPRESS'!G27))+(COUNTIF('L HAY LES ROSES'!$A$7:$A$50,'2S EXPRESS'!G27))+(COUNTIF(RUNGIS!$A$7:$A$50,'2S EXPRESS'!G27))+(COUNTIF(SCEAUX!$A$7:$A$50,'2S EXPRESS'!G27))+(COUNTIF('INSTANCE C1'!$A$7:$A$50,'2S EXPRESS'!G27))+(COUNTIF('INSTANCE C2'!$A$7:$A$50,'2S EXPRESS'!G27))+(COUNTIF(INTERNES!$A$7:$A$50,'2S EXPRESS'!G27))+(COUNTIF('EN PANNE'!$A$7:$A$50,'2S EXPRESS'!G27))+(COUNTIF(TJM!$A$7:$A$50,'2S EXPRESS'!G27))</f>
        <v>0</v>
      </c>
      <c r="J27" s="28">
        <f t="shared" si="4"/>
        <v>0</v>
      </c>
      <c r="K27" s="2"/>
      <c r="L27" s="47"/>
      <c r="S27" s="60">
        <f t="shared" si="1"/>
        <v>0</v>
      </c>
      <c r="T27" s="67">
        <f t="shared" si="2"/>
        <v>0</v>
      </c>
    </row>
    <row r="28" spans="1:21" ht="24.95" customHeight="1" x14ac:dyDescent="0.2">
      <c r="A28" s="2"/>
      <c r="B28" s="23">
        <f>(COUNTIF('2S EXPRESS'!$A$7:$A$50,'2S EXPRESS'!A28))+(COUNTIF('2 ZT'!$A$7:$A$50,'2S EXPRESS'!A28))+(COUNTIF('GO TRANSPORT'!$A$7:$A$50,'2S EXPRESS'!A28))+(COUNTIF('HMZ - KAIS'!$A$7:$A$50,'2S EXPRESS'!A28))+(COUNTIF('IB TRANSPORT'!$A$7:$A$50,'2S EXPRESS'!A28))+(COUNTIF(JSL!$A$7:$A$50,'2S EXPRESS'!A28))+(COUNTIF(KIFAITOUT!$A$7:$A$50,'2S EXPRESS'!A28))+(COUNTIF('LUXE DRIVE'!$A$7:$A$50,'2S EXPRESS'!A28))+(COUNTIF(SSN!$A$7:$A$50,'2S EXPRESS'!A28))+(COUNTIF('W3'!$A$7:$A$50,'2S EXPRESS'!A28))+(COUNTIF('ATHIS MONS'!$A$7:$A$50,'2S EXPRESS'!A28))+(COUNTIF('L HAY LES ROSES'!$A$7:$A$50,'2S EXPRESS'!A28))+(COUNTIF(RUNGIS!$A$7:$A$50,'2S EXPRESS'!A28))+(COUNTIF(SCEAUX!$A$7:$A$50,'2S EXPRESS'!A28))+(COUNTIF('INSTANCE C1'!$A$7:$A$50,'2S EXPRESS'!A28))+(COUNTIF('INSTANCE C2'!$A$7:$A$50,'2S EXPRESS'!A28))+(COUNTIF(INTERNES!$A$7:$A$50,'2S EXPRESS'!A28))+(COUNTIF('EN PANNE'!$A$7:$A$50,'2S EXPRESS'!A28))+(COUNTIF(TJM!$A$7:$A$50,'2S EXPRESS'!A28))-C28</f>
        <v>0</v>
      </c>
      <c r="C28" s="23">
        <f>(COUNTIF('2S EXPRESS'!$G$7:$G$50,'2S EXPRESS'!A28))+(COUNTIF('2 ZT'!$G$7:$G$50,'2S EXPRESS'!A28))+(COUNTIF('GO TRANSPORT'!$G$7:$G$50,'2S EXPRESS'!A28))+(COUNTIF('2S EXPRESS'!$G$7:$G$50,'2S EXPRESS'!A28))+(COUNTIF('IB TRANSPORT'!$G$7:$G$50,'2S EXPRESS'!A28))+(COUNTIF(JSL!$G$7:$G$50,'2S EXPRESS'!A28))+(COUNTIF(KIFAITOUT!$G$7:$G$50,'2S EXPRESS'!A28))+(COUNTIF('LUXE DRIVE'!$G$7:$G$50,'2S EXPRESS'!A28))+(COUNTIF(SSN!$G$7:$G$50,'2S EXPRESS'!A28))+(COUNTIF('W3'!$G$7:$G$50,'2S EXPRESS'!A28))+(COUNTIF('ATHIS MONS'!$G$7:$G$50,'2S EXPRESS'!A28))+(COUNTIF('L HAY LES ROSES'!$G$7:$G$50,'2S EXPRESS'!A28))+(COUNTIF(RUNGIS!$G$7:$G$50,'2S EXPRESS'!A28))+(COUNTIF(SCEAUX!$G$7:$G$50,'2S EXPRESS'!A28))+(COUNTIF('INSTANCE C1'!$G$7:$G$50,'2S EXPRESS'!A28))+(COUNTIF('INSTANCE C2'!$G$7:$G$50,'2S EXPRESS'!A28))+(COUNTIF(INTERNES!$G$7:$G$50,'2S EXPRESS'!A28))+(COUNTIF('EN PANNE'!$G$7:$G$50,'2S EXPRESS'!A28))+(COUNTIF(TJM!$G$7:$G$50,'2S EXPRESS'!A28))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EXPRESS'!$G$7:$G$50,'2S EXPRESS'!G28))+(COUNTIF('2 ZT'!$G$7:$G$50,'2S EXPRESS'!G28))+(COUNTIF('GO TRANSPORT'!$G$7:$G$50,'2S EXPRESS'!G28))+(COUNTIF('HMZ - KAIS'!$G$7:$G$50,'2S EXPRESS'!G28))+(COUNTIF('IB TRANSPORT'!$G$7:$G$50,'2S EXPRESS'!G28))+(COUNTIF(JSL!$G$7:$G$50,'2S EXPRESS'!G28))+(COUNTIF(KIFAITOUT!$G$7:$G$50,'2S EXPRESS'!G28))+(COUNTIF('LUXE DRIVE'!$G$7:$G$50,'2S EXPRESS'!G28))+(COUNTIF(SSN!$G$7:$G$50,'2S EXPRESS'!G28))+(COUNTIF('W3'!$G$7:$G$50,'2S EXPRESS'!G28))+(COUNTIF('ATHIS MONS'!$G$7:$G$50,'2S EXPRESS'!G28))+(COUNTIF('L HAY LES ROSES'!$G$7:$G$50,'2S EXPRESS'!G28))+(COUNTIF(RUNGIS!$G$7:$G$50,'2S EXPRESS'!G28))+(COUNTIF(SCEAUX!$G$7:$G$50,'2S EXPRESS'!G28))+(COUNTIF('INSTANCE C1'!$G$7:$G$50,'2S EXPRESS'!G28))+(COUNTIF('INSTANCE C2'!$G$7:$G$50,'2S EXPRESS'!G28))+(COUNTIF(INTERNES!$G$7:$G$50,'2S EXPRESS'!G28))+(COUNTIF('EN PANNE'!$G$7:$G$50,'2S EXPRESS'!G28))+(COUNTIF(TJM!$G$7:$G$50,'2S EXPRESS'!G28))-I28</f>
        <v>0</v>
      </c>
      <c r="I28" s="23">
        <f>(COUNTIF('2S EXPRESS'!$A$7:$A$50,'2S EXPRESS'!G28))+(COUNTIF('2 ZT'!$A$7:$A$50,'2S EXPRESS'!G28))+(COUNTIF('GO TRANSPORT'!$A$7:$A$50,'2S EXPRESS'!G28))+(COUNTIF('HMZ - KAIS'!$A$7:$A$50,'2S EXPRESS'!G28))+(COUNTIF('IB TRANSPORT'!$A$7:$A$50,'2S EXPRESS'!G28))+(COUNTIF(JSL!$A$7:$A$50,'2S EXPRESS'!G28))+(COUNTIF(KIFAITOUT!$A$7:$A$50,'2S EXPRESS'!G28))+(COUNTIF('LUXE DRIVE'!$A$7:$A$50,'2S EXPRESS'!G28))+(COUNTIF(SSN!$A$7:$A$50,'2S EXPRESS'!G28))+(COUNTIF('W3'!$A$7:$A$50,'2S EXPRESS'!G28))+(COUNTIF('ATHIS MONS'!$A$7:$A$50,'2S EXPRESS'!G28))+(COUNTIF('L HAY LES ROSES'!$A$7:$A$50,'2S EXPRESS'!G28))+(COUNTIF(RUNGIS!$A$7:$A$50,'2S EXPRESS'!G28))+(COUNTIF(SCEAUX!$A$7:$A$50,'2S EXPRESS'!G28))+(COUNTIF('INSTANCE C1'!$A$7:$A$50,'2S EXPRESS'!G28))+(COUNTIF('INSTANCE C2'!$A$7:$A$50,'2S EXPRESS'!G28))+(COUNTIF(INTERNES!$A$7:$A$50,'2S EXPRESS'!G28))+(COUNTIF('EN PANNE'!$A$7:$A$50,'2S EXPRESS'!G28))+(COUNTIF(TJM!$A$7:$A$50,'2S EXPRESS'!G28))</f>
        <v>0</v>
      </c>
      <c r="J28" s="28">
        <f t="shared" si="4"/>
        <v>0</v>
      </c>
      <c r="K28" s="2"/>
      <c r="L28" s="47"/>
      <c r="S28" s="60">
        <f t="shared" si="1"/>
        <v>0</v>
      </c>
      <c r="T28" s="67">
        <f t="shared" si="2"/>
        <v>0</v>
      </c>
    </row>
    <row r="29" spans="1:21" ht="24.95" customHeight="1" x14ac:dyDescent="0.2">
      <c r="A29" s="2"/>
      <c r="B29" s="23">
        <f>(COUNTIF('2S EXPRESS'!$A$7:$A$50,'2S EXPRESS'!A29))+(COUNTIF('2 ZT'!$A$7:$A$50,'2S EXPRESS'!A29))+(COUNTIF('GO TRANSPORT'!$A$7:$A$50,'2S EXPRESS'!A29))+(COUNTIF('HMZ - KAIS'!$A$7:$A$50,'2S EXPRESS'!A29))+(COUNTIF('IB TRANSPORT'!$A$7:$A$50,'2S EXPRESS'!A29))+(COUNTIF(JSL!$A$7:$A$50,'2S EXPRESS'!A29))+(COUNTIF(KIFAITOUT!$A$7:$A$50,'2S EXPRESS'!A29))+(COUNTIF('LUXE DRIVE'!$A$7:$A$50,'2S EXPRESS'!A29))+(COUNTIF(SSN!$A$7:$A$50,'2S EXPRESS'!A29))+(COUNTIF('W3'!$A$7:$A$50,'2S EXPRESS'!A29))+(COUNTIF('ATHIS MONS'!$A$7:$A$50,'2S EXPRESS'!A29))+(COUNTIF('L HAY LES ROSES'!$A$7:$A$50,'2S EXPRESS'!A29))+(COUNTIF(RUNGIS!$A$7:$A$50,'2S EXPRESS'!A29))+(COUNTIF(SCEAUX!$A$7:$A$50,'2S EXPRESS'!A29))+(COUNTIF('INSTANCE C1'!$A$7:$A$50,'2S EXPRESS'!A29))+(COUNTIF('INSTANCE C2'!$A$7:$A$50,'2S EXPRESS'!A29))+(COUNTIF(INTERNES!$A$7:$A$50,'2S EXPRESS'!A29))+(COUNTIF('EN PANNE'!$A$7:$A$50,'2S EXPRESS'!A29))+(COUNTIF(TJM!$A$7:$A$50,'2S EXPRESS'!A29))-C29</f>
        <v>0</v>
      </c>
      <c r="C29" s="23">
        <f>(COUNTIF('2S EXPRESS'!$G$7:$G$50,'2S EXPRESS'!A29))+(COUNTIF('2 ZT'!$G$7:$G$50,'2S EXPRESS'!A29))+(COUNTIF('GO TRANSPORT'!$G$7:$G$50,'2S EXPRESS'!A29))+(COUNTIF('2S EXPRESS'!$G$7:$G$50,'2S EXPRESS'!A29))+(COUNTIF('IB TRANSPORT'!$G$7:$G$50,'2S EXPRESS'!A29))+(COUNTIF(JSL!$G$7:$G$50,'2S EXPRESS'!A29))+(COUNTIF(KIFAITOUT!$G$7:$G$50,'2S EXPRESS'!A29))+(COUNTIF('LUXE DRIVE'!$G$7:$G$50,'2S EXPRESS'!A29))+(COUNTIF(SSN!$G$7:$G$50,'2S EXPRESS'!A29))+(COUNTIF('W3'!$G$7:$G$50,'2S EXPRESS'!A29))+(COUNTIF('ATHIS MONS'!$G$7:$G$50,'2S EXPRESS'!A29))+(COUNTIF('L HAY LES ROSES'!$G$7:$G$50,'2S EXPRESS'!A29))+(COUNTIF(RUNGIS!$G$7:$G$50,'2S EXPRESS'!A29))+(COUNTIF(SCEAUX!$G$7:$G$50,'2S EXPRESS'!A29))+(COUNTIF('INSTANCE C1'!$G$7:$G$50,'2S EXPRESS'!A29))+(COUNTIF('INSTANCE C2'!$G$7:$G$50,'2S EXPRESS'!A29))+(COUNTIF(INTERNES!$G$7:$G$50,'2S EXPRESS'!A29))+(COUNTIF('EN PANNE'!$G$7:$G$50,'2S EXPRESS'!A29))+(COUNTIF(TJM!$G$7:$G$50,'2S EXPRESS'!A29))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EXPRESS'!$G$7:$G$50,'2S EXPRESS'!G29))+(COUNTIF('2 ZT'!$G$7:$G$50,'2S EXPRESS'!G29))+(COUNTIF('GO TRANSPORT'!$G$7:$G$50,'2S EXPRESS'!G29))+(COUNTIF('HMZ - KAIS'!$G$7:$G$50,'2S EXPRESS'!G29))+(COUNTIF('IB TRANSPORT'!$G$7:$G$50,'2S EXPRESS'!G29))+(COUNTIF(JSL!$G$7:$G$50,'2S EXPRESS'!G29))+(COUNTIF(KIFAITOUT!$G$7:$G$50,'2S EXPRESS'!G29))+(COUNTIF('LUXE DRIVE'!$G$7:$G$50,'2S EXPRESS'!G29))+(COUNTIF(SSN!$G$7:$G$50,'2S EXPRESS'!G29))+(COUNTIF('W3'!$G$7:$G$50,'2S EXPRESS'!G29))+(COUNTIF('ATHIS MONS'!$G$7:$G$50,'2S EXPRESS'!G29))+(COUNTIF('L HAY LES ROSES'!$G$7:$G$50,'2S EXPRESS'!G29))+(COUNTIF(RUNGIS!$G$7:$G$50,'2S EXPRESS'!G29))+(COUNTIF(SCEAUX!$G$7:$G$50,'2S EXPRESS'!G29))+(COUNTIF('INSTANCE C1'!$G$7:$G$50,'2S EXPRESS'!G29))+(COUNTIF('INSTANCE C2'!$G$7:$G$50,'2S EXPRESS'!G29))+(COUNTIF(INTERNES!$G$7:$G$50,'2S EXPRESS'!G29))+(COUNTIF('EN PANNE'!$G$7:$G$50,'2S EXPRESS'!G29))+(COUNTIF(TJM!$G$7:$G$50,'2S EXPRESS'!G29))-I29</f>
        <v>0</v>
      </c>
      <c r="I29" s="23">
        <f>(COUNTIF('2S EXPRESS'!$A$7:$A$50,'2S EXPRESS'!G29))+(COUNTIF('2 ZT'!$A$7:$A$50,'2S EXPRESS'!G29))+(COUNTIF('GO TRANSPORT'!$A$7:$A$50,'2S EXPRESS'!G29))+(COUNTIF('HMZ - KAIS'!$A$7:$A$50,'2S EXPRESS'!G29))+(COUNTIF('IB TRANSPORT'!$A$7:$A$50,'2S EXPRESS'!G29))+(COUNTIF(JSL!$A$7:$A$50,'2S EXPRESS'!G29))+(COUNTIF(KIFAITOUT!$A$7:$A$50,'2S EXPRESS'!G29))+(COUNTIF('LUXE DRIVE'!$A$7:$A$50,'2S EXPRESS'!G29))+(COUNTIF(SSN!$A$7:$A$50,'2S EXPRESS'!G29))+(COUNTIF('W3'!$A$7:$A$50,'2S EXPRESS'!G29))+(COUNTIF('ATHIS MONS'!$A$7:$A$50,'2S EXPRESS'!G29))+(COUNTIF('L HAY LES ROSES'!$A$7:$A$50,'2S EXPRESS'!G29))+(COUNTIF(RUNGIS!$A$7:$A$50,'2S EXPRESS'!G29))+(COUNTIF(SCEAUX!$A$7:$A$50,'2S EXPRESS'!G29))+(COUNTIF('INSTANCE C1'!$A$7:$A$50,'2S EXPRESS'!G29))+(COUNTIF('INSTANCE C2'!$A$7:$A$50,'2S EXPRESS'!G29))+(COUNTIF(INTERNES!$A$7:$A$50,'2S EXPRESS'!G29))+(COUNTIF('EN PANNE'!$A$7:$A$50,'2S EXPRESS'!G29))+(COUNTIF(TJM!$A$7:$A$50,'2S EXPRESS'!G29))</f>
        <v>0</v>
      </c>
      <c r="J29" s="28">
        <f t="shared" si="4"/>
        <v>0</v>
      </c>
      <c r="K29" s="2"/>
      <c r="L29" s="47"/>
      <c r="S29" s="60">
        <f t="shared" si="1"/>
        <v>0</v>
      </c>
      <c r="T29" s="67">
        <f t="shared" si="2"/>
        <v>0</v>
      </c>
    </row>
    <row r="30" spans="1:21" ht="24.95" customHeight="1" x14ac:dyDescent="0.2">
      <c r="A30" s="2"/>
      <c r="B30" s="23">
        <f>(COUNTIF('2S EXPRESS'!$A$7:$A$50,'2S EXPRESS'!A30))+(COUNTIF('2 ZT'!$A$7:$A$50,'2S EXPRESS'!A30))+(COUNTIF('GO TRANSPORT'!$A$7:$A$50,'2S EXPRESS'!A30))+(COUNTIF('HMZ - KAIS'!$A$7:$A$50,'2S EXPRESS'!A30))+(COUNTIF('IB TRANSPORT'!$A$7:$A$50,'2S EXPRESS'!A30))+(COUNTIF(JSL!$A$7:$A$50,'2S EXPRESS'!A30))+(COUNTIF(KIFAITOUT!$A$7:$A$50,'2S EXPRESS'!A30))+(COUNTIF('LUXE DRIVE'!$A$7:$A$50,'2S EXPRESS'!A30))+(COUNTIF(SSN!$A$7:$A$50,'2S EXPRESS'!A30))+(COUNTIF('W3'!$A$7:$A$50,'2S EXPRESS'!A30))+(COUNTIF('ATHIS MONS'!$A$7:$A$50,'2S EXPRESS'!A30))+(COUNTIF('L HAY LES ROSES'!$A$7:$A$50,'2S EXPRESS'!A30))+(COUNTIF(RUNGIS!$A$7:$A$50,'2S EXPRESS'!A30))+(COUNTIF(SCEAUX!$A$7:$A$50,'2S EXPRESS'!A30))+(COUNTIF('INSTANCE C1'!$A$7:$A$50,'2S EXPRESS'!A30))+(COUNTIF('INSTANCE C2'!$A$7:$A$50,'2S EXPRESS'!A30))+(COUNTIF(INTERNES!$A$7:$A$50,'2S EXPRESS'!A30))+(COUNTIF('EN PANNE'!$A$7:$A$50,'2S EXPRESS'!A30))+(COUNTIF(TJM!$A$7:$A$50,'2S EXPRESS'!A30))-C30</f>
        <v>0</v>
      </c>
      <c r="C30" s="23">
        <f>(COUNTIF('2S EXPRESS'!$G$7:$G$50,'2S EXPRESS'!A30))+(COUNTIF('2 ZT'!$G$7:$G$50,'2S EXPRESS'!A30))+(COUNTIF('GO TRANSPORT'!$G$7:$G$50,'2S EXPRESS'!A30))+(COUNTIF('2S EXPRESS'!$G$7:$G$50,'2S EXPRESS'!A30))+(COUNTIF('IB TRANSPORT'!$G$7:$G$50,'2S EXPRESS'!A30))+(COUNTIF(JSL!$G$7:$G$50,'2S EXPRESS'!A30))+(COUNTIF(KIFAITOUT!$G$7:$G$50,'2S EXPRESS'!A30))+(COUNTIF('LUXE DRIVE'!$G$7:$G$50,'2S EXPRESS'!A30))+(COUNTIF(SSN!$G$7:$G$50,'2S EXPRESS'!A30))+(COUNTIF('W3'!$G$7:$G$50,'2S EXPRESS'!A30))+(COUNTIF('ATHIS MONS'!$G$7:$G$50,'2S EXPRESS'!A30))+(COUNTIF('L HAY LES ROSES'!$G$7:$G$50,'2S EXPRESS'!A30))+(COUNTIF(RUNGIS!$G$7:$G$50,'2S EXPRESS'!A30))+(COUNTIF(SCEAUX!$G$7:$G$50,'2S EXPRESS'!A30))+(COUNTIF('INSTANCE C1'!$G$7:$G$50,'2S EXPRESS'!A30))+(COUNTIF('INSTANCE C2'!$G$7:$G$50,'2S EXPRESS'!A30))+(COUNTIF(INTERNES!$G$7:$G$50,'2S EXPRESS'!A30))+(COUNTIF('EN PANNE'!$G$7:$G$50,'2S EXPRESS'!A30))+(COUNTIF(TJM!$G$7:$G$50,'2S EXPRESS'!A30))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EXPRESS'!$G$7:$G$50,'2S EXPRESS'!G30))+(COUNTIF('2 ZT'!$G$7:$G$50,'2S EXPRESS'!G30))+(COUNTIF('GO TRANSPORT'!$G$7:$G$50,'2S EXPRESS'!G30))+(COUNTIF('HMZ - KAIS'!$G$7:$G$50,'2S EXPRESS'!G30))+(COUNTIF('IB TRANSPORT'!$G$7:$G$50,'2S EXPRESS'!G30))+(COUNTIF(JSL!$G$7:$G$50,'2S EXPRESS'!G30))+(COUNTIF(KIFAITOUT!$G$7:$G$50,'2S EXPRESS'!G30))+(COUNTIF('LUXE DRIVE'!$G$7:$G$50,'2S EXPRESS'!G30))+(COUNTIF(SSN!$G$7:$G$50,'2S EXPRESS'!G30))+(COUNTIF('W3'!$G$7:$G$50,'2S EXPRESS'!G30))+(COUNTIF('ATHIS MONS'!$G$7:$G$50,'2S EXPRESS'!G30))+(COUNTIF('L HAY LES ROSES'!$G$7:$G$50,'2S EXPRESS'!G30))+(COUNTIF(RUNGIS!$G$7:$G$50,'2S EXPRESS'!G30))+(COUNTIF(SCEAUX!$G$7:$G$50,'2S EXPRESS'!G30))+(COUNTIF('INSTANCE C1'!$G$7:$G$50,'2S EXPRESS'!G30))+(COUNTIF('INSTANCE C2'!$G$7:$G$50,'2S EXPRESS'!G30))+(COUNTIF(INTERNES!$G$7:$G$50,'2S EXPRESS'!G30))+(COUNTIF('EN PANNE'!$G$7:$G$50,'2S EXPRESS'!G30))+(COUNTIF(TJM!$G$7:$G$50,'2S EXPRESS'!G30))-I30</f>
        <v>0</v>
      </c>
      <c r="I30" s="23">
        <f>(COUNTIF('2S EXPRESS'!$A$7:$A$50,'2S EXPRESS'!G30))+(COUNTIF('2 ZT'!$A$7:$A$50,'2S EXPRESS'!G30))+(COUNTIF('GO TRANSPORT'!$A$7:$A$50,'2S EXPRESS'!G30))+(COUNTIF('HMZ - KAIS'!$A$7:$A$50,'2S EXPRESS'!G30))+(COUNTIF('IB TRANSPORT'!$A$7:$A$50,'2S EXPRESS'!G30))+(COUNTIF(JSL!$A$7:$A$50,'2S EXPRESS'!G30))+(COUNTIF(KIFAITOUT!$A$7:$A$50,'2S EXPRESS'!G30))+(COUNTIF('LUXE DRIVE'!$A$7:$A$50,'2S EXPRESS'!G30))+(COUNTIF(SSN!$A$7:$A$50,'2S EXPRESS'!G30))+(COUNTIF('W3'!$A$7:$A$50,'2S EXPRESS'!G30))+(COUNTIF('ATHIS MONS'!$A$7:$A$50,'2S EXPRESS'!G30))+(COUNTIF('L HAY LES ROSES'!$A$7:$A$50,'2S EXPRESS'!G30))+(COUNTIF(RUNGIS!$A$7:$A$50,'2S EXPRESS'!G30))+(COUNTIF(SCEAUX!$A$7:$A$50,'2S EXPRESS'!G30))+(COUNTIF('INSTANCE C1'!$A$7:$A$50,'2S EXPRESS'!G30))+(COUNTIF('INSTANCE C2'!$A$7:$A$50,'2S EXPRESS'!G30))+(COUNTIF(INTERNES!$A$7:$A$50,'2S EXPRESS'!G30))+(COUNTIF('EN PANNE'!$A$7:$A$50,'2S EXPRESS'!G30))+(COUNTIF(TJM!$A$7:$A$50,'2S EXPRESS'!G30))</f>
        <v>0</v>
      </c>
      <c r="J30" s="28">
        <f t="shared" si="4"/>
        <v>0</v>
      </c>
      <c r="K30" s="2"/>
      <c r="L30" s="47"/>
      <c r="S30" s="60">
        <f t="shared" si="1"/>
        <v>0</v>
      </c>
      <c r="T30" s="67">
        <f t="shared" si="2"/>
        <v>0</v>
      </c>
    </row>
    <row r="31" spans="1:21" ht="24.95" customHeight="1" x14ac:dyDescent="0.2">
      <c r="A31" s="2"/>
      <c r="B31" s="23">
        <f>(COUNTIF('2S EXPRESS'!$A$7:$A$50,'2S EXPRESS'!A31))+(COUNTIF('2 ZT'!$A$7:$A$50,'2S EXPRESS'!A31))+(COUNTIF('GO TRANSPORT'!$A$7:$A$50,'2S EXPRESS'!A31))+(COUNTIF('HMZ - KAIS'!$A$7:$A$50,'2S EXPRESS'!A31))+(COUNTIF('IB TRANSPORT'!$A$7:$A$50,'2S EXPRESS'!A31))+(COUNTIF(JSL!$A$7:$A$50,'2S EXPRESS'!A31))+(COUNTIF(KIFAITOUT!$A$7:$A$50,'2S EXPRESS'!A31))+(COUNTIF('LUXE DRIVE'!$A$7:$A$50,'2S EXPRESS'!A31))+(COUNTIF(SSN!$A$7:$A$50,'2S EXPRESS'!A31))+(COUNTIF('W3'!$A$7:$A$50,'2S EXPRESS'!A31))+(COUNTIF('ATHIS MONS'!$A$7:$A$50,'2S EXPRESS'!A31))+(COUNTIF('L HAY LES ROSES'!$A$7:$A$50,'2S EXPRESS'!A31))+(COUNTIF(RUNGIS!$A$7:$A$50,'2S EXPRESS'!A31))+(COUNTIF(SCEAUX!$A$7:$A$50,'2S EXPRESS'!A31))+(COUNTIF('INSTANCE C1'!$A$7:$A$50,'2S EXPRESS'!A31))+(COUNTIF('INSTANCE C2'!$A$7:$A$50,'2S EXPRESS'!A31))+(COUNTIF(INTERNES!$A$7:$A$50,'2S EXPRESS'!A31))+(COUNTIF('EN PANNE'!$A$7:$A$50,'2S EXPRESS'!A31))+(COUNTIF(TJM!$A$7:$A$50,'2S EXPRESS'!A31))-C31</f>
        <v>0</v>
      </c>
      <c r="C31" s="23">
        <f>(COUNTIF('2S EXPRESS'!$G$7:$G$50,'2S EXPRESS'!A31))+(COUNTIF('2 ZT'!$G$7:$G$50,'2S EXPRESS'!A31))+(COUNTIF('GO TRANSPORT'!$G$7:$G$50,'2S EXPRESS'!A31))+(COUNTIF('2S EXPRESS'!$G$7:$G$50,'2S EXPRESS'!A31))+(COUNTIF('IB TRANSPORT'!$G$7:$G$50,'2S EXPRESS'!A31))+(COUNTIF(JSL!$G$7:$G$50,'2S EXPRESS'!A31))+(COUNTIF(KIFAITOUT!$G$7:$G$50,'2S EXPRESS'!A31))+(COUNTIF('LUXE DRIVE'!$G$7:$G$50,'2S EXPRESS'!A31))+(COUNTIF(SSN!$G$7:$G$50,'2S EXPRESS'!A31))+(COUNTIF('W3'!$G$7:$G$50,'2S EXPRESS'!A31))+(COUNTIF('ATHIS MONS'!$G$7:$G$50,'2S EXPRESS'!A31))+(COUNTIF('L HAY LES ROSES'!$G$7:$G$50,'2S EXPRESS'!A31))+(COUNTIF(RUNGIS!$G$7:$G$50,'2S EXPRESS'!A31))+(COUNTIF(SCEAUX!$G$7:$G$50,'2S EXPRESS'!A31))+(COUNTIF('INSTANCE C1'!$G$7:$G$50,'2S EXPRESS'!A31))+(COUNTIF('INSTANCE C2'!$G$7:$G$50,'2S EXPRESS'!A31))+(COUNTIF(INTERNES!$G$7:$G$50,'2S EXPRESS'!A31))+(COUNTIF('EN PANNE'!$G$7:$G$50,'2S EXPRESS'!A31))+(COUNTIF(TJM!$G$7:$G$50,'2S EXPRESS'!A31))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EXPRESS'!$G$7:$G$50,'2S EXPRESS'!G31))+(COUNTIF('2 ZT'!$G$7:$G$50,'2S EXPRESS'!G31))+(COUNTIF('GO TRANSPORT'!$G$7:$G$50,'2S EXPRESS'!G31))+(COUNTIF('HMZ - KAIS'!$G$7:$G$50,'2S EXPRESS'!G31))+(COUNTIF('IB TRANSPORT'!$G$7:$G$50,'2S EXPRESS'!G31))+(COUNTIF(JSL!$G$7:$G$50,'2S EXPRESS'!G31))+(COUNTIF(KIFAITOUT!$G$7:$G$50,'2S EXPRESS'!G31))+(COUNTIF('LUXE DRIVE'!$G$7:$G$50,'2S EXPRESS'!G31))+(COUNTIF(SSN!$G$7:$G$50,'2S EXPRESS'!G31))+(COUNTIF('W3'!$G$7:$G$50,'2S EXPRESS'!G31))+(COUNTIF('ATHIS MONS'!$G$7:$G$50,'2S EXPRESS'!G31))+(COUNTIF('L HAY LES ROSES'!$G$7:$G$50,'2S EXPRESS'!G31))+(COUNTIF(RUNGIS!$G$7:$G$50,'2S EXPRESS'!G31))+(COUNTIF(SCEAUX!$G$7:$G$50,'2S EXPRESS'!G31))+(COUNTIF('INSTANCE C1'!$G$7:$G$50,'2S EXPRESS'!G31))+(COUNTIF('INSTANCE C2'!$G$7:$G$50,'2S EXPRESS'!G31))+(COUNTIF(INTERNES!$G$7:$G$50,'2S EXPRESS'!G31))+(COUNTIF('EN PANNE'!$G$7:$G$50,'2S EXPRESS'!G31))+(COUNTIF(TJM!$G$7:$G$50,'2S EXPRESS'!G31))-I31</f>
        <v>0</v>
      </c>
      <c r="I31" s="23">
        <f>(COUNTIF('2S EXPRESS'!$A$7:$A$50,'2S EXPRESS'!G31))+(COUNTIF('2 ZT'!$A$7:$A$50,'2S EXPRESS'!G31))+(COUNTIF('GO TRANSPORT'!$A$7:$A$50,'2S EXPRESS'!G31))+(COUNTIF('HMZ - KAIS'!$A$7:$A$50,'2S EXPRESS'!G31))+(COUNTIF('IB TRANSPORT'!$A$7:$A$50,'2S EXPRESS'!G31))+(COUNTIF(JSL!$A$7:$A$50,'2S EXPRESS'!G31))+(COUNTIF(KIFAITOUT!$A$7:$A$50,'2S EXPRESS'!G31))+(COUNTIF('LUXE DRIVE'!$A$7:$A$50,'2S EXPRESS'!G31))+(COUNTIF(SSN!$A$7:$A$50,'2S EXPRESS'!G31))+(COUNTIF('W3'!$A$7:$A$50,'2S EXPRESS'!G31))+(COUNTIF('ATHIS MONS'!$A$7:$A$50,'2S EXPRESS'!G31))+(COUNTIF('L HAY LES ROSES'!$A$7:$A$50,'2S EXPRESS'!G31))+(COUNTIF(RUNGIS!$A$7:$A$50,'2S EXPRESS'!G31))+(COUNTIF(SCEAUX!$A$7:$A$50,'2S EXPRESS'!G31))+(COUNTIF('INSTANCE C1'!$A$7:$A$50,'2S EXPRESS'!G31))+(COUNTIF('INSTANCE C2'!$A$7:$A$50,'2S EXPRESS'!G31))+(COUNTIF(INTERNES!$A$7:$A$50,'2S EXPRESS'!G31))+(COUNTIF('EN PANNE'!$A$7:$A$50,'2S EXPRESS'!G31))+(COUNTIF(TJM!$A$7:$A$50,'2S EXPRESS'!G31))</f>
        <v>0</v>
      </c>
      <c r="J31" s="28">
        <f t="shared" si="4"/>
        <v>0</v>
      </c>
      <c r="K31" s="2"/>
      <c r="L31" s="47"/>
      <c r="S31" s="60">
        <f t="shared" si="1"/>
        <v>0</v>
      </c>
      <c r="T31" s="67">
        <f t="shared" si="2"/>
        <v>0</v>
      </c>
    </row>
    <row r="32" spans="1:21" ht="24.95" customHeight="1" x14ac:dyDescent="0.2">
      <c r="A32" s="2"/>
      <c r="B32" s="23">
        <f>(COUNTIF('2S EXPRESS'!$A$7:$A$50,'2S EXPRESS'!A32))+(COUNTIF('2 ZT'!$A$7:$A$50,'2S EXPRESS'!A32))+(COUNTIF('GO TRANSPORT'!$A$7:$A$50,'2S EXPRESS'!A32))+(COUNTIF('HMZ - KAIS'!$A$7:$A$50,'2S EXPRESS'!A32))+(COUNTIF('IB TRANSPORT'!$A$7:$A$50,'2S EXPRESS'!A32))+(COUNTIF(JSL!$A$7:$A$50,'2S EXPRESS'!A32))+(COUNTIF(KIFAITOUT!$A$7:$A$50,'2S EXPRESS'!A32))+(COUNTIF('LUXE DRIVE'!$A$7:$A$50,'2S EXPRESS'!A32))+(COUNTIF(SSN!$A$7:$A$50,'2S EXPRESS'!A32))+(COUNTIF('W3'!$A$7:$A$50,'2S EXPRESS'!A32))+(COUNTIF('ATHIS MONS'!$A$7:$A$50,'2S EXPRESS'!A32))+(COUNTIF('L HAY LES ROSES'!$A$7:$A$50,'2S EXPRESS'!A32))+(COUNTIF(RUNGIS!$A$7:$A$50,'2S EXPRESS'!A32))+(COUNTIF(SCEAUX!$A$7:$A$50,'2S EXPRESS'!A32))+(COUNTIF('INSTANCE C1'!$A$7:$A$50,'2S EXPRESS'!A32))+(COUNTIF('INSTANCE C2'!$A$7:$A$50,'2S EXPRESS'!A32))+(COUNTIF(INTERNES!$A$7:$A$50,'2S EXPRESS'!A32))+(COUNTIF('EN PANNE'!$A$7:$A$50,'2S EXPRESS'!A32))+(COUNTIF(TJM!$A$7:$A$50,'2S EXPRESS'!A32))-C32</f>
        <v>0</v>
      </c>
      <c r="C32" s="23">
        <f>(COUNTIF('2S EXPRESS'!$G$7:$G$50,'2S EXPRESS'!A32))+(COUNTIF('2 ZT'!$G$7:$G$50,'2S EXPRESS'!A32))+(COUNTIF('GO TRANSPORT'!$G$7:$G$50,'2S EXPRESS'!A32))+(COUNTIF('2S EXPRESS'!$G$7:$G$50,'2S EXPRESS'!A32))+(COUNTIF('IB TRANSPORT'!$G$7:$G$50,'2S EXPRESS'!A32))+(COUNTIF(JSL!$G$7:$G$50,'2S EXPRESS'!A32))+(COUNTIF(KIFAITOUT!$G$7:$G$50,'2S EXPRESS'!A32))+(COUNTIF('LUXE DRIVE'!$G$7:$G$50,'2S EXPRESS'!A32))+(COUNTIF(SSN!$G$7:$G$50,'2S EXPRESS'!A32))+(COUNTIF('W3'!$G$7:$G$50,'2S EXPRESS'!A32))+(COUNTIF('ATHIS MONS'!$G$7:$G$50,'2S EXPRESS'!A32))+(COUNTIF('L HAY LES ROSES'!$G$7:$G$50,'2S EXPRESS'!A32))+(COUNTIF(RUNGIS!$G$7:$G$50,'2S EXPRESS'!A32))+(COUNTIF(SCEAUX!$G$7:$G$50,'2S EXPRESS'!A32))+(COUNTIF('INSTANCE C1'!$G$7:$G$50,'2S EXPRESS'!A32))+(COUNTIF('INSTANCE C2'!$G$7:$G$50,'2S EXPRESS'!A32))+(COUNTIF(INTERNES!$G$7:$G$50,'2S EXPRESS'!A32))+(COUNTIF('EN PANNE'!$G$7:$G$50,'2S EXPRESS'!A32))+(COUNTIF(TJM!$G$7:$G$50,'2S EXPRESS'!A32))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EXPRESS'!$G$7:$G$50,'2S EXPRESS'!G32))+(COUNTIF('2 ZT'!$G$7:$G$50,'2S EXPRESS'!G32))+(COUNTIF('GO TRANSPORT'!$G$7:$G$50,'2S EXPRESS'!G32))+(COUNTIF('HMZ - KAIS'!$G$7:$G$50,'2S EXPRESS'!G32))+(COUNTIF('IB TRANSPORT'!$G$7:$G$50,'2S EXPRESS'!G32))+(COUNTIF(JSL!$G$7:$G$50,'2S EXPRESS'!G32))+(COUNTIF(KIFAITOUT!$G$7:$G$50,'2S EXPRESS'!G32))+(COUNTIF('LUXE DRIVE'!$G$7:$G$50,'2S EXPRESS'!G32))+(COUNTIF(SSN!$G$7:$G$50,'2S EXPRESS'!G32))+(COUNTIF('W3'!$G$7:$G$50,'2S EXPRESS'!G32))+(COUNTIF('ATHIS MONS'!$G$7:$G$50,'2S EXPRESS'!G32))+(COUNTIF('L HAY LES ROSES'!$G$7:$G$50,'2S EXPRESS'!G32))+(COUNTIF(RUNGIS!$G$7:$G$50,'2S EXPRESS'!G32))+(COUNTIF(SCEAUX!$G$7:$G$50,'2S EXPRESS'!G32))+(COUNTIF('INSTANCE C1'!$G$7:$G$50,'2S EXPRESS'!G32))+(COUNTIF('INSTANCE C2'!$G$7:$G$50,'2S EXPRESS'!G32))+(COUNTIF(INTERNES!$G$7:$G$50,'2S EXPRESS'!G32))+(COUNTIF('EN PANNE'!$G$7:$G$50,'2S EXPRESS'!G32))+(COUNTIF(TJM!$G$7:$G$50,'2S EXPRESS'!G32))-I32</f>
        <v>0</v>
      </c>
      <c r="I32" s="23">
        <f>(COUNTIF('2S EXPRESS'!$A$7:$A$50,'2S EXPRESS'!G32))+(COUNTIF('2 ZT'!$A$7:$A$50,'2S EXPRESS'!G32))+(COUNTIF('GO TRANSPORT'!$A$7:$A$50,'2S EXPRESS'!G32))+(COUNTIF('HMZ - KAIS'!$A$7:$A$50,'2S EXPRESS'!G32))+(COUNTIF('IB TRANSPORT'!$A$7:$A$50,'2S EXPRESS'!G32))+(COUNTIF(JSL!$A$7:$A$50,'2S EXPRESS'!G32))+(COUNTIF(KIFAITOUT!$A$7:$A$50,'2S EXPRESS'!G32))+(COUNTIF('LUXE DRIVE'!$A$7:$A$50,'2S EXPRESS'!G32))+(COUNTIF(SSN!$A$7:$A$50,'2S EXPRESS'!G32))+(COUNTIF('W3'!$A$7:$A$50,'2S EXPRESS'!G32))+(COUNTIF('ATHIS MONS'!$A$7:$A$50,'2S EXPRESS'!G32))+(COUNTIF('L HAY LES ROSES'!$A$7:$A$50,'2S EXPRESS'!G32))+(COUNTIF(RUNGIS!$A$7:$A$50,'2S EXPRESS'!G32))+(COUNTIF(SCEAUX!$A$7:$A$50,'2S EXPRESS'!G32))+(COUNTIF('INSTANCE C1'!$A$7:$A$50,'2S EXPRESS'!G32))+(COUNTIF('INSTANCE C2'!$A$7:$A$50,'2S EXPRESS'!G32))+(COUNTIF(INTERNES!$A$7:$A$50,'2S EXPRESS'!G32))+(COUNTIF('EN PANNE'!$A$7:$A$50,'2S EXPRESS'!G32))+(COUNTIF(TJM!$A$7:$A$50,'2S EXPRESS'!G32))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R32" s="73"/>
      <c r="S32" s="60">
        <f t="shared" si="1"/>
        <v>0</v>
      </c>
      <c r="T32" s="67">
        <f t="shared" si="2"/>
        <v>0</v>
      </c>
      <c r="U32" s="73"/>
    </row>
    <row r="33" spans="1:21" ht="24.95" customHeight="1" x14ac:dyDescent="0.2">
      <c r="A33" s="2"/>
      <c r="B33" s="23">
        <f>(COUNTIF('2S EXPRESS'!$A$7:$A$50,'2S EXPRESS'!A33))+(COUNTIF('2 ZT'!$A$7:$A$50,'2S EXPRESS'!A33))+(COUNTIF('GO TRANSPORT'!$A$7:$A$50,'2S EXPRESS'!A33))+(COUNTIF('HMZ - KAIS'!$A$7:$A$50,'2S EXPRESS'!A33))+(COUNTIF('IB TRANSPORT'!$A$7:$A$50,'2S EXPRESS'!A33))+(COUNTIF(JSL!$A$7:$A$50,'2S EXPRESS'!A33))+(COUNTIF(KIFAITOUT!$A$7:$A$50,'2S EXPRESS'!A33))+(COUNTIF('LUXE DRIVE'!$A$7:$A$50,'2S EXPRESS'!A33))+(COUNTIF(SSN!$A$7:$A$50,'2S EXPRESS'!A33))+(COUNTIF('W3'!$A$7:$A$50,'2S EXPRESS'!A33))+(COUNTIF('ATHIS MONS'!$A$7:$A$50,'2S EXPRESS'!A33))+(COUNTIF('L HAY LES ROSES'!$A$7:$A$50,'2S EXPRESS'!A33))+(COUNTIF(RUNGIS!$A$7:$A$50,'2S EXPRESS'!A33))+(COUNTIF(SCEAUX!$A$7:$A$50,'2S EXPRESS'!A33))+(COUNTIF('INSTANCE C1'!$A$7:$A$50,'2S EXPRESS'!A33))+(COUNTIF('INSTANCE C2'!$A$7:$A$50,'2S EXPRESS'!A33))+(COUNTIF(INTERNES!$A$7:$A$50,'2S EXPRESS'!A33))+(COUNTIF('EN PANNE'!$A$7:$A$50,'2S EXPRESS'!A33))+(COUNTIF(TJM!$A$7:$A$50,'2S EXPRESS'!A33))-C33</f>
        <v>0</v>
      </c>
      <c r="C33" s="23">
        <f>(COUNTIF('2S EXPRESS'!$G$7:$G$50,'2S EXPRESS'!A33))+(COUNTIF('2 ZT'!$G$7:$G$50,'2S EXPRESS'!A33))+(COUNTIF('GO TRANSPORT'!$G$7:$G$50,'2S EXPRESS'!A33))+(COUNTIF('2S EXPRESS'!$G$7:$G$50,'2S EXPRESS'!A33))+(COUNTIF('IB TRANSPORT'!$G$7:$G$50,'2S EXPRESS'!A33))+(COUNTIF(JSL!$G$7:$G$50,'2S EXPRESS'!A33))+(COUNTIF(KIFAITOUT!$G$7:$G$50,'2S EXPRESS'!A33))+(COUNTIF('LUXE DRIVE'!$G$7:$G$50,'2S EXPRESS'!A33))+(COUNTIF(SSN!$G$7:$G$50,'2S EXPRESS'!A33))+(COUNTIF('W3'!$G$7:$G$50,'2S EXPRESS'!A33))+(COUNTIF('ATHIS MONS'!$G$7:$G$50,'2S EXPRESS'!A33))+(COUNTIF('L HAY LES ROSES'!$G$7:$G$50,'2S EXPRESS'!A33))+(COUNTIF(RUNGIS!$G$7:$G$50,'2S EXPRESS'!A33))+(COUNTIF(SCEAUX!$G$7:$G$50,'2S EXPRESS'!A33))+(COUNTIF('INSTANCE C1'!$G$7:$G$50,'2S EXPRESS'!A33))+(COUNTIF('INSTANCE C2'!$G$7:$G$50,'2S EXPRESS'!A33))+(COUNTIF(INTERNES!$G$7:$G$50,'2S EXPRESS'!A33))+(COUNTIF('EN PANNE'!$G$7:$G$50,'2S EXPRESS'!A33))+(COUNTIF(TJM!$G$7:$G$50,'2S EXPRESS'!A33))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EXPRESS'!$G$7:$G$50,'2S EXPRESS'!G33))+(COUNTIF('2 ZT'!$G$7:$G$50,'2S EXPRESS'!G33))+(COUNTIF('GO TRANSPORT'!$G$7:$G$50,'2S EXPRESS'!G33))+(COUNTIF('HMZ - KAIS'!$G$7:$G$50,'2S EXPRESS'!G33))+(COUNTIF('IB TRANSPORT'!$G$7:$G$50,'2S EXPRESS'!G33))+(COUNTIF(JSL!$G$7:$G$50,'2S EXPRESS'!G33))+(COUNTIF(KIFAITOUT!$G$7:$G$50,'2S EXPRESS'!G33))+(COUNTIF('LUXE DRIVE'!$G$7:$G$50,'2S EXPRESS'!G33))+(COUNTIF(SSN!$G$7:$G$50,'2S EXPRESS'!G33))+(COUNTIF('W3'!$G$7:$G$50,'2S EXPRESS'!G33))+(COUNTIF('ATHIS MONS'!$G$7:$G$50,'2S EXPRESS'!G33))+(COUNTIF('L HAY LES ROSES'!$G$7:$G$50,'2S EXPRESS'!G33))+(COUNTIF(RUNGIS!$G$7:$G$50,'2S EXPRESS'!G33))+(COUNTIF(SCEAUX!$G$7:$G$50,'2S EXPRESS'!G33))+(COUNTIF('INSTANCE C1'!$G$7:$G$50,'2S EXPRESS'!G33))+(COUNTIF('INSTANCE C2'!$G$7:$G$50,'2S EXPRESS'!G33))+(COUNTIF(INTERNES!$G$7:$G$50,'2S EXPRESS'!G33))+(COUNTIF('EN PANNE'!$G$7:$G$50,'2S EXPRESS'!G33))+(COUNTIF(TJM!$G$7:$G$50,'2S EXPRESS'!G33))-I33</f>
        <v>0</v>
      </c>
      <c r="I33" s="23">
        <f>(COUNTIF('2S EXPRESS'!$A$7:$A$50,'2S EXPRESS'!G33))+(COUNTIF('2 ZT'!$A$7:$A$50,'2S EXPRESS'!G33))+(COUNTIF('GO TRANSPORT'!$A$7:$A$50,'2S EXPRESS'!G33))+(COUNTIF('HMZ - KAIS'!$A$7:$A$50,'2S EXPRESS'!G33))+(COUNTIF('IB TRANSPORT'!$A$7:$A$50,'2S EXPRESS'!G33))+(COUNTIF(JSL!$A$7:$A$50,'2S EXPRESS'!G33))+(COUNTIF(KIFAITOUT!$A$7:$A$50,'2S EXPRESS'!G33))+(COUNTIF('LUXE DRIVE'!$A$7:$A$50,'2S EXPRESS'!G33))+(COUNTIF(SSN!$A$7:$A$50,'2S EXPRESS'!G33))+(COUNTIF('W3'!$A$7:$A$50,'2S EXPRESS'!G33))+(COUNTIF('ATHIS MONS'!$A$7:$A$50,'2S EXPRESS'!G33))+(COUNTIF('L HAY LES ROSES'!$A$7:$A$50,'2S EXPRESS'!G33))+(COUNTIF(RUNGIS!$A$7:$A$50,'2S EXPRESS'!G33))+(COUNTIF(SCEAUX!$A$7:$A$50,'2S EXPRESS'!G33))+(COUNTIF('INSTANCE C1'!$A$7:$A$50,'2S EXPRESS'!G33))+(COUNTIF('INSTANCE C2'!$A$7:$A$50,'2S EXPRESS'!G33))+(COUNTIF(INTERNES!$A$7:$A$50,'2S EXPRESS'!G33))+(COUNTIF('EN PANNE'!$A$7:$A$50,'2S EXPRESS'!G33))+(COUNTIF(TJM!$A$7:$A$50,'2S EXPRESS'!G33))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R33" s="73"/>
      <c r="S33" s="60">
        <f t="shared" si="1"/>
        <v>0</v>
      </c>
      <c r="T33" s="67">
        <f t="shared" si="2"/>
        <v>0</v>
      </c>
      <c r="U33" s="73"/>
    </row>
    <row r="34" spans="1:21" ht="24.95" customHeight="1" x14ac:dyDescent="0.2">
      <c r="A34" s="2"/>
      <c r="B34" s="23">
        <f>(COUNTIF('2S EXPRESS'!$A$7:$A$50,'2S EXPRESS'!A34))+(COUNTIF('2 ZT'!$A$7:$A$50,'2S EXPRESS'!A34))+(COUNTIF('GO TRANSPORT'!$A$7:$A$50,'2S EXPRESS'!A34))+(COUNTIF('HMZ - KAIS'!$A$7:$A$50,'2S EXPRESS'!A34))+(COUNTIF('IB TRANSPORT'!$A$7:$A$50,'2S EXPRESS'!A34))+(COUNTIF(JSL!$A$7:$A$50,'2S EXPRESS'!A34))+(COUNTIF(KIFAITOUT!$A$7:$A$50,'2S EXPRESS'!A34))+(COUNTIF('LUXE DRIVE'!$A$7:$A$50,'2S EXPRESS'!A34))+(COUNTIF(SSN!$A$7:$A$50,'2S EXPRESS'!A34))+(COUNTIF('W3'!$A$7:$A$50,'2S EXPRESS'!A34))+(COUNTIF('ATHIS MONS'!$A$7:$A$50,'2S EXPRESS'!A34))+(COUNTIF('L HAY LES ROSES'!$A$7:$A$50,'2S EXPRESS'!A34))+(COUNTIF(RUNGIS!$A$7:$A$50,'2S EXPRESS'!A34))+(COUNTIF(SCEAUX!$A$7:$A$50,'2S EXPRESS'!A34))+(COUNTIF('INSTANCE C1'!$A$7:$A$50,'2S EXPRESS'!A34))+(COUNTIF('INSTANCE C2'!$A$7:$A$50,'2S EXPRESS'!A34))+(COUNTIF(INTERNES!$A$7:$A$50,'2S EXPRESS'!A34))+(COUNTIF('EN PANNE'!$A$7:$A$50,'2S EXPRESS'!A34))+(COUNTIF(TJM!$A$7:$A$50,'2S EXPRESS'!A34))-C34</f>
        <v>0</v>
      </c>
      <c r="C34" s="23">
        <f>(COUNTIF('2S EXPRESS'!$G$7:$G$50,'2S EXPRESS'!A34))+(COUNTIF('2 ZT'!$G$7:$G$50,'2S EXPRESS'!A34))+(COUNTIF('GO TRANSPORT'!$G$7:$G$50,'2S EXPRESS'!A34))+(COUNTIF('2S EXPRESS'!$G$7:$G$50,'2S EXPRESS'!A34))+(COUNTIF('IB TRANSPORT'!$G$7:$G$50,'2S EXPRESS'!A34))+(COUNTIF(JSL!$G$7:$G$50,'2S EXPRESS'!A34))+(COUNTIF(KIFAITOUT!$G$7:$G$50,'2S EXPRESS'!A34))+(COUNTIF('LUXE DRIVE'!$G$7:$G$50,'2S EXPRESS'!A34))+(COUNTIF(SSN!$G$7:$G$50,'2S EXPRESS'!A34))+(COUNTIF('W3'!$G$7:$G$50,'2S EXPRESS'!A34))+(COUNTIF('ATHIS MONS'!$G$7:$G$50,'2S EXPRESS'!A34))+(COUNTIF('L HAY LES ROSES'!$G$7:$G$50,'2S EXPRESS'!A34))+(COUNTIF(RUNGIS!$G$7:$G$50,'2S EXPRESS'!A34))+(COUNTIF(SCEAUX!$G$7:$G$50,'2S EXPRESS'!A34))+(COUNTIF('INSTANCE C1'!$G$7:$G$50,'2S EXPRESS'!A34))+(COUNTIF('INSTANCE C2'!$G$7:$G$50,'2S EXPRESS'!A34))+(COUNTIF(INTERNES!$G$7:$G$50,'2S EXPRESS'!A34))+(COUNTIF('EN PANNE'!$G$7:$G$50,'2S EXPRESS'!A34))+(COUNTIF(TJM!$G$7:$G$50,'2S EXPRESS'!A34))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EXPRESS'!$G$7:$G$50,'2S EXPRESS'!G34))+(COUNTIF('2 ZT'!$G$7:$G$50,'2S EXPRESS'!G34))+(COUNTIF('GO TRANSPORT'!$G$7:$G$50,'2S EXPRESS'!G34))+(COUNTIF('HMZ - KAIS'!$G$7:$G$50,'2S EXPRESS'!G34))+(COUNTIF('IB TRANSPORT'!$G$7:$G$50,'2S EXPRESS'!G34))+(COUNTIF(JSL!$G$7:$G$50,'2S EXPRESS'!G34))+(COUNTIF(KIFAITOUT!$G$7:$G$50,'2S EXPRESS'!G34))+(COUNTIF('LUXE DRIVE'!$G$7:$G$50,'2S EXPRESS'!G34))+(COUNTIF(SSN!$G$7:$G$50,'2S EXPRESS'!G34))+(COUNTIF('W3'!$G$7:$G$50,'2S EXPRESS'!G34))+(COUNTIF('ATHIS MONS'!$G$7:$G$50,'2S EXPRESS'!G34))+(COUNTIF('L HAY LES ROSES'!$G$7:$G$50,'2S EXPRESS'!G34))+(COUNTIF(RUNGIS!$G$7:$G$50,'2S EXPRESS'!G34))+(COUNTIF(SCEAUX!$G$7:$G$50,'2S EXPRESS'!G34))+(COUNTIF('INSTANCE C1'!$G$7:$G$50,'2S EXPRESS'!G34))+(COUNTIF('INSTANCE C2'!$G$7:$G$50,'2S EXPRESS'!G34))+(COUNTIF(INTERNES!$G$7:$G$50,'2S EXPRESS'!G34))+(COUNTIF('EN PANNE'!$G$7:$G$50,'2S EXPRESS'!G34))+(COUNTIF(TJM!$G$7:$G$50,'2S EXPRESS'!G34))-I34</f>
        <v>0</v>
      </c>
      <c r="I34" s="23">
        <f>(COUNTIF('2S EXPRESS'!$A$7:$A$50,'2S EXPRESS'!G34))+(COUNTIF('2 ZT'!$A$7:$A$50,'2S EXPRESS'!G34))+(COUNTIF('GO TRANSPORT'!$A$7:$A$50,'2S EXPRESS'!G34))+(COUNTIF('HMZ - KAIS'!$A$7:$A$50,'2S EXPRESS'!G34))+(COUNTIF('IB TRANSPORT'!$A$7:$A$50,'2S EXPRESS'!G34))+(COUNTIF(JSL!$A$7:$A$50,'2S EXPRESS'!G34))+(COUNTIF(KIFAITOUT!$A$7:$A$50,'2S EXPRESS'!G34))+(COUNTIF('LUXE DRIVE'!$A$7:$A$50,'2S EXPRESS'!G34))+(COUNTIF(SSN!$A$7:$A$50,'2S EXPRESS'!G34))+(COUNTIF('W3'!$A$7:$A$50,'2S EXPRESS'!G34))+(COUNTIF('ATHIS MONS'!$A$7:$A$50,'2S EXPRESS'!G34))+(COUNTIF('L HAY LES ROSES'!$A$7:$A$50,'2S EXPRESS'!G34))+(COUNTIF(RUNGIS!$A$7:$A$50,'2S EXPRESS'!G34))+(COUNTIF(SCEAUX!$A$7:$A$50,'2S EXPRESS'!G34))+(COUNTIF('INSTANCE C1'!$A$7:$A$50,'2S EXPRESS'!G34))+(COUNTIF('INSTANCE C2'!$A$7:$A$50,'2S EXPRESS'!G34))+(COUNTIF(INTERNES!$A$7:$A$50,'2S EXPRESS'!G34))+(COUNTIF('EN PANNE'!$A$7:$A$50,'2S EXPRESS'!G34))+(COUNTIF(TJM!$A$7:$A$50,'2S EXPRESS'!G34))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R34" s="73"/>
      <c r="S34" s="60">
        <f t="shared" si="1"/>
        <v>0</v>
      </c>
      <c r="T34" s="67">
        <f t="shared" si="2"/>
        <v>0</v>
      </c>
      <c r="U34" s="73"/>
    </row>
    <row r="35" spans="1:21" ht="24.95" customHeight="1" x14ac:dyDescent="0.2">
      <c r="A35" s="2"/>
      <c r="B35" s="23">
        <f>(COUNTIF('2S EXPRESS'!$A$7:$A$50,'2S EXPRESS'!A35))+(COUNTIF('2 ZT'!$A$7:$A$50,'2S EXPRESS'!A35))+(COUNTIF('GO TRANSPORT'!$A$7:$A$50,'2S EXPRESS'!A35))+(COUNTIF('HMZ - KAIS'!$A$7:$A$50,'2S EXPRESS'!A35))+(COUNTIF('IB TRANSPORT'!$A$7:$A$50,'2S EXPRESS'!A35))+(COUNTIF(JSL!$A$7:$A$50,'2S EXPRESS'!A35))+(COUNTIF(KIFAITOUT!$A$7:$A$50,'2S EXPRESS'!A35))+(COUNTIF('LUXE DRIVE'!$A$7:$A$50,'2S EXPRESS'!A35))+(COUNTIF(SSN!$A$7:$A$50,'2S EXPRESS'!A35))+(COUNTIF('W3'!$A$7:$A$50,'2S EXPRESS'!A35))+(COUNTIF('ATHIS MONS'!$A$7:$A$50,'2S EXPRESS'!A35))+(COUNTIF('L HAY LES ROSES'!$A$7:$A$50,'2S EXPRESS'!A35))+(COUNTIF(RUNGIS!$A$7:$A$50,'2S EXPRESS'!A35))+(COUNTIF(SCEAUX!$A$7:$A$50,'2S EXPRESS'!A35))+(COUNTIF('INSTANCE C1'!$A$7:$A$50,'2S EXPRESS'!A35))+(COUNTIF('INSTANCE C2'!$A$7:$A$50,'2S EXPRESS'!A35))+(COUNTIF(INTERNES!$A$7:$A$50,'2S EXPRESS'!A35))+(COUNTIF('EN PANNE'!$A$7:$A$50,'2S EXPRESS'!A35))+(COUNTIF(TJM!$A$7:$A$50,'2S EXPRESS'!A35))-C35</f>
        <v>0</v>
      </c>
      <c r="C35" s="23">
        <f>(COUNTIF('2S EXPRESS'!$G$7:$G$50,'2S EXPRESS'!A35))+(COUNTIF('2 ZT'!$G$7:$G$50,'2S EXPRESS'!A35))+(COUNTIF('GO TRANSPORT'!$G$7:$G$50,'2S EXPRESS'!A35))+(COUNTIF('2S EXPRESS'!$G$7:$G$50,'2S EXPRESS'!A35))+(COUNTIF('IB TRANSPORT'!$G$7:$G$50,'2S EXPRESS'!A35))+(COUNTIF(JSL!$G$7:$G$50,'2S EXPRESS'!A35))+(COUNTIF(KIFAITOUT!$G$7:$G$50,'2S EXPRESS'!A35))+(COUNTIF('LUXE DRIVE'!$G$7:$G$50,'2S EXPRESS'!A35))+(COUNTIF(SSN!$G$7:$G$50,'2S EXPRESS'!A35))+(COUNTIF('W3'!$G$7:$G$50,'2S EXPRESS'!A35))+(COUNTIF('ATHIS MONS'!$G$7:$G$50,'2S EXPRESS'!A35))+(COUNTIF('L HAY LES ROSES'!$G$7:$G$50,'2S EXPRESS'!A35))+(COUNTIF(RUNGIS!$G$7:$G$50,'2S EXPRESS'!A35))+(COUNTIF(SCEAUX!$G$7:$G$50,'2S EXPRESS'!A35))+(COUNTIF('INSTANCE C1'!$G$7:$G$50,'2S EXPRESS'!A35))+(COUNTIF('INSTANCE C2'!$G$7:$G$50,'2S EXPRESS'!A35))+(COUNTIF(INTERNES!$G$7:$G$50,'2S EXPRESS'!A35))+(COUNTIF('EN PANNE'!$G$7:$G$50,'2S EXPRESS'!A35))+(COUNTIF(TJM!$G$7:$G$50,'2S EXPRESS'!A35))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EXPRESS'!$G$7:$G$50,'2S EXPRESS'!G35))+(COUNTIF('2 ZT'!$G$7:$G$50,'2S EXPRESS'!G35))+(COUNTIF('GO TRANSPORT'!$G$7:$G$50,'2S EXPRESS'!G35))+(COUNTIF('HMZ - KAIS'!$G$7:$G$50,'2S EXPRESS'!G35))+(COUNTIF('IB TRANSPORT'!$G$7:$G$50,'2S EXPRESS'!G35))+(COUNTIF(JSL!$G$7:$G$50,'2S EXPRESS'!G35))+(COUNTIF(KIFAITOUT!$G$7:$G$50,'2S EXPRESS'!G35))+(COUNTIF('LUXE DRIVE'!$G$7:$G$50,'2S EXPRESS'!G35))+(COUNTIF(SSN!$G$7:$G$50,'2S EXPRESS'!G35))+(COUNTIF('W3'!$G$7:$G$50,'2S EXPRESS'!G35))+(COUNTIF('ATHIS MONS'!$G$7:$G$50,'2S EXPRESS'!G35))+(COUNTIF('L HAY LES ROSES'!$G$7:$G$50,'2S EXPRESS'!G35))+(COUNTIF(RUNGIS!$G$7:$G$50,'2S EXPRESS'!G35))+(COUNTIF(SCEAUX!$G$7:$G$50,'2S EXPRESS'!G35))+(COUNTIF('INSTANCE C1'!$G$7:$G$50,'2S EXPRESS'!G35))+(COUNTIF('INSTANCE C2'!$G$7:$G$50,'2S EXPRESS'!G35))+(COUNTIF(INTERNES!$G$7:$G$50,'2S EXPRESS'!G35))+(COUNTIF('EN PANNE'!$G$7:$G$50,'2S EXPRESS'!G35))+(COUNTIF(TJM!$G$7:$G$50,'2S EXPRESS'!G35))-I35</f>
        <v>0</v>
      </c>
      <c r="I35" s="23">
        <f>(COUNTIF('2S EXPRESS'!$A$7:$A$50,'2S EXPRESS'!G35))+(COUNTIF('2 ZT'!$A$7:$A$50,'2S EXPRESS'!G35))+(COUNTIF('GO TRANSPORT'!$A$7:$A$50,'2S EXPRESS'!G35))+(COUNTIF('HMZ - KAIS'!$A$7:$A$50,'2S EXPRESS'!G35))+(COUNTIF('IB TRANSPORT'!$A$7:$A$50,'2S EXPRESS'!G35))+(COUNTIF(JSL!$A$7:$A$50,'2S EXPRESS'!G35))+(COUNTIF(KIFAITOUT!$A$7:$A$50,'2S EXPRESS'!G35))+(COUNTIF('LUXE DRIVE'!$A$7:$A$50,'2S EXPRESS'!G35))+(COUNTIF(SSN!$A$7:$A$50,'2S EXPRESS'!G35))+(COUNTIF('W3'!$A$7:$A$50,'2S EXPRESS'!G35))+(COUNTIF('ATHIS MONS'!$A$7:$A$50,'2S EXPRESS'!G35))+(COUNTIF('L HAY LES ROSES'!$A$7:$A$50,'2S EXPRESS'!G35))+(COUNTIF(RUNGIS!$A$7:$A$50,'2S EXPRESS'!G35))+(COUNTIF(SCEAUX!$A$7:$A$50,'2S EXPRESS'!G35))+(COUNTIF('INSTANCE C1'!$A$7:$A$50,'2S EXPRESS'!G35))+(COUNTIF('INSTANCE C2'!$A$7:$A$50,'2S EXPRESS'!G35))+(COUNTIF(INTERNES!$A$7:$A$50,'2S EXPRESS'!G35))+(COUNTIF('EN PANNE'!$A$7:$A$50,'2S EXPRESS'!G35))+(COUNTIF(TJM!$A$7:$A$50,'2S EXPRESS'!G35))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R35" s="73"/>
      <c r="S35" s="60">
        <f t="shared" si="1"/>
        <v>0</v>
      </c>
      <c r="T35" s="67">
        <f t="shared" si="2"/>
        <v>0</v>
      </c>
      <c r="U35" s="73"/>
    </row>
    <row r="36" spans="1:21" ht="24.95" customHeight="1" x14ac:dyDescent="0.2">
      <c r="A36" s="2"/>
      <c r="B36" s="23">
        <f>(COUNTIF('2S EXPRESS'!$A$7:$A$50,'2S EXPRESS'!A36))+(COUNTIF('2 ZT'!$A$7:$A$50,'2S EXPRESS'!A36))+(COUNTIF('GO TRANSPORT'!$A$7:$A$50,'2S EXPRESS'!A36))+(COUNTIF('HMZ - KAIS'!$A$7:$A$50,'2S EXPRESS'!A36))+(COUNTIF('IB TRANSPORT'!$A$7:$A$50,'2S EXPRESS'!A36))+(COUNTIF(JSL!$A$7:$A$50,'2S EXPRESS'!A36))+(COUNTIF(KIFAITOUT!$A$7:$A$50,'2S EXPRESS'!A36))+(COUNTIF('LUXE DRIVE'!$A$7:$A$50,'2S EXPRESS'!A36))+(COUNTIF(SSN!$A$7:$A$50,'2S EXPRESS'!A36))+(COUNTIF('W3'!$A$7:$A$50,'2S EXPRESS'!A36))+(COUNTIF('ATHIS MONS'!$A$7:$A$50,'2S EXPRESS'!A36))+(COUNTIF('L HAY LES ROSES'!$A$7:$A$50,'2S EXPRESS'!A36))+(COUNTIF(RUNGIS!$A$7:$A$50,'2S EXPRESS'!A36))+(COUNTIF(SCEAUX!$A$7:$A$50,'2S EXPRESS'!A36))+(COUNTIF('INSTANCE C1'!$A$7:$A$50,'2S EXPRESS'!A36))+(COUNTIF('INSTANCE C2'!$A$7:$A$50,'2S EXPRESS'!A36))+(COUNTIF(INTERNES!$A$7:$A$50,'2S EXPRESS'!A36))+(COUNTIF('EN PANNE'!$A$7:$A$50,'2S EXPRESS'!A36))+(COUNTIF(TJM!$A$7:$A$50,'2S EXPRESS'!A36))-C36</f>
        <v>0</v>
      </c>
      <c r="C36" s="23">
        <f>(COUNTIF('2S EXPRESS'!$G$7:$G$50,'2S EXPRESS'!A36))+(COUNTIF('2 ZT'!$G$7:$G$50,'2S EXPRESS'!A36))+(COUNTIF('GO TRANSPORT'!$G$7:$G$50,'2S EXPRESS'!A36))+(COUNTIF('2S EXPRESS'!$G$7:$G$50,'2S EXPRESS'!A36))+(COUNTIF('IB TRANSPORT'!$G$7:$G$50,'2S EXPRESS'!A36))+(COUNTIF(JSL!$G$7:$G$50,'2S EXPRESS'!A36))+(COUNTIF(KIFAITOUT!$G$7:$G$50,'2S EXPRESS'!A36))+(COUNTIF('LUXE DRIVE'!$G$7:$G$50,'2S EXPRESS'!A36))+(COUNTIF(SSN!$G$7:$G$50,'2S EXPRESS'!A36))+(COUNTIF('W3'!$G$7:$G$50,'2S EXPRESS'!A36))+(COUNTIF('ATHIS MONS'!$G$7:$G$50,'2S EXPRESS'!A36))+(COUNTIF('L HAY LES ROSES'!$G$7:$G$50,'2S EXPRESS'!A36))+(COUNTIF(RUNGIS!$G$7:$G$50,'2S EXPRESS'!A36))+(COUNTIF(SCEAUX!$G$7:$G$50,'2S EXPRESS'!A36))+(COUNTIF('INSTANCE C1'!$G$7:$G$50,'2S EXPRESS'!A36))+(COUNTIF('INSTANCE C2'!$G$7:$G$50,'2S EXPRESS'!A36))+(COUNTIF(INTERNES!$G$7:$G$50,'2S EXPRESS'!A36))+(COUNTIF('EN PANNE'!$G$7:$G$50,'2S EXPRESS'!A36))+(COUNTIF(TJM!$G$7:$G$50,'2S EXPRESS'!A36))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EXPRESS'!$G$7:$G$50,'2S EXPRESS'!G36))+(COUNTIF('2 ZT'!$G$7:$G$50,'2S EXPRESS'!G36))+(COUNTIF('GO TRANSPORT'!$G$7:$G$50,'2S EXPRESS'!G36))+(COUNTIF('HMZ - KAIS'!$G$7:$G$50,'2S EXPRESS'!G36))+(COUNTIF('IB TRANSPORT'!$G$7:$G$50,'2S EXPRESS'!G36))+(COUNTIF(JSL!$G$7:$G$50,'2S EXPRESS'!G36))+(COUNTIF(KIFAITOUT!$G$7:$G$50,'2S EXPRESS'!G36))+(COUNTIF('LUXE DRIVE'!$G$7:$G$50,'2S EXPRESS'!G36))+(COUNTIF(SSN!$G$7:$G$50,'2S EXPRESS'!G36))+(COUNTIF('W3'!$G$7:$G$50,'2S EXPRESS'!G36))+(COUNTIF('ATHIS MONS'!$G$7:$G$50,'2S EXPRESS'!G36))+(COUNTIF('L HAY LES ROSES'!$G$7:$G$50,'2S EXPRESS'!G36))+(COUNTIF(RUNGIS!$G$7:$G$50,'2S EXPRESS'!G36))+(COUNTIF(SCEAUX!$G$7:$G$50,'2S EXPRESS'!G36))+(COUNTIF('INSTANCE C1'!$G$7:$G$50,'2S EXPRESS'!G36))+(COUNTIF('INSTANCE C2'!$G$7:$G$50,'2S EXPRESS'!G36))+(COUNTIF(INTERNES!$G$7:$G$50,'2S EXPRESS'!G36))+(COUNTIF('EN PANNE'!$G$7:$G$50,'2S EXPRESS'!G36))+(COUNTIF(TJM!$G$7:$G$50,'2S EXPRESS'!G36))-I36</f>
        <v>0</v>
      </c>
      <c r="I36" s="23">
        <f>(COUNTIF('2S EXPRESS'!$A$7:$A$50,'2S EXPRESS'!G36))+(COUNTIF('2 ZT'!$A$7:$A$50,'2S EXPRESS'!G36))+(COUNTIF('GO TRANSPORT'!$A$7:$A$50,'2S EXPRESS'!G36))+(COUNTIF('HMZ - KAIS'!$A$7:$A$50,'2S EXPRESS'!G36))+(COUNTIF('IB TRANSPORT'!$A$7:$A$50,'2S EXPRESS'!G36))+(COUNTIF(JSL!$A$7:$A$50,'2S EXPRESS'!G36))+(COUNTIF(KIFAITOUT!$A$7:$A$50,'2S EXPRESS'!G36))+(COUNTIF('LUXE DRIVE'!$A$7:$A$50,'2S EXPRESS'!G36))+(COUNTIF(SSN!$A$7:$A$50,'2S EXPRESS'!G36))+(COUNTIF('W3'!$A$7:$A$50,'2S EXPRESS'!G36))+(COUNTIF('ATHIS MONS'!$A$7:$A$50,'2S EXPRESS'!G36))+(COUNTIF('L HAY LES ROSES'!$A$7:$A$50,'2S EXPRESS'!G36))+(COUNTIF(RUNGIS!$A$7:$A$50,'2S EXPRESS'!G36))+(COUNTIF(SCEAUX!$A$7:$A$50,'2S EXPRESS'!G36))+(COUNTIF('INSTANCE C1'!$A$7:$A$50,'2S EXPRESS'!G36))+(COUNTIF('INSTANCE C2'!$A$7:$A$50,'2S EXPRESS'!G36))+(COUNTIF(INTERNES!$A$7:$A$50,'2S EXPRESS'!G36))+(COUNTIF('EN PANNE'!$A$7:$A$50,'2S EXPRESS'!G36))+(COUNTIF(TJM!$A$7:$A$50,'2S EXPRESS'!G36))</f>
        <v>0</v>
      </c>
      <c r="J36" s="28">
        <f t="shared" si="4"/>
        <v>0</v>
      </c>
      <c r="K36" s="2"/>
      <c r="L36" s="47"/>
      <c r="S36" s="60">
        <f t="shared" si="1"/>
        <v>0</v>
      </c>
      <c r="T36" s="67">
        <f t="shared" si="2"/>
        <v>0</v>
      </c>
    </row>
    <row r="37" spans="1:21" ht="24.95" customHeight="1" x14ac:dyDescent="0.2">
      <c r="A37" s="2"/>
      <c r="B37" s="23">
        <f>(COUNTIF('2S EXPRESS'!$A$7:$A$50,'2S EXPRESS'!A37))+(COUNTIF('2 ZT'!$A$7:$A$50,'2S EXPRESS'!A37))+(COUNTIF('GO TRANSPORT'!$A$7:$A$50,'2S EXPRESS'!A37))+(COUNTIF('HMZ - KAIS'!$A$7:$A$50,'2S EXPRESS'!A37))+(COUNTIF('IB TRANSPORT'!$A$7:$A$50,'2S EXPRESS'!A37))+(COUNTIF(JSL!$A$7:$A$50,'2S EXPRESS'!A37))+(COUNTIF(KIFAITOUT!$A$7:$A$50,'2S EXPRESS'!A37))+(COUNTIF('LUXE DRIVE'!$A$7:$A$50,'2S EXPRESS'!A37))+(COUNTIF(SSN!$A$7:$A$50,'2S EXPRESS'!A37))+(COUNTIF('W3'!$A$7:$A$50,'2S EXPRESS'!A37))+(COUNTIF('ATHIS MONS'!$A$7:$A$50,'2S EXPRESS'!A37))+(COUNTIF('L HAY LES ROSES'!$A$7:$A$50,'2S EXPRESS'!A37))+(COUNTIF(RUNGIS!$A$7:$A$50,'2S EXPRESS'!A37))+(COUNTIF(SCEAUX!$A$7:$A$50,'2S EXPRESS'!A37))+(COUNTIF('INSTANCE C1'!$A$7:$A$50,'2S EXPRESS'!A37))+(COUNTIF('INSTANCE C2'!$A$7:$A$50,'2S EXPRESS'!A37))+(COUNTIF(INTERNES!$A$7:$A$50,'2S EXPRESS'!A37))+(COUNTIF('EN PANNE'!$A$7:$A$50,'2S EXPRESS'!A37))+(COUNTIF(TJM!$A$7:$A$50,'2S EXPRESS'!A37))-C37</f>
        <v>0</v>
      </c>
      <c r="C37" s="23">
        <f>(COUNTIF('2S EXPRESS'!$G$7:$G$50,'2S EXPRESS'!A37))+(COUNTIF('2 ZT'!$G$7:$G$50,'2S EXPRESS'!A37))+(COUNTIF('GO TRANSPORT'!$G$7:$G$50,'2S EXPRESS'!A37))+(COUNTIF('2S EXPRESS'!$G$7:$G$50,'2S EXPRESS'!A37))+(COUNTIF('IB TRANSPORT'!$G$7:$G$50,'2S EXPRESS'!A37))+(COUNTIF(JSL!$G$7:$G$50,'2S EXPRESS'!A37))+(COUNTIF(KIFAITOUT!$G$7:$G$50,'2S EXPRESS'!A37))+(COUNTIF('LUXE DRIVE'!$G$7:$G$50,'2S EXPRESS'!A37))+(COUNTIF(SSN!$G$7:$G$50,'2S EXPRESS'!A37))+(COUNTIF('W3'!$G$7:$G$50,'2S EXPRESS'!A37))+(COUNTIF('ATHIS MONS'!$G$7:$G$50,'2S EXPRESS'!A37))+(COUNTIF('L HAY LES ROSES'!$G$7:$G$50,'2S EXPRESS'!A37))+(COUNTIF(RUNGIS!$G$7:$G$50,'2S EXPRESS'!A37))+(COUNTIF(SCEAUX!$G$7:$G$50,'2S EXPRESS'!A37))+(COUNTIF('INSTANCE C1'!$G$7:$G$50,'2S EXPRESS'!A37))+(COUNTIF('INSTANCE C2'!$G$7:$G$50,'2S EXPRESS'!A37))+(COUNTIF(INTERNES!$G$7:$G$50,'2S EXPRESS'!A37))+(COUNTIF('EN PANNE'!$G$7:$G$50,'2S EXPRESS'!A37))+(COUNTIF(TJM!$G$7:$G$50,'2S EXPRESS'!A37))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EXPRESS'!$G$7:$G$50,'2S EXPRESS'!G37))+(COUNTIF('2 ZT'!$G$7:$G$50,'2S EXPRESS'!G37))+(COUNTIF('GO TRANSPORT'!$G$7:$G$50,'2S EXPRESS'!G37))+(COUNTIF('HMZ - KAIS'!$G$7:$G$50,'2S EXPRESS'!G37))+(COUNTIF('IB TRANSPORT'!$G$7:$G$50,'2S EXPRESS'!G37))+(COUNTIF(JSL!$G$7:$G$50,'2S EXPRESS'!G37))+(COUNTIF(KIFAITOUT!$G$7:$G$50,'2S EXPRESS'!G37))+(COUNTIF('LUXE DRIVE'!$G$7:$G$50,'2S EXPRESS'!G37))+(COUNTIF(SSN!$G$7:$G$50,'2S EXPRESS'!G37))+(COUNTIF('W3'!$G$7:$G$50,'2S EXPRESS'!G37))+(COUNTIF('ATHIS MONS'!$G$7:$G$50,'2S EXPRESS'!G37))+(COUNTIF('L HAY LES ROSES'!$G$7:$G$50,'2S EXPRESS'!G37))+(COUNTIF(RUNGIS!$G$7:$G$50,'2S EXPRESS'!G37))+(COUNTIF(SCEAUX!$G$7:$G$50,'2S EXPRESS'!G37))+(COUNTIF('INSTANCE C1'!$G$7:$G$50,'2S EXPRESS'!G37))+(COUNTIF('INSTANCE C2'!$G$7:$G$50,'2S EXPRESS'!G37))+(COUNTIF(INTERNES!$G$7:$G$50,'2S EXPRESS'!G37))+(COUNTIF('EN PANNE'!$G$7:$G$50,'2S EXPRESS'!G37))+(COUNTIF(TJM!$G$7:$G$50,'2S EXPRESS'!G37))-I37</f>
        <v>0</v>
      </c>
      <c r="I37" s="23">
        <f>(COUNTIF('2S EXPRESS'!$A$7:$A$50,'2S EXPRESS'!G37))+(COUNTIF('2 ZT'!$A$7:$A$50,'2S EXPRESS'!G37))+(COUNTIF('GO TRANSPORT'!$A$7:$A$50,'2S EXPRESS'!G37))+(COUNTIF('HMZ - KAIS'!$A$7:$A$50,'2S EXPRESS'!G37))+(COUNTIF('IB TRANSPORT'!$A$7:$A$50,'2S EXPRESS'!G37))+(COUNTIF(JSL!$A$7:$A$50,'2S EXPRESS'!G37))+(COUNTIF(KIFAITOUT!$A$7:$A$50,'2S EXPRESS'!G37))+(COUNTIF('LUXE DRIVE'!$A$7:$A$50,'2S EXPRESS'!G37))+(COUNTIF(SSN!$A$7:$A$50,'2S EXPRESS'!G37))+(COUNTIF('W3'!$A$7:$A$50,'2S EXPRESS'!G37))+(COUNTIF('ATHIS MONS'!$A$7:$A$50,'2S EXPRESS'!G37))+(COUNTIF('L HAY LES ROSES'!$A$7:$A$50,'2S EXPRESS'!G37))+(COUNTIF(RUNGIS!$A$7:$A$50,'2S EXPRESS'!G37))+(COUNTIF(SCEAUX!$A$7:$A$50,'2S EXPRESS'!G37))+(COUNTIF('INSTANCE C1'!$A$7:$A$50,'2S EXPRESS'!G37))+(COUNTIF('INSTANCE C2'!$A$7:$A$50,'2S EXPRESS'!G37))+(COUNTIF(INTERNES!$A$7:$A$50,'2S EXPRESS'!G37))+(COUNTIF('EN PANNE'!$A$7:$A$50,'2S EXPRESS'!G37))+(COUNTIF(TJM!$A$7:$A$50,'2S EXPRESS'!G37))</f>
        <v>0</v>
      </c>
      <c r="J37" s="28">
        <f t="shared" si="4"/>
        <v>0</v>
      </c>
      <c r="K37" s="2"/>
      <c r="L37" s="47"/>
      <c r="S37" s="60">
        <f t="shared" si="1"/>
        <v>0</v>
      </c>
      <c r="T37" s="67">
        <f t="shared" si="2"/>
        <v>0</v>
      </c>
    </row>
    <row r="38" spans="1:21" ht="24.95" customHeight="1" x14ac:dyDescent="0.2">
      <c r="A38" s="2"/>
      <c r="B38" s="23">
        <f>(COUNTIF('2S EXPRESS'!$A$7:$A$50,'2S EXPRESS'!A38))+(COUNTIF('2 ZT'!$A$7:$A$50,'2S EXPRESS'!A38))+(COUNTIF('GO TRANSPORT'!$A$7:$A$50,'2S EXPRESS'!A38))+(COUNTIF('HMZ - KAIS'!$A$7:$A$50,'2S EXPRESS'!A38))+(COUNTIF('IB TRANSPORT'!$A$7:$A$50,'2S EXPRESS'!A38))+(COUNTIF(JSL!$A$7:$A$50,'2S EXPRESS'!A38))+(COUNTIF(KIFAITOUT!$A$7:$A$50,'2S EXPRESS'!A38))+(COUNTIF('LUXE DRIVE'!$A$7:$A$50,'2S EXPRESS'!A38))+(COUNTIF(SSN!$A$7:$A$50,'2S EXPRESS'!A38))+(COUNTIF('W3'!$A$7:$A$50,'2S EXPRESS'!A38))+(COUNTIF('ATHIS MONS'!$A$7:$A$50,'2S EXPRESS'!A38))+(COUNTIF('L HAY LES ROSES'!$A$7:$A$50,'2S EXPRESS'!A38))+(COUNTIF(RUNGIS!$A$7:$A$50,'2S EXPRESS'!A38))+(COUNTIF(SCEAUX!$A$7:$A$50,'2S EXPRESS'!A38))+(COUNTIF('INSTANCE C1'!$A$7:$A$50,'2S EXPRESS'!A38))+(COUNTIF('INSTANCE C2'!$A$7:$A$50,'2S EXPRESS'!A38))+(COUNTIF(INTERNES!$A$7:$A$50,'2S EXPRESS'!A38))+(COUNTIF('EN PANNE'!$A$7:$A$50,'2S EXPRESS'!A38))+(COUNTIF(TJM!$A$7:$A$50,'2S EXPRESS'!A38))-C38</f>
        <v>0</v>
      </c>
      <c r="C38" s="23">
        <f>(COUNTIF('2S EXPRESS'!$G$7:$G$50,'2S EXPRESS'!A38))+(COUNTIF('2 ZT'!$G$7:$G$50,'2S EXPRESS'!A38))+(COUNTIF('GO TRANSPORT'!$G$7:$G$50,'2S EXPRESS'!A38))+(COUNTIF('2S EXPRESS'!$G$7:$G$50,'2S EXPRESS'!A38))+(COUNTIF('IB TRANSPORT'!$G$7:$G$50,'2S EXPRESS'!A38))+(COUNTIF(JSL!$G$7:$G$50,'2S EXPRESS'!A38))+(COUNTIF(KIFAITOUT!$G$7:$G$50,'2S EXPRESS'!A38))+(COUNTIF('LUXE DRIVE'!$G$7:$G$50,'2S EXPRESS'!A38))+(COUNTIF(SSN!$G$7:$G$50,'2S EXPRESS'!A38))+(COUNTIF('W3'!$G$7:$G$50,'2S EXPRESS'!A38))+(COUNTIF('ATHIS MONS'!$G$7:$G$50,'2S EXPRESS'!A38))+(COUNTIF('L HAY LES ROSES'!$G$7:$G$50,'2S EXPRESS'!A38))+(COUNTIF(RUNGIS!$G$7:$G$50,'2S EXPRESS'!A38))+(COUNTIF(SCEAUX!$G$7:$G$50,'2S EXPRESS'!A38))+(COUNTIF('INSTANCE C1'!$G$7:$G$50,'2S EXPRESS'!A38))+(COUNTIF('INSTANCE C2'!$G$7:$G$50,'2S EXPRESS'!A38))+(COUNTIF(INTERNES!$G$7:$G$50,'2S EXPRESS'!A38))+(COUNTIF('EN PANNE'!$G$7:$G$50,'2S EXPRESS'!A38))+(COUNTIF(TJM!$G$7:$G$50,'2S EXPRESS'!A38))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EXPRESS'!$G$7:$G$50,'2S EXPRESS'!G38))+(COUNTIF('2 ZT'!$G$7:$G$50,'2S EXPRESS'!G38))+(COUNTIF('GO TRANSPORT'!$G$7:$G$50,'2S EXPRESS'!G38))+(COUNTIF('HMZ - KAIS'!$G$7:$G$50,'2S EXPRESS'!G38))+(COUNTIF('IB TRANSPORT'!$G$7:$G$50,'2S EXPRESS'!G38))+(COUNTIF(JSL!$G$7:$G$50,'2S EXPRESS'!G38))+(COUNTIF(KIFAITOUT!$G$7:$G$50,'2S EXPRESS'!G38))+(COUNTIF('LUXE DRIVE'!$G$7:$G$50,'2S EXPRESS'!G38))+(COUNTIF(SSN!$G$7:$G$50,'2S EXPRESS'!G38))+(COUNTIF('W3'!$G$7:$G$50,'2S EXPRESS'!G38))+(COUNTIF('ATHIS MONS'!$G$7:$G$50,'2S EXPRESS'!G38))+(COUNTIF('L HAY LES ROSES'!$G$7:$G$50,'2S EXPRESS'!G38))+(COUNTIF(RUNGIS!$G$7:$G$50,'2S EXPRESS'!G38))+(COUNTIF(SCEAUX!$G$7:$G$50,'2S EXPRESS'!G38))+(COUNTIF('INSTANCE C1'!$G$7:$G$50,'2S EXPRESS'!G38))+(COUNTIF('INSTANCE C2'!$G$7:$G$50,'2S EXPRESS'!G38))+(COUNTIF(INTERNES!$G$7:$G$50,'2S EXPRESS'!G38))+(COUNTIF('EN PANNE'!$G$7:$G$50,'2S EXPRESS'!G38))+(COUNTIF(TJM!$G$7:$G$50,'2S EXPRESS'!G38))-I38</f>
        <v>0</v>
      </c>
      <c r="I38" s="23">
        <f>(COUNTIF('2S EXPRESS'!$A$7:$A$50,'2S EXPRESS'!G38))+(COUNTIF('2 ZT'!$A$7:$A$50,'2S EXPRESS'!G38))+(COUNTIF('GO TRANSPORT'!$A$7:$A$50,'2S EXPRESS'!G38))+(COUNTIF('HMZ - KAIS'!$A$7:$A$50,'2S EXPRESS'!G38))+(COUNTIF('IB TRANSPORT'!$A$7:$A$50,'2S EXPRESS'!G38))+(COUNTIF(JSL!$A$7:$A$50,'2S EXPRESS'!G38))+(COUNTIF(KIFAITOUT!$A$7:$A$50,'2S EXPRESS'!G38))+(COUNTIF('LUXE DRIVE'!$A$7:$A$50,'2S EXPRESS'!G38))+(COUNTIF(SSN!$A$7:$A$50,'2S EXPRESS'!G38))+(COUNTIF('W3'!$A$7:$A$50,'2S EXPRESS'!G38))+(COUNTIF('ATHIS MONS'!$A$7:$A$50,'2S EXPRESS'!G38))+(COUNTIF('L HAY LES ROSES'!$A$7:$A$50,'2S EXPRESS'!G38))+(COUNTIF(RUNGIS!$A$7:$A$50,'2S EXPRESS'!G38))+(COUNTIF(SCEAUX!$A$7:$A$50,'2S EXPRESS'!G38))+(COUNTIF('INSTANCE C1'!$A$7:$A$50,'2S EXPRESS'!G38))+(COUNTIF('INSTANCE C2'!$A$7:$A$50,'2S EXPRESS'!G38))+(COUNTIF(INTERNES!$A$7:$A$50,'2S EXPRESS'!G38))+(COUNTIF('EN PANNE'!$A$7:$A$50,'2S EXPRESS'!G38))+(COUNTIF(TJM!$A$7:$A$50,'2S EXPRESS'!G38))</f>
        <v>0</v>
      </c>
      <c r="J38" s="28">
        <f t="shared" si="4"/>
        <v>0</v>
      </c>
      <c r="K38" s="2"/>
      <c r="L38" s="47"/>
      <c r="S38" s="60">
        <f t="shared" si="1"/>
        <v>0</v>
      </c>
      <c r="T38" s="67">
        <f t="shared" si="2"/>
        <v>0</v>
      </c>
    </row>
    <row r="39" spans="1:21" ht="24.95" customHeight="1" x14ac:dyDescent="0.2">
      <c r="A39" s="2"/>
      <c r="B39" s="23">
        <f>(COUNTIF('2S EXPRESS'!$A$7:$A$50,'2S EXPRESS'!A39))+(COUNTIF('2 ZT'!$A$7:$A$50,'2S EXPRESS'!A39))+(COUNTIF('GO TRANSPORT'!$A$7:$A$50,'2S EXPRESS'!A39))+(COUNTIF('HMZ - KAIS'!$A$7:$A$50,'2S EXPRESS'!A39))+(COUNTIF('IB TRANSPORT'!$A$7:$A$50,'2S EXPRESS'!A39))+(COUNTIF(JSL!$A$7:$A$50,'2S EXPRESS'!A39))+(COUNTIF(KIFAITOUT!$A$7:$A$50,'2S EXPRESS'!A39))+(COUNTIF('LUXE DRIVE'!$A$7:$A$50,'2S EXPRESS'!A39))+(COUNTIF(SSN!$A$7:$A$50,'2S EXPRESS'!A39))+(COUNTIF('W3'!$A$7:$A$50,'2S EXPRESS'!A39))+(COUNTIF('ATHIS MONS'!$A$7:$A$50,'2S EXPRESS'!A39))+(COUNTIF('L HAY LES ROSES'!$A$7:$A$50,'2S EXPRESS'!A39))+(COUNTIF(RUNGIS!$A$7:$A$50,'2S EXPRESS'!A39))+(COUNTIF(SCEAUX!$A$7:$A$50,'2S EXPRESS'!A39))+(COUNTIF('INSTANCE C1'!$A$7:$A$50,'2S EXPRESS'!A39))+(COUNTIF('INSTANCE C2'!$A$7:$A$50,'2S EXPRESS'!A39))+(COUNTIF(INTERNES!$A$7:$A$50,'2S EXPRESS'!A39))+(COUNTIF('EN PANNE'!$A$7:$A$50,'2S EXPRESS'!A39))+(COUNTIF(TJM!$A$7:$A$50,'2S EXPRESS'!A39))-C39</f>
        <v>0</v>
      </c>
      <c r="C39" s="23">
        <f>(COUNTIF('2S EXPRESS'!$G$7:$G$50,'2S EXPRESS'!A39))+(COUNTIF('2 ZT'!$G$7:$G$50,'2S EXPRESS'!A39))+(COUNTIF('GO TRANSPORT'!$G$7:$G$50,'2S EXPRESS'!A39))+(COUNTIF('2S EXPRESS'!$G$7:$G$50,'2S EXPRESS'!A39))+(COUNTIF('IB TRANSPORT'!$G$7:$G$50,'2S EXPRESS'!A39))+(COUNTIF(JSL!$G$7:$G$50,'2S EXPRESS'!A39))+(COUNTIF(KIFAITOUT!$G$7:$G$50,'2S EXPRESS'!A39))+(COUNTIF('LUXE DRIVE'!$G$7:$G$50,'2S EXPRESS'!A39))+(COUNTIF(SSN!$G$7:$G$50,'2S EXPRESS'!A39))+(COUNTIF('W3'!$G$7:$G$50,'2S EXPRESS'!A39))+(COUNTIF('ATHIS MONS'!$G$7:$G$50,'2S EXPRESS'!A39))+(COUNTIF('L HAY LES ROSES'!$G$7:$G$50,'2S EXPRESS'!A39))+(COUNTIF(RUNGIS!$G$7:$G$50,'2S EXPRESS'!A39))+(COUNTIF(SCEAUX!$G$7:$G$50,'2S EXPRESS'!A39))+(COUNTIF('INSTANCE C1'!$G$7:$G$50,'2S EXPRESS'!A39))+(COUNTIF('INSTANCE C2'!$G$7:$G$50,'2S EXPRESS'!A39))+(COUNTIF(INTERNES!$G$7:$G$50,'2S EXPRESS'!A39))+(COUNTIF('EN PANNE'!$G$7:$G$50,'2S EXPRESS'!A39))+(COUNTIF(TJM!$G$7:$G$50,'2S EXPRESS'!A39))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EXPRESS'!$G$7:$G$50,'2S EXPRESS'!G39))+(COUNTIF('2 ZT'!$G$7:$G$50,'2S EXPRESS'!G39))+(COUNTIF('GO TRANSPORT'!$G$7:$G$50,'2S EXPRESS'!G39))+(COUNTIF('HMZ - KAIS'!$G$7:$G$50,'2S EXPRESS'!G39))+(COUNTIF('IB TRANSPORT'!$G$7:$G$50,'2S EXPRESS'!G39))+(COUNTIF(JSL!$G$7:$G$50,'2S EXPRESS'!G39))+(COUNTIF(KIFAITOUT!$G$7:$G$50,'2S EXPRESS'!G39))+(COUNTIF('LUXE DRIVE'!$G$7:$G$50,'2S EXPRESS'!G39))+(COUNTIF(SSN!$G$7:$G$50,'2S EXPRESS'!G39))+(COUNTIF('W3'!$G$7:$G$50,'2S EXPRESS'!G39))+(COUNTIF('ATHIS MONS'!$G$7:$G$50,'2S EXPRESS'!G39))+(COUNTIF('L HAY LES ROSES'!$G$7:$G$50,'2S EXPRESS'!G39))+(COUNTIF(RUNGIS!$G$7:$G$50,'2S EXPRESS'!G39))+(COUNTIF(SCEAUX!$G$7:$G$50,'2S EXPRESS'!G39))+(COUNTIF('INSTANCE C1'!$G$7:$G$50,'2S EXPRESS'!G39))+(COUNTIF('INSTANCE C2'!$G$7:$G$50,'2S EXPRESS'!G39))+(COUNTIF(INTERNES!$G$7:$G$50,'2S EXPRESS'!G39))+(COUNTIF('EN PANNE'!$G$7:$G$50,'2S EXPRESS'!G39))+(COUNTIF(TJM!$G$7:$G$50,'2S EXPRESS'!G39))-I39</f>
        <v>0</v>
      </c>
      <c r="I39" s="23">
        <f>(COUNTIF('2S EXPRESS'!$A$7:$A$50,'2S EXPRESS'!G39))+(COUNTIF('2 ZT'!$A$7:$A$50,'2S EXPRESS'!G39))+(COUNTIF('GO TRANSPORT'!$A$7:$A$50,'2S EXPRESS'!G39))+(COUNTIF('HMZ - KAIS'!$A$7:$A$50,'2S EXPRESS'!G39))+(COUNTIF('IB TRANSPORT'!$A$7:$A$50,'2S EXPRESS'!G39))+(COUNTIF(JSL!$A$7:$A$50,'2S EXPRESS'!G39))+(COUNTIF(KIFAITOUT!$A$7:$A$50,'2S EXPRESS'!G39))+(COUNTIF('LUXE DRIVE'!$A$7:$A$50,'2S EXPRESS'!G39))+(COUNTIF(SSN!$A$7:$A$50,'2S EXPRESS'!G39))+(COUNTIF('W3'!$A$7:$A$50,'2S EXPRESS'!G39))+(COUNTIF('ATHIS MONS'!$A$7:$A$50,'2S EXPRESS'!G39))+(COUNTIF('L HAY LES ROSES'!$A$7:$A$50,'2S EXPRESS'!G39))+(COUNTIF(RUNGIS!$A$7:$A$50,'2S EXPRESS'!G39))+(COUNTIF(SCEAUX!$A$7:$A$50,'2S EXPRESS'!G39))+(COUNTIF('INSTANCE C1'!$A$7:$A$50,'2S EXPRESS'!G39))+(COUNTIF('INSTANCE C2'!$A$7:$A$50,'2S EXPRESS'!G39))+(COUNTIF(INTERNES!$A$7:$A$50,'2S EXPRESS'!G39))+(COUNTIF('EN PANNE'!$A$7:$A$50,'2S EXPRESS'!G39))+(COUNTIF(TJM!$A$7:$A$50,'2S EXPRESS'!G39))</f>
        <v>0</v>
      </c>
      <c r="J39" s="28">
        <f t="shared" si="4"/>
        <v>0</v>
      </c>
      <c r="K39" s="2"/>
      <c r="L39" s="47"/>
      <c r="S39" s="60">
        <f t="shared" si="1"/>
        <v>0</v>
      </c>
      <c r="T39" s="67">
        <f t="shared" si="2"/>
        <v>0</v>
      </c>
    </row>
    <row r="40" spans="1:21" ht="24.95" customHeight="1" x14ac:dyDescent="0.2">
      <c r="A40" s="2"/>
      <c r="B40" s="23">
        <f>(COUNTIF('2S EXPRESS'!$A$7:$A$50,'2S EXPRESS'!A40))+(COUNTIF('2 ZT'!$A$7:$A$50,'2S EXPRESS'!A40))+(COUNTIF('GO TRANSPORT'!$A$7:$A$50,'2S EXPRESS'!A40))+(COUNTIF('HMZ - KAIS'!$A$7:$A$50,'2S EXPRESS'!A40))+(COUNTIF('IB TRANSPORT'!$A$7:$A$50,'2S EXPRESS'!A40))+(COUNTIF(JSL!$A$7:$A$50,'2S EXPRESS'!A40))+(COUNTIF(KIFAITOUT!$A$7:$A$50,'2S EXPRESS'!A40))+(COUNTIF('LUXE DRIVE'!$A$7:$A$50,'2S EXPRESS'!A40))+(COUNTIF(SSN!$A$7:$A$50,'2S EXPRESS'!A40))+(COUNTIF('W3'!$A$7:$A$50,'2S EXPRESS'!A40))+(COUNTIF('ATHIS MONS'!$A$7:$A$50,'2S EXPRESS'!A40))+(COUNTIF('L HAY LES ROSES'!$A$7:$A$50,'2S EXPRESS'!A40))+(COUNTIF(RUNGIS!$A$7:$A$50,'2S EXPRESS'!A40))+(COUNTIF(SCEAUX!$A$7:$A$50,'2S EXPRESS'!A40))+(COUNTIF('INSTANCE C1'!$A$7:$A$50,'2S EXPRESS'!A40))+(COUNTIF('INSTANCE C2'!$A$7:$A$50,'2S EXPRESS'!A40))+(COUNTIF(INTERNES!$A$7:$A$50,'2S EXPRESS'!A40))+(COUNTIF('EN PANNE'!$A$7:$A$50,'2S EXPRESS'!A40))+(COUNTIF(TJM!$A$7:$A$50,'2S EXPRESS'!A40))-C40</f>
        <v>0</v>
      </c>
      <c r="C40" s="23">
        <f>(COUNTIF('2S EXPRESS'!$G$7:$G$50,'2S EXPRESS'!A40))+(COUNTIF('2 ZT'!$G$7:$G$50,'2S EXPRESS'!A40))+(COUNTIF('GO TRANSPORT'!$G$7:$G$50,'2S EXPRESS'!A40))+(COUNTIF('2S EXPRESS'!$G$7:$G$50,'2S EXPRESS'!A40))+(COUNTIF('IB TRANSPORT'!$G$7:$G$50,'2S EXPRESS'!A40))+(COUNTIF(JSL!$G$7:$G$50,'2S EXPRESS'!A40))+(COUNTIF(KIFAITOUT!$G$7:$G$50,'2S EXPRESS'!A40))+(COUNTIF('LUXE DRIVE'!$G$7:$G$50,'2S EXPRESS'!A40))+(COUNTIF(SSN!$G$7:$G$50,'2S EXPRESS'!A40))+(COUNTIF('W3'!$G$7:$G$50,'2S EXPRESS'!A40))+(COUNTIF('ATHIS MONS'!$G$7:$G$50,'2S EXPRESS'!A40))+(COUNTIF('L HAY LES ROSES'!$G$7:$G$50,'2S EXPRESS'!A40))+(COUNTIF(RUNGIS!$G$7:$G$50,'2S EXPRESS'!A40))+(COUNTIF(SCEAUX!$G$7:$G$50,'2S EXPRESS'!A40))+(COUNTIF('INSTANCE C1'!$G$7:$G$50,'2S EXPRESS'!A40))+(COUNTIF('INSTANCE C2'!$G$7:$G$50,'2S EXPRESS'!A40))+(COUNTIF(INTERNES!$G$7:$G$50,'2S EXPRESS'!A40))+(COUNTIF('EN PANNE'!$G$7:$G$50,'2S EXPRESS'!A40))+(COUNTIF(TJM!$G$7:$G$50,'2S EXPRESS'!A40))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EXPRESS'!$G$7:$G$50,'2S EXPRESS'!G40))+(COUNTIF('2 ZT'!$G$7:$G$50,'2S EXPRESS'!G40))+(COUNTIF('GO TRANSPORT'!$G$7:$G$50,'2S EXPRESS'!G40))+(COUNTIF('HMZ - KAIS'!$G$7:$G$50,'2S EXPRESS'!G40))+(COUNTIF('IB TRANSPORT'!$G$7:$G$50,'2S EXPRESS'!G40))+(COUNTIF(JSL!$G$7:$G$50,'2S EXPRESS'!G40))+(COUNTIF(KIFAITOUT!$G$7:$G$50,'2S EXPRESS'!G40))+(COUNTIF('LUXE DRIVE'!$G$7:$G$50,'2S EXPRESS'!G40))+(COUNTIF(SSN!$G$7:$G$50,'2S EXPRESS'!G40))+(COUNTIF('W3'!$G$7:$G$50,'2S EXPRESS'!G40))+(COUNTIF('ATHIS MONS'!$G$7:$G$50,'2S EXPRESS'!G40))+(COUNTIF('L HAY LES ROSES'!$G$7:$G$50,'2S EXPRESS'!G40))+(COUNTIF(RUNGIS!$G$7:$G$50,'2S EXPRESS'!G40))+(COUNTIF(SCEAUX!$G$7:$G$50,'2S EXPRESS'!G40))+(COUNTIF('INSTANCE C1'!$G$7:$G$50,'2S EXPRESS'!G40))+(COUNTIF('INSTANCE C2'!$G$7:$G$50,'2S EXPRESS'!G40))+(COUNTIF(INTERNES!$G$7:$G$50,'2S EXPRESS'!G40))+(COUNTIF('EN PANNE'!$G$7:$G$50,'2S EXPRESS'!G40))+(COUNTIF(TJM!$G$7:$G$50,'2S EXPRESS'!G40))-I40</f>
        <v>0</v>
      </c>
      <c r="I40" s="23">
        <f>(COUNTIF('2S EXPRESS'!$A$7:$A$50,'2S EXPRESS'!G40))+(COUNTIF('2 ZT'!$A$7:$A$50,'2S EXPRESS'!G40))+(COUNTIF('GO TRANSPORT'!$A$7:$A$50,'2S EXPRESS'!G40))+(COUNTIF('HMZ - KAIS'!$A$7:$A$50,'2S EXPRESS'!G40))+(COUNTIF('IB TRANSPORT'!$A$7:$A$50,'2S EXPRESS'!G40))+(COUNTIF(JSL!$A$7:$A$50,'2S EXPRESS'!G40))+(COUNTIF(KIFAITOUT!$A$7:$A$50,'2S EXPRESS'!G40))+(COUNTIF('LUXE DRIVE'!$A$7:$A$50,'2S EXPRESS'!G40))+(COUNTIF(SSN!$A$7:$A$50,'2S EXPRESS'!G40))+(COUNTIF('W3'!$A$7:$A$50,'2S EXPRESS'!G40))+(COUNTIF('ATHIS MONS'!$A$7:$A$50,'2S EXPRESS'!G40))+(COUNTIF('L HAY LES ROSES'!$A$7:$A$50,'2S EXPRESS'!G40))+(COUNTIF(RUNGIS!$A$7:$A$50,'2S EXPRESS'!G40))+(COUNTIF(SCEAUX!$A$7:$A$50,'2S EXPRESS'!G40))+(COUNTIF('INSTANCE C1'!$A$7:$A$50,'2S EXPRESS'!G40))+(COUNTIF('INSTANCE C2'!$A$7:$A$50,'2S EXPRESS'!G40))+(COUNTIF(INTERNES!$A$7:$A$50,'2S EXPRESS'!G40))+(COUNTIF('EN PANNE'!$A$7:$A$50,'2S EXPRESS'!G40))+(COUNTIF(TJM!$A$7:$A$50,'2S EXPRESS'!G40))</f>
        <v>0</v>
      </c>
      <c r="J40" s="28">
        <f t="shared" si="4"/>
        <v>0</v>
      </c>
      <c r="K40" s="2"/>
      <c r="L40" s="47"/>
      <c r="S40" s="60">
        <f t="shared" si="1"/>
        <v>0</v>
      </c>
      <c r="T40" s="67">
        <f t="shared" si="2"/>
        <v>0</v>
      </c>
    </row>
    <row r="41" spans="1:21" ht="24.95" customHeight="1" x14ac:dyDescent="0.2">
      <c r="A41" s="2"/>
      <c r="B41" s="23">
        <f>(COUNTIF('2S EXPRESS'!$A$7:$A$50,'2S EXPRESS'!A41))+(COUNTIF('2 ZT'!$A$7:$A$50,'2S EXPRESS'!A41))+(COUNTIF('GO TRANSPORT'!$A$7:$A$50,'2S EXPRESS'!A41))+(COUNTIF('HMZ - KAIS'!$A$7:$A$50,'2S EXPRESS'!A41))+(COUNTIF('IB TRANSPORT'!$A$7:$A$50,'2S EXPRESS'!A41))+(COUNTIF(JSL!$A$7:$A$50,'2S EXPRESS'!A41))+(COUNTIF(KIFAITOUT!$A$7:$A$50,'2S EXPRESS'!A41))+(COUNTIF('LUXE DRIVE'!$A$7:$A$50,'2S EXPRESS'!A41))+(COUNTIF(SSN!$A$7:$A$50,'2S EXPRESS'!A41))+(COUNTIF('W3'!$A$7:$A$50,'2S EXPRESS'!A41))+(COUNTIF('ATHIS MONS'!$A$7:$A$50,'2S EXPRESS'!A41))+(COUNTIF('L HAY LES ROSES'!$A$7:$A$50,'2S EXPRESS'!A41))+(COUNTIF(RUNGIS!$A$7:$A$50,'2S EXPRESS'!A41))+(COUNTIF(SCEAUX!$A$7:$A$50,'2S EXPRESS'!A41))+(COUNTIF('INSTANCE C1'!$A$7:$A$50,'2S EXPRESS'!A41))+(COUNTIF('INSTANCE C2'!$A$7:$A$50,'2S EXPRESS'!A41))+(COUNTIF(INTERNES!$A$7:$A$50,'2S EXPRESS'!A41))+(COUNTIF('EN PANNE'!$A$7:$A$50,'2S EXPRESS'!A41))+(COUNTIF(TJM!$A$7:$A$50,'2S EXPRESS'!A41))-C41</f>
        <v>0</v>
      </c>
      <c r="C41" s="23">
        <f>(COUNTIF('2S EXPRESS'!$G$7:$G$50,'2S EXPRESS'!A41))+(COUNTIF('2 ZT'!$G$7:$G$50,'2S EXPRESS'!A41))+(COUNTIF('GO TRANSPORT'!$G$7:$G$50,'2S EXPRESS'!A41))+(COUNTIF('2S EXPRESS'!$G$7:$G$50,'2S EXPRESS'!A41))+(COUNTIF('IB TRANSPORT'!$G$7:$G$50,'2S EXPRESS'!A41))+(COUNTIF(JSL!$G$7:$G$50,'2S EXPRESS'!A41))+(COUNTIF(KIFAITOUT!$G$7:$G$50,'2S EXPRESS'!A41))+(COUNTIF('LUXE DRIVE'!$G$7:$G$50,'2S EXPRESS'!A41))+(COUNTIF(SSN!$G$7:$G$50,'2S EXPRESS'!A41))+(COUNTIF('W3'!$G$7:$G$50,'2S EXPRESS'!A41))+(COUNTIF('ATHIS MONS'!$G$7:$G$50,'2S EXPRESS'!A41))+(COUNTIF('L HAY LES ROSES'!$G$7:$G$50,'2S EXPRESS'!A41))+(COUNTIF(RUNGIS!$G$7:$G$50,'2S EXPRESS'!A41))+(COUNTIF(SCEAUX!$G$7:$G$50,'2S EXPRESS'!A41))+(COUNTIF('INSTANCE C1'!$G$7:$G$50,'2S EXPRESS'!A41))+(COUNTIF('INSTANCE C2'!$G$7:$G$50,'2S EXPRESS'!A41))+(COUNTIF(INTERNES!$G$7:$G$50,'2S EXPRESS'!A41))+(COUNTIF('EN PANNE'!$G$7:$G$50,'2S EXPRESS'!A41))+(COUNTIF(TJM!$G$7:$G$50,'2S EXPRESS'!A41))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EXPRESS'!$G$7:$G$50,'2S EXPRESS'!G41))+(COUNTIF('2 ZT'!$G$7:$G$50,'2S EXPRESS'!G41))+(COUNTIF('GO TRANSPORT'!$G$7:$G$50,'2S EXPRESS'!G41))+(COUNTIF('HMZ - KAIS'!$G$7:$G$50,'2S EXPRESS'!G41))+(COUNTIF('IB TRANSPORT'!$G$7:$G$50,'2S EXPRESS'!G41))+(COUNTIF(JSL!$G$7:$G$50,'2S EXPRESS'!G41))+(COUNTIF(KIFAITOUT!$G$7:$G$50,'2S EXPRESS'!G41))+(COUNTIF('LUXE DRIVE'!$G$7:$G$50,'2S EXPRESS'!G41))+(COUNTIF(SSN!$G$7:$G$50,'2S EXPRESS'!G41))+(COUNTIF('W3'!$G$7:$G$50,'2S EXPRESS'!G41))+(COUNTIF('ATHIS MONS'!$G$7:$G$50,'2S EXPRESS'!G41))+(COUNTIF('L HAY LES ROSES'!$G$7:$G$50,'2S EXPRESS'!G41))+(COUNTIF(RUNGIS!$G$7:$G$50,'2S EXPRESS'!G41))+(COUNTIF(SCEAUX!$G$7:$G$50,'2S EXPRESS'!G41))+(COUNTIF('INSTANCE C1'!$G$7:$G$50,'2S EXPRESS'!G41))+(COUNTIF('INSTANCE C2'!$G$7:$G$50,'2S EXPRESS'!G41))+(COUNTIF(INTERNES!$G$7:$G$50,'2S EXPRESS'!G41))+(COUNTIF('EN PANNE'!$G$7:$G$50,'2S EXPRESS'!G41))+(COUNTIF(TJM!$G$7:$G$50,'2S EXPRESS'!G41))-I41</f>
        <v>0</v>
      </c>
      <c r="I41" s="23">
        <f>(COUNTIF('2S EXPRESS'!$A$7:$A$50,'2S EXPRESS'!G41))+(COUNTIF('2 ZT'!$A$7:$A$50,'2S EXPRESS'!G41))+(COUNTIF('GO TRANSPORT'!$A$7:$A$50,'2S EXPRESS'!G41))+(COUNTIF('HMZ - KAIS'!$A$7:$A$50,'2S EXPRESS'!G41))+(COUNTIF('IB TRANSPORT'!$A$7:$A$50,'2S EXPRESS'!G41))+(COUNTIF(JSL!$A$7:$A$50,'2S EXPRESS'!G41))+(COUNTIF(KIFAITOUT!$A$7:$A$50,'2S EXPRESS'!G41))+(COUNTIF('LUXE DRIVE'!$A$7:$A$50,'2S EXPRESS'!G41))+(COUNTIF(SSN!$A$7:$A$50,'2S EXPRESS'!G41))+(COUNTIF('W3'!$A$7:$A$50,'2S EXPRESS'!G41))+(COUNTIF('ATHIS MONS'!$A$7:$A$50,'2S EXPRESS'!G41))+(COUNTIF('L HAY LES ROSES'!$A$7:$A$50,'2S EXPRESS'!G41))+(COUNTIF(RUNGIS!$A$7:$A$50,'2S EXPRESS'!G41))+(COUNTIF(SCEAUX!$A$7:$A$50,'2S EXPRESS'!G41))+(COUNTIF('INSTANCE C1'!$A$7:$A$50,'2S EXPRESS'!G41))+(COUNTIF('INSTANCE C2'!$A$7:$A$50,'2S EXPRESS'!G41))+(COUNTIF(INTERNES!$A$7:$A$50,'2S EXPRESS'!G41))+(COUNTIF('EN PANNE'!$A$7:$A$50,'2S EXPRESS'!G41))+(COUNTIF(TJM!$A$7:$A$50,'2S EXPRESS'!G41))</f>
        <v>0</v>
      </c>
      <c r="J41" s="28">
        <f t="shared" si="4"/>
        <v>0</v>
      </c>
      <c r="K41" s="2"/>
      <c r="L41" s="47"/>
      <c r="S41" s="60">
        <f t="shared" si="1"/>
        <v>0</v>
      </c>
      <c r="T41" s="67">
        <f t="shared" si="2"/>
        <v>0</v>
      </c>
    </row>
    <row r="42" spans="1:21" ht="24.95" customHeight="1" x14ac:dyDescent="0.2">
      <c r="A42" s="2"/>
      <c r="B42" s="23">
        <f>(COUNTIF('2S EXPRESS'!$A$7:$A$50,'2S EXPRESS'!A42))+(COUNTIF('2 ZT'!$A$7:$A$50,'2S EXPRESS'!A42))+(COUNTIF('GO TRANSPORT'!$A$7:$A$50,'2S EXPRESS'!A42))+(COUNTIF('HMZ - KAIS'!$A$7:$A$50,'2S EXPRESS'!A42))+(COUNTIF('IB TRANSPORT'!$A$7:$A$50,'2S EXPRESS'!A42))+(COUNTIF(JSL!$A$7:$A$50,'2S EXPRESS'!A42))+(COUNTIF(KIFAITOUT!$A$7:$A$50,'2S EXPRESS'!A42))+(COUNTIF('LUXE DRIVE'!$A$7:$A$50,'2S EXPRESS'!A42))+(COUNTIF(SSN!$A$7:$A$50,'2S EXPRESS'!A42))+(COUNTIF('W3'!$A$7:$A$50,'2S EXPRESS'!A42))+(COUNTIF('ATHIS MONS'!$A$7:$A$50,'2S EXPRESS'!A42))+(COUNTIF('L HAY LES ROSES'!$A$7:$A$50,'2S EXPRESS'!A42))+(COUNTIF(RUNGIS!$A$7:$A$50,'2S EXPRESS'!A42))+(COUNTIF(SCEAUX!$A$7:$A$50,'2S EXPRESS'!A42))+(COUNTIF('INSTANCE C1'!$A$7:$A$50,'2S EXPRESS'!A42))+(COUNTIF('INSTANCE C2'!$A$7:$A$50,'2S EXPRESS'!A42))+(COUNTIF(INTERNES!$A$7:$A$50,'2S EXPRESS'!A42))+(COUNTIF('EN PANNE'!$A$7:$A$50,'2S EXPRESS'!A42))+(COUNTIF(TJM!$A$7:$A$50,'2S EXPRESS'!A42))-C42</f>
        <v>0</v>
      </c>
      <c r="C42" s="23">
        <f>(COUNTIF('2S EXPRESS'!$G$7:$G$50,'2S EXPRESS'!A42))+(COUNTIF('2 ZT'!$G$7:$G$50,'2S EXPRESS'!A42))+(COUNTIF('GO TRANSPORT'!$G$7:$G$50,'2S EXPRESS'!A42))+(COUNTIF('2S EXPRESS'!$G$7:$G$50,'2S EXPRESS'!A42))+(COUNTIF('IB TRANSPORT'!$G$7:$G$50,'2S EXPRESS'!A42))+(COUNTIF(JSL!$G$7:$G$50,'2S EXPRESS'!A42))+(COUNTIF(KIFAITOUT!$G$7:$G$50,'2S EXPRESS'!A42))+(COUNTIF('LUXE DRIVE'!$G$7:$G$50,'2S EXPRESS'!A42))+(COUNTIF(SSN!$G$7:$G$50,'2S EXPRESS'!A42))+(COUNTIF('W3'!$G$7:$G$50,'2S EXPRESS'!A42))+(COUNTIF('ATHIS MONS'!$G$7:$G$50,'2S EXPRESS'!A42))+(COUNTIF('L HAY LES ROSES'!$G$7:$G$50,'2S EXPRESS'!A42))+(COUNTIF(RUNGIS!$G$7:$G$50,'2S EXPRESS'!A42))+(COUNTIF(SCEAUX!$G$7:$G$50,'2S EXPRESS'!A42))+(COUNTIF('INSTANCE C1'!$G$7:$G$50,'2S EXPRESS'!A42))+(COUNTIF('INSTANCE C2'!$G$7:$G$50,'2S EXPRESS'!A42))+(COUNTIF(INTERNES!$G$7:$G$50,'2S EXPRESS'!A42))+(COUNTIF('EN PANNE'!$G$7:$G$50,'2S EXPRESS'!A42))+(COUNTIF(TJM!$G$7:$G$50,'2S EXPRESS'!A42))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EXPRESS'!$G$7:$G$50,'2S EXPRESS'!G42))+(COUNTIF('2 ZT'!$G$7:$G$50,'2S EXPRESS'!G42))+(COUNTIF('GO TRANSPORT'!$G$7:$G$50,'2S EXPRESS'!G42))+(COUNTIF('HMZ - KAIS'!$G$7:$G$50,'2S EXPRESS'!G42))+(COUNTIF('IB TRANSPORT'!$G$7:$G$50,'2S EXPRESS'!G42))+(COUNTIF(JSL!$G$7:$G$50,'2S EXPRESS'!G42))+(COUNTIF(KIFAITOUT!$G$7:$G$50,'2S EXPRESS'!G42))+(COUNTIF('LUXE DRIVE'!$G$7:$G$50,'2S EXPRESS'!G42))+(COUNTIF(SSN!$G$7:$G$50,'2S EXPRESS'!G42))+(COUNTIF('W3'!$G$7:$G$50,'2S EXPRESS'!G42))+(COUNTIF('ATHIS MONS'!$G$7:$G$50,'2S EXPRESS'!G42))+(COUNTIF('L HAY LES ROSES'!$G$7:$G$50,'2S EXPRESS'!G42))+(COUNTIF(RUNGIS!$G$7:$G$50,'2S EXPRESS'!G42))+(COUNTIF(SCEAUX!$G$7:$G$50,'2S EXPRESS'!G42))+(COUNTIF('INSTANCE C1'!$G$7:$G$50,'2S EXPRESS'!G42))+(COUNTIF('INSTANCE C2'!$G$7:$G$50,'2S EXPRESS'!G42))+(COUNTIF(INTERNES!$G$7:$G$50,'2S EXPRESS'!G42))+(COUNTIF('EN PANNE'!$G$7:$G$50,'2S EXPRESS'!G42))+(COUNTIF(TJM!$G$7:$G$50,'2S EXPRESS'!G42))-I42</f>
        <v>0</v>
      </c>
      <c r="I42" s="23">
        <f>(COUNTIF('2S EXPRESS'!$A$7:$A$50,'2S EXPRESS'!G42))+(COUNTIF('2 ZT'!$A$7:$A$50,'2S EXPRESS'!G42))+(COUNTIF('GO TRANSPORT'!$A$7:$A$50,'2S EXPRESS'!G42))+(COUNTIF('HMZ - KAIS'!$A$7:$A$50,'2S EXPRESS'!G42))+(COUNTIF('IB TRANSPORT'!$A$7:$A$50,'2S EXPRESS'!G42))+(COUNTIF(JSL!$A$7:$A$50,'2S EXPRESS'!G42))+(COUNTIF(KIFAITOUT!$A$7:$A$50,'2S EXPRESS'!G42))+(COUNTIF('LUXE DRIVE'!$A$7:$A$50,'2S EXPRESS'!G42))+(COUNTIF(SSN!$A$7:$A$50,'2S EXPRESS'!G42))+(COUNTIF('W3'!$A$7:$A$50,'2S EXPRESS'!G42))+(COUNTIF('ATHIS MONS'!$A$7:$A$50,'2S EXPRESS'!G42))+(COUNTIF('L HAY LES ROSES'!$A$7:$A$50,'2S EXPRESS'!G42))+(COUNTIF(RUNGIS!$A$7:$A$50,'2S EXPRESS'!G42))+(COUNTIF(SCEAUX!$A$7:$A$50,'2S EXPRESS'!G42))+(COUNTIF('INSTANCE C1'!$A$7:$A$50,'2S EXPRESS'!G42))+(COUNTIF('INSTANCE C2'!$A$7:$A$50,'2S EXPRESS'!G42))+(COUNTIF(INTERNES!$A$7:$A$50,'2S EXPRESS'!G42))+(COUNTIF('EN PANNE'!$A$7:$A$50,'2S EXPRESS'!G42))+(COUNTIF(TJM!$A$7:$A$50,'2S EXPRESS'!G42))</f>
        <v>0</v>
      </c>
      <c r="J42" s="28">
        <f t="shared" si="4"/>
        <v>0</v>
      </c>
      <c r="K42" s="2"/>
      <c r="L42" s="47"/>
      <c r="S42" s="60">
        <f t="shared" si="1"/>
        <v>0</v>
      </c>
      <c r="T42" s="67">
        <f t="shared" si="2"/>
        <v>0</v>
      </c>
    </row>
    <row r="43" spans="1:21" ht="24.95" customHeight="1" x14ac:dyDescent="0.2">
      <c r="A43" s="2"/>
      <c r="B43" s="23">
        <f>(COUNTIF('2S EXPRESS'!$A$7:$A$50,'2S EXPRESS'!A43))+(COUNTIF('2 ZT'!$A$7:$A$50,'2S EXPRESS'!A43))+(COUNTIF('GO TRANSPORT'!$A$7:$A$50,'2S EXPRESS'!A43))+(COUNTIF('HMZ - KAIS'!$A$7:$A$50,'2S EXPRESS'!A43))+(COUNTIF('IB TRANSPORT'!$A$7:$A$50,'2S EXPRESS'!A43))+(COUNTIF(JSL!$A$7:$A$50,'2S EXPRESS'!A43))+(COUNTIF(KIFAITOUT!$A$7:$A$50,'2S EXPRESS'!A43))+(COUNTIF('LUXE DRIVE'!$A$7:$A$50,'2S EXPRESS'!A43))+(COUNTIF(SSN!$A$7:$A$50,'2S EXPRESS'!A43))+(COUNTIF('W3'!$A$7:$A$50,'2S EXPRESS'!A43))+(COUNTIF('ATHIS MONS'!$A$7:$A$50,'2S EXPRESS'!A43))+(COUNTIF('L HAY LES ROSES'!$A$7:$A$50,'2S EXPRESS'!A43))+(COUNTIF(RUNGIS!$A$7:$A$50,'2S EXPRESS'!A43))+(COUNTIF(SCEAUX!$A$7:$A$50,'2S EXPRESS'!A43))+(COUNTIF('INSTANCE C1'!$A$7:$A$50,'2S EXPRESS'!A43))+(COUNTIF('INSTANCE C2'!$A$7:$A$50,'2S EXPRESS'!A43))+(COUNTIF(INTERNES!$A$7:$A$50,'2S EXPRESS'!A43))+(COUNTIF('EN PANNE'!$A$7:$A$50,'2S EXPRESS'!A43))+(COUNTIF(TJM!$A$7:$A$50,'2S EXPRESS'!A43))-C43</f>
        <v>0</v>
      </c>
      <c r="C43" s="23">
        <f>(COUNTIF('2S EXPRESS'!$G$7:$G$50,'2S EXPRESS'!A43))+(COUNTIF('2 ZT'!$G$7:$G$50,'2S EXPRESS'!A43))+(COUNTIF('GO TRANSPORT'!$G$7:$G$50,'2S EXPRESS'!A43))+(COUNTIF('2S EXPRESS'!$G$7:$G$50,'2S EXPRESS'!A43))+(COUNTIF('IB TRANSPORT'!$G$7:$G$50,'2S EXPRESS'!A43))+(COUNTIF(JSL!$G$7:$G$50,'2S EXPRESS'!A43))+(COUNTIF(KIFAITOUT!$G$7:$G$50,'2S EXPRESS'!A43))+(COUNTIF('LUXE DRIVE'!$G$7:$G$50,'2S EXPRESS'!A43))+(COUNTIF(SSN!$G$7:$G$50,'2S EXPRESS'!A43))+(COUNTIF('W3'!$G$7:$G$50,'2S EXPRESS'!A43))+(COUNTIF('ATHIS MONS'!$G$7:$G$50,'2S EXPRESS'!A43))+(COUNTIF('L HAY LES ROSES'!$G$7:$G$50,'2S EXPRESS'!A43))+(COUNTIF(RUNGIS!$G$7:$G$50,'2S EXPRESS'!A43))+(COUNTIF(SCEAUX!$G$7:$G$50,'2S EXPRESS'!A43))+(COUNTIF('INSTANCE C1'!$G$7:$G$50,'2S EXPRESS'!A43))+(COUNTIF('INSTANCE C2'!$G$7:$G$50,'2S EXPRESS'!A43))+(COUNTIF(INTERNES!$G$7:$G$50,'2S EXPRESS'!A43))+(COUNTIF('EN PANNE'!$G$7:$G$50,'2S EXPRESS'!A43))+(COUNTIF(TJM!$G$7:$G$50,'2S EXPRESS'!A43))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EXPRESS'!$G$7:$G$50,'2S EXPRESS'!G43))+(COUNTIF('2 ZT'!$G$7:$G$50,'2S EXPRESS'!G43))+(COUNTIF('GO TRANSPORT'!$G$7:$G$50,'2S EXPRESS'!G43))+(COUNTIF('HMZ - KAIS'!$G$7:$G$50,'2S EXPRESS'!G43))+(COUNTIF('IB TRANSPORT'!$G$7:$G$50,'2S EXPRESS'!G43))+(COUNTIF(JSL!$G$7:$G$50,'2S EXPRESS'!G43))+(COUNTIF(KIFAITOUT!$G$7:$G$50,'2S EXPRESS'!G43))+(COUNTIF('LUXE DRIVE'!$G$7:$G$50,'2S EXPRESS'!G43))+(COUNTIF(SSN!$G$7:$G$50,'2S EXPRESS'!G43))+(COUNTIF('W3'!$G$7:$G$50,'2S EXPRESS'!G43))+(COUNTIF('ATHIS MONS'!$G$7:$G$50,'2S EXPRESS'!G43))+(COUNTIF('L HAY LES ROSES'!$G$7:$G$50,'2S EXPRESS'!G43))+(COUNTIF(RUNGIS!$G$7:$G$50,'2S EXPRESS'!G43))+(COUNTIF(SCEAUX!$G$7:$G$50,'2S EXPRESS'!G43))+(COUNTIF('INSTANCE C1'!$G$7:$G$50,'2S EXPRESS'!G43))+(COUNTIF('INSTANCE C2'!$G$7:$G$50,'2S EXPRESS'!G43))+(COUNTIF(INTERNES!$G$7:$G$50,'2S EXPRESS'!G43))+(COUNTIF('EN PANNE'!$G$7:$G$50,'2S EXPRESS'!G43))+(COUNTIF(TJM!$G$7:$G$50,'2S EXPRESS'!G43))-I43</f>
        <v>0</v>
      </c>
      <c r="I43" s="23">
        <f>(COUNTIF('2S EXPRESS'!$A$7:$A$50,'2S EXPRESS'!G43))+(COUNTIF('2 ZT'!$A$7:$A$50,'2S EXPRESS'!G43))+(COUNTIF('GO TRANSPORT'!$A$7:$A$50,'2S EXPRESS'!G43))+(COUNTIF('HMZ - KAIS'!$A$7:$A$50,'2S EXPRESS'!G43))+(COUNTIF('IB TRANSPORT'!$A$7:$A$50,'2S EXPRESS'!G43))+(COUNTIF(JSL!$A$7:$A$50,'2S EXPRESS'!G43))+(COUNTIF(KIFAITOUT!$A$7:$A$50,'2S EXPRESS'!G43))+(COUNTIF('LUXE DRIVE'!$A$7:$A$50,'2S EXPRESS'!G43))+(COUNTIF(SSN!$A$7:$A$50,'2S EXPRESS'!G43))+(COUNTIF('W3'!$A$7:$A$50,'2S EXPRESS'!G43))+(COUNTIF('ATHIS MONS'!$A$7:$A$50,'2S EXPRESS'!G43))+(COUNTIF('L HAY LES ROSES'!$A$7:$A$50,'2S EXPRESS'!G43))+(COUNTIF(RUNGIS!$A$7:$A$50,'2S EXPRESS'!G43))+(COUNTIF(SCEAUX!$A$7:$A$50,'2S EXPRESS'!G43))+(COUNTIF('INSTANCE C1'!$A$7:$A$50,'2S EXPRESS'!G43))+(COUNTIF('INSTANCE C2'!$A$7:$A$50,'2S EXPRESS'!G43))+(COUNTIF(INTERNES!$A$7:$A$50,'2S EXPRESS'!G43))+(COUNTIF('EN PANNE'!$A$7:$A$50,'2S EXPRESS'!G43))+(COUNTIF(TJM!$A$7:$A$50,'2S EXPRESS'!G43))</f>
        <v>0</v>
      </c>
      <c r="J43" s="28">
        <f t="shared" si="4"/>
        <v>0</v>
      </c>
      <c r="K43" s="2"/>
      <c r="L43" s="47"/>
      <c r="S43" s="60">
        <f t="shared" si="1"/>
        <v>0</v>
      </c>
      <c r="T43" s="67">
        <f t="shared" si="2"/>
        <v>0</v>
      </c>
    </row>
    <row r="44" spans="1:21" ht="24.95" customHeight="1" x14ac:dyDescent="0.2">
      <c r="A44" s="2"/>
      <c r="B44" s="23">
        <f>(COUNTIF('2S EXPRESS'!$A$7:$A$50,'2S EXPRESS'!A44))+(COUNTIF('2 ZT'!$A$7:$A$50,'2S EXPRESS'!A44))+(COUNTIF('GO TRANSPORT'!$A$7:$A$50,'2S EXPRESS'!A44))+(COUNTIF('HMZ - KAIS'!$A$7:$A$50,'2S EXPRESS'!A44))+(COUNTIF('IB TRANSPORT'!$A$7:$A$50,'2S EXPRESS'!A44))+(COUNTIF(JSL!$A$7:$A$50,'2S EXPRESS'!A44))+(COUNTIF(KIFAITOUT!$A$7:$A$50,'2S EXPRESS'!A44))+(COUNTIF('LUXE DRIVE'!$A$7:$A$50,'2S EXPRESS'!A44))+(COUNTIF(SSN!$A$7:$A$50,'2S EXPRESS'!A44))+(COUNTIF('W3'!$A$7:$A$50,'2S EXPRESS'!A44))+(COUNTIF('ATHIS MONS'!$A$7:$A$50,'2S EXPRESS'!A44))+(COUNTIF('L HAY LES ROSES'!$A$7:$A$50,'2S EXPRESS'!A44))+(COUNTIF(RUNGIS!$A$7:$A$50,'2S EXPRESS'!A44))+(COUNTIF(SCEAUX!$A$7:$A$50,'2S EXPRESS'!A44))+(COUNTIF('INSTANCE C1'!$A$7:$A$50,'2S EXPRESS'!A44))+(COUNTIF('INSTANCE C2'!$A$7:$A$50,'2S EXPRESS'!A44))+(COUNTIF(INTERNES!$A$7:$A$50,'2S EXPRESS'!A44))+(COUNTIF('EN PANNE'!$A$7:$A$50,'2S EXPRESS'!A44))+(COUNTIF(TJM!$A$7:$A$50,'2S EXPRESS'!A44))-C44</f>
        <v>0</v>
      </c>
      <c r="C44" s="23">
        <f>(COUNTIF('2S EXPRESS'!$G$7:$G$50,'2S EXPRESS'!A44))+(COUNTIF('2 ZT'!$G$7:$G$50,'2S EXPRESS'!A44))+(COUNTIF('GO TRANSPORT'!$G$7:$G$50,'2S EXPRESS'!A44))+(COUNTIF('2S EXPRESS'!$G$7:$G$50,'2S EXPRESS'!A44))+(COUNTIF('IB TRANSPORT'!$G$7:$G$50,'2S EXPRESS'!A44))+(COUNTIF(JSL!$G$7:$G$50,'2S EXPRESS'!A44))+(COUNTIF(KIFAITOUT!$G$7:$G$50,'2S EXPRESS'!A44))+(COUNTIF('LUXE DRIVE'!$G$7:$G$50,'2S EXPRESS'!A44))+(COUNTIF(SSN!$G$7:$G$50,'2S EXPRESS'!A44))+(COUNTIF('W3'!$G$7:$G$50,'2S EXPRESS'!A44))+(COUNTIF('ATHIS MONS'!$G$7:$G$50,'2S EXPRESS'!A44))+(COUNTIF('L HAY LES ROSES'!$G$7:$G$50,'2S EXPRESS'!A44))+(COUNTIF(RUNGIS!$G$7:$G$50,'2S EXPRESS'!A44))+(COUNTIF(SCEAUX!$G$7:$G$50,'2S EXPRESS'!A44))+(COUNTIF('INSTANCE C1'!$G$7:$G$50,'2S EXPRESS'!A44))+(COUNTIF('INSTANCE C2'!$G$7:$G$50,'2S EXPRESS'!A44))+(COUNTIF(INTERNES!$G$7:$G$50,'2S EXPRESS'!A44))+(COUNTIF('EN PANNE'!$G$7:$G$50,'2S EXPRESS'!A44))+(COUNTIF(TJM!$G$7:$G$50,'2S EXPRESS'!A44))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EXPRESS'!$G$7:$G$50,'2S EXPRESS'!G44))+(COUNTIF('2 ZT'!$G$7:$G$50,'2S EXPRESS'!G44))+(COUNTIF('GO TRANSPORT'!$G$7:$G$50,'2S EXPRESS'!G44))+(COUNTIF('HMZ - KAIS'!$G$7:$G$50,'2S EXPRESS'!G44))+(COUNTIF('IB TRANSPORT'!$G$7:$G$50,'2S EXPRESS'!G44))+(COUNTIF(JSL!$G$7:$G$50,'2S EXPRESS'!G44))+(COUNTIF(KIFAITOUT!$G$7:$G$50,'2S EXPRESS'!G44))+(COUNTIF('LUXE DRIVE'!$G$7:$G$50,'2S EXPRESS'!G44))+(COUNTIF(SSN!$G$7:$G$50,'2S EXPRESS'!G44))+(COUNTIF('W3'!$G$7:$G$50,'2S EXPRESS'!G44))+(COUNTIF('ATHIS MONS'!$G$7:$G$50,'2S EXPRESS'!G44))+(COUNTIF('L HAY LES ROSES'!$G$7:$G$50,'2S EXPRESS'!G44))+(COUNTIF(RUNGIS!$G$7:$G$50,'2S EXPRESS'!G44))+(COUNTIF(SCEAUX!$G$7:$G$50,'2S EXPRESS'!G44))+(COUNTIF('INSTANCE C1'!$G$7:$G$50,'2S EXPRESS'!G44))+(COUNTIF('INSTANCE C2'!$G$7:$G$50,'2S EXPRESS'!G44))+(COUNTIF(INTERNES!$G$7:$G$50,'2S EXPRESS'!G44))+(COUNTIF('EN PANNE'!$G$7:$G$50,'2S EXPRESS'!G44))+(COUNTIF(TJM!$G$7:$G$50,'2S EXPRESS'!G44))-I44</f>
        <v>0</v>
      </c>
      <c r="I44" s="23">
        <f>(COUNTIF('2S EXPRESS'!$A$7:$A$50,'2S EXPRESS'!G44))+(COUNTIF('2 ZT'!$A$7:$A$50,'2S EXPRESS'!G44))+(COUNTIF('GO TRANSPORT'!$A$7:$A$50,'2S EXPRESS'!G44))+(COUNTIF('HMZ - KAIS'!$A$7:$A$50,'2S EXPRESS'!G44))+(COUNTIF('IB TRANSPORT'!$A$7:$A$50,'2S EXPRESS'!G44))+(COUNTIF(JSL!$A$7:$A$50,'2S EXPRESS'!G44))+(COUNTIF(KIFAITOUT!$A$7:$A$50,'2S EXPRESS'!G44))+(COUNTIF('LUXE DRIVE'!$A$7:$A$50,'2S EXPRESS'!G44))+(COUNTIF(SSN!$A$7:$A$50,'2S EXPRESS'!G44))+(COUNTIF('W3'!$A$7:$A$50,'2S EXPRESS'!G44))+(COUNTIF('ATHIS MONS'!$A$7:$A$50,'2S EXPRESS'!G44))+(COUNTIF('L HAY LES ROSES'!$A$7:$A$50,'2S EXPRESS'!G44))+(COUNTIF(RUNGIS!$A$7:$A$50,'2S EXPRESS'!G44))+(COUNTIF(SCEAUX!$A$7:$A$50,'2S EXPRESS'!G44))+(COUNTIF('INSTANCE C1'!$A$7:$A$50,'2S EXPRESS'!G44))+(COUNTIF('INSTANCE C2'!$A$7:$A$50,'2S EXPRESS'!G44))+(COUNTIF(INTERNES!$A$7:$A$50,'2S EXPRESS'!G44))+(COUNTIF('EN PANNE'!$A$7:$A$50,'2S EXPRESS'!G44))+(COUNTIF(TJM!$A$7:$A$50,'2S EXPRESS'!G44))</f>
        <v>0</v>
      </c>
      <c r="J44" s="28">
        <f t="shared" si="4"/>
        <v>0</v>
      </c>
      <c r="K44" s="2"/>
      <c r="L44" s="47"/>
      <c r="S44" s="60">
        <f t="shared" si="1"/>
        <v>0</v>
      </c>
      <c r="T44" s="67">
        <f t="shared" si="2"/>
        <v>0</v>
      </c>
    </row>
    <row r="45" spans="1:21" ht="24.95" customHeight="1" x14ac:dyDescent="0.2">
      <c r="A45" s="2"/>
      <c r="B45" s="23">
        <f>(COUNTIF('2S EXPRESS'!$A$7:$A$50,'2S EXPRESS'!A45))+(COUNTIF('2 ZT'!$A$7:$A$50,'2S EXPRESS'!A45))+(COUNTIF('GO TRANSPORT'!$A$7:$A$50,'2S EXPRESS'!A45))+(COUNTIF('HMZ - KAIS'!$A$7:$A$50,'2S EXPRESS'!A45))+(COUNTIF('IB TRANSPORT'!$A$7:$A$50,'2S EXPRESS'!A45))+(COUNTIF(JSL!$A$7:$A$50,'2S EXPRESS'!A45))+(COUNTIF(KIFAITOUT!$A$7:$A$50,'2S EXPRESS'!A45))+(COUNTIF('LUXE DRIVE'!$A$7:$A$50,'2S EXPRESS'!A45))+(COUNTIF(SSN!$A$7:$A$50,'2S EXPRESS'!A45))+(COUNTIF('W3'!$A$7:$A$50,'2S EXPRESS'!A45))+(COUNTIF('ATHIS MONS'!$A$7:$A$50,'2S EXPRESS'!A45))+(COUNTIF('L HAY LES ROSES'!$A$7:$A$50,'2S EXPRESS'!A45))+(COUNTIF(RUNGIS!$A$7:$A$50,'2S EXPRESS'!A45))+(COUNTIF(SCEAUX!$A$7:$A$50,'2S EXPRESS'!A45))+(COUNTIF('INSTANCE C1'!$A$7:$A$50,'2S EXPRESS'!A45))+(COUNTIF('INSTANCE C2'!$A$7:$A$50,'2S EXPRESS'!A45))+(COUNTIF(INTERNES!$A$7:$A$50,'2S EXPRESS'!A45))+(COUNTIF('EN PANNE'!$A$7:$A$50,'2S EXPRESS'!A45))+(COUNTIF(TJM!$A$7:$A$50,'2S EXPRESS'!A45))-C45</f>
        <v>0</v>
      </c>
      <c r="C45" s="23">
        <f>(COUNTIF('2S EXPRESS'!$G$7:$G$50,'2S EXPRESS'!A45))+(COUNTIF('2 ZT'!$G$7:$G$50,'2S EXPRESS'!A45))+(COUNTIF('GO TRANSPORT'!$G$7:$G$50,'2S EXPRESS'!A45))+(COUNTIF('2S EXPRESS'!$G$7:$G$50,'2S EXPRESS'!A45))+(COUNTIF('IB TRANSPORT'!$G$7:$G$50,'2S EXPRESS'!A45))+(COUNTIF(JSL!$G$7:$G$50,'2S EXPRESS'!A45))+(COUNTIF(KIFAITOUT!$G$7:$G$50,'2S EXPRESS'!A45))+(COUNTIF('LUXE DRIVE'!$G$7:$G$50,'2S EXPRESS'!A45))+(COUNTIF(SSN!$G$7:$G$50,'2S EXPRESS'!A45))+(COUNTIF('W3'!$G$7:$G$50,'2S EXPRESS'!A45))+(COUNTIF('ATHIS MONS'!$G$7:$G$50,'2S EXPRESS'!A45))+(COUNTIF('L HAY LES ROSES'!$G$7:$G$50,'2S EXPRESS'!A45))+(COUNTIF(RUNGIS!$G$7:$G$50,'2S EXPRESS'!A45))+(COUNTIF(SCEAUX!$G$7:$G$50,'2S EXPRESS'!A45))+(COUNTIF('INSTANCE C1'!$G$7:$G$50,'2S EXPRESS'!A45))+(COUNTIF('INSTANCE C2'!$G$7:$G$50,'2S EXPRESS'!A45))+(COUNTIF(INTERNES!$G$7:$G$50,'2S EXPRESS'!A45))+(COUNTIF('EN PANNE'!$G$7:$G$50,'2S EXPRESS'!A45))+(COUNTIF(TJM!$G$7:$G$50,'2S EXPRESS'!A45))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EXPRESS'!$G$7:$G$50,'2S EXPRESS'!G45))+(COUNTIF('2 ZT'!$G$7:$G$50,'2S EXPRESS'!G45))+(COUNTIF('GO TRANSPORT'!$G$7:$G$50,'2S EXPRESS'!G45))+(COUNTIF('HMZ - KAIS'!$G$7:$G$50,'2S EXPRESS'!G45))+(COUNTIF('IB TRANSPORT'!$G$7:$G$50,'2S EXPRESS'!G45))+(COUNTIF(JSL!$G$7:$G$50,'2S EXPRESS'!G45))+(COUNTIF(KIFAITOUT!$G$7:$G$50,'2S EXPRESS'!G45))+(COUNTIF('LUXE DRIVE'!$G$7:$G$50,'2S EXPRESS'!G45))+(COUNTIF(SSN!$G$7:$G$50,'2S EXPRESS'!G45))+(COUNTIF('W3'!$G$7:$G$50,'2S EXPRESS'!G45))+(COUNTIF('ATHIS MONS'!$G$7:$G$50,'2S EXPRESS'!G45))+(COUNTIF('L HAY LES ROSES'!$G$7:$G$50,'2S EXPRESS'!G45))+(COUNTIF(RUNGIS!$G$7:$G$50,'2S EXPRESS'!G45))+(COUNTIF(SCEAUX!$G$7:$G$50,'2S EXPRESS'!G45))+(COUNTIF('INSTANCE C1'!$G$7:$G$50,'2S EXPRESS'!G45))+(COUNTIF('INSTANCE C2'!$G$7:$G$50,'2S EXPRESS'!G45))+(COUNTIF(INTERNES!$G$7:$G$50,'2S EXPRESS'!G45))+(COUNTIF('EN PANNE'!$G$7:$G$50,'2S EXPRESS'!G45))+(COUNTIF(TJM!$G$7:$G$50,'2S EXPRESS'!G45))-I45</f>
        <v>0</v>
      </c>
      <c r="I45" s="23">
        <f>(COUNTIF('2S EXPRESS'!$A$7:$A$50,'2S EXPRESS'!G45))+(COUNTIF('2 ZT'!$A$7:$A$50,'2S EXPRESS'!G45))+(COUNTIF('GO TRANSPORT'!$A$7:$A$50,'2S EXPRESS'!G45))+(COUNTIF('HMZ - KAIS'!$A$7:$A$50,'2S EXPRESS'!G45))+(COUNTIF('IB TRANSPORT'!$A$7:$A$50,'2S EXPRESS'!G45))+(COUNTIF(JSL!$A$7:$A$50,'2S EXPRESS'!G45))+(COUNTIF(KIFAITOUT!$A$7:$A$50,'2S EXPRESS'!G45))+(COUNTIF('LUXE DRIVE'!$A$7:$A$50,'2S EXPRESS'!G45))+(COUNTIF(SSN!$A$7:$A$50,'2S EXPRESS'!G45))+(COUNTIF('W3'!$A$7:$A$50,'2S EXPRESS'!G45))+(COUNTIF('ATHIS MONS'!$A$7:$A$50,'2S EXPRESS'!G45))+(COUNTIF('L HAY LES ROSES'!$A$7:$A$50,'2S EXPRESS'!G45))+(COUNTIF(RUNGIS!$A$7:$A$50,'2S EXPRESS'!G45))+(COUNTIF(SCEAUX!$A$7:$A$50,'2S EXPRESS'!G45))+(COUNTIF('INSTANCE C1'!$A$7:$A$50,'2S EXPRESS'!G45))+(COUNTIF('INSTANCE C2'!$A$7:$A$50,'2S EXPRESS'!G45))+(COUNTIF(INTERNES!$A$7:$A$50,'2S EXPRESS'!G45))+(COUNTIF('EN PANNE'!$A$7:$A$50,'2S EXPRESS'!G45))+(COUNTIF(TJM!$A$7:$A$50,'2S EXPRESS'!G45))</f>
        <v>0</v>
      </c>
      <c r="J45" s="28">
        <f t="shared" si="4"/>
        <v>0</v>
      </c>
      <c r="K45" s="2"/>
      <c r="L45" s="47"/>
      <c r="S45" s="60">
        <f t="shared" si="1"/>
        <v>0</v>
      </c>
      <c r="T45" s="67">
        <f t="shared" si="2"/>
        <v>0</v>
      </c>
    </row>
    <row r="46" spans="1:21" ht="24.95" customHeight="1" x14ac:dyDescent="0.2">
      <c r="A46" s="2"/>
      <c r="B46" s="23">
        <f>(COUNTIF('2S EXPRESS'!$A$7:$A$50,'2S EXPRESS'!A46))+(COUNTIF('2 ZT'!$A$7:$A$50,'2S EXPRESS'!A46))+(COUNTIF('GO TRANSPORT'!$A$7:$A$50,'2S EXPRESS'!A46))+(COUNTIF('HMZ - KAIS'!$A$7:$A$50,'2S EXPRESS'!A46))+(COUNTIF('IB TRANSPORT'!$A$7:$A$50,'2S EXPRESS'!A46))+(COUNTIF(JSL!$A$7:$A$50,'2S EXPRESS'!A46))+(COUNTIF(KIFAITOUT!$A$7:$A$50,'2S EXPRESS'!A46))+(COUNTIF('LUXE DRIVE'!$A$7:$A$50,'2S EXPRESS'!A46))+(COUNTIF(SSN!$A$7:$A$50,'2S EXPRESS'!A46))+(COUNTIF('W3'!$A$7:$A$50,'2S EXPRESS'!A46))+(COUNTIF('ATHIS MONS'!$A$7:$A$50,'2S EXPRESS'!A46))+(COUNTIF('L HAY LES ROSES'!$A$7:$A$50,'2S EXPRESS'!A46))+(COUNTIF(RUNGIS!$A$7:$A$50,'2S EXPRESS'!A46))+(COUNTIF(SCEAUX!$A$7:$A$50,'2S EXPRESS'!A46))+(COUNTIF('INSTANCE C1'!$A$7:$A$50,'2S EXPRESS'!A46))+(COUNTIF('INSTANCE C2'!$A$7:$A$50,'2S EXPRESS'!A46))+(COUNTIF(INTERNES!$A$7:$A$50,'2S EXPRESS'!A46))+(COUNTIF('EN PANNE'!$A$7:$A$50,'2S EXPRESS'!A46))+(COUNTIF(TJM!$A$7:$A$50,'2S EXPRESS'!A46))-C46</f>
        <v>0</v>
      </c>
      <c r="C46" s="23">
        <f>(COUNTIF('2S EXPRESS'!$G$7:$G$50,'2S EXPRESS'!A46))+(COUNTIF('2 ZT'!$G$7:$G$50,'2S EXPRESS'!A46))+(COUNTIF('GO TRANSPORT'!$G$7:$G$50,'2S EXPRESS'!A46))+(COUNTIF('2S EXPRESS'!$G$7:$G$50,'2S EXPRESS'!A46))+(COUNTIF('IB TRANSPORT'!$G$7:$G$50,'2S EXPRESS'!A46))+(COUNTIF(JSL!$G$7:$G$50,'2S EXPRESS'!A46))+(COUNTIF(KIFAITOUT!$G$7:$G$50,'2S EXPRESS'!A46))+(COUNTIF('LUXE DRIVE'!$G$7:$G$50,'2S EXPRESS'!A46))+(COUNTIF(SSN!$G$7:$G$50,'2S EXPRESS'!A46))+(COUNTIF('W3'!$G$7:$G$50,'2S EXPRESS'!A46))+(COUNTIF('ATHIS MONS'!$G$7:$G$50,'2S EXPRESS'!A46))+(COUNTIF('L HAY LES ROSES'!$G$7:$G$50,'2S EXPRESS'!A46))+(COUNTIF(RUNGIS!$G$7:$G$50,'2S EXPRESS'!A46))+(COUNTIF(SCEAUX!$G$7:$G$50,'2S EXPRESS'!A46))+(COUNTIF('INSTANCE C1'!$G$7:$G$50,'2S EXPRESS'!A46))+(COUNTIF('INSTANCE C2'!$G$7:$G$50,'2S EXPRESS'!A46))+(COUNTIF(INTERNES!$G$7:$G$50,'2S EXPRESS'!A46))+(COUNTIF('EN PANNE'!$G$7:$G$50,'2S EXPRESS'!A46))+(COUNTIF(TJM!$G$7:$G$50,'2S EXPRESS'!A46))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EXPRESS'!$G$7:$G$50,'2S EXPRESS'!G46))+(COUNTIF('2 ZT'!$G$7:$G$50,'2S EXPRESS'!G46))+(COUNTIF('GO TRANSPORT'!$G$7:$G$50,'2S EXPRESS'!G46))+(COUNTIF('HMZ - KAIS'!$G$7:$G$50,'2S EXPRESS'!G46))+(COUNTIF('IB TRANSPORT'!$G$7:$G$50,'2S EXPRESS'!G46))+(COUNTIF(JSL!$G$7:$G$50,'2S EXPRESS'!G46))+(COUNTIF(KIFAITOUT!$G$7:$G$50,'2S EXPRESS'!G46))+(COUNTIF('LUXE DRIVE'!$G$7:$G$50,'2S EXPRESS'!G46))+(COUNTIF(SSN!$G$7:$G$50,'2S EXPRESS'!G46))+(COUNTIF('W3'!$G$7:$G$50,'2S EXPRESS'!G46))+(COUNTIF('ATHIS MONS'!$G$7:$G$50,'2S EXPRESS'!G46))+(COUNTIF('L HAY LES ROSES'!$G$7:$G$50,'2S EXPRESS'!G46))+(COUNTIF(RUNGIS!$G$7:$G$50,'2S EXPRESS'!G46))+(COUNTIF(SCEAUX!$G$7:$G$50,'2S EXPRESS'!G46))+(COUNTIF('INSTANCE C1'!$G$7:$G$50,'2S EXPRESS'!G46))+(COUNTIF('INSTANCE C2'!$G$7:$G$50,'2S EXPRESS'!G46))+(COUNTIF(INTERNES!$G$7:$G$50,'2S EXPRESS'!G46))+(COUNTIF('EN PANNE'!$G$7:$G$50,'2S EXPRESS'!G46))+(COUNTIF(TJM!$G$7:$G$50,'2S EXPRESS'!G46))-I46</f>
        <v>0</v>
      </c>
      <c r="I46" s="23">
        <f>(COUNTIF('2S EXPRESS'!$A$7:$A$50,'2S EXPRESS'!G46))+(COUNTIF('2 ZT'!$A$7:$A$50,'2S EXPRESS'!G46))+(COUNTIF('GO TRANSPORT'!$A$7:$A$50,'2S EXPRESS'!G46))+(COUNTIF('HMZ - KAIS'!$A$7:$A$50,'2S EXPRESS'!G46))+(COUNTIF('IB TRANSPORT'!$A$7:$A$50,'2S EXPRESS'!G46))+(COUNTIF(JSL!$A$7:$A$50,'2S EXPRESS'!G46))+(COUNTIF(KIFAITOUT!$A$7:$A$50,'2S EXPRESS'!G46))+(COUNTIF('LUXE DRIVE'!$A$7:$A$50,'2S EXPRESS'!G46))+(COUNTIF(SSN!$A$7:$A$50,'2S EXPRESS'!G46))+(COUNTIF('W3'!$A$7:$A$50,'2S EXPRESS'!G46))+(COUNTIF('ATHIS MONS'!$A$7:$A$50,'2S EXPRESS'!G46))+(COUNTIF('L HAY LES ROSES'!$A$7:$A$50,'2S EXPRESS'!G46))+(COUNTIF(RUNGIS!$A$7:$A$50,'2S EXPRESS'!G46))+(COUNTIF(SCEAUX!$A$7:$A$50,'2S EXPRESS'!G46))+(COUNTIF('INSTANCE C1'!$A$7:$A$50,'2S EXPRESS'!G46))+(COUNTIF('INSTANCE C2'!$A$7:$A$50,'2S EXPRESS'!G46))+(COUNTIF(INTERNES!$A$7:$A$50,'2S EXPRESS'!G46))+(COUNTIF('EN PANNE'!$A$7:$A$50,'2S EXPRESS'!G46))+(COUNTIF(TJM!$A$7:$A$50,'2S EXPRESS'!G46))</f>
        <v>0</v>
      </c>
      <c r="J46" s="28">
        <f t="shared" si="4"/>
        <v>0</v>
      </c>
      <c r="K46" s="2"/>
      <c r="L46" s="47"/>
      <c r="S46" s="60">
        <f t="shared" si="1"/>
        <v>0</v>
      </c>
      <c r="T46" s="67">
        <f t="shared" si="2"/>
        <v>0</v>
      </c>
    </row>
    <row r="47" spans="1:21" ht="24.95" customHeight="1" x14ac:dyDescent="0.2">
      <c r="A47" s="2"/>
      <c r="B47" s="23">
        <f>(COUNTIF('2S EXPRESS'!$A$7:$A$50,'2S EXPRESS'!A47))+(COUNTIF('2 ZT'!$A$7:$A$50,'2S EXPRESS'!A47))+(COUNTIF('GO TRANSPORT'!$A$7:$A$50,'2S EXPRESS'!A47))+(COUNTIF('HMZ - KAIS'!$A$7:$A$50,'2S EXPRESS'!A47))+(COUNTIF('IB TRANSPORT'!$A$7:$A$50,'2S EXPRESS'!A47))+(COUNTIF(JSL!$A$7:$A$50,'2S EXPRESS'!A47))+(COUNTIF(KIFAITOUT!$A$7:$A$50,'2S EXPRESS'!A47))+(COUNTIF('LUXE DRIVE'!$A$7:$A$50,'2S EXPRESS'!A47))+(COUNTIF(SSN!$A$7:$A$50,'2S EXPRESS'!A47))+(COUNTIF('W3'!$A$7:$A$50,'2S EXPRESS'!A47))+(COUNTIF('ATHIS MONS'!$A$7:$A$50,'2S EXPRESS'!A47))+(COUNTIF('L HAY LES ROSES'!$A$7:$A$50,'2S EXPRESS'!A47))+(COUNTIF(RUNGIS!$A$7:$A$50,'2S EXPRESS'!A47))+(COUNTIF(SCEAUX!$A$7:$A$50,'2S EXPRESS'!A47))+(COUNTIF('INSTANCE C1'!$A$7:$A$50,'2S EXPRESS'!A47))+(COUNTIF('INSTANCE C2'!$A$7:$A$50,'2S EXPRESS'!A47))+(COUNTIF(INTERNES!$A$7:$A$50,'2S EXPRESS'!A47))+(COUNTIF('EN PANNE'!$A$7:$A$50,'2S EXPRESS'!A47))+(COUNTIF(TJM!$A$7:$A$50,'2S EXPRESS'!A47))-C47</f>
        <v>0</v>
      </c>
      <c r="C47" s="23">
        <f>(COUNTIF('2S EXPRESS'!$G$7:$G$50,'2S EXPRESS'!A47))+(COUNTIF('2 ZT'!$G$7:$G$50,'2S EXPRESS'!A47))+(COUNTIF('GO TRANSPORT'!$G$7:$G$50,'2S EXPRESS'!A47))+(COUNTIF('2S EXPRESS'!$G$7:$G$50,'2S EXPRESS'!A47))+(COUNTIF('IB TRANSPORT'!$G$7:$G$50,'2S EXPRESS'!A47))+(COUNTIF(JSL!$G$7:$G$50,'2S EXPRESS'!A47))+(COUNTIF(KIFAITOUT!$G$7:$G$50,'2S EXPRESS'!A47))+(COUNTIF('LUXE DRIVE'!$G$7:$G$50,'2S EXPRESS'!A47))+(COUNTIF(SSN!$G$7:$G$50,'2S EXPRESS'!A47))+(COUNTIF('W3'!$G$7:$G$50,'2S EXPRESS'!A47))+(COUNTIF('ATHIS MONS'!$G$7:$G$50,'2S EXPRESS'!A47))+(COUNTIF('L HAY LES ROSES'!$G$7:$G$50,'2S EXPRESS'!A47))+(COUNTIF(RUNGIS!$G$7:$G$50,'2S EXPRESS'!A47))+(COUNTIF(SCEAUX!$G$7:$G$50,'2S EXPRESS'!A47))+(COUNTIF('INSTANCE C1'!$G$7:$G$50,'2S EXPRESS'!A47))+(COUNTIF('INSTANCE C2'!$G$7:$G$50,'2S EXPRESS'!A47))+(COUNTIF(INTERNES!$G$7:$G$50,'2S EXPRESS'!A47))+(COUNTIF('EN PANNE'!$G$7:$G$50,'2S EXPRESS'!A47))+(COUNTIF(TJM!$G$7:$G$50,'2S EXPRESS'!A47))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EXPRESS'!$G$7:$G$50,'2S EXPRESS'!G47))+(COUNTIF('2 ZT'!$G$7:$G$50,'2S EXPRESS'!G47))+(COUNTIF('GO TRANSPORT'!$G$7:$G$50,'2S EXPRESS'!G47))+(COUNTIF('HMZ - KAIS'!$G$7:$G$50,'2S EXPRESS'!G47))+(COUNTIF('IB TRANSPORT'!$G$7:$G$50,'2S EXPRESS'!G47))+(COUNTIF(JSL!$G$7:$G$50,'2S EXPRESS'!G47))+(COUNTIF(KIFAITOUT!$G$7:$G$50,'2S EXPRESS'!G47))+(COUNTIF('LUXE DRIVE'!$G$7:$G$50,'2S EXPRESS'!G47))+(COUNTIF(SSN!$G$7:$G$50,'2S EXPRESS'!G47))+(COUNTIF('W3'!$G$7:$G$50,'2S EXPRESS'!G47))+(COUNTIF('ATHIS MONS'!$G$7:$G$50,'2S EXPRESS'!G47))+(COUNTIF('L HAY LES ROSES'!$G$7:$G$50,'2S EXPRESS'!G47))+(COUNTIF(RUNGIS!$G$7:$G$50,'2S EXPRESS'!G47))+(COUNTIF(SCEAUX!$G$7:$G$50,'2S EXPRESS'!G47))+(COUNTIF('INSTANCE C1'!$G$7:$G$50,'2S EXPRESS'!G47))+(COUNTIF('INSTANCE C2'!$G$7:$G$50,'2S EXPRESS'!G47))+(COUNTIF(INTERNES!$G$7:$G$50,'2S EXPRESS'!G47))+(COUNTIF('EN PANNE'!$G$7:$G$50,'2S EXPRESS'!G47))+(COUNTIF(TJM!$G$7:$G$50,'2S EXPRESS'!G47))-I47</f>
        <v>0</v>
      </c>
      <c r="I47" s="23">
        <f>(COUNTIF('2S EXPRESS'!$A$7:$A$50,'2S EXPRESS'!G47))+(COUNTIF('2 ZT'!$A$7:$A$50,'2S EXPRESS'!G47))+(COUNTIF('GO TRANSPORT'!$A$7:$A$50,'2S EXPRESS'!G47))+(COUNTIF('HMZ - KAIS'!$A$7:$A$50,'2S EXPRESS'!G47))+(COUNTIF('IB TRANSPORT'!$A$7:$A$50,'2S EXPRESS'!G47))+(COUNTIF(JSL!$A$7:$A$50,'2S EXPRESS'!G47))+(COUNTIF(KIFAITOUT!$A$7:$A$50,'2S EXPRESS'!G47))+(COUNTIF('LUXE DRIVE'!$A$7:$A$50,'2S EXPRESS'!G47))+(COUNTIF(SSN!$A$7:$A$50,'2S EXPRESS'!G47))+(COUNTIF('W3'!$A$7:$A$50,'2S EXPRESS'!G47))+(COUNTIF('ATHIS MONS'!$A$7:$A$50,'2S EXPRESS'!G47))+(COUNTIF('L HAY LES ROSES'!$A$7:$A$50,'2S EXPRESS'!G47))+(COUNTIF(RUNGIS!$A$7:$A$50,'2S EXPRESS'!G47))+(COUNTIF(SCEAUX!$A$7:$A$50,'2S EXPRESS'!G47))+(COUNTIF('INSTANCE C1'!$A$7:$A$50,'2S EXPRESS'!G47))+(COUNTIF('INSTANCE C2'!$A$7:$A$50,'2S EXPRESS'!G47))+(COUNTIF(INTERNES!$A$7:$A$50,'2S EXPRESS'!G47))+(COUNTIF('EN PANNE'!$A$7:$A$50,'2S EXPRESS'!G47))+(COUNTIF(TJM!$A$7:$A$50,'2S EXPRESS'!G47))</f>
        <v>0</v>
      </c>
      <c r="J47" s="28">
        <f t="shared" si="4"/>
        <v>0</v>
      </c>
      <c r="K47" s="2"/>
      <c r="L47" s="47"/>
      <c r="S47" s="60">
        <f t="shared" si="1"/>
        <v>0</v>
      </c>
      <c r="T47" s="67">
        <f t="shared" si="2"/>
        <v>0</v>
      </c>
    </row>
    <row r="48" spans="1:21" ht="24.95" customHeight="1" x14ac:dyDescent="0.2">
      <c r="A48" s="2"/>
      <c r="B48" s="23">
        <f>(COUNTIF('2S EXPRESS'!$A$7:$A$50,'2S EXPRESS'!A48))+(COUNTIF('2 ZT'!$A$7:$A$50,'2S EXPRESS'!A48))+(COUNTIF('GO TRANSPORT'!$A$7:$A$50,'2S EXPRESS'!A48))+(COUNTIF('HMZ - KAIS'!$A$7:$A$50,'2S EXPRESS'!A48))+(COUNTIF('IB TRANSPORT'!$A$7:$A$50,'2S EXPRESS'!A48))+(COUNTIF(JSL!$A$7:$A$50,'2S EXPRESS'!A48))+(COUNTIF(KIFAITOUT!$A$7:$A$50,'2S EXPRESS'!A48))+(COUNTIF('LUXE DRIVE'!$A$7:$A$50,'2S EXPRESS'!A48))+(COUNTIF(SSN!$A$7:$A$50,'2S EXPRESS'!A48))+(COUNTIF('W3'!$A$7:$A$50,'2S EXPRESS'!A48))+(COUNTIF('ATHIS MONS'!$A$7:$A$50,'2S EXPRESS'!A48))+(COUNTIF('L HAY LES ROSES'!$A$7:$A$50,'2S EXPRESS'!A48))+(COUNTIF(RUNGIS!$A$7:$A$50,'2S EXPRESS'!A48))+(COUNTIF(SCEAUX!$A$7:$A$50,'2S EXPRESS'!A48))+(COUNTIF('INSTANCE C1'!$A$7:$A$50,'2S EXPRESS'!A48))+(COUNTIF('INSTANCE C2'!$A$7:$A$50,'2S EXPRESS'!A48))+(COUNTIF(INTERNES!$A$7:$A$50,'2S EXPRESS'!A48))+(COUNTIF('EN PANNE'!$A$7:$A$50,'2S EXPRESS'!A48))+(COUNTIF(TJM!$A$7:$A$50,'2S EXPRESS'!A48))-C48</f>
        <v>0</v>
      </c>
      <c r="C48" s="23">
        <f>(COUNTIF('2S EXPRESS'!$G$7:$G$50,'2S EXPRESS'!A48))+(COUNTIF('2 ZT'!$G$7:$G$50,'2S EXPRESS'!A48))+(COUNTIF('GO TRANSPORT'!$G$7:$G$50,'2S EXPRESS'!A48))+(COUNTIF('2S EXPRESS'!$G$7:$G$50,'2S EXPRESS'!A48))+(COUNTIF('IB TRANSPORT'!$G$7:$G$50,'2S EXPRESS'!A48))+(COUNTIF(JSL!$G$7:$G$50,'2S EXPRESS'!A48))+(COUNTIF(KIFAITOUT!$G$7:$G$50,'2S EXPRESS'!A48))+(COUNTIF('LUXE DRIVE'!$G$7:$G$50,'2S EXPRESS'!A48))+(COUNTIF(SSN!$G$7:$G$50,'2S EXPRESS'!A48))+(COUNTIF('W3'!$G$7:$G$50,'2S EXPRESS'!A48))+(COUNTIF('ATHIS MONS'!$G$7:$G$50,'2S EXPRESS'!A48))+(COUNTIF('L HAY LES ROSES'!$G$7:$G$50,'2S EXPRESS'!A48))+(COUNTIF(RUNGIS!$G$7:$G$50,'2S EXPRESS'!A48))+(COUNTIF(SCEAUX!$G$7:$G$50,'2S EXPRESS'!A48))+(COUNTIF('INSTANCE C1'!$G$7:$G$50,'2S EXPRESS'!A48))+(COUNTIF('INSTANCE C2'!$G$7:$G$50,'2S EXPRESS'!A48))+(COUNTIF(INTERNES!$G$7:$G$50,'2S EXPRESS'!A48))+(COUNTIF('EN PANNE'!$G$7:$G$50,'2S EXPRESS'!A48))+(COUNTIF(TJM!$G$7:$G$50,'2S EXPRESS'!A48))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EXPRESS'!$G$7:$G$50,'2S EXPRESS'!G48))+(COUNTIF('2 ZT'!$G$7:$G$50,'2S EXPRESS'!G48))+(COUNTIF('GO TRANSPORT'!$G$7:$G$50,'2S EXPRESS'!G48))+(COUNTIF('HMZ - KAIS'!$G$7:$G$50,'2S EXPRESS'!G48))+(COUNTIF('IB TRANSPORT'!$G$7:$G$50,'2S EXPRESS'!G48))+(COUNTIF(JSL!$G$7:$G$50,'2S EXPRESS'!G48))+(COUNTIF(KIFAITOUT!$G$7:$G$50,'2S EXPRESS'!G48))+(COUNTIF('LUXE DRIVE'!$G$7:$G$50,'2S EXPRESS'!G48))+(COUNTIF(SSN!$G$7:$G$50,'2S EXPRESS'!G48))+(COUNTIF('W3'!$G$7:$G$50,'2S EXPRESS'!G48))+(COUNTIF('ATHIS MONS'!$G$7:$G$50,'2S EXPRESS'!G48))+(COUNTIF('L HAY LES ROSES'!$G$7:$G$50,'2S EXPRESS'!G48))+(COUNTIF(RUNGIS!$G$7:$G$50,'2S EXPRESS'!G48))+(COUNTIF(SCEAUX!$G$7:$G$50,'2S EXPRESS'!G48))+(COUNTIF('INSTANCE C1'!$G$7:$G$50,'2S EXPRESS'!G48))+(COUNTIF('INSTANCE C2'!$G$7:$G$50,'2S EXPRESS'!G48))+(COUNTIF(INTERNES!$G$7:$G$50,'2S EXPRESS'!G48))+(COUNTIF('EN PANNE'!$G$7:$G$50,'2S EXPRESS'!G48))+(COUNTIF(TJM!$G$7:$G$50,'2S EXPRESS'!G48))-I48</f>
        <v>0</v>
      </c>
      <c r="I48" s="23">
        <f>(COUNTIF('2S EXPRESS'!$A$7:$A$50,'2S EXPRESS'!G48))+(COUNTIF('2 ZT'!$A$7:$A$50,'2S EXPRESS'!G48))+(COUNTIF('GO TRANSPORT'!$A$7:$A$50,'2S EXPRESS'!G48))+(COUNTIF('HMZ - KAIS'!$A$7:$A$50,'2S EXPRESS'!G48))+(COUNTIF('IB TRANSPORT'!$A$7:$A$50,'2S EXPRESS'!G48))+(COUNTIF(JSL!$A$7:$A$50,'2S EXPRESS'!G48))+(COUNTIF(KIFAITOUT!$A$7:$A$50,'2S EXPRESS'!G48))+(COUNTIF('LUXE DRIVE'!$A$7:$A$50,'2S EXPRESS'!G48))+(COUNTIF(SSN!$A$7:$A$50,'2S EXPRESS'!G48))+(COUNTIF('W3'!$A$7:$A$50,'2S EXPRESS'!G48))+(COUNTIF('ATHIS MONS'!$A$7:$A$50,'2S EXPRESS'!G48))+(COUNTIF('L HAY LES ROSES'!$A$7:$A$50,'2S EXPRESS'!G48))+(COUNTIF(RUNGIS!$A$7:$A$50,'2S EXPRESS'!G48))+(COUNTIF(SCEAUX!$A$7:$A$50,'2S EXPRESS'!G48))+(COUNTIF('INSTANCE C1'!$A$7:$A$50,'2S EXPRESS'!G48))+(COUNTIF('INSTANCE C2'!$A$7:$A$50,'2S EXPRESS'!G48))+(COUNTIF(INTERNES!$A$7:$A$50,'2S EXPRESS'!G48))+(COUNTIF('EN PANNE'!$A$7:$A$50,'2S EXPRESS'!G48))+(COUNTIF(TJM!$A$7:$A$50,'2S EXPRESS'!G48))</f>
        <v>0</v>
      </c>
      <c r="J48" s="28">
        <f t="shared" si="4"/>
        <v>0</v>
      </c>
      <c r="K48" s="2"/>
      <c r="L48" s="47"/>
      <c r="S48" s="60">
        <f t="shared" si="1"/>
        <v>0</v>
      </c>
      <c r="T48" s="67">
        <f t="shared" si="2"/>
        <v>0</v>
      </c>
    </row>
    <row r="49" spans="1:20" ht="24.95" customHeight="1" x14ac:dyDescent="0.2">
      <c r="A49" s="2"/>
      <c r="B49" s="23">
        <f>(COUNTIF('2S EXPRESS'!$A$7:$A$50,'2S EXPRESS'!A49))+(COUNTIF('2 ZT'!$A$7:$A$50,'2S EXPRESS'!A49))+(COUNTIF('GO TRANSPORT'!$A$7:$A$50,'2S EXPRESS'!A49))+(COUNTIF('HMZ - KAIS'!$A$7:$A$50,'2S EXPRESS'!A49))+(COUNTIF('IB TRANSPORT'!$A$7:$A$50,'2S EXPRESS'!A49))+(COUNTIF(JSL!$A$7:$A$50,'2S EXPRESS'!A49))+(COUNTIF(KIFAITOUT!$A$7:$A$50,'2S EXPRESS'!A49))+(COUNTIF('LUXE DRIVE'!$A$7:$A$50,'2S EXPRESS'!A49))+(COUNTIF(SSN!$A$7:$A$50,'2S EXPRESS'!A49))+(COUNTIF('W3'!$A$7:$A$50,'2S EXPRESS'!A49))+(COUNTIF('ATHIS MONS'!$A$7:$A$50,'2S EXPRESS'!A49))+(COUNTIF('L HAY LES ROSES'!$A$7:$A$50,'2S EXPRESS'!A49))+(COUNTIF(RUNGIS!$A$7:$A$50,'2S EXPRESS'!A49))+(COUNTIF(SCEAUX!$A$7:$A$50,'2S EXPRESS'!A49))+(COUNTIF('INSTANCE C1'!$A$7:$A$50,'2S EXPRESS'!A49))+(COUNTIF('INSTANCE C2'!$A$7:$A$50,'2S EXPRESS'!A49))+(COUNTIF(INTERNES!$A$7:$A$50,'2S EXPRESS'!A49))+(COUNTIF('EN PANNE'!$A$7:$A$50,'2S EXPRESS'!A49))+(COUNTIF(TJM!$A$7:$A$50,'2S EXPRESS'!A49))-C49</f>
        <v>0</v>
      </c>
      <c r="C49" s="23">
        <f>(COUNTIF('2S EXPRESS'!$G$7:$G$50,'2S EXPRESS'!A49))+(COUNTIF('2 ZT'!$G$7:$G$50,'2S EXPRESS'!A49))+(COUNTIF('GO TRANSPORT'!$G$7:$G$50,'2S EXPRESS'!A49))+(COUNTIF('2S EXPRESS'!$G$7:$G$50,'2S EXPRESS'!A49))+(COUNTIF('IB TRANSPORT'!$G$7:$G$50,'2S EXPRESS'!A49))+(COUNTIF(JSL!$G$7:$G$50,'2S EXPRESS'!A49))+(COUNTIF(KIFAITOUT!$G$7:$G$50,'2S EXPRESS'!A49))+(COUNTIF('LUXE DRIVE'!$G$7:$G$50,'2S EXPRESS'!A49))+(COUNTIF(SSN!$G$7:$G$50,'2S EXPRESS'!A49))+(COUNTIF('W3'!$G$7:$G$50,'2S EXPRESS'!A49))+(COUNTIF('ATHIS MONS'!$G$7:$G$50,'2S EXPRESS'!A49))+(COUNTIF('L HAY LES ROSES'!$G$7:$G$50,'2S EXPRESS'!A49))+(COUNTIF(RUNGIS!$G$7:$G$50,'2S EXPRESS'!A49))+(COUNTIF(SCEAUX!$G$7:$G$50,'2S EXPRESS'!A49))+(COUNTIF('INSTANCE C1'!$G$7:$G$50,'2S EXPRESS'!A49))+(COUNTIF('INSTANCE C2'!$G$7:$G$50,'2S EXPRESS'!A49))+(COUNTIF(INTERNES!$G$7:$G$50,'2S EXPRESS'!A49))+(COUNTIF('EN PANNE'!$G$7:$G$50,'2S EXPRESS'!A49))+(COUNTIF(TJM!$G$7:$G$50,'2S EXPRESS'!A49))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EXPRESS'!$G$7:$G$50,'2S EXPRESS'!G49))+(COUNTIF('2 ZT'!$G$7:$G$50,'2S EXPRESS'!G49))+(COUNTIF('GO TRANSPORT'!$G$7:$G$50,'2S EXPRESS'!G49))+(COUNTIF('HMZ - KAIS'!$G$7:$G$50,'2S EXPRESS'!G49))+(COUNTIF('IB TRANSPORT'!$G$7:$G$50,'2S EXPRESS'!G49))+(COUNTIF(JSL!$G$7:$G$50,'2S EXPRESS'!G49))+(COUNTIF(KIFAITOUT!$G$7:$G$50,'2S EXPRESS'!G49))+(COUNTIF('LUXE DRIVE'!$G$7:$G$50,'2S EXPRESS'!G49))+(COUNTIF(SSN!$G$7:$G$50,'2S EXPRESS'!G49))+(COUNTIF('W3'!$G$7:$G$50,'2S EXPRESS'!G49))+(COUNTIF('ATHIS MONS'!$G$7:$G$50,'2S EXPRESS'!G49))+(COUNTIF('L HAY LES ROSES'!$G$7:$G$50,'2S EXPRESS'!G49))+(COUNTIF(RUNGIS!$G$7:$G$50,'2S EXPRESS'!G49))+(COUNTIF(SCEAUX!$G$7:$G$50,'2S EXPRESS'!G49))+(COUNTIF('INSTANCE C1'!$G$7:$G$50,'2S EXPRESS'!G49))+(COUNTIF('INSTANCE C2'!$G$7:$G$50,'2S EXPRESS'!G49))+(COUNTIF(INTERNES!$G$7:$G$50,'2S EXPRESS'!G49))+(COUNTIF('EN PANNE'!$G$7:$G$50,'2S EXPRESS'!G49))+(COUNTIF(TJM!$G$7:$G$50,'2S EXPRESS'!G49))-I49</f>
        <v>0</v>
      </c>
      <c r="I49" s="23">
        <f>(COUNTIF('2S EXPRESS'!$A$7:$A$50,'2S EXPRESS'!G49))+(COUNTIF('2 ZT'!$A$7:$A$50,'2S EXPRESS'!G49))+(COUNTIF('GO TRANSPORT'!$A$7:$A$50,'2S EXPRESS'!G49))+(COUNTIF('HMZ - KAIS'!$A$7:$A$50,'2S EXPRESS'!G49))+(COUNTIF('IB TRANSPORT'!$A$7:$A$50,'2S EXPRESS'!G49))+(COUNTIF(JSL!$A$7:$A$50,'2S EXPRESS'!G49))+(COUNTIF(KIFAITOUT!$A$7:$A$50,'2S EXPRESS'!G49))+(COUNTIF('LUXE DRIVE'!$A$7:$A$50,'2S EXPRESS'!G49))+(COUNTIF(SSN!$A$7:$A$50,'2S EXPRESS'!G49))+(COUNTIF('W3'!$A$7:$A$50,'2S EXPRESS'!G49))+(COUNTIF('ATHIS MONS'!$A$7:$A$50,'2S EXPRESS'!G49))+(COUNTIF('L HAY LES ROSES'!$A$7:$A$50,'2S EXPRESS'!G49))+(COUNTIF(RUNGIS!$A$7:$A$50,'2S EXPRESS'!G49))+(COUNTIF(SCEAUX!$A$7:$A$50,'2S EXPRESS'!G49))+(COUNTIF('INSTANCE C1'!$A$7:$A$50,'2S EXPRESS'!G49))+(COUNTIF('INSTANCE C2'!$A$7:$A$50,'2S EXPRESS'!G49))+(COUNTIF(INTERNES!$A$7:$A$50,'2S EXPRESS'!G49))+(COUNTIF('EN PANNE'!$A$7:$A$50,'2S EXPRESS'!G49))+(COUNTIF(TJM!$A$7:$A$50,'2S EXPRESS'!G49))</f>
        <v>0</v>
      </c>
      <c r="J49" s="28">
        <f t="shared" si="4"/>
        <v>0</v>
      </c>
      <c r="K49" s="2"/>
      <c r="L49" s="47"/>
      <c r="S49" s="60">
        <f t="shared" si="1"/>
        <v>0</v>
      </c>
      <c r="T49" s="67">
        <f t="shared" si="2"/>
        <v>0</v>
      </c>
    </row>
    <row r="50" spans="1:20" ht="24.95" customHeight="1" thickBot="1" x14ac:dyDescent="0.25">
      <c r="A50" s="3"/>
      <c r="B50" s="23">
        <f>(COUNTIF('2S EXPRESS'!$A$7:$A$50,'2S EXPRESS'!A50))+(COUNTIF('2 ZT'!$A$7:$A$50,'2S EXPRESS'!A50))+(COUNTIF('GO TRANSPORT'!$A$7:$A$50,'2S EXPRESS'!A50))+(COUNTIF('HMZ - KAIS'!$A$7:$A$50,'2S EXPRESS'!A50))+(COUNTIF('IB TRANSPORT'!$A$7:$A$50,'2S EXPRESS'!A50))+(COUNTIF(JSL!$A$7:$A$50,'2S EXPRESS'!A50))+(COUNTIF(KIFAITOUT!$A$7:$A$50,'2S EXPRESS'!A50))+(COUNTIF('LUXE DRIVE'!$A$7:$A$50,'2S EXPRESS'!A50))+(COUNTIF(SSN!$A$7:$A$50,'2S EXPRESS'!A50))+(COUNTIF('W3'!$A$7:$A$50,'2S EXPRESS'!A50))+(COUNTIF('ATHIS MONS'!$A$7:$A$50,'2S EXPRESS'!A50))+(COUNTIF('L HAY LES ROSES'!$A$7:$A$50,'2S EXPRESS'!A50))+(COUNTIF(RUNGIS!$A$7:$A$50,'2S EXPRESS'!A50))+(COUNTIF(SCEAUX!$A$7:$A$50,'2S EXPRESS'!A50))+(COUNTIF('INSTANCE C1'!$A$7:$A$50,'2S EXPRESS'!A50))+(COUNTIF('INSTANCE C2'!$A$7:$A$50,'2S EXPRESS'!A50))+(COUNTIF(INTERNES!$A$7:$A$50,'2S EXPRESS'!A50))+(COUNTIF('EN PANNE'!$A$7:$A$50,'2S EXPRESS'!A50))+(COUNTIF(TJM!$A$7:$A$50,'2S EXPRESS'!A50))-C50</f>
        <v>0</v>
      </c>
      <c r="C50" s="25">
        <f>(COUNTIF('2S EXPRESS'!$G$7:$G$50,'2S EXPRESS'!A50))+(COUNTIF('2 ZT'!$G$7:$G$50,'2S EXPRESS'!A50))+(COUNTIF('GO TRANSPORT'!$G$7:$G$50,'2S EXPRESS'!A50))+(COUNTIF('2S EXPRESS'!$G$7:$G$50,'2S EXPRESS'!A50))+(COUNTIF('IB TRANSPORT'!$G$7:$G$50,'2S EXPRESS'!A50))+(COUNTIF(JSL!$G$7:$G$50,'2S EXPRESS'!A50))+(COUNTIF(KIFAITOUT!$G$7:$G$50,'2S EXPRESS'!A50))+(COUNTIF('LUXE DRIVE'!$G$7:$G$50,'2S EXPRESS'!A50))+(COUNTIF(SSN!$G$7:$G$50,'2S EXPRESS'!A50))+(COUNTIF('W3'!$G$7:$G$50,'2S EXPRESS'!A50))+(COUNTIF('ATHIS MONS'!$G$7:$G$50,'2S EXPRESS'!A50))+(COUNTIF('L HAY LES ROSES'!$G$7:$G$50,'2S EXPRESS'!A50))+(COUNTIF(RUNGIS!$G$7:$G$50,'2S EXPRESS'!A50))+(COUNTIF(SCEAUX!$G$7:$G$50,'2S EXPRESS'!A50))+(COUNTIF('INSTANCE C1'!$G$7:$G$50,'2S EXPRESS'!A50))+(COUNTIF('INSTANCE C2'!$G$7:$G$50,'2S EXPRESS'!A50))+(COUNTIF(INTERNES!$G$7:$G$50,'2S EXPRESS'!A50))+(COUNTIF('EN PANNE'!$G$7:$G$50,'2S EXPRESS'!A50))+(COUNTIF(TJM!$G$7:$G$50,'2S EXPRESS'!A50))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EXPRESS'!$G$7:$G$50,'2S EXPRESS'!G50))+(COUNTIF('2 ZT'!$G$7:$G$50,'2S EXPRESS'!G50))+(COUNTIF('GO TRANSPORT'!$G$7:$G$50,'2S EXPRESS'!G50))+(COUNTIF('HMZ - KAIS'!$G$7:$G$50,'2S EXPRESS'!G50))+(COUNTIF('IB TRANSPORT'!$G$7:$G$50,'2S EXPRESS'!G50))+(COUNTIF(JSL!$G$7:$G$50,'2S EXPRESS'!G50))+(COUNTIF(KIFAITOUT!$G$7:$G$50,'2S EXPRESS'!G50))+(COUNTIF('LUXE DRIVE'!$G$7:$G$50,'2S EXPRESS'!G50))+(COUNTIF(SSN!$G$7:$G$50,'2S EXPRESS'!G50))+(COUNTIF('W3'!$G$7:$G$50,'2S EXPRESS'!G50))+(COUNTIF('ATHIS MONS'!$G$7:$G$50,'2S EXPRESS'!G50))+(COUNTIF('L HAY LES ROSES'!$G$7:$G$50,'2S EXPRESS'!G50))+(COUNTIF(RUNGIS!$G$7:$G$50,'2S EXPRESS'!G50))+(COUNTIF(SCEAUX!$G$7:$G$50,'2S EXPRESS'!G50))+(COUNTIF('INSTANCE C1'!$G$7:$G$50,'2S EXPRESS'!G50))+(COUNTIF('INSTANCE C2'!$G$7:$G$50,'2S EXPRESS'!G50))+(COUNTIF(INTERNES!$G$7:$G$50,'2S EXPRESS'!G50))+(COUNTIF('EN PANNE'!$G$7:$G$50,'2S EXPRESS'!G50))+(COUNTIF(TJM!$G$7:$G$50,'2S EXPRESS'!G50))-I50</f>
        <v>0</v>
      </c>
      <c r="I50" s="23">
        <f>(COUNTIF('2S EXPRESS'!$A$7:$A$50,'2S EXPRESS'!G50))+(COUNTIF('2 ZT'!$A$7:$A$50,'2S EXPRESS'!G50))+(COUNTIF('GO TRANSPORT'!$A$7:$A$50,'2S EXPRESS'!G50))+(COUNTIF('HMZ - KAIS'!$A$7:$A$50,'2S EXPRESS'!G50))+(COUNTIF('IB TRANSPORT'!$A$7:$A$50,'2S EXPRESS'!G50))+(COUNTIF(JSL!$A$7:$A$50,'2S EXPRESS'!G50))+(COUNTIF(KIFAITOUT!$A$7:$A$50,'2S EXPRESS'!G50))+(COUNTIF('LUXE DRIVE'!$A$7:$A$50,'2S EXPRESS'!G50))+(COUNTIF(SSN!$A$7:$A$50,'2S EXPRESS'!G50))+(COUNTIF('W3'!$A$7:$A$50,'2S EXPRESS'!G50))+(COUNTIF('ATHIS MONS'!$A$7:$A$50,'2S EXPRESS'!G50))+(COUNTIF('L HAY LES ROSES'!$A$7:$A$50,'2S EXPRESS'!G50))+(COUNTIF(RUNGIS!$A$7:$A$50,'2S EXPRESS'!G50))+(COUNTIF(SCEAUX!$A$7:$A$50,'2S EXPRESS'!G50))+(COUNTIF('INSTANCE C1'!$A$7:$A$50,'2S EXPRESS'!G50))+(COUNTIF('INSTANCE C2'!$A$7:$A$50,'2S EXPRESS'!G50))+(COUNTIF(INTERNES!$A$7:$A$50,'2S EXPRESS'!G50))+(COUNTIF('EN PANNE'!$A$7:$A$50,'2S EXPRESS'!G50))+(COUNTIF(TJM!$A$7:$A$50,'2S EXPRESS'!G50))</f>
        <v>0</v>
      </c>
      <c r="J50" s="29">
        <f t="shared" si="4"/>
        <v>0</v>
      </c>
      <c r="K50" s="3"/>
      <c r="L50" s="47"/>
      <c r="S50" s="60">
        <f t="shared" si="1"/>
        <v>0</v>
      </c>
      <c r="T50" s="67">
        <f t="shared" si="2"/>
        <v>0</v>
      </c>
    </row>
    <row r="53" spans="1:20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</row>
  </sheetData>
  <dataConsolidate/>
  <mergeCells count="13">
    <mergeCell ref="B2:E3"/>
    <mergeCell ref="M12:P12"/>
    <mergeCell ref="M8:P8"/>
    <mergeCell ref="M9:P9"/>
    <mergeCell ref="M11:P11"/>
    <mergeCell ref="G2:K3"/>
    <mergeCell ref="A4:E4"/>
    <mergeCell ref="G4:K4"/>
    <mergeCell ref="A5:A6"/>
    <mergeCell ref="E5:E6"/>
    <mergeCell ref="F5:F6"/>
    <mergeCell ref="G5:G6"/>
    <mergeCell ref="K5:K6"/>
  </mergeCells>
  <conditionalFormatting sqref="F7:F50">
    <cfRule type="cellIs" dxfId="194" priority="28" operator="equal">
      <formula>1</formula>
    </cfRule>
  </conditionalFormatting>
  <conditionalFormatting sqref="L7:L50">
    <cfRule type="cellIs" dxfId="193" priority="13" operator="greaterThan">
      <formula>0</formula>
    </cfRule>
  </conditionalFormatting>
  <conditionalFormatting sqref="D7">
    <cfRule type="cellIs" dxfId="192" priority="12" operator="greaterThan">
      <formula>0</formula>
    </cfRule>
  </conditionalFormatting>
  <conditionalFormatting sqref="D8:D50">
    <cfRule type="cellIs" dxfId="191" priority="10" operator="greaterThan">
      <formula>0</formula>
    </cfRule>
  </conditionalFormatting>
  <conditionalFormatting sqref="G7:G50">
    <cfRule type="duplicateValues" dxfId="190" priority="9"/>
  </conditionalFormatting>
  <conditionalFormatting sqref="J7">
    <cfRule type="cellIs" dxfId="189" priority="8" operator="greaterThan">
      <formula>0</formula>
    </cfRule>
  </conditionalFormatting>
  <conditionalFormatting sqref="J8:J50">
    <cfRule type="cellIs" dxfId="188" priority="7" operator="greaterThan">
      <formula>0</formula>
    </cfRule>
  </conditionalFormatting>
  <conditionalFormatting sqref="S7:S50">
    <cfRule type="cellIs" dxfId="187" priority="6" operator="greaterThan">
      <formula>0</formula>
    </cfRule>
  </conditionalFormatting>
  <conditionalFormatting sqref="G7">
    <cfRule type="expression" dxfId="186" priority="2">
      <formula>IF(F7=1,1,0)</formula>
    </cfRule>
  </conditionalFormatting>
  <conditionalFormatting sqref="G8:G50">
    <cfRule type="expression" dxfId="185" priority="1">
      <formula>IF(F8=1,1,0)</formula>
    </cfRule>
  </conditionalFormatting>
  <dataValidations count="1">
    <dataValidation type="list" allowBlank="1" showInputMessage="1" sqref="E7:E50 K7:K50" xr:uid="{4A3C9093-59AF-45F5-B729-5050B0109F56}">
      <formula1>$Q$9:$Q$18</formula1>
    </dataValidation>
  </dataValidations>
  <pageMargins left="0.25" right="0.25" top="0.75" bottom="0.75" header="0.3" footer="0.3"/>
  <pageSetup paperSize="9" scale="88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" operator="containsText" id="{CC6E1847-CEA7-4156-92E8-B8786D745058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>
    <tabColor rgb="FF92D050"/>
    <pageSetUpPr fitToPage="1"/>
  </sheetPr>
  <dimension ref="A1:Z53"/>
  <sheetViews>
    <sheetView showGridLines="0" zoomScaleNormal="100" workbookViewId="0">
      <selection activeCell="A7" sqref="A7"/>
    </sheetView>
  </sheetViews>
  <sheetFormatPr baseColWidth="10" defaultColWidth="11.42578125" defaultRowHeight="12.75" x14ac:dyDescent="0.2"/>
  <cols>
    <col min="1" max="1" width="25.7109375" style="9" customWidth="1"/>
    <col min="2" max="3" width="10.7109375" style="9" hidden="1" customWidth="1"/>
    <col min="4" max="4" width="7.7109375" style="9" customWidth="1"/>
    <col min="5" max="5" width="50.7109375" style="9" customWidth="1"/>
    <col min="6" max="6" width="13.7109375" style="9" customWidth="1"/>
    <col min="7" max="7" width="25.7109375" style="9" customWidth="1"/>
    <col min="8" max="9" width="10.7109375" style="9" hidden="1" customWidth="1"/>
    <col min="10" max="10" width="7.7109375" style="9" customWidth="1"/>
    <col min="11" max="11" width="50.7109375" style="9" customWidth="1"/>
    <col min="12" max="16" width="7.7109375" style="9" customWidth="1"/>
    <col min="17" max="17" width="22.7109375" style="9" hidden="1" customWidth="1"/>
    <col min="18" max="18" width="7.7109375" style="56" hidden="1" customWidth="1"/>
    <col min="19" max="19" width="11.7109375" style="56" hidden="1" customWidth="1"/>
    <col min="20" max="20" width="18.7109375" style="56" hidden="1" customWidth="1"/>
    <col min="21" max="21" width="11.42578125" style="56" customWidth="1"/>
    <col min="22" max="26" width="11.42578125" style="56"/>
    <col min="27" max="16384" width="11.42578125" style="9"/>
  </cols>
  <sheetData>
    <row r="1" spans="1:26" ht="13.5" thickBot="1" x14ac:dyDescent="0.25">
      <c r="A1" s="33"/>
      <c r="B1" s="34"/>
      <c r="C1" s="34"/>
      <c r="D1" s="34"/>
      <c r="E1" s="35"/>
      <c r="F1" s="35"/>
      <c r="G1" s="10"/>
      <c r="H1" s="34"/>
      <c r="I1" s="10"/>
    </row>
    <row r="2" spans="1:26" s="39" customFormat="1" ht="24.95" customHeight="1" x14ac:dyDescent="0.2">
      <c r="A2" s="36"/>
      <c r="B2" s="194" t="s">
        <v>34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38"/>
      <c r="S2" s="38"/>
      <c r="T2" s="71"/>
      <c r="U2" s="71"/>
      <c r="V2" s="71"/>
      <c r="W2" s="71"/>
      <c r="X2" s="71"/>
      <c r="Y2" s="71"/>
      <c r="Z2" s="71"/>
    </row>
    <row r="3" spans="1:26" s="39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38"/>
      <c r="S3" s="38"/>
      <c r="T3" s="71"/>
      <c r="U3" s="71"/>
      <c r="V3" s="71"/>
      <c r="W3" s="71"/>
      <c r="X3" s="71"/>
      <c r="Y3" s="71"/>
      <c r="Z3" s="71"/>
    </row>
    <row r="4" spans="1:26" s="39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43"/>
      <c r="T4" s="43"/>
      <c r="U4" s="71"/>
      <c r="V4" s="71"/>
      <c r="W4" s="71"/>
      <c r="X4" s="71"/>
      <c r="Y4" s="71"/>
      <c r="Z4" s="71"/>
    </row>
    <row r="5" spans="1:26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  <c r="R5" s="72"/>
      <c r="S5" s="72"/>
    </row>
    <row r="6" spans="1:26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  <c r="R6" s="50"/>
      <c r="S6" s="50"/>
    </row>
    <row r="7" spans="1:26" ht="24.95" customHeight="1" thickBot="1" x14ac:dyDescent="0.25">
      <c r="A7" s="19"/>
      <c r="B7" s="22">
        <f>(COUNTIF('2S EXPRESS'!$A$7:$A$50,'2 ZT'!A7))+(COUNTIF('2 ZT'!$A$7:$A$50,'2 ZT'!A7))+(COUNTIF('GO TRANSPORT'!$A$7:$A$50,'2 ZT'!A7))+(COUNTIF('HMZ - KAIS'!$A$7:$A$50,'2 ZT'!A7))+(COUNTIF('IB TRANSPORT'!$A$7:$A$50,'2 ZT'!A7))+(COUNTIF(JSL!$A$7:$A$50,'2 ZT'!A7))+(COUNTIF(KIFAITOUT!$A$7:$A$50,'2 ZT'!A7))+(COUNTIF('LUXE DRIVE'!$A$7:$A$50,'2 ZT'!A7))+(COUNTIF(SSN!$A$7:$A$50,'2 ZT'!A7))+(COUNTIF('W3'!$A$7:$A$50,'2 ZT'!A7))+(COUNTIF('ATHIS MONS'!$A$7:$A$50,'2 ZT'!A7))+(COUNTIF('L HAY LES ROSES'!$A$7:$A$50,'2 ZT'!A7))+(COUNTIF(RUNGIS!$A$7:$A$50,'2 ZT'!A7))+(COUNTIF(SCEAUX!$A$7:$A$50,'2 ZT'!A7))+(COUNTIF('INSTANCE C1'!$A$7:$A$50,'2 ZT'!A7))+(COUNTIF('INSTANCE C2'!$A$7:$A$50,'2 ZT'!A7))+(COUNTIF(INTERNES!$A$7:$A$50,'2 ZT'!A7))+(COUNTIF('EN PANNE'!$A$7:$A$50,'2 ZT'!A7))+(COUNTIF(TJM!$A$7:$A$50,'2 ZT'!A7))-C7</f>
        <v>0</v>
      </c>
      <c r="C7" s="23">
        <f>(COUNTIF('2S EXPRESS'!$G$7:$G$50,'2 ZT'!A7))+(COUNTIF('2 ZT'!$G$7:$G$50,'2 ZT'!A7))+(COUNTIF('GO TRANSPORT'!$G$7:$G$50,'2 ZT'!A7))+(COUNTIF('2 ZT'!$G$7:$G$50,'2 ZT'!A7))+(COUNTIF('IB TRANSPORT'!$G$7:$G$50,'2 ZT'!A7))+(COUNTIF(JSL!$G$7:$G$50,'2 ZT'!A7))+(COUNTIF(KIFAITOUT!$G$7:$G$50,'2 ZT'!A7))+(COUNTIF('LUXE DRIVE'!$G$7:$G$50,'2 ZT'!A7))+(COUNTIF(SSN!$G$7:$G$50,'2 ZT'!A7))+(COUNTIF('W3'!$G$7:$G$50,'2 ZT'!A7))+(COUNTIF('ATHIS MONS'!$G$7:$G$50,'2 ZT'!A7))+(COUNTIF('L HAY LES ROSES'!$G$7:$G$50,'2 ZT'!A7))+(COUNTIF(RUNGIS!$G$7:$G$50,'2 ZT'!A7))+(COUNTIF(SCEAUX!$G$7:$G$50,'2 ZT'!A7))+(COUNTIF('INSTANCE C1'!$G$7:$G$50,'2 ZT'!A7))+(COUNTIF('INSTANCE C2'!$G$7:$G$50,'2 ZT'!A7))+(COUNTIF(INTERNES!$G$7:$G$50,'2 ZT'!A7))+(COUNTIF('EN PANNE'!$G$7:$G$50,'2 ZT'!A7))+(COUNTIF(TJM!$G$7:$G$50,'2 ZT'!A7))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3">
        <f>(COUNTIF('2S EXPRESS'!$G$7:$G$50,'2 ZT'!G7))+(COUNTIF('2 ZT'!$G$7:$G$50,'2 ZT'!G7))+(COUNTIF('GO TRANSPORT'!$G$7:$G$50,'2 ZT'!G7))+(COUNTIF('HMZ - KAIS'!$G$7:$G$50,'2 ZT'!G7))+(COUNTIF('IB TRANSPORT'!$G$7:$G$50,'2 ZT'!G7))+(COUNTIF(JSL!$G$7:$G$50,'2 ZT'!G7))+(COUNTIF(KIFAITOUT!$G$7:$G$50,'2 ZT'!G7))+(COUNTIF('LUXE DRIVE'!$G$7:$G$50,'2 ZT'!G7))+(COUNTIF(SSN!$G$7:$G$50,'2 ZT'!G7))+(COUNTIF('W3'!$G$7:$G$50,'2 ZT'!G7))+(COUNTIF('ATHIS MONS'!$G$7:$G$50,'2 ZT'!G7))+(COUNTIF('L HAY LES ROSES'!$G$7:$G$50,'2 ZT'!G7))+(COUNTIF(RUNGIS!$G$7:$G$50,'2 ZT'!G7))+(COUNTIF(SCEAUX!$G$7:$G$50,'2 ZT'!G7))+(COUNTIF('INSTANCE C1'!$G$7:$G$50,'2 ZT'!G7))+(COUNTIF('INSTANCE C2'!$G$7:$G$50,'2 ZT'!G7))+(COUNTIF(INTERNES!$G$7:$G$50,'2 ZT'!G7))+(COUNTIF('EN PANNE'!$G$7:$G$50,'2 ZT'!G7))+(COUNTIF(TJM!$G$7:$G$50,'2 ZT'!G7))-I7</f>
        <v>0</v>
      </c>
      <c r="I7" s="23">
        <f>(COUNTIF('2 ZT'!$A$7:$A$50,'2 ZT'!G7))+(COUNTIF('2 ZT'!$A$7:$A$50,'2 ZT'!G7))+(COUNTIF('GO TRANSPORT'!$A$7:$A$50,'2 ZT'!G7))+(COUNTIF('HMZ - KAIS'!$A$7:$A$50,'2 ZT'!G7))+(COUNTIF('IB TRANSPORT'!$A$7:$A$50,'2 ZT'!G7))+(COUNTIF(JSL!$A$7:$A$50,'2 ZT'!G7))+(COUNTIF(KIFAITOUT!$A$7:$A$50,'2 ZT'!G7))+(COUNTIF('LUXE DRIVE'!$A$7:$A$50,'2 ZT'!G7))+(COUNTIF(SSN!$A$7:$A$50,'2 ZT'!G7))+(COUNTIF('W3'!$A$7:$A$50,'2 ZT'!G7))+(COUNTIF('ATHIS MONS'!$A$7:$A$50,'2 ZT'!G7))+(COUNTIF('L HAY LES ROSES'!$A$7:$A$50,'2 ZT'!G7))+(COUNTIF(RUNGIS!$A$7:$A$50,'2 ZT'!G7))+(COUNTIF(SCEAUX!$A$7:$A$50,'2 ZT'!G7))+(COUNTIF('INSTANCE C1'!$A$7:$A$50,'2 ZT'!G7))+(COUNTIF('INSTANCE C2'!$A$7:$A$50,'2 ZT'!G7))+(COUNTIF(INTERNES!$A$7:$A$50,'2 ZT'!G7))+(COUNTIF('EN PANNE'!$A$7:$A$50,'2 ZT'!G7))+(COUNTIF(TJM!$A$7:$A$50,'2 ZT'!G7))</f>
        <v>0</v>
      </c>
      <c r="J7" s="27">
        <f>IF(H7&gt;=2,1,0)</f>
        <v>0</v>
      </c>
      <c r="K7" s="1"/>
      <c r="L7" s="47"/>
      <c r="M7" s="48"/>
      <c r="O7" s="48"/>
      <c r="P7" s="48"/>
      <c r="Q7" s="48"/>
      <c r="R7" s="62"/>
      <c r="S7" s="60">
        <f t="shared" ref="S7:S50" si="1">COUNTIF($G$7:$G$50,$A7)</f>
        <v>0</v>
      </c>
      <c r="T7" s="67">
        <f>IF($S7=1,0,$A7)</f>
        <v>0</v>
      </c>
    </row>
    <row r="8" spans="1:26" ht="24.95" customHeight="1" thickBot="1" x14ac:dyDescent="0.25">
      <c r="A8" s="20"/>
      <c r="B8" s="23">
        <f>(COUNTIF('2S EXPRESS'!$A$7:$A$50,'2 ZT'!A8))+(COUNTIF('2 ZT'!$A$7:$A$50,'2 ZT'!A8))+(COUNTIF('GO TRANSPORT'!$A$7:$A$50,'2 ZT'!A8))+(COUNTIF('HMZ - KAIS'!$A$7:$A$50,'2 ZT'!A8))+(COUNTIF('IB TRANSPORT'!$A$7:$A$50,'2 ZT'!A8))+(COUNTIF(JSL!$A$7:$A$50,'2 ZT'!A8))+(COUNTIF(KIFAITOUT!$A$7:$A$50,'2 ZT'!A8))+(COUNTIF('LUXE DRIVE'!$A$7:$A$50,'2 ZT'!A8))+(COUNTIF(SSN!$A$7:$A$50,'2 ZT'!A8))+(COUNTIF('W3'!$A$7:$A$50,'2 ZT'!A8))+(COUNTIF('ATHIS MONS'!$A$7:$A$50,'2 ZT'!A8))+(COUNTIF('L HAY LES ROSES'!$A$7:$A$50,'2 ZT'!A8))+(COUNTIF(RUNGIS!$A$7:$A$50,'2 ZT'!A8))+(COUNTIF(SCEAUX!$A$7:$A$50,'2 ZT'!A8))+(COUNTIF('INSTANCE C1'!$A$7:$A$50,'2 ZT'!A8))+(COUNTIF('INSTANCE C2'!$A$7:$A$50,'2 ZT'!A8))+(COUNTIF(INTERNES!$A$7:$A$50,'2 ZT'!A8))+(COUNTIF('EN PANNE'!$A$7:$A$50,'2 ZT'!A8))+(COUNTIF(TJM!$A$7:$A$50,'2 ZT'!A8))-C8</f>
        <v>0</v>
      </c>
      <c r="C8" s="23">
        <f>(COUNTIF('2S EXPRESS'!$G$7:$G$50,'2 ZT'!A8))+(COUNTIF('2 ZT'!$G$7:$G$50,'2 ZT'!A8))+(COUNTIF('GO TRANSPORT'!$G$7:$G$50,'2 ZT'!A8))+(COUNTIF('2 ZT'!$G$7:$G$50,'2 ZT'!A8))+(COUNTIF('IB TRANSPORT'!$G$7:$G$50,'2 ZT'!A8))+(COUNTIF(JSL!$G$7:$G$50,'2 ZT'!A8))+(COUNTIF(KIFAITOUT!$G$7:$G$50,'2 ZT'!A8))+(COUNTIF('LUXE DRIVE'!$G$7:$G$50,'2 ZT'!A8))+(COUNTIF(SSN!$G$7:$G$50,'2 ZT'!A8))+(COUNTIF('W3'!$G$7:$G$50,'2 ZT'!A8))+(COUNTIF('ATHIS MONS'!$G$7:$G$50,'2 ZT'!A8))+(COUNTIF('L HAY LES ROSES'!$G$7:$G$50,'2 ZT'!A8))+(COUNTIF(RUNGIS!$G$7:$G$50,'2 ZT'!A8))+(COUNTIF(SCEAUX!$G$7:$G$50,'2 ZT'!A8))+(COUNTIF('INSTANCE C1'!$G$7:$G$50,'2 ZT'!A8))+(COUNTIF('INSTANCE C2'!$G$7:$G$50,'2 ZT'!A8))+(COUNTIF(INTERNES!$G$7:$G$50,'2 ZT'!A8))+(COUNTIF('EN PANNE'!$G$7:$G$50,'2 ZT'!A8))+(COUNTIF(TJM!$G$7:$G$50,'2 ZT'!A8))</f>
        <v>0</v>
      </c>
      <c r="D8" s="28">
        <f t="shared" ref="D8:D50" si="2">IF(B8&gt;=2,1,0)</f>
        <v>0</v>
      </c>
      <c r="E8" s="2"/>
      <c r="F8" s="5">
        <f t="shared" si="0"/>
        <v>0</v>
      </c>
      <c r="G8" s="20"/>
      <c r="H8" s="23">
        <f>(COUNTIF('2S EXPRESS'!$G$7:$G$50,'2 ZT'!G8))+(COUNTIF('2 ZT'!$G$7:$G$50,'2 ZT'!G8))+(COUNTIF('GO TRANSPORT'!$G$7:$G$50,'2 ZT'!G8))+(COUNTIF('HMZ - KAIS'!$G$7:$G$50,'2 ZT'!G8))+(COUNTIF('IB TRANSPORT'!$G$7:$G$50,'2 ZT'!G8))+(COUNTIF(JSL!$G$7:$G$50,'2 ZT'!G8))+(COUNTIF(KIFAITOUT!$G$7:$G$50,'2 ZT'!G8))+(COUNTIF('LUXE DRIVE'!$G$7:$G$50,'2 ZT'!G8))+(COUNTIF(SSN!$G$7:$G$50,'2 ZT'!G8))+(COUNTIF('W3'!$G$7:$G$50,'2 ZT'!G8))+(COUNTIF('ATHIS MONS'!$G$7:$G$50,'2 ZT'!G8))+(COUNTIF('L HAY LES ROSES'!$G$7:$G$50,'2 ZT'!G8))+(COUNTIF(RUNGIS!$G$7:$G$50,'2 ZT'!G8))+(COUNTIF(SCEAUX!$G$7:$G$50,'2 ZT'!G8))+(COUNTIF('INSTANCE C1'!$G$7:$G$50,'2 ZT'!G8))+(COUNTIF('INSTANCE C2'!$G$7:$G$50,'2 ZT'!G8))+(COUNTIF(INTERNES!$G$7:$G$50,'2 ZT'!G8))+(COUNTIF('EN PANNE'!$G$7:$G$50,'2 ZT'!G8))+(COUNTIF(TJM!$G$7:$G$50,'2 ZT'!G8))-I8</f>
        <v>0</v>
      </c>
      <c r="I8" s="23">
        <f>(COUNTIF('2 ZT'!$A$7:$A$50,'2 ZT'!G8))+(COUNTIF('2 ZT'!$A$7:$A$50,'2 ZT'!G8))+(COUNTIF('GO TRANSPORT'!$A$7:$A$50,'2 ZT'!G8))+(COUNTIF('HMZ - KAIS'!$A$7:$A$50,'2 ZT'!G8))+(COUNTIF('IB TRANSPORT'!$A$7:$A$50,'2 ZT'!G8))+(COUNTIF(JSL!$A$7:$A$50,'2 ZT'!G8))+(COUNTIF(KIFAITOUT!$A$7:$A$50,'2 ZT'!G8))+(COUNTIF('LUXE DRIVE'!$A$7:$A$50,'2 ZT'!G8))+(COUNTIF(SSN!$A$7:$A$50,'2 ZT'!G8))+(COUNTIF('W3'!$A$7:$A$50,'2 ZT'!G8))+(COUNTIF('ATHIS MONS'!$A$7:$A$50,'2 ZT'!G8))+(COUNTIF('L HAY LES ROSES'!$A$7:$A$50,'2 ZT'!G8))+(COUNTIF(RUNGIS!$A$7:$A$50,'2 ZT'!G8))+(COUNTIF(SCEAUX!$A$7:$A$50,'2 ZT'!G8))+(COUNTIF('INSTANCE C1'!$A$7:$A$50,'2 ZT'!G8))+(COUNTIF('INSTANCE C2'!$A$7:$A$50,'2 ZT'!G8))+(COUNTIF(INTERNES!$A$7:$A$50,'2 ZT'!G8))+(COUNTIF('EN PANNE'!$A$7:$A$50,'2 ZT'!G8))+(COUNTIF(TJM!$A$7:$A$50,'2 ZT'!G8))</f>
        <v>0</v>
      </c>
      <c r="J8" s="28">
        <f t="shared" ref="J8:J50" si="3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62"/>
      <c r="S8" s="60">
        <f t="shared" si="1"/>
        <v>0</v>
      </c>
      <c r="T8" s="67">
        <f t="shared" ref="T8:T50" si="4">IF($S8=1,0,$A8)</f>
        <v>0</v>
      </c>
    </row>
    <row r="9" spans="1:26" ht="24.95" customHeight="1" thickBot="1" x14ac:dyDescent="0.25">
      <c r="A9" s="20"/>
      <c r="B9" s="23">
        <f>(COUNTIF('2S EXPRESS'!$A$7:$A$50,'2 ZT'!A9))+(COUNTIF('2 ZT'!$A$7:$A$50,'2 ZT'!A9))+(COUNTIF('GO TRANSPORT'!$A$7:$A$50,'2 ZT'!A9))+(COUNTIF('HMZ - KAIS'!$A$7:$A$50,'2 ZT'!A9))+(COUNTIF('IB TRANSPORT'!$A$7:$A$50,'2 ZT'!A9))+(COUNTIF(JSL!$A$7:$A$50,'2 ZT'!A9))+(COUNTIF(KIFAITOUT!$A$7:$A$50,'2 ZT'!A9))+(COUNTIF('LUXE DRIVE'!$A$7:$A$50,'2 ZT'!A9))+(COUNTIF(SSN!$A$7:$A$50,'2 ZT'!A9))+(COUNTIF('W3'!$A$7:$A$50,'2 ZT'!A9))+(COUNTIF('ATHIS MONS'!$A$7:$A$50,'2 ZT'!A9))+(COUNTIF('L HAY LES ROSES'!$A$7:$A$50,'2 ZT'!A9))+(COUNTIF(RUNGIS!$A$7:$A$50,'2 ZT'!A9))+(COUNTIF(SCEAUX!$A$7:$A$50,'2 ZT'!A9))+(COUNTIF('INSTANCE C1'!$A$7:$A$50,'2 ZT'!A9))+(COUNTIF('INSTANCE C2'!$A$7:$A$50,'2 ZT'!A9))+(COUNTIF(INTERNES!$A$7:$A$50,'2 ZT'!A9))+(COUNTIF('EN PANNE'!$A$7:$A$50,'2 ZT'!A9))+(COUNTIF(TJM!$A$7:$A$50,'2 ZT'!A9))-C9</f>
        <v>0</v>
      </c>
      <c r="C9" s="23">
        <f>(COUNTIF('2S EXPRESS'!$G$7:$G$50,'2 ZT'!A9))+(COUNTIF('2 ZT'!$G$7:$G$50,'2 ZT'!A9))+(COUNTIF('GO TRANSPORT'!$G$7:$G$50,'2 ZT'!A9))+(COUNTIF('2 ZT'!$G$7:$G$50,'2 ZT'!A9))+(COUNTIF('IB TRANSPORT'!$G$7:$G$50,'2 ZT'!A9))+(COUNTIF(JSL!$G$7:$G$50,'2 ZT'!A9))+(COUNTIF(KIFAITOUT!$G$7:$G$50,'2 ZT'!A9))+(COUNTIF('LUXE DRIVE'!$G$7:$G$50,'2 ZT'!A9))+(COUNTIF(SSN!$G$7:$G$50,'2 ZT'!A9))+(COUNTIF('W3'!$G$7:$G$50,'2 ZT'!A9))+(COUNTIF('ATHIS MONS'!$G$7:$G$50,'2 ZT'!A9))+(COUNTIF('L HAY LES ROSES'!$G$7:$G$50,'2 ZT'!A9))+(COUNTIF(RUNGIS!$G$7:$G$50,'2 ZT'!A9))+(COUNTIF(SCEAUX!$G$7:$G$50,'2 ZT'!A9))+(COUNTIF('INSTANCE C1'!$G$7:$G$50,'2 ZT'!A9))+(COUNTIF('INSTANCE C2'!$G$7:$G$50,'2 ZT'!A9))+(COUNTIF(INTERNES!$G$7:$G$50,'2 ZT'!A9))+(COUNTIF('EN PANNE'!$G$7:$G$50,'2 ZT'!A9))+(COUNTIF(TJM!$G$7:$G$50,'2 ZT'!A9))</f>
        <v>0</v>
      </c>
      <c r="D9" s="28">
        <f t="shared" si="2"/>
        <v>0</v>
      </c>
      <c r="E9" s="2"/>
      <c r="F9" s="5">
        <f t="shared" si="0"/>
        <v>0</v>
      </c>
      <c r="G9" s="20"/>
      <c r="H9" s="23">
        <f>(COUNTIF('2S EXPRESS'!$G$7:$G$50,'2 ZT'!G9))+(COUNTIF('2 ZT'!$G$7:$G$50,'2 ZT'!G9))+(COUNTIF('GO TRANSPORT'!$G$7:$G$50,'2 ZT'!G9))+(COUNTIF('HMZ - KAIS'!$G$7:$G$50,'2 ZT'!G9))+(COUNTIF('IB TRANSPORT'!$G$7:$G$50,'2 ZT'!G9))+(COUNTIF(JSL!$G$7:$G$50,'2 ZT'!G9))+(COUNTIF(KIFAITOUT!$G$7:$G$50,'2 ZT'!G9))+(COUNTIF('LUXE DRIVE'!$G$7:$G$50,'2 ZT'!G9))+(COUNTIF(SSN!$G$7:$G$50,'2 ZT'!G9))+(COUNTIF('W3'!$G$7:$G$50,'2 ZT'!G9))+(COUNTIF('ATHIS MONS'!$G$7:$G$50,'2 ZT'!G9))+(COUNTIF('L HAY LES ROSES'!$G$7:$G$50,'2 ZT'!G9))+(COUNTIF(RUNGIS!$G$7:$G$50,'2 ZT'!G9))+(COUNTIF(SCEAUX!$G$7:$G$50,'2 ZT'!G9))+(COUNTIF('INSTANCE C1'!$G$7:$G$50,'2 ZT'!G9))+(COUNTIF('INSTANCE C2'!$G$7:$G$50,'2 ZT'!G9))+(COUNTIF(INTERNES!$G$7:$G$50,'2 ZT'!G9))+(COUNTIF('EN PANNE'!$G$7:$G$50,'2 ZT'!G9))+(COUNTIF(TJM!$G$7:$G$50,'2 ZT'!G9))-I9</f>
        <v>0</v>
      </c>
      <c r="I9" s="23">
        <f>(COUNTIF('2 ZT'!$A$7:$A$50,'2 ZT'!G9))+(COUNTIF('2 ZT'!$A$7:$A$50,'2 ZT'!G9))+(COUNTIF('GO TRANSPORT'!$A$7:$A$50,'2 ZT'!G9))+(COUNTIF('HMZ - KAIS'!$A$7:$A$50,'2 ZT'!G9))+(COUNTIF('IB TRANSPORT'!$A$7:$A$50,'2 ZT'!G9))+(COUNTIF(JSL!$A$7:$A$50,'2 ZT'!G9))+(COUNTIF(KIFAITOUT!$A$7:$A$50,'2 ZT'!G9))+(COUNTIF('LUXE DRIVE'!$A$7:$A$50,'2 ZT'!G9))+(COUNTIF(SSN!$A$7:$A$50,'2 ZT'!G9))+(COUNTIF('W3'!$A$7:$A$50,'2 ZT'!G9))+(COUNTIF('ATHIS MONS'!$A$7:$A$50,'2 ZT'!G9))+(COUNTIF('L HAY LES ROSES'!$A$7:$A$50,'2 ZT'!G9))+(COUNTIF(RUNGIS!$A$7:$A$50,'2 ZT'!G9))+(COUNTIF(SCEAUX!$A$7:$A$50,'2 ZT'!G9))+(COUNTIF('INSTANCE C1'!$A$7:$A$50,'2 ZT'!G9))+(COUNTIF('INSTANCE C2'!$A$7:$A$50,'2 ZT'!G9))+(COUNTIF(INTERNES!$A$7:$A$50,'2 ZT'!G9))+(COUNTIF('EN PANNE'!$A$7:$A$50,'2 ZT'!G9))+(COUNTIF(TJM!$A$7:$A$50,'2 ZT'!G9))</f>
        <v>0</v>
      </c>
      <c r="J9" s="28">
        <f t="shared" si="3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62"/>
      <c r="S9" s="60">
        <f t="shared" si="1"/>
        <v>0</v>
      </c>
      <c r="T9" s="67">
        <f t="shared" si="4"/>
        <v>0</v>
      </c>
    </row>
    <row r="10" spans="1:26" ht="24.95" customHeight="1" thickBot="1" x14ac:dyDescent="0.25">
      <c r="A10" s="20"/>
      <c r="B10" s="23">
        <f>(COUNTIF('2S EXPRESS'!$A$7:$A$50,'2 ZT'!A10))+(COUNTIF('2 ZT'!$A$7:$A$50,'2 ZT'!A10))+(COUNTIF('GO TRANSPORT'!$A$7:$A$50,'2 ZT'!A10))+(COUNTIF('HMZ - KAIS'!$A$7:$A$50,'2 ZT'!A10))+(COUNTIF('IB TRANSPORT'!$A$7:$A$50,'2 ZT'!A10))+(COUNTIF(JSL!$A$7:$A$50,'2 ZT'!A10))+(COUNTIF(KIFAITOUT!$A$7:$A$50,'2 ZT'!A10))+(COUNTIF('LUXE DRIVE'!$A$7:$A$50,'2 ZT'!A10))+(COUNTIF(SSN!$A$7:$A$50,'2 ZT'!A10))+(COUNTIF('W3'!$A$7:$A$50,'2 ZT'!A10))+(COUNTIF('ATHIS MONS'!$A$7:$A$50,'2 ZT'!A10))+(COUNTIF('L HAY LES ROSES'!$A$7:$A$50,'2 ZT'!A10))+(COUNTIF(RUNGIS!$A$7:$A$50,'2 ZT'!A10))+(COUNTIF(SCEAUX!$A$7:$A$50,'2 ZT'!A10))+(COUNTIF('INSTANCE C1'!$A$7:$A$50,'2 ZT'!A10))+(COUNTIF('INSTANCE C2'!$A$7:$A$50,'2 ZT'!A10))+(COUNTIF(INTERNES!$A$7:$A$50,'2 ZT'!A10))+(COUNTIF('EN PANNE'!$A$7:$A$50,'2 ZT'!A10))+(COUNTIF(TJM!$A$7:$A$50,'2 ZT'!A10))-C10</f>
        <v>0</v>
      </c>
      <c r="C10" s="23">
        <f>(COUNTIF('2S EXPRESS'!$G$7:$G$50,'2 ZT'!A10))+(COUNTIF('2 ZT'!$G$7:$G$50,'2 ZT'!A10))+(COUNTIF('GO TRANSPORT'!$G$7:$G$50,'2 ZT'!A10))+(COUNTIF('2 ZT'!$G$7:$G$50,'2 ZT'!A10))+(COUNTIF('IB TRANSPORT'!$G$7:$G$50,'2 ZT'!A10))+(COUNTIF(JSL!$G$7:$G$50,'2 ZT'!A10))+(COUNTIF(KIFAITOUT!$G$7:$G$50,'2 ZT'!A10))+(COUNTIF('LUXE DRIVE'!$G$7:$G$50,'2 ZT'!A10))+(COUNTIF(SSN!$G$7:$G$50,'2 ZT'!A10))+(COUNTIF('W3'!$G$7:$G$50,'2 ZT'!A10))+(COUNTIF('ATHIS MONS'!$G$7:$G$50,'2 ZT'!A10))+(COUNTIF('L HAY LES ROSES'!$G$7:$G$50,'2 ZT'!A10))+(COUNTIF(RUNGIS!$G$7:$G$50,'2 ZT'!A10))+(COUNTIF(SCEAUX!$G$7:$G$50,'2 ZT'!A10))+(COUNTIF('INSTANCE C1'!$G$7:$G$50,'2 ZT'!A10))+(COUNTIF('INSTANCE C2'!$G$7:$G$50,'2 ZT'!A10))+(COUNTIF(INTERNES!$G$7:$G$50,'2 ZT'!A10))+(COUNTIF('EN PANNE'!$G$7:$G$50,'2 ZT'!A10))+(COUNTIF(TJM!$G$7:$G$50,'2 ZT'!A10))</f>
        <v>0</v>
      </c>
      <c r="D10" s="28">
        <f t="shared" si="2"/>
        <v>0</v>
      </c>
      <c r="E10" s="2"/>
      <c r="F10" s="5">
        <f t="shared" si="0"/>
        <v>0</v>
      </c>
      <c r="G10" s="20"/>
      <c r="H10" s="23">
        <f>(COUNTIF('2S EXPRESS'!$G$7:$G$50,'2 ZT'!G10))+(COUNTIF('2 ZT'!$G$7:$G$50,'2 ZT'!G10))+(COUNTIF('GO TRANSPORT'!$G$7:$G$50,'2 ZT'!G10))+(COUNTIF('HMZ - KAIS'!$G$7:$G$50,'2 ZT'!G10))+(COUNTIF('IB TRANSPORT'!$G$7:$G$50,'2 ZT'!G10))+(COUNTIF(JSL!$G$7:$G$50,'2 ZT'!G10))+(COUNTIF(KIFAITOUT!$G$7:$G$50,'2 ZT'!G10))+(COUNTIF('LUXE DRIVE'!$G$7:$G$50,'2 ZT'!G10))+(COUNTIF(SSN!$G$7:$G$50,'2 ZT'!G10))+(COUNTIF('W3'!$G$7:$G$50,'2 ZT'!G10))+(COUNTIF('ATHIS MONS'!$G$7:$G$50,'2 ZT'!G10))+(COUNTIF('L HAY LES ROSES'!$G$7:$G$50,'2 ZT'!G10))+(COUNTIF(RUNGIS!$G$7:$G$50,'2 ZT'!G10))+(COUNTIF(SCEAUX!$G$7:$G$50,'2 ZT'!G10))+(COUNTIF('INSTANCE C1'!$G$7:$G$50,'2 ZT'!G10))+(COUNTIF('INSTANCE C2'!$G$7:$G$50,'2 ZT'!G10))+(COUNTIF(INTERNES!$G$7:$G$50,'2 ZT'!G10))+(COUNTIF('EN PANNE'!$G$7:$G$50,'2 ZT'!G10))+(COUNTIF(TJM!$G$7:$G$50,'2 ZT'!G10))-I10</f>
        <v>0</v>
      </c>
      <c r="I10" s="23">
        <f>(COUNTIF('2 ZT'!$A$7:$A$50,'2 ZT'!G10))+(COUNTIF('2 ZT'!$A$7:$A$50,'2 ZT'!G10))+(COUNTIF('GO TRANSPORT'!$A$7:$A$50,'2 ZT'!G10))+(COUNTIF('HMZ - KAIS'!$A$7:$A$50,'2 ZT'!G10))+(COUNTIF('IB TRANSPORT'!$A$7:$A$50,'2 ZT'!G10))+(COUNTIF(JSL!$A$7:$A$50,'2 ZT'!G10))+(COUNTIF(KIFAITOUT!$A$7:$A$50,'2 ZT'!G10))+(COUNTIF('LUXE DRIVE'!$A$7:$A$50,'2 ZT'!G10))+(COUNTIF(SSN!$A$7:$A$50,'2 ZT'!G10))+(COUNTIF('W3'!$A$7:$A$50,'2 ZT'!G10))+(COUNTIF('ATHIS MONS'!$A$7:$A$50,'2 ZT'!G10))+(COUNTIF('L HAY LES ROSES'!$A$7:$A$50,'2 ZT'!G10))+(COUNTIF(RUNGIS!$A$7:$A$50,'2 ZT'!G10))+(COUNTIF(SCEAUX!$A$7:$A$50,'2 ZT'!G10))+(COUNTIF('INSTANCE C1'!$A$7:$A$50,'2 ZT'!G10))+(COUNTIF('INSTANCE C2'!$A$7:$A$50,'2 ZT'!G10))+(COUNTIF(INTERNES!$A$7:$A$50,'2 ZT'!G10))+(COUNTIF('EN PANNE'!$A$7:$A$50,'2 ZT'!G10))+(COUNTIF(TJM!$A$7:$A$50,'2 ZT'!G10))</f>
        <v>0</v>
      </c>
      <c r="J10" s="28">
        <f t="shared" si="3"/>
        <v>0</v>
      </c>
      <c r="K10" s="2"/>
      <c r="L10" s="47"/>
      <c r="M10" s="48"/>
      <c r="N10" s="45"/>
      <c r="O10" s="48"/>
      <c r="P10" s="48"/>
      <c r="Q10" s="50" t="s">
        <v>25</v>
      </c>
      <c r="R10" s="62"/>
      <c r="S10" s="60">
        <f t="shared" si="1"/>
        <v>0</v>
      </c>
      <c r="T10" s="67">
        <f t="shared" si="4"/>
        <v>0</v>
      </c>
    </row>
    <row r="11" spans="1:26" ht="24.95" customHeight="1" thickBot="1" x14ac:dyDescent="0.25">
      <c r="A11" s="20"/>
      <c r="B11" s="23">
        <f>(COUNTIF('2S EXPRESS'!$A$7:$A$50,'2 ZT'!A11))+(COUNTIF('2 ZT'!$A$7:$A$50,'2 ZT'!A11))+(COUNTIF('GO TRANSPORT'!$A$7:$A$50,'2 ZT'!A11))+(COUNTIF('HMZ - KAIS'!$A$7:$A$50,'2 ZT'!A11))+(COUNTIF('IB TRANSPORT'!$A$7:$A$50,'2 ZT'!A11))+(COUNTIF(JSL!$A$7:$A$50,'2 ZT'!A11))+(COUNTIF(KIFAITOUT!$A$7:$A$50,'2 ZT'!A11))+(COUNTIF('LUXE DRIVE'!$A$7:$A$50,'2 ZT'!A11))+(COUNTIF(SSN!$A$7:$A$50,'2 ZT'!A11))+(COUNTIF('W3'!$A$7:$A$50,'2 ZT'!A11))+(COUNTIF('ATHIS MONS'!$A$7:$A$50,'2 ZT'!A11))+(COUNTIF('L HAY LES ROSES'!$A$7:$A$50,'2 ZT'!A11))+(COUNTIF(RUNGIS!$A$7:$A$50,'2 ZT'!A11))+(COUNTIF(SCEAUX!$A$7:$A$50,'2 ZT'!A11))+(COUNTIF('INSTANCE C1'!$A$7:$A$50,'2 ZT'!A11))+(COUNTIF('INSTANCE C2'!$A$7:$A$50,'2 ZT'!A11))+(COUNTIF(INTERNES!$A$7:$A$50,'2 ZT'!A11))+(COUNTIF('EN PANNE'!$A$7:$A$50,'2 ZT'!A11))+(COUNTIF(TJM!$A$7:$A$50,'2 ZT'!A11))-C11</f>
        <v>0</v>
      </c>
      <c r="C11" s="23">
        <f>(COUNTIF('2S EXPRESS'!$G$7:$G$50,'2 ZT'!A11))+(COUNTIF('2 ZT'!$G$7:$G$50,'2 ZT'!A11))+(COUNTIF('GO TRANSPORT'!$G$7:$G$50,'2 ZT'!A11))+(COUNTIF('2 ZT'!$G$7:$G$50,'2 ZT'!A11))+(COUNTIF('IB TRANSPORT'!$G$7:$G$50,'2 ZT'!A11))+(COUNTIF(JSL!$G$7:$G$50,'2 ZT'!A11))+(COUNTIF(KIFAITOUT!$G$7:$G$50,'2 ZT'!A11))+(COUNTIF('LUXE DRIVE'!$G$7:$G$50,'2 ZT'!A11))+(COUNTIF(SSN!$G$7:$G$50,'2 ZT'!A11))+(COUNTIF('W3'!$G$7:$G$50,'2 ZT'!A11))+(COUNTIF('ATHIS MONS'!$G$7:$G$50,'2 ZT'!A11))+(COUNTIF('L HAY LES ROSES'!$G$7:$G$50,'2 ZT'!A11))+(COUNTIF(RUNGIS!$G$7:$G$50,'2 ZT'!A11))+(COUNTIF(SCEAUX!$G$7:$G$50,'2 ZT'!A11))+(COUNTIF('INSTANCE C1'!$G$7:$G$50,'2 ZT'!A11))+(COUNTIF('INSTANCE C2'!$G$7:$G$50,'2 ZT'!A11))+(COUNTIF(INTERNES!$G$7:$G$50,'2 ZT'!A11))+(COUNTIF('EN PANNE'!$G$7:$G$50,'2 ZT'!A11))+(COUNTIF(TJM!$G$7:$G$50,'2 ZT'!A11))</f>
        <v>0</v>
      </c>
      <c r="D11" s="28">
        <f t="shared" si="2"/>
        <v>0</v>
      </c>
      <c r="E11" s="2"/>
      <c r="F11" s="5">
        <f t="shared" si="0"/>
        <v>0</v>
      </c>
      <c r="G11" s="20"/>
      <c r="H11" s="23">
        <f>(COUNTIF('2S EXPRESS'!$G$7:$G$50,'2 ZT'!G11))+(COUNTIF('2 ZT'!$G$7:$G$50,'2 ZT'!G11))+(COUNTIF('GO TRANSPORT'!$G$7:$G$50,'2 ZT'!G11))+(COUNTIF('HMZ - KAIS'!$G$7:$G$50,'2 ZT'!G11))+(COUNTIF('IB TRANSPORT'!$G$7:$G$50,'2 ZT'!G11))+(COUNTIF(JSL!$G$7:$G$50,'2 ZT'!G11))+(COUNTIF(KIFAITOUT!$G$7:$G$50,'2 ZT'!G11))+(COUNTIF('LUXE DRIVE'!$G$7:$G$50,'2 ZT'!G11))+(COUNTIF(SSN!$G$7:$G$50,'2 ZT'!G11))+(COUNTIF('W3'!$G$7:$G$50,'2 ZT'!G11))+(COUNTIF('ATHIS MONS'!$G$7:$G$50,'2 ZT'!G11))+(COUNTIF('L HAY LES ROSES'!$G$7:$G$50,'2 ZT'!G11))+(COUNTIF(RUNGIS!$G$7:$G$50,'2 ZT'!G11))+(COUNTIF(SCEAUX!$G$7:$G$50,'2 ZT'!G11))+(COUNTIF('INSTANCE C1'!$G$7:$G$50,'2 ZT'!G11))+(COUNTIF('INSTANCE C2'!$G$7:$G$50,'2 ZT'!G11))+(COUNTIF(INTERNES!$G$7:$G$50,'2 ZT'!G11))+(COUNTIF('EN PANNE'!$G$7:$G$50,'2 ZT'!G11))+(COUNTIF(TJM!$G$7:$G$50,'2 ZT'!G11))-I11</f>
        <v>0</v>
      </c>
      <c r="I11" s="23">
        <f>(COUNTIF('2 ZT'!$A$7:$A$50,'2 ZT'!G11))+(COUNTIF('2 ZT'!$A$7:$A$50,'2 ZT'!G11))+(COUNTIF('GO TRANSPORT'!$A$7:$A$50,'2 ZT'!G11))+(COUNTIF('HMZ - KAIS'!$A$7:$A$50,'2 ZT'!G11))+(COUNTIF('IB TRANSPORT'!$A$7:$A$50,'2 ZT'!G11))+(COUNTIF(JSL!$A$7:$A$50,'2 ZT'!G11))+(COUNTIF(KIFAITOUT!$A$7:$A$50,'2 ZT'!G11))+(COUNTIF('LUXE DRIVE'!$A$7:$A$50,'2 ZT'!G11))+(COUNTIF(SSN!$A$7:$A$50,'2 ZT'!G11))+(COUNTIF('W3'!$A$7:$A$50,'2 ZT'!G11))+(COUNTIF('ATHIS MONS'!$A$7:$A$50,'2 ZT'!G11))+(COUNTIF('L HAY LES ROSES'!$A$7:$A$50,'2 ZT'!G11))+(COUNTIF(RUNGIS!$A$7:$A$50,'2 ZT'!G11))+(COUNTIF(SCEAUX!$A$7:$A$50,'2 ZT'!G11))+(COUNTIF('INSTANCE C1'!$A$7:$A$50,'2 ZT'!G11))+(COUNTIF('INSTANCE C2'!$A$7:$A$50,'2 ZT'!G11))+(COUNTIF(INTERNES!$A$7:$A$50,'2 ZT'!G11))+(COUNTIF('EN PANNE'!$A$7:$A$50,'2 ZT'!G11))+(COUNTIF(TJM!$A$7:$A$50,'2 ZT'!G11))</f>
        <v>0</v>
      </c>
      <c r="J11" s="28">
        <f t="shared" si="3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R11" s="62"/>
      <c r="S11" s="60">
        <f t="shared" si="1"/>
        <v>0</v>
      </c>
      <c r="T11" s="67">
        <f t="shared" si="4"/>
        <v>0</v>
      </c>
    </row>
    <row r="12" spans="1:26" ht="24.95" customHeight="1" thickBot="1" x14ac:dyDescent="0.25">
      <c r="A12" s="20"/>
      <c r="B12" s="23">
        <f>(COUNTIF('2S EXPRESS'!$A$7:$A$50,'2 ZT'!A12))+(COUNTIF('2 ZT'!$A$7:$A$50,'2 ZT'!A12))+(COUNTIF('GO TRANSPORT'!$A$7:$A$50,'2 ZT'!A12))+(COUNTIF('HMZ - KAIS'!$A$7:$A$50,'2 ZT'!A12))+(COUNTIF('IB TRANSPORT'!$A$7:$A$50,'2 ZT'!A12))+(COUNTIF(JSL!$A$7:$A$50,'2 ZT'!A12))+(COUNTIF(KIFAITOUT!$A$7:$A$50,'2 ZT'!A12))+(COUNTIF('LUXE DRIVE'!$A$7:$A$50,'2 ZT'!A12))+(COUNTIF(SSN!$A$7:$A$50,'2 ZT'!A12))+(COUNTIF('W3'!$A$7:$A$50,'2 ZT'!A12))+(COUNTIF('ATHIS MONS'!$A$7:$A$50,'2 ZT'!A12))+(COUNTIF('L HAY LES ROSES'!$A$7:$A$50,'2 ZT'!A12))+(COUNTIF(RUNGIS!$A$7:$A$50,'2 ZT'!A12))+(COUNTIF(SCEAUX!$A$7:$A$50,'2 ZT'!A12))+(COUNTIF('INSTANCE C1'!$A$7:$A$50,'2 ZT'!A12))+(COUNTIF('INSTANCE C2'!$A$7:$A$50,'2 ZT'!A12))+(COUNTIF(INTERNES!$A$7:$A$50,'2 ZT'!A12))+(COUNTIF('EN PANNE'!$A$7:$A$50,'2 ZT'!A12))+(COUNTIF(TJM!$A$7:$A$50,'2 ZT'!A12))-C12</f>
        <v>0</v>
      </c>
      <c r="C12" s="23">
        <f>(COUNTIF('2S EXPRESS'!$G$7:$G$50,'2 ZT'!A12))+(COUNTIF('2 ZT'!$G$7:$G$50,'2 ZT'!A12))+(COUNTIF('GO TRANSPORT'!$G$7:$G$50,'2 ZT'!A12))+(COUNTIF('2 ZT'!$G$7:$G$50,'2 ZT'!A12))+(COUNTIF('IB TRANSPORT'!$G$7:$G$50,'2 ZT'!A12))+(COUNTIF(JSL!$G$7:$G$50,'2 ZT'!A12))+(COUNTIF(KIFAITOUT!$G$7:$G$50,'2 ZT'!A12))+(COUNTIF('LUXE DRIVE'!$G$7:$G$50,'2 ZT'!A12))+(COUNTIF(SSN!$G$7:$G$50,'2 ZT'!A12))+(COUNTIF('W3'!$G$7:$G$50,'2 ZT'!A12))+(COUNTIF('ATHIS MONS'!$G$7:$G$50,'2 ZT'!A12))+(COUNTIF('L HAY LES ROSES'!$G$7:$G$50,'2 ZT'!A12))+(COUNTIF(RUNGIS!$G$7:$G$50,'2 ZT'!A12))+(COUNTIF(SCEAUX!$G$7:$G$50,'2 ZT'!A12))+(COUNTIF('INSTANCE C1'!$G$7:$G$50,'2 ZT'!A12))+(COUNTIF('INSTANCE C2'!$G$7:$G$50,'2 ZT'!A12))+(COUNTIF(INTERNES!$G$7:$G$50,'2 ZT'!A12))+(COUNTIF('EN PANNE'!$G$7:$G$50,'2 ZT'!A12))+(COUNTIF(TJM!$G$7:$G$50,'2 ZT'!A12))</f>
        <v>0</v>
      </c>
      <c r="D12" s="28">
        <f t="shared" si="2"/>
        <v>0</v>
      </c>
      <c r="E12" s="2"/>
      <c r="F12" s="5">
        <f t="shared" si="0"/>
        <v>0</v>
      </c>
      <c r="G12" s="20"/>
      <c r="H12" s="23">
        <f>(COUNTIF('2S EXPRESS'!$G$7:$G$50,'2 ZT'!G12))+(COUNTIF('2 ZT'!$G$7:$G$50,'2 ZT'!G12))+(COUNTIF('GO TRANSPORT'!$G$7:$G$50,'2 ZT'!G12))+(COUNTIF('HMZ - KAIS'!$G$7:$G$50,'2 ZT'!G12))+(COUNTIF('IB TRANSPORT'!$G$7:$G$50,'2 ZT'!G12))+(COUNTIF(JSL!$G$7:$G$50,'2 ZT'!G12))+(COUNTIF(KIFAITOUT!$G$7:$G$50,'2 ZT'!G12))+(COUNTIF('LUXE DRIVE'!$G$7:$G$50,'2 ZT'!G12))+(COUNTIF(SSN!$G$7:$G$50,'2 ZT'!G12))+(COUNTIF('W3'!$G$7:$G$50,'2 ZT'!G12))+(COUNTIF('ATHIS MONS'!$G$7:$G$50,'2 ZT'!G12))+(COUNTIF('L HAY LES ROSES'!$G$7:$G$50,'2 ZT'!G12))+(COUNTIF(RUNGIS!$G$7:$G$50,'2 ZT'!G12))+(COUNTIF(SCEAUX!$G$7:$G$50,'2 ZT'!G12))+(COUNTIF('INSTANCE C1'!$G$7:$G$50,'2 ZT'!G12))+(COUNTIF('INSTANCE C2'!$G$7:$G$50,'2 ZT'!G12))+(COUNTIF(INTERNES!$G$7:$G$50,'2 ZT'!G12))+(COUNTIF('EN PANNE'!$G$7:$G$50,'2 ZT'!G12))+(COUNTIF(TJM!$G$7:$G$50,'2 ZT'!G12))-I12</f>
        <v>0</v>
      </c>
      <c r="I12" s="23">
        <f>(COUNTIF('2 ZT'!$A$7:$A$50,'2 ZT'!G12))+(COUNTIF('2 ZT'!$A$7:$A$50,'2 ZT'!G12))+(COUNTIF('GO TRANSPORT'!$A$7:$A$50,'2 ZT'!G12))+(COUNTIF('HMZ - KAIS'!$A$7:$A$50,'2 ZT'!G12))+(COUNTIF('IB TRANSPORT'!$A$7:$A$50,'2 ZT'!G12))+(COUNTIF(JSL!$A$7:$A$50,'2 ZT'!G12))+(COUNTIF(KIFAITOUT!$A$7:$A$50,'2 ZT'!G12))+(COUNTIF('LUXE DRIVE'!$A$7:$A$50,'2 ZT'!G12))+(COUNTIF(SSN!$A$7:$A$50,'2 ZT'!G12))+(COUNTIF('W3'!$A$7:$A$50,'2 ZT'!G12))+(COUNTIF('ATHIS MONS'!$A$7:$A$50,'2 ZT'!G12))+(COUNTIF('L HAY LES ROSES'!$A$7:$A$50,'2 ZT'!G12))+(COUNTIF(RUNGIS!$A$7:$A$50,'2 ZT'!G12))+(COUNTIF(SCEAUX!$A$7:$A$50,'2 ZT'!G12))+(COUNTIF('INSTANCE C1'!$A$7:$A$50,'2 ZT'!G12))+(COUNTIF('INSTANCE C2'!$A$7:$A$50,'2 ZT'!G12))+(COUNTIF(INTERNES!$A$7:$A$50,'2 ZT'!G12))+(COUNTIF('EN PANNE'!$A$7:$A$50,'2 ZT'!G12))+(COUNTIF(TJM!$A$7:$A$50,'2 ZT'!G12))</f>
        <v>0</v>
      </c>
      <c r="J12" s="28">
        <f t="shared" si="3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R12" s="62"/>
      <c r="S12" s="60">
        <f t="shared" si="1"/>
        <v>0</v>
      </c>
      <c r="T12" s="67">
        <f t="shared" si="4"/>
        <v>0</v>
      </c>
    </row>
    <row r="13" spans="1:26" ht="24.95" customHeight="1" x14ac:dyDescent="0.2">
      <c r="A13" s="20"/>
      <c r="B13" s="23">
        <f>(COUNTIF('2S EXPRESS'!$A$7:$A$50,'2 ZT'!A13))+(COUNTIF('2 ZT'!$A$7:$A$50,'2 ZT'!A13))+(COUNTIF('GO TRANSPORT'!$A$7:$A$50,'2 ZT'!A13))+(COUNTIF('HMZ - KAIS'!$A$7:$A$50,'2 ZT'!A13))+(COUNTIF('IB TRANSPORT'!$A$7:$A$50,'2 ZT'!A13))+(COUNTIF(JSL!$A$7:$A$50,'2 ZT'!A13))+(COUNTIF(KIFAITOUT!$A$7:$A$50,'2 ZT'!A13))+(COUNTIF('LUXE DRIVE'!$A$7:$A$50,'2 ZT'!A13))+(COUNTIF(SSN!$A$7:$A$50,'2 ZT'!A13))+(COUNTIF('W3'!$A$7:$A$50,'2 ZT'!A13))+(COUNTIF('ATHIS MONS'!$A$7:$A$50,'2 ZT'!A13))+(COUNTIF('L HAY LES ROSES'!$A$7:$A$50,'2 ZT'!A13))+(COUNTIF(RUNGIS!$A$7:$A$50,'2 ZT'!A13))+(COUNTIF(SCEAUX!$A$7:$A$50,'2 ZT'!A13))+(COUNTIF('INSTANCE C1'!$A$7:$A$50,'2 ZT'!A13))+(COUNTIF('INSTANCE C2'!$A$7:$A$50,'2 ZT'!A13))+(COUNTIF(INTERNES!$A$7:$A$50,'2 ZT'!A13))+(COUNTIF('EN PANNE'!$A$7:$A$50,'2 ZT'!A13))+(COUNTIF(TJM!$A$7:$A$50,'2 ZT'!A13))-C13</f>
        <v>0</v>
      </c>
      <c r="C13" s="23">
        <f>(COUNTIF('2S EXPRESS'!$G$7:$G$50,'2 ZT'!A13))+(COUNTIF('2 ZT'!$G$7:$G$50,'2 ZT'!A13))+(COUNTIF('GO TRANSPORT'!$G$7:$G$50,'2 ZT'!A13))+(COUNTIF('2 ZT'!$G$7:$G$50,'2 ZT'!A13))+(COUNTIF('IB TRANSPORT'!$G$7:$G$50,'2 ZT'!A13))+(COUNTIF(JSL!$G$7:$G$50,'2 ZT'!A13))+(COUNTIF(KIFAITOUT!$G$7:$G$50,'2 ZT'!A13))+(COUNTIF('LUXE DRIVE'!$G$7:$G$50,'2 ZT'!A13))+(COUNTIF(SSN!$G$7:$G$50,'2 ZT'!A13))+(COUNTIF('W3'!$G$7:$G$50,'2 ZT'!A13))+(COUNTIF('ATHIS MONS'!$G$7:$G$50,'2 ZT'!A13))+(COUNTIF('L HAY LES ROSES'!$G$7:$G$50,'2 ZT'!A13))+(COUNTIF(RUNGIS!$G$7:$G$50,'2 ZT'!A13))+(COUNTIF(SCEAUX!$G$7:$G$50,'2 ZT'!A13))+(COUNTIF('INSTANCE C1'!$G$7:$G$50,'2 ZT'!A13))+(COUNTIF('INSTANCE C2'!$G$7:$G$50,'2 ZT'!A13))+(COUNTIF(INTERNES!$G$7:$G$50,'2 ZT'!A13))+(COUNTIF('EN PANNE'!$G$7:$G$50,'2 ZT'!A13))+(COUNTIF(TJM!$G$7:$G$50,'2 ZT'!A13))</f>
        <v>0</v>
      </c>
      <c r="D13" s="28">
        <f t="shared" si="2"/>
        <v>0</v>
      </c>
      <c r="E13" s="2"/>
      <c r="F13" s="5">
        <f t="shared" si="0"/>
        <v>0</v>
      </c>
      <c r="G13" s="20"/>
      <c r="H13" s="23">
        <f>(COUNTIF('2S EXPRESS'!$G$7:$G$50,'2 ZT'!G13))+(COUNTIF('2 ZT'!$G$7:$G$50,'2 ZT'!G13))+(COUNTIF('GO TRANSPORT'!$G$7:$G$50,'2 ZT'!G13))+(COUNTIF('HMZ - KAIS'!$G$7:$G$50,'2 ZT'!G13))+(COUNTIF('IB TRANSPORT'!$G$7:$G$50,'2 ZT'!G13))+(COUNTIF(JSL!$G$7:$G$50,'2 ZT'!G13))+(COUNTIF(KIFAITOUT!$G$7:$G$50,'2 ZT'!G13))+(COUNTIF('LUXE DRIVE'!$G$7:$G$50,'2 ZT'!G13))+(COUNTIF(SSN!$G$7:$G$50,'2 ZT'!G13))+(COUNTIF('W3'!$G$7:$G$50,'2 ZT'!G13))+(COUNTIF('ATHIS MONS'!$G$7:$G$50,'2 ZT'!G13))+(COUNTIF('L HAY LES ROSES'!$G$7:$G$50,'2 ZT'!G13))+(COUNTIF(RUNGIS!$G$7:$G$50,'2 ZT'!G13))+(COUNTIF(SCEAUX!$G$7:$G$50,'2 ZT'!G13))+(COUNTIF('INSTANCE C1'!$G$7:$G$50,'2 ZT'!G13))+(COUNTIF('INSTANCE C2'!$G$7:$G$50,'2 ZT'!G13))+(COUNTIF(INTERNES!$G$7:$G$50,'2 ZT'!G13))+(COUNTIF('EN PANNE'!$G$7:$G$50,'2 ZT'!G13))+(COUNTIF(TJM!$G$7:$G$50,'2 ZT'!G13))-I13</f>
        <v>0</v>
      </c>
      <c r="I13" s="23">
        <f>(COUNTIF('2 ZT'!$A$7:$A$50,'2 ZT'!G13))+(COUNTIF('2 ZT'!$A$7:$A$50,'2 ZT'!G13))+(COUNTIF('GO TRANSPORT'!$A$7:$A$50,'2 ZT'!G13))+(COUNTIF('HMZ - KAIS'!$A$7:$A$50,'2 ZT'!G13))+(COUNTIF('IB TRANSPORT'!$A$7:$A$50,'2 ZT'!G13))+(COUNTIF(JSL!$A$7:$A$50,'2 ZT'!G13))+(COUNTIF(KIFAITOUT!$A$7:$A$50,'2 ZT'!G13))+(COUNTIF('LUXE DRIVE'!$A$7:$A$50,'2 ZT'!G13))+(COUNTIF(SSN!$A$7:$A$50,'2 ZT'!G13))+(COUNTIF('W3'!$A$7:$A$50,'2 ZT'!G13))+(COUNTIF('ATHIS MONS'!$A$7:$A$50,'2 ZT'!G13))+(COUNTIF('L HAY LES ROSES'!$A$7:$A$50,'2 ZT'!G13))+(COUNTIF(RUNGIS!$A$7:$A$50,'2 ZT'!G13))+(COUNTIF(SCEAUX!$A$7:$A$50,'2 ZT'!G13))+(COUNTIF('INSTANCE C1'!$A$7:$A$50,'2 ZT'!G13))+(COUNTIF('INSTANCE C2'!$A$7:$A$50,'2 ZT'!G13))+(COUNTIF(INTERNES!$A$7:$A$50,'2 ZT'!G13))+(COUNTIF('EN PANNE'!$A$7:$A$50,'2 ZT'!G13))+(COUNTIF(TJM!$A$7:$A$50,'2 ZT'!G13))</f>
        <v>0</v>
      </c>
      <c r="J13" s="28">
        <f t="shared" si="3"/>
        <v>0</v>
      </c>
      <c r="K13" s="2"/>
      <c r="L13" s="47"/>
      <c r="M13" s="48"/>
      <c r="N13" s="45"/>
      <c r="O13" s="48"/>
      <c r="P13" s="48"/>
      <c r="Q13" s="49" t="s">
        <v>29</v>
      </c>
      <c r="R13" s="62"/>
      <c r="S13" s="60">
        <f t="shared" si="1"/>
        <v>0</v>
      </c>
      <c r="T13" s="67">
        <f t="shared" si="4"/>
        <v>0</v>
      </c>
    </row>
    <row r="14" spans="1:26" ht="24.95" customHeight="1" x14ac:dyDescent="0.2">
      <c r="A14" s="20"/>
      <c r="B14" s="23">
        <f>(COUNTIF('2S EXPRESS'!$A$7:$A$50,'2 ZT'!A14))+(COUNTIF('2 ZT'!$A$7:$A$50,'2 ZT'!A14))+(COUNTIF('GO TRANSPORT'!$A$7:$A$50,'2 ZT'!A14))+(COUNTIF('HMZ - KAIS'!$A$7:$A$50,'2 ZT'!A14))+(COUNTIF('IB TRANSPORT'!$A$7:$A$50,'2 ZT'!A14))+(COUNTIF(JSL!$A$7:$A$50,'2 ZT'!A14))+(COUNTIF(KIFAITOUT!$A$7:$A$50,'2 ZT'!A14))+(COUNTIF('LUXE DRIVE'!$A$7:$A$50,'2 ZT'!A14))+(COUNTIF(SSN!$A$7:$A$50,'2 ZT'!A14))+(COUNTIF('W3'!$A$7:$A$50,'2 ZT'!A14))+(COUNTIF('ATHIS MONS'!$A$7:$A$50,'2 ZT'!A14))+(COUNTIF('L HAY LES ROSES'!$A$7:$A$50,'2 ZT'!A14))+(COUNTIF(RUNGIS!$A$7:$A$50,'2 ZT'!A14))+(COUNTIF(SCEAUX!$A$7:$A$50,'2 ZT'!A14))+(COUNTIF('INSTANCE C1'!$A$7:$A$50,'2 ZT'!A14))+(COUNTIF('INSTANCE C2'!$A$7:$A$50,'2 ZT'!A14))+(COUNTIF(INTERNES!$A$7:$A$50,'2 ZT'!A14))+(COUNTIF('EN PANNE'!$A$7:$A$50,'2 ZT'!A14))+(COUNTIF(TJM!$A$7:$A$50,'2 ZT'!A14))-C14</f>
        <v>0</v>
      </c>
      <c r="C14" s="23">
        <f>(COUNTIF('2S EXPRESS'!$G$7:$G$50,'2 ZT'!A14))+(COUNTIF('2 ZT'!$G$7:$G$50,'2 ZT'!A14))+(COUNTIF('GO TRANSPORT'!$G$7:$G$50,'2 ZT'!A14))+(COUNTIF('2 ZT'!$G$7:$G$50,'2 ZT'!A14))+(COUNTIF('IB TRANSPORT'!$G$7:$G$50,'2 ZT'!A14))+(COUNTIF(JSL!$G$7:$G$50,'2 ZT'!A14))+(COUNTIF(KIFAITOUT!$G$7:$G$50,'2 ZT'!A14))+(COUNTIF('LUXE DRIVE'!$G$7:$G$50,'2 ZT'!A14))+(COUNTIF(SSN!$G$7:$G$50,'2 ZT'!A14))+(COUNTIF('W3'!$G$7:$G$50,'2 ZT'!A14))+(COUNTIF('ATHIS MONS'!$G$7:$G$50,'2 ZT'!A14))+(COUNTIF('L HAY LES ROSES'!$G$7:$G$50,'2 ZT'!A14))+(COUNTIF(RUNGIS!$G$7:$G$50,'2 ZT'!A14))+(COUNTIF(SCEAUX!$G$7:$G$50,'2 ZT'!A14))+(COUNTIF('INSTANCE C1'!$G$7:$G$50,'2 ZT'!A14))+(COUNTIF('INSTANCE C2'!$G$7:$G$50,'2 ZT'!A14))+(COUNTIF(INTERNES!$G$7:$G$50,'2 ZT'!A14))+(COUNTIF('EN PANNE'!$G$7:$G$50,'2 ZT'!A14))+(COUNTIF(TJM!$G$7:$G$50,'2 ZT'!A14))</f>
        <v>0</v>
      </c>
      <c r="D14" s="28">
        <f t="shared" si="2"/>
        <v>0</v>
      </c>
      <c r="E14" s="2"/>
      <c r="F14" s="5">
        <f t="shared" si="0"/>
        <v>0</v>
      </c>
      <c r="G14" s="20"/>
      <c r="H14" s="23">
        <f>(COUNTIF('2S EXPRESS'!$G$7:$G$50,'2 ZT'!G14))+(COUNTIF('2 ZT'!$G$7:$G$50,'2 ZT'!G14))+(COUNTIF('GO TRANSPORT'!$G$7:$G$50,'2 ZT'!G14))+(COUNTIF('HMZ - KAIS'!$G$7:$G$50,'2 ZT'!G14))+(COUNTIF('IB TRANSPORT'!$G$7:$G$50,'2 ZT'!G14))+(COUNTIF(JSL!$G$7:$G$50,'2 ZT'!G14))+(COUNTIF(KIFAITOUT!$G$7:$G$50,'2 ZT'!G14))+(COUNTIF('LUXE DRIVE'!$G$7:$G$50,'2 ZT'!G14))+(COUNTIF(SSN!$G$7:$G$50,'2 ZT'!G14))+(COUNTIF('W3'!$G$7:$G$50,'2 ZT'!G14))+(COUNTIF('ATHIS MONS'!$G$7:$G$50,'2 ZT'!G14))+(COUNTIF('L HAY LES ROSES'!$G$7:$G$50,'2 ZT'!G14))+(COUNTIF(RUNGIS!$G$7:$G$50,'2 ZT'!G14))+(COUNTIF(SCEAUX!$G$7:$G$50,'2 ZT'!G14))+(COUNTIF('INSTANCE C1'!$G$7:$G$50,'2 ZT'!G14))+(COUNTIF('INSTANCE C2'!$G$7:$G$50,'2 ZT'!G14))+(COUNTIF(INTERNES!$G$7:$G$50,'2 ZT'!G14))+(COUNTIF('EN PANNE'!$G$7:$G$50,'2 ZT'!G14))+(COUNTIF(TJM!$G$7:$G$50,'2 ZT'!G14))-I14</f>
        <v>0</v>
      </c>
      <c r="I14" s="23">
        <f>(COUNTIF('2 ZT'!$A$7:$A$50,'2 ZT'!G14))+(COUNTIF('2 ZT'!$A$7:$A$50,'2 ZT'!G14))+(COUNTIF('GO TRANSPORT'!$A$7:$A$50,'2 ZT'!G14))+(COUNTIF('HMZ - KAIS'!$A$7:$A$50,'2 ZT'!G14))+(COUNTIF('IB TRANSPORT'!$A$7:$A$50,'2 ZT'!G14))+(COUNTIF(JSL!$A$7:$A$50,'2 ZT'!G14))+(COUNTIF(KIFAITOUT!$A$7:$A$50,'2 ZT'!G14))+(COUNTIF('LUXE DRIVE'!$A$7:$A$50,'2 ZT'!G14))+(COUNTIF(SSN!$A$7:$A$50,'2 ZT'!G14))+(COUNTIF('W3'!$A$7:$A$50,'2 ZT'!G14))+(COUNTIF('ATHIS MONS'!$A$7:$A$50,'2 ZT'!G14))+(COUNTIF('L HAY LES ROSES'!$A$7:$A$50,'2 ZT'!G14))+(COUNTIF(RUNGIS!$A$7:$A$50,'2 ZT'!G14))+(COUNTIF(SCEAUX!$A$7:$A$50,'2 ZT'!G14))+(COUNTIF('INSTANCE C1'!$A$7:$A$50,'2 ZT'!G14))+(COUNTIF('INSTANCE C2'!$A$7:$A$50,'2 ZT'!G14))+(COUNTIF(INTERNES!$A$7:$A$50,'2 ZT'!G14))+(COUNTIF('EN PANNE'!$A$7:$A$50,'2 ZT'!G14))+(COUNTIF(TJM!$A$7:$A$50,'2 ZT'!G14))</f>
        <v>0</v>
      </c>
      <c r="J14" s="28">
        <f t="shared" si="3"/>
        <v>0</v>
      </c>
      <c r="K14" s="2"/>
      <c r="L14" s="47"/>
      <c r="M14" s="102"/>
      <c r="N14" s="102"/>
      <c r="O14" s="61"/>
      <c r="P14" s="61"/>
      <c r="Q14" s="49" t="s">
        <v>30</v>
      </c>
      <c r="R14" s="62"/>
      <c r="S14" s="60">
        <f t="shared" si="1"/>
        <v>0</v>
      </c>
      <c r="T14" s="67">
        <f t="shared" si="4"/>
        <v>0</v>
      </c>
    </row>
    <row r="15" spans="1:26" ht="24.95" customHeight="1" x14ac:dyDescent="0.2">
      <c r="A15" s="20"/>
      <c r="B15" s="23">
        <f>(COUNTIF('2S EXPRESS'!$A$7:$A$50,'2 ZT'!A15))+(COUNTIF('2 ZT'!$A$7:$A$50,'2 ZT'!A15))+(COUNTIF('GO TRANSPORT'!$A$7:$A$50,'2 ZT'!A15))+(COUNTIF('HMZ - KAIS'!$A$7:$A$50,'2 ZT'!A15))+(COUNTIF('IB TRANSPORT'!$A$7:$A$50,'2 ZT'!A15))+(COUNTIF(JSL!$A$7:$A$50,'2 ZT'!A15))+(COUNTIF(KIFAITOUT!$A$7:$A$50,'2 ZT'!A15))+(COUNTIF('LUXE DRIVE'!$A$7:$A$50,'2 ZT'!A15))+(COUNTIF(SSN!$A$7:$A$50,'2 ZT'!A15))+(COUNTIF('W3'!$A$7:$A$50,'2 ZT'!A15))+(COUNTIF('ATHIS MONS'!$A$7:$A$50,'2 ZT'!A15))+(COUNTIF('L HAY LES ROSES'!$A$7:$A$50,'2 ZT'!A15))+(COUNTIF(RUNGIS!$A$7:$A$50,'2 ZT'!A15))+(COUNTIF(SCEAUX!$A$7:$A$50,'2 ZT'!A15))+(COUNTIF('INSTANCE C1'!$A$7:$A$50,'2 ZT'!A15))+(COUNTIF('INSTANCE C2'!$A$7:$A$50,'2 ZT'!A15))+(COUNTIF(INTERNES!$A$7:$A$50,'2 ZT'!A15))+(COUNTIF('EN PANNE'!$A$7:$A$50,'2 ZT'!A15))+(COUNTIF(TJM!$A$7:$A$50,'2 ZT'!A15))-C15</f>
        <v>0</v>
      </c>
      <c r="C15" s="23">
        <f>(COUNTIF('2S EXPRESS'!$G$7:$G$50,'2 ZT'!A15))+(COUNTIF('2 ZT'!$G$7:$G$50,'2 ZT'!A15))+(COUNTIF('GO TRANSPORT'!$G$7:$G$50,'2 ZT'!A15))+(COUNTIF('2 ZT'!$G$7:$G$50,'2 ZT'!A15))+(COUNTIF('IB TRANSPORT'!$G$7:$G$50,'2 ZT'!A15))+(COUNTIF(JSL!$G$7:$G$50,'2 ZT'!A15))+(COUNTIF(KIFAITOUT!$G$7:$G$50,'2 ZT'!A15))+(COUNTIF('LUXE DRIVE'!$G$7:$G$50,'2 ZT'!A15))+(COUNTIF(SSN!$G$7:$G$50,'2 ZT'!A15))+(COUNTIF('W3'!$G$7:$G$50,'2 ZT'!A15))+(COUNTIF('ATHIS MONS'!$G$7:$G$50,'2 ZT'!A15))+(COUNTIF('L HAY LES ROSES'!$G$7:$G$50,'2 ZT'!A15))+(COUNTIF(RUNGIS!$G$7:$G$50,'2 ZT'!A15))+(COUNTIF(SCEAUX!$G$7:$G$50,'2 ZT'!A15))+(COUNTIF('INSTANCE C1'!$G$7:$G$50,'2 ZT'!A15))+(COUNTIF('INSTANCE C2'!$G$7:$G$50,'2 ZT'!A15))+(COUNTIF(INTERNES!$G$7:$G$50,'2 ZT'!A15))+(COUNTIF('EN PANNE'!$G$7:$G$50,'2 ZT'!A15))+(COUNTIF(TJM!$G$7:$G$50,'2 ZT'!A15))</f>
        <v>0</v>
      </c>
      <c r="D15" s="28">
        <f t="shared" si="2"/>
        <v>0</v>
      </c>
      <c r="E15" s="2"/>
      <c r="F15" s="5">
        <f t="shared" si="0"/>
        <v>0</v>
      </c>
      <c r="G15" s="20"/>
      <c r="H15" s="23">
        <f>(COUNTIF('2S EXPRESS'!$G$7:$G$50,'2 ZT'!G15))+(COUNTIF('2 ZT'!$G$7:$G$50,'2 ZT'!G15))+(COUNTIF('GO TRANSPORT'!$G$7:$G$50,'2 ZT'!G15))+(COUNTIF('HMZ - KAIS'!$G$7:$G$50,'2 ZT'!G15))+(COUNTIF('IB TRANSPORT'!$G$7:$G$50,'2 ZT'!G15))+(COUNTIF(JSL!$G$7:$G$50,'2 ZT'!G15))+(COUNTIF(KIFAITOUT!$G$7:$G$50,'2 ZT'!G15))+(COUNTIF('LUXE DRIVE'!$G$7:$G$50,'2 ZT'!G15))+(COUNTIF(SSN!$G$7:$G$50,'2 ZT'!G15))+(COUNTIF('W3'!$G$7:$G$50,'2 ZT'!G15))+(COUNTIF('ATHIS MONS'!$G$7:$G$50,'2 ZT'!G15))+(COUNTIF('L HAY LES ROSES'!$G$7:$G$50,'2 ZT'!G15))+(COUNTIF(RUNGIS!$G$7:$G$50,'2 ZT'!G15))+(COUNTIF(SCEAUX!$G$7:$G$50,'2 ZT'!G15))+(COUNTIF('INSTANCE C1'!$G$7:$G$50,'2 ZT'!G15))+(COUNTIF('INSTANCE C2'!$G$7:$G$50,'2 ZT'!G15))+(COUNTIF(INTERNES!$G$7:$G$50,'2 ZT'!G15))+(COUNTIF('EN PANNE'!$G$7:$G$50,'2 ZT'!G15))+(COUNTIF(TJM!$G$7:$G$50,'2 ZT'!G15))-I15</f>
        <v>0</v>
      </c>
      <c r="I15" s="23">
        <f>(COUNTIF('2 ZT'!$A$7:$A$50,'2 ZT'!G15))+(COUNTIF('2 ZT'!$A$7:$A$50,'2 ZT'!G15))+(COUNTIF('GO TRANSPORT'!$A$7:$A$50,'2 ZT'!G15))+(COUNTIF('HMZ - KAIS'!$A$7:$A$50,'2 ZT'!G15))+(COUNTIF('IB TRANSPORT'!$A$7:$A$50,'2 ZT'!G15))+(COUNTIF(JSL!$A$7:$A$50,'2 ZT'!G15))+(COUNTIF(KIFAITOUT!$A$7:$A$50,'2 ZT'!G15))+(COUNTIF('LUXE DRIVE'!$A$7:$A$50,'2 ZT'!G15))+(COUNTIF(SSN!$A$7:$A$50,'2 ZT'!G15))+(COUNTIF('W3'!$A$7:$A$50,'2 ZT'!G15))+(COUNTIF('ATHIS MONS'!$A$7:$A$50,'2 ZT'!G15))+(COUNTIF('L HAY LES ROSES'!$A$7:$A$50,'2 ZT'!G15))+(COUNTIF(RUNGIS!$A$7:$A$50,'2 ZT'!G15))+(COUNTIF(SCEAUX!$A$7:$A$50,'2 ZT'!G15))+(COUNTIF('INSTANCE C1'!$A$7:$A$50,'2 ZT'!G15))+(COUNTIF('INSTANCE C2'!$A$7:$A$50,'2 ZT'!G15))+(COUNTIF(INTERNES!$A$7:$A$50,'2 ZT'!G15))+(COUNTIF('EN PANNE'!$A$7:$A$50,'2 ZT'!G15))+(COUNTIF(TJM!$A$7:$A$50,'2 ZT'!G15))</f>
        <v>0</v>
      </c>
      <c r="J15" s="28">
        <f t="shared" si="3"/>
        <v>0</v>
      </c>
      <c r="K15" s="2"/>
      <c r="L15" s="47"/>
      <c r="M15" s="48"/>
      <c r="N15" s="45"/>
      <c r="O15" s="48"/>
      <c r="P15" s="48"/>
      <c r="Q15" s="49" t="s">
        <v>31</v>
      </c>
      <c r="R15" s="62"/>
      <c r="S15" s="60">
        <f t="shared" si="1"/>
        <v>0</v>
      </c>
      <c r="T15" s="67">
        <f t="shared" si="4"/>
        <v>0</v>
      </c>
    </row>
    <row r="16" spans="1:26" ht="24.95" customHeight="1" x14ac:dyDescent="0.2">
      <c r="A16" s="20"/>
      <c r="B16" s="23">
        <f>(COUNTIF('2S EXPRESS'!$A$7:$A$50,'2 ZT'!A16))+(COUNTIF('2 ZT'!$A$7:$A$50,'2 ZT'!A16))+(COUNTIF('GO TRANSPORT'!$A$7:$A$50,'2 ZT'!A16))+(COUNTIF('HMZ - KAIS'!$A$7:$A$50,'2 ZT'!A16))+(COUNTIF('IB TRANSPORT'!$A$7:$A$50,'2 ZT'!A16))+(COUNTIF(JSL!$A$7:$A$50,'2 ZT'!A16))+(COUNTIF(KIFAITOUT!$A$7:$A$50,'2 ZT'!A16))+(COUNTIF('LUXE DRIVE'!$A$7:$A$50,'2 ZT'!A16))+(COUNTIF(SSN!$A$7:$A$50,'2 ZT'!A16))+(COUNTIF('W3'!$A$7:$A$50,'2 ZT'!A16))+(COUNTIF('ATHIS MONS'!$A$7:$A$50,'2 ZT'!A16))+(COUNTIF('L HAY LES ROSES'!$A$7:$A$50,'2 ZT'!A16))+(COUNTIF(RUNGIS!$A$7:$A$50,'2 ZT'!A16))+(COUNTIF(SCEAUX!$A$7:$A$50,'2 ZT'!A16))+(COUNTIF('INSTANCE C1'!$A$7:$A$50,'2 ZT'!A16))+(COUNTIF('INSTANCE C2'!$A$7:$A$50,'2 ZT'!A16))+(COUNTIF(INTERNES!$A$7:$A$50,'2 ZT'!A16))+(COUNTIF('EN PANNE'!$A$7:$A$50,'2 ZT'!A16))+(COUNTIF(TJM!$A$7:$A$50,'2 ZT'!A16))-C16</f>
        <v>0</v>
      </c>
      <c r="C16" s="23">
        <f>(COUNTIF('2S EXPRESS'!$G$7:$G$50,'2 ZT'!A16))+(COUNTIF('2 ZT'!$G$7:$G$50,'2 ZT'!A16))+(COUNTIF('GO TRANSPORT'!$G$7:$G$50,'2 ZT'!A16))+(COUNTIF('2 ZT'!$G$7:$G$50,'2 ZT'!A16))+(COUNTIF('IB TRANSPORT'!$G$7:$G$50,'2 ZT'!A16))+(COUNTIF(JSL!$G$7:$G$50,'2 ZT'!A16))+(COUNTIF(KIFAITOUT!$G$7:$G$50,'2 ZT'!A16))+(COUNTIF('LUXE DRIVE'!$G$7:$G$50,'2 ZT'!A16))+(COUNTIF(SSN!$G$7:$G$50,'2 ZT'!A16))+(COUNTIF('W3'!$G$7:$G$50,'2 ZT'!A16))+(COUNTIF('ATHIS MONS'!$G$7:$G$50,'2 ZT'!A16))+(COUNTIF('L HAY LES ROSES'!$G$7:$G$50,'2 ZT'!A16))+(COUNTIF(RUNGIS!$G$7:$G$50,'2 ZT'!A16))+(COUNTIF(SCEAUX!$G$7:$G$50,'2 ZT'!A16))+(COUNTIF('INSTANCE C1'!$G$7:$G$50,'2 ZT'!A16))+(COUNTIF('INSTANCE C2'!$G$7:$G$50,'2 ZT'!A16))+(COUNTIF(INTERNES!$G$7:$G$50,'2 ZT'!A16))+(COUNTIF('EN PANNE'!$G$7:$G$50,'2 ZT'!A16))+(COUNTIF(TJM!$G$7:$G$50,'2 ZT'!A16))</f>
        <v>0</v>
      </c>
      <c r="D16" s="28">
        <f t="shared" si="2"/>
        <v>0</v>
      </c>
      <c r="E16" s="2"/>
      <c r="F16" s="5">
        <f t="shared" si="0"/>
        <v>0</v>
      </c>
      <c r="G16" s="20"/>
      <c r="H16" s="23">
        <f>(COUNTIF('2S EXPRESS'!$G$7:$G$50,'2 ZT'!G16))+(COUNTIF('2 ZT'!$G$7:$G$50,'2 ZT'!G16))+(COUNTIF('GO TRANSPORT'!$G$7:$G$50,'2 ZT'!G16))+(COUNTIF('HMZ - KAIS'!$G$7:$G$50,'2 ZT'!G16))+(COUNTIF('IB TRANSPORT'!$G$7:$G$50,'2 ZT'!G16))+(COUNTIF(JSL!$G$7:$G$50,'2 ZT'!G16))+(COUNTIF(KIFAITOUT!$G$7:$G$50,'2 ZT'!G16))+(COUNTIF('LUXE DRIVE'!$G$7:$G$50,'2 ZT'!G16))+(COUNTIF(SSN!$G$7:$G$50,'2 ZT'!G16))+(COUNTIF('W3'!$G$7:$G$50,'2 ZT'!G16))+(COUNTIF('ATHIS MONS'!$G$7:$G$50,'2 ZT'!G16))+(COUNTIF('L HAY LES ROSES'!$G$7:$G$50,'2 ZT'!G16))+(COUNTIF(RUNGIS!$G$7:$G$50,'2 ZT'!G16))+(COUNTIF(SCEAUX!$G$7:$G$50,'2 ZT'!G16))+(COUNTIF('INSTANCE C1'!$G$7:$G$50,'2 ZT'!G16))+(COUNTIF('INSTANCE C2'!$G$7:$G$50,'2 ZT'!G16))+(COUNTIF(INTERNES!$G$7:$G$50,'2 ZT'!G16))+(COUNTIF('EN PANNE'!$G$7:$G$50,'2 ZT'!G16))+(COUNTIF(TJM!$G$7:$G$50,'2 ZT'!G16))-I16</f>
        <v>0</v>
      </c>
      <c r="I16" s="23">
        <f>(COUNTIF('2 ZT'!$A$7:$A$50,'2 ZT'!G16))+(COUNTIF('2 ZT'!$A$7:$A$50,'2 ZT'!G16))+(COUNTIF('GO TRANSPORT'!$A$7:$A$50,'2 ZT'!G16))+(COUNTIF('HMZ - KAIS'!$A$7:$A$50,'2 ZT'!G16))+(COUNTIF('IB TRANSPORT'!$A$7:$A$50,'2 ZT'!G16))+(COUNTIF(JSL!$A$7:$A$50,'2 ZT'!G16))+(COUNTIF(KIFAITOUT!$A$7:$A$50,'2 ZT'!G16))+(COUNTIF('LUXE DRIVE'!$A$7:$A$50,'2 ZT'!G16))+(COUNTIF(SSN!$A$7:$A$50,'2 ZT'!G16))+(COUNTIF('W3'!$A$7:$A$50,'2 ZT'!G16))+(COUNTIF('ATHIS MONS'!$A$7:$A$50,'2 ZT'!G16))+(COUNTIF('L HAY LES ROSES'!$A$7:$A$50,'2 ZT'!G16))+(COUNTIF(RUNGIS!$A$7:$A$50,'2 ZT'!G16))+(COUNTIF(SCEAUX!$A$7:$A$50,'2 ZT'!G16))+(COUNTIF('INSTANCE C1'!$A$7:$A$50,'2 ZT'!G16))+(COUNTIF('INSTANCE C2'!$A$7:$A$50,'2 ZT'!G16))+(COUNTIF(INTERNES!$A$7:$A$50,'2 ZT'!G16))+(COUNTIF('EN PANNE'!$A$7:$A$50,'2 ZT'!G16))+(COUNTIF(TJM!$A$7:$A$50,'2 ZT'!G16))</f>
        <v>0</v>
      </c>
      <c r="J16" s="28">
        <f t="shared" si="3"/>
        <v>0</v>
      </c>
      <c r="K16" s="2"/>
      <c r="L16" s="47"/>
      <c r="M16" s="48"/>
      <c r="N16" s="45"/>
      <c r="O16" s="48"/>
      <c r="P16" s="48"/>
      <c r="Q16" s="49" t="s">
        <v>32</v>
      </c>
      <c r="R16" s="62"/>
      <c r="S16" s="60">
        <f t="shared" si="1"/>
        <v>0</v>
      </c>
      <c r="T16" s="67">
        <f t="shared" si="4"/>
        <v>0</v>
      </c>
    </row>
    <row r="17" spans="1:20" ht="24.95" customHeight="1" x14ac:dyDescent="0.2">
      <c r="A17" s="20"/>
      <c r="B17" s="23">
        <f>(COUNTIF('2S EXPRESS'!$A$7:$A$50,'2 ZT'!A17))+(COUNTIF('2 ZT'!$A$7:$A$50,'2 ZT'!A17))+(COUNTIF('GO TRANSPORT'!$A$7:$A$50,'2 ZT'!A17))+(COUNTIF('HMZ - KAIS'!$A$7:$A$50,'2 ZT'!A17))+(COUNTIF('IB TRANSPORT'!$A$7:$A$50,'2 ZT'!A17))+(COUNTIF(JSL!$A$7:$A$50,'2 ZT'!A17))+(COUNTIF(KIFAITOUT!$A$7:$A$50,'2 ZT'!A17))+(COUNTIF('LUXE DRIVE'!$A$7:$A$50,'2 ZT'!A17))+(COUNTIF(SSN!$A$7:$A$50,'2 ZT'!A17))+(COUNTIF('W3'!$A$7:$A$50,'2 ZT'!A17))+(COUNTIF('ATHIS MONS'!$A$7:$A$50,'2 ZT'!A17))+(COUNTIF('L HAY LES ROSES'!$A$7:$A$50,'2 ZT'!A17))+(COUNTIF(RUNGIS!$A$7:$A$50,'2 ZT'!A17))+(COUNTIF(SCEAUX!$A$7:$A$50,'2 ZT'!A17))+(COUNTIF('INSTANCE C1'!$A$7:$A$50,'2 ZT'!A17))+(COUNTIF('INSTANCE C2'!$A$7:$A$50,'2 ZT'!A17))+(COUNTIF(INTERNES!$A$7:$A$50,'2 ZT'!A17))+(COUNTIF('EN PANNE'!$A$7:$A$50,'2 ZT'!A17))+(COUNTIF(TJM!$A$7:$A$50,'2 ZT'!A17))-C17</f>
        <v>0</v>
      </c>
      <c r="C17" s="23">
        <f>(COUNTIF('2S EXPRESS'!$G$7:$G$50,'2 ZT'!A17))+(COUNTIF('2 ZT'!$G$7:$G$50,'2 ZT'!A17))+(COUNTIF('GO TRANSPORT'!$G$7:$G$50,'2 ZT'!A17))+(COUNTIF('2 ZT'!$G$7:$G$50,'2 ZT'!A17))+(COUNTIF('IB TRANSPORT'!$G$7:$G$50,'2 ZT'!A17))+(COUNTIF(JSL!$G$7:$G$50,'2 ZT'!A17))+(COUNTIF(KIFAITOUT!$G$7:$G$50,'2 ZT'!A17))+(COUNTIF('LUXE DRIVE'!$G$7:$G$50,'2 ZT'!A17))+(COUNTIF(SSN!$G$7:$G$50,'2 ZT'!A17))+(COUNTIF('W3'!$G$7:$G$50,'2 ZT'!A17))+(COUNTIF('ATHIS MONS'!$G$7:$G$50,'2 ZT'!A17))+(COUNTIF('L HAY LES ROSES'!$G$7:$G$50,'2 ZT'!A17))+(COUNTIF(RUNGIS!$G$7:$G$50,'2 ZT'!A17))+(COUNTIF(SCEAUX!$G$7:$G$50,'2 ZT'!A17))+(COUNTIF('INSTANCE C1'!$G$7:$G$50,'2 ZT'!A17))+(COUNTIF('INSTANCE C2'!$G$7:$G$50,'2 ZT'!A17))+(COUNTIF(INTERNES!$G$7:$G$50,'2 ZT'!A17))+(COUNTIF('EN PANNE'!$G$7:$G$50,'2 ZT'!A17))+(COUNTIF(TJM!$G$7:$G$50,'2 ZT'!A17))</f>
        <v>0</v>
      </c>
      <c r="D17" s="28">
        <f t="shared" si="2"/>
        <v>0</v>
      </c>
      <c r="E17" s="2"/>
      <c r="F17" s="5">
        <f t="shared" si="0"/>
        <v>0</v>
      </c>
      <c r="G17" s="20"/>
      <c r="H17" s="23">
        <f>(COUNTIF('2S EXPRESS'!$G$7:$G$50,'2 ZT'!G17))+(COUNTIF('2 ZT'!$G$7:$G$50,'2 ZT'!G17))+(COUNTIF('GO TRANSPORT'!$G$7:$G$50,'2 ZT'!G17))+(COUNTIF('HMZ - KAIS'!$G$7:$G$50,'2 ZT'!G17))+(COUNTIF('IB TRANSPORT'!$G$7:$G$50,'2 ZT'!G17))+(COUNTIF(JSL!$G$7:$G$50,'2 ZT'!G17))+(COUNTIF(KIFAITOUT!$G$7:$G$50,'2 ZT'!G17))+(COUNTIF('LUXE DRIVE'!$G$7:$G$50,'2 ZT'!G17))+(COUNTIF(SSN!$G$7:$G$50,'2 ZT'!G17))+(COUNTIF('W3'!$G$7:$G$50,'2 ZT'!G17))+(COUNTIF('ATHIS MONS'!$G$7:$G$50,'2 ZT'!G17))+(COUNTIF('L HAY LES ROSES'!$G$7:$G$50,'2 ZT'!G17))+(COUNTIF(RUNGIS!$G$7:$G$50,'2 ZT'!G17))+(COUNTIF(SCEAUX!$G$7:$G$50,'2 ZT'!G17))+(COUNTIF('INSTANCE C1'!$G$7:$G$50,'2 ZT'!G17))+(COUNTIF('INSTANCE C2'!$G$7:$G$50,'2 ZT'!G17))+(COUNTIF(INTERNES!$G$7:$G$50,'2 ZT'!G17))+(COUNTIF('EN PANNE'!$G$7:$G$50,'2 ZT'!G17))+(COUNTIF(TJM!$G$7:$G$50,'2 ZT'!G17))-I17</f>
        <v>0</v>
      </c>
      <c r="I17" s="23">
        <f>(COUNTIF('2 ZT'!$A$7:$A$50,'2 ZT'!G17))+(COUNTIF('2 ZT'!$A$7:$A$50,'2 ZT'!G17))+(COUNTIF('GO TRANSPORT'!$A$7:$A$50,'2 ZT'!G17))+(COUNTIF('HMZ - KAIS'!$A$7:$A$50,'2 ZT'!G17))+(COUNTIF('IB TRANSPORT'!$A$7:$A$50,'2 ZT'!G17))+(COUNTIF(JSL!$A$7:$A$50,'2 ZT'!G17))+(COUNTIF(KIFAITOUT!$A$7:$A$50,'2 ZT'!G17))+(COUNTIF('LUXE DRIVE'!$A$7:$A$50,'2 ZT'!G17))+(COUNTIF(SSN!$A$7:$A$50,'2 ZT'!G17))+(COUNTIF('W3'!$A$7:$A$50,'2 ZT'!G17))+(COUNTIF('ATHIS MONS'!$A$7:$A$50,'2 ZT'!G17))+(COUNTIF('L HAY LES ROSES'!$A$7:$A$50,'2 ZT'!G17))+(COUNTIF(RUNGIS!$A$7:$A$50,'2 ZT'!G17))+(COUNTIF(SCEAUX!$A$7:$A$50,'2 ZT'!G17))+(COUNTIF('INSTANCE C1'!$A$7:$A$50,'2 ZT'!G17))+(COUNTIF('INSTANCE C2'!$A$7:$A$50,'2 ZT'!G17))+(COUNTIF(INTERNES!$A$7:$A$50,'2 ZT'!G17))+(COUNTIF('EN PANNE'!$A$7:$A$50,'2 ZT'!G17))+(COUNTIF(TJM!$A$7:$A$50,'2 ZT'!G17))</f>
        <v>0</v>
      </c>
      <c r="J17" s="28">
        <f t="shared" si="3"/>
        <v>0</v>
      </c>
      <c r="K17" s="2"/>
      <c r="L17" s="47"/>
      <c r="M17" s="48"/>
      <c r="N17" s="45"/>
      <c r="O17" s="48"/>
      <c r="P17" s="48"/>
      <c r="Q17" s="49" t="s">
        <v>33</v>
      </c>
      <c r="R17" s="62"/>
      <c r="S17" s="60">
        <f t="shared" si="1"/>
        <v>0</v>
      </c>
      <c r="T17" s="67">
        <f t="shared" si="4"/>
        <v>0</v>
      </c>
    </row>
    <row r="18" spans="1:20" ht="24.95" customHeight="1" x14ac:dyDescent="0.2">
      <c r="A18" s="20"/>
      <c r="B18" s="23">
        <f>(COUNTIF('2S EXPRESS'!$A$7:$A$50,'2 ZT'!A18))+(COUNTIF('2 ZT'!$A$7:$A$50,'2 ZT'!A18))+(COUNTIF('GO TRANSPORT'!$A$7:$A$50,'2 ZT'!A18))+(COUNTIF('HMZ - KAIS'!$A$7:$A$50,'2 ZT'!A18))+(COUNTIF('IB TRANSPORT'!$A$7:$A$50,'2 ZT'!A18))+(COUNTIF(JSL!$A$7:$A$50,'2 ZT'!A18))+(COUNTIF(KIFAITOUT!$A$7:$A$50,'2 ZT'!A18))+(COUNTIF('LUXE DRIVE'!$A$7:$A$50,'2 ZT'!A18))+(COUNTIF(SSN!$A$7:$A$50,'2 ZT'!A18))+(COUNTIF('W3'!$A$7:$A$50,'2 ZT'!A18))+(COUNTIF('ATHIS MONS'!$A$7:$A$50,'2 ZT'!A18))+(COUNTIF('L HAY LES ROSES'!$A$7:$A$50,'2 ZT'!A18))+(COUNTIF(RUNGIS!$A$7:$A$50,'2 ZT'!A18))+(COUNTIF(SCEAUX!$A$7:$A$50,'2 ZT'!A18))+(COUNTIF('INSTANCE C1'!$A$7:$A$50,'2 ZT'!A18))+(COUNTIF('INSTANCE C2'!$A$7:$A$50,'2 ZT'!A18))+(COUNTIF(INTERNES!$A$7:$A$50,'2 ZT'!A18))+(COUNTIF('EN PANNE'!$A$7:$A$50,'2 ZT'!A18))+(COUNTIF(TJM!$A$7:$A$50,'2 ZT'!A18))-C18</f>
        <v>0</v>
      </c>
      <c r="C18" s="23">
        <f>(COUNTIF('2S EXPRESS'!$G$7:$G$50,'2 ZT'!A18))+(COUNTIF('2 ZT'!$G$7:$G$50,'2 ZT'!A18))+(COUNTIF('GO TRANSPORT'!$G$7:$G$50,'2 ZT'!A18))+(COUNTIF('2 ZT'!$G$7:$G$50,'2 ZT'!A18))+(COUNTIF('IB TRANSPORT'!$G$7:$G$50,'2 ZT'!A18))+(COUNTIF(JSL!$G$7:$G$50,'2 ZT'!A18))+(COUNTIF(KIFAITOUT!$G$7:$G$50,'2 ZT'!A18))+(COUNTIF('LUXE DRIVE'!$G$7:$G$50,'2 ZT'!A18))+(COUNTIF(SSN!$G$7:$G$50,'2 ZT'!A18))+(COUNTIF('W3'!$G$7:$G$50,'2 ZT'!A18))+(COUNTIF('ATHIS MONS'!$G$7:$G$50,'2 ZT'!A18))+(COUNTIF('L HAY LES ROSES'!$G$7:$G$50,'2 ZT'!A18))+(COUNTIF(RUNGIS!$G$7:$G$50,'2 ZT'!A18))+(COUNTIF(SCEAUX!$G$7:$G$50,'2 ZT'!A18))+(COUNTIF('INSTANCE C1'!$G$7:$G$50,'2 ZT'!A18))+(COUNTIF('INSTANCE C2'!$G$7:$G$50,'2 ZT'!A18))+(COUNTIF(INTERNES!$G$7:$G$50,'2 ZT'!A18))+(COUNTIF('EN PANNE'!$G$7:$G$50,'2 ZT'!A18))+(COUNTIF(TJM!$G$7:$G$50,'2 ZT'!A18))</f>
        <v>0</v>
      </c>
      <c r="D18" s="28">
        <f t="shared" si="2"/>
        <v>0</v>
      </c>
      <c r="E18" s="2"/>
      <c r="F18" s="5">
        <f t="shared" si="0"/>
        <v>0</v>
      </c>
      <c r="G18" s="20"/>
      <c r="H18" s="23">
        <f>(COUNTIF('2S EXPRESS'!$G$7:$G$50,'2 ZT'!G18))+(COUNTIF('2 ZT'!$G$7:$G$50,'2 ZT'!G18))+(COUNTIF('GO TRANSPORT'!$G$7:$G$50,'2 ZT'!G18))+(COUNTIF('HMZ - KAIS'!$G$7:$G$50,'2 ZT'!G18))+(COUNTIF('IB TRANSPORT'!$G$7:$G$50,'2 ZT'!G18))+(COUNTIF(JSL!$G$7:$G$50,'2 ZT'!G18))+(COUNTIF(KIFAITOUT!$G$7:$G$50,'2 ZT'!G18))+(COUNTIF('LUXE DRIVE'!$G$7:$G$50,'2 ZT'!G18))+(COUNTIF(SSN!$G$7:$G$50,'2 ZT'!G18))+(COUNTIF('W3'!$G$7:$G$50,'2 ZT'!G18))+(COUNTIF('ATHIS MONS'!$G$7:$G$50,'2 ZT'!G18))+(COUNTIF('L HAY LES ROSES'!$G$7:$G$50,'2 ZT'!G18))+(COUNTIF(RUNGIS!$G$7:$G$50,'2 ZT'!G18))+(COUNTIF(SCEAUX!$G$7:$G$50,'2 ZT'!G18))+(COUNTIF('INSTANCE C1'!$G$7:$G$50,'2 ZT'!G18))+(COUNTIF('INSTANCE C2'!$G$7:$G$50,'2 ZT'!G18))+(COUNTIF(INTERNES!$G$7:$G$50,'2 ZT'!G18))+(COUNTIF('EN PANNE'!$G$7:$G$50,'2 ZT'!G18))+(COUNTIF(TJM!$G$7:$G$50,'2 ZT'!G18))-I18</f>
        <v>0</v>
      </c>
      <c r="I18" s="23">
        <f>(COUNTIF('2 ZT'!$A$7:$A$50,'2 ZT'!G18))+(COUNTIF('2 ZT'!$A$7:$A$50,'2 ZT'!G18))+(COUNTIF('GO TRANSPORT'!$A$7:$A$50,'2 ZT'!G18))+(COUNTIF('HMZ - KAIS'!$A$7:$A$50,'2 ZT'!G18))+(COUNTIF('IB TRANSPORT'!$A$7:$A$50,'2 ZT'!G18))+(COUNTIF(JSL!$A$7:$A$50,'2 ZT'!G18))+(COUNTIF(KIFAITOUT!$A$7:$A$50,'2 ZT'!G18))+(COUNTIF('LUXE DRIVE'!$A$7:$A$50,'2 ZT'!G18))+(COUNTIF(SSN!$A$7:$A$50,'2 ZT'!G18))+(COUNTIF('W3'!$A$7:$A$50,'2 ZT'!G18))+(COUNTIF('ATHIS MONS'!$A$7:$A$50,'2 ZT'!G18))+(COUNTIF('L HAY LES ROSES'!$A$7:$A$50,'2 ZT'!G18))+(COUNTIF(RUNGIS!$A$7:$A$50,'2 ZT'!G18))+(COUNTIF(SCEAUX!$A$7:$A$50,'2 ZT'!G18))+(COUNTIF('INSTANCE C1'!$A$7:$A$50,'2 ZT'!G18))+(COUNTIF('INSTANCE C2'!$A$7:$A$50,'2 ZT'!G18))+(COUNTIF(INTERNES!$A$7:$A$50,'2 ZT'!G18))+(COUNTIF('EN PANNE'!$A$7:$A$50,'2 ZT'!G18))+(COUNTIF(TJM!$A$7:$A$50,'2 ZT'!G18))</f>
        <v>0</v>
      </c>
      <c r="J18" s="28">
        <f t="shared" si="3"/>
        <v>0</v>
      </c>
      <c r="K18" s="2"/>
      <c r="L18" s="47"/>
      <c r="M18" s="48"/>
      <c r="N18" s="45"/>
      <c r="O18" s="48"/>
      <c r="P18" s="48"/>
      <c r="Q18" s="48"/>
      <c r="R18" s="62"/>
      <c r="S18" s="60">
        <f t="shared" si="1"/>
        <v>0</v>
      </c>
      <c r="T18" s="67">
        <f t="shared" si="4"/>
        <v>0</v>
      </c>
    </row>
    <row r="19" spans="1:20" ht="24.95" customHeight="1" x14ac:dyDescent="0.2">
      <c r="A19" s="20"/>
      <c r="B19" s="23">
        <f>(COUNTIF('2S EXPRESS'!$A$7:$A$50,'2 ZT'!A19))+(COUNTIF('2 ZT'!$A$7:$A$50,'2 ZT'!A19))+(COUNTIF('GO TRANSPORT'!$A$7:$A$50,'2 ZT'!A19))+(COUNTIF('HMZ - KAIS'!$A$7:$A$50,'2 ZT'!A19))+(COUNTIF('IB TRANSPORT'!$A$7:$A$50,'2 ZT'!A19))+(COUNTIF(JSL!$A$7:$A$50,'2 ZT'!A19))+(COUNTIF(KIFAITOUT!$A$7:$A$50,'2 ZT'!A19))+(COUNTIF('LUXE DRIVE'!$A$7:$A$50,'2 ZT'!A19))+(COUNTIF(SSN!$A$7:$A$50,'2 ZT'!A19))+(COUNTIF('W3'!$A$7:$A$50,'2 ZT'!A19))+(COUNTIF('ATHIS MONS'!$A$7:$A$50,'2 ZT'!A19))+(COUNTIF('L HAY LES ROSES'!$A$7:$A$50,'2 ZT'!A19))+(COUNTIF(RUNGIS!$A$7:$A$50,'2 ZT'!A19))+(COUNTIF(SCEAUX!$A$7:$A$50,'2 ZT'!A19))+(COUNTIF('INSTANCE C1'!$A$7:$A$50,'2 ZT'!A19))+(COUNTIF('INSTANCE C2'!$A$7:$A$50,'2 ZT'!A19))+(COUNTIF(INTERNES!$A$7:$A$50,'2 ZT'!A19))+(COUNTIF('EN PANNE'!$A$7:$A$50,'2 ZT'!A19))+(COUNTIF(TJM!$A$7:$A$50,'2 ZT'!A19))-C19</f>
        <v>0</v>
      </c>
      <c r="C19" s="23">
        <f>(COUNTIF('2S EXPRESS'!$G$7:$G$50,'2 ZT'!A19))+(COUNTIF('2 ZT'!$G$7:$G$50,'2 ZT'!A19))+(COUNTIF('GO TRANSPORT'!$G$7:$G$50,'2 ZT'!A19))+(COUNTIF('2 ZT'!$G$7:$G$50,'2 ZT'!A19))+(COUNTIF('IB TRANSPORT'!$G$7:$G$50,'2 ZT'!A19))+(COUNTIF(JSL!$G$7:$G$50,'2 ZT'!A19))+(COUNTIF(KIFAITOUT!$G$7:$G$50,'2 ZT'!A19))+(COUNTIF('LUXE DRIVE'!$G$7:$G$50,'2 ZT'!A19))+(COUNTIF(SSN!$G$7:$G$50,'2 ZT'!A19))+(COUNTIF('W3'!$G$7:$G$50,'2 ZT'!A19))+(COUNTIF('ATHIS MONS'!$G$7:$G$50,'2 ZT'!A19))+(COUNTIF('L HAY LES ROSES'!$G$7:$G$50,'2 ZT'!A19))+(COUNTIF(RUNGIS!$G$7:$G$50,'2 ZT'!A19))+(COUNTIF(SCEAUX!$G$7:$G$50,'2 ZT'!A19))+(COUNTIF('INSTANCE C1'!$G$7:$G$50,'2 ZT'!A19))+(COUNTIF('INSTANCE C2'!$G$7:$G$50,'2 ZT'!A19))+(COUNTIF(INTERNES!$G$7:$G$50,'2 ZT'!A19))+(COUNTIF('EN PANNE'!$G$7:$G$50,'2 ZT'!A19))+(COUNTIF(TJM!$G$7:$G$50,'2 ZT'!A19))</f>
        <v>0</v>
      </c>
      <c r="D19" s="28">
        <f t="shared" si="2"/>
        <v>0</v>
      </c>
      <c r="E19" s="2"/>
      <c r="F19" s="5">
        <f t="shared" si="0"/>
        <v>0</v>
      </c>
      <c r="G19" s="20"/>
      <c r="H19" s="23">
        <f>(COUNTIF('2S EXPRESS'!$G$7:$G$50,'2 ZT'!G19))+(COUNTIF('2 ZT'!$G$7:$G$50,'2 ZT'!G19))+(COUNTIF('GO TRANSPORT'!$G$7:$G$50,'2 ZT'!G19))+(COUNTIF('HMZ - KAIS'!$G$7:$G$50,'2 ZT'!G19))+(COUNTIF('IB TRANSPORT'!$G$7:$G$50,'2 ZT'!G19))+(COUNTIF(JSL!$G$7:$G$50,'2 ZT'!G19))+(COUNTIF(KIFAITOUT!$G$7:$G$50,'2 ZT'!G19))+(COUNTIF('LUXE DRIVE'!$G$7:$G$50,'2 ZT'!G19))+(COUNTIF(SSN!$G$7:$G$50,'2 ZT'!G19))+(COUNTIF('W3'!$G$7:$G$50,'2 ZT'!G19))+(COUNTIF('ATHIS MONS'!$G$7:$G$50,'2 ZT'!G19))+(COUNTIF('L HAY LES ROSES'!$G$7:$G$50,'2 ZT'!G19))+(COUNTIF(RUNGIS!$G$7:$G$50,'2 ZT'!G19))+(COUNTIF(SCEAUX!$G$7:$G$50,'2 ZT'!G19))+(COUNTIF('INSTANCE C1'!$G$7:$G$50,'2 ZT'!G19))+(COUNTIF('INSTANCE C2'!$G$7:$G$50,'2 ZT'!G19))+(COUNTIF(INTERNES!$G$7:$G$50,'2 ZT'!G19))+(COUNTIF('EN PANNE'!$G$7:$G$50,'2 ZT'!G19))+(COUNTIF(TJM!$G$7:$G$50,'2 ZT'!G19))-I19</f>
        <v>0</v>
      </c>
      <c r="I19" s="23">
        <f>(COUNTIF('2 ZT'!$A$7:$A$50,'2 ZT'!G19))+(COUNTIF('2 ZT'!$A$7:$A$50,'2 ZT'!G19))+(COUNTIF('GO TRANSPORT'!$A$7:$A$50,'2 ZT'!G19))+(COUNTIF('HMZ - KAIS'!$A$7:$A$50,'2 ZT'!G19))+(COUNTIF('IB TRANSPORT'!$A$7:$A$50,'2 ZT'!G19))+(COUNTIF(JSL!$A$7:$A$50,'2 ZT'!G19))+(COUNTIF(KIFAITOUT!$A$7:$A$50,'2 ZT'!G19))+(COUNTIF('LUXE DRIVE'!$A$7:$A$50,'2 ZT'!G19))+(COUNTIF(SSN!$A$7:$A$50,'2 ZT'!G19))+(COUNTIF('W3'!$A$7:$A$50,'2 ZT'!G19))+(COUNTIF('ATHIS MONS'!$A$7:$A$50,'2 ZT'!G19))+(COUNTIF('L HAY LES ROSES'!$A$7:$A$50,'2 ZT'!G19))+(COUNTIF(RUNGIS!$A$7:$A$50,'2 ZT'!G19))+(COUNTIF(SCEAUX!$A$7:$A$50,'2 ZT'!G19))+(COUNTIF('INSTANCE C1'!$A$7:$A$50,'2 ZT'!G19))+(COUNTIF('INSTANCE C2'!$A$7:$A$50,'2 ZT'!G19))+(COUNTIF(INTERNES!$A$7:$A$50,'2 ZT'!G19))+(COUNTIF('EN PANNE'!$A$7:$A$50,'2 ZT'!G19))+(COUNTIF(TJM!$A$7:$A$50,'2 ZT'!G19))</f>
        <v>0</v>
      </c>
      <c r="J19" s="28">
        <f t="shared" si="3"/>
        <v>0</v>
      </c>
      <c r="K19" s="2"/>
      <c r="L19" s="47"/>
      <c r="M19" s="48"/>
      <c r="N19" s="45"/>
      <c r="O19" s="48"/>
      <c r="P19" s="48"/>
      <c r="Q19" s="48"/>
      <c r="R19" s="62"/>
      <c r="S19" s="60">
        <f t="shared" si="1"/>
        <v>0</v>
      </c>
      <c r="T19" s="67">
        <f t="shared" si="4"/>
        <v>0</v>
      </c>
    </row>
    <row r="20" spans="1:20" ht="24.95" customHeight="1" x14ac:dyDescent="0.2">
      <c r="A20" s="20"/>
      <c r="B20" s="23">
        <f>(COUNTIF('2S EXPRESS'!$A$7:$A$50,'2 ZT'!A20))+(COUNTIF('2 ZT'!$A$7:$A$50,'2 ZT'!A20))+(COUNTIF('GO TRANSPORT'!$A$7:$A$50,'2 ZT'!A20))+(COUNTIF('HMZ - KAIS'!$A$7:$A$50,'2 ZT'!A20))+(COUNTIF('IB TRANSPORT'!$A$7:$A$50,'2 ZT'!A20))+(COUNTIF(JSL!$A$7:$A$50,'2 ZT'!A20))+(COUNTIF(KIFAITOUT!$A$7:$A$50,'2 ZT'!A20))+(COUNTIF('LUXE DRIVE'!$A$7:$A$50,'2 ZT'!A20))+(COUNTIF(SSN!$A$7:$A$50,'2 ZT'!A20))+(COUNTIF('W3'!$A$7:$A$50,'2 ZT'!A20))+(COUNTIF('ATHIS MONS'!$A$7:$A$50,'2 ZT'!A20))+(COUNTIF('L HAY LES ROSES'!$A$7:$A$50,'2 ZT'!A20))+(COUNTIF(RUNGIS!$A$7:$A$50,'2 ZT'!A20))+(COUNTIF(SCEAUX!$A$7:$A$50,'2 ZT'!A20))+(COUNTIF('INSTANCE C1'!$A$7:$A$50,'2 ZT'!A20))+(COUNTIF('INSTANCE C2'!$A$7:$A$50,'2 ZT'!A20))+(COUNTIF(INTERNES!$A$7:$A$50,'2 ZT'!A20))+(COUNTIF('EN PANNE'!$A$7:$A$50,'2 ZT'!A20))+(COUNTIF(TJM!$A$7:$A$50,'2 ZT'!A20))-C20</f>
        <v>0</v>
      </c>
      <c r="C20" s="23">
        <f>(COUNTIF('2S EXPRESS'!$G$7:$G$50,'2 ZT'!A20))+(COUNTIF('2 ZT'!$G$7:$G$50,'2 ZT'!A20))+(COUNTIF('GO TRANSPORT'!$G$7:$G$50,'2 ZT'!A20))+(COUNTIF('2 ZT'!$G$7:$G$50,'2 ZT'!A20))+(COUNTIF('IB TRANSPORT'!$G$7:$G$50,'2 ZT'!A20))+(COUNTIF(JSL!$G$7:$G$50,'2 ZT'!A20))+(COUNTIF(KIFAITOUT!$G$7:$G$50,'2 ZT'!A20))+(COUNTIF('LUXE DRIVE'!$G$7:$G$50,'2 ZT'!A20))+(COUNTIF(SSN!$G$7:$G$50,'2 ZT'!A20))+(COUNTIF('W3'!$G$7:$G$50,'2 ZT'!A20))+(COUNTIF('ATHIS MONS'!$G$7:$G$50,'2 ZT'!A20))+(COUNTIF('L HAY LES ROSES'!$G$7:$G$50,'2 ZT'!A20))+(COUNTIF(RUNGIS!$G$7:$G$50,'2 ZT'!A20))+(COUNTIF(SCEAUX!$G$7:$G$50,'2 ZT'!A20))+(COUNTIF('INSTANCE C1'!$G$7:$G$50,'2 ZT'!A20))+(COUNTIF('INSTANCE C2'!$G$7:$G$50,'2 ZT'!A20))+(COUNTIF(INTERNES!$G$7:$G$50,'2 ZT'!A20))+(COUNTIF('EN PANNE'!$G$7:$G$50,'2 ZT'!A20))+(COUNTIF(TJM!$G$7:$G$50,'2 ZT'!A20))</f>
        <v>0</v>
      </c>
      <c r="D20" s="28">
        <f t="shared" si="2"/>
        <v>0</v>
      </c>
      <c r="E20" s="2"/>
      <c r="F20" s="5">
        <f t="shared" si="0"/>
        <v>0</v>
      </c>
      <c r="G20" s="20"/>
      <c r="H20" s="23">
        <f>(COUNTIF('2S EXPRESS'!$G$7:$G$50,'2 ZT'!G20))+(COUNTIF('2 ZT'!$G$7:$G$50,'2 ZT'!G20))+(COUNTIF('GO TRANSPORT'!$G$7:$G$50,'2 ZT'!G20))+(COUNTIF('HMZ - KAIS'!$G$7:$G$50,'2 ZT'!G20))+(COUNTIF('IB TRANSPORT'!$G$7:$G$50,'2 ZT'!G20))+(COUNTIF(JSL!$G$7:$G$50,'2 ZT'!G20))+(COUNTIF(KIFAITOUT!$G$7:$G$50,'2 ZT'!G20))+(COUNTIF('LUXE DRIVE'!$G$7:$G$50,'2 ZT'!G20))+(COUNTIF(SSN!$G$7:$G$50,'2 ZT'!G20))+(COUNTIF('W3'!$G$7:$G$50,'2 ZT'!G20))+(COUNTIF('ATHIS MONS'!$G$7:$G$50,'2 ZT'!G20))+(COUNTIF('L HAY LES ROSES'!$G$7:$G$50,'2 ZT'!G20))+(COUNTIF(RUNGIS!$G$7:$G$50,'2 ZT'!G20))+(COUNTIF(SCEAUX!$G$7:$G$50,'2 ZT'!G20))+(COUNTIF('INSTANCE C1'!$G$7:$G$50,'2 ZT'!G20))+(COUNTIF('INSTANCE C2'!$G$7:$G$50,'2 ZT'!G20))+(COUNTIF(INTERNES!$G$7:$G$50,'2 ZT'!G20))+(COUNTIF('EN PANNE'!$G$7:$G$50,'2 ZT'!G20))+(COUNTIF(TJM!$G$7:$G$50,'2 ZT'!G20))-I20</f>
        <v>0</v>
      </c>
      <c r="I20" s="23">
        <f>(COUNTIF('2 ZT'!$A$7:$A$50,'2 ZT'!G20))+(COUNTIF('2 ZT'!$A$7:$A$50,'2 ZT'!G20))+(COUNTIF('GO TRANSPORT'!$A$7:$A$50,'2 ZT'!G20))+(COUNTIF('HMZ - KAIS'!$A$7:$A$50,'2 ZT'!G20))+(COUNTIF('IB TRANSPORT'!$A$7:$A$50,'2 ZT'!G20))+(COUNTIF(JSL!$A$7:$A$50,'2 ZT'!G20))+(COUNTIF(KIFAITOUT!$A$7:$A$50,'2 ZT'!G20))+(COUNTIF('LUXE DRIVE'!$A$7:$A$50,'2 ZT'!G20))+(COUNTIF(SSN!$A$7:$A$50,'2 ZT'!G20))+(COUNTIF('W3'!$A$7:$A$50,'2 ZT'!G20))+(COUNTIF('ATHIS MONS'!$A$7:$A$50,'2 ZT'!G20))+(COUNTIF('L HAY LES ROSES'!$A$7:$A$50,'2 ZT'!G20))+(COUNTIF(RUNGIS!$A$7:$A$50,'2 ZT'!G20))+(COUNTIF(SCEAUX!$A$7:$A$50,'2 ZT'!G20))+(COUNTIF('INSTANCE C1'!$A$7:$A$50,'2 ZT'!G20))+(COUNTIF('INSTANCE C2'!$A$7:$A$50,'2 ZT'!G20))+(COUNTIF(INTERNES!$A$7:$A$50,'2 ZT'!G20))+(COUNTIF('EN PANNE'!$A$7:$A$50,'2 ZT'!G20))+(COUNTIF(TJM!$A$7:$A$50,'2 ZT'!G20))</f>
        <v>0</v>
      </c>
      <c r="J20" s="28">
        <f t="shared" si="3"/>
        <v>0</v>
      </c>
      <c r="K20" s="2"/>
      <c r="L20" s="47"/>
      <c r="M20" s="48"/>
      <c r="N20" s="45"/>
      <c r="O20" s="48"/>
      <c r="P20" s="48"/>
      <c r="Q20" s="48"/>
      <c r="R20" s="62"/>
      <c r="S20" s="60">
        <f t="shared" si="1"/>
        <v>0</v>
      </c>
      <c r="T20" s="67">
        <f t="shared" si="4"/>
        <v>0</v>
      </c>
    </row>
    <row r="21" spans="1:20" ht="24.95" customHeight="1" x14ac:dyDescent="0.2">
      <c r="A21" s="20"/>
      <c r="B21" s="23">
        <f>(COUNTIF('2S EXPRESS'!$A$7:$A$50,'2 ZT'!A21))+(COUNTIF('2 ZT'!$A$7:$A$50,'2 ZT'!A21))+(COUNTIF('GO TRANSPORT'!$A$7:$A$50,'2 ZT'!A21))+(COUNTIF('HMZ - KAIS'!$A$7:$A$50,'2 ZT'!A21))+(COUNTIF('IB TRANSPORT'!$A$7:$A$50,'2 ZT'!A21))+(COUNTIF(JSL!$A$7:$A$50,'2 ZT'!A21))+(COUNTIF(KIFAITOUT!$A$7:$A$50,'2 ZT'!A21))+(COUNTIF('LUXE DRIVE'!$A$7:$A$50,'2 ZT'!A21))+(COUNTIF(SSN!$A$7:$A$50,'2 ZT'!A21))+(COUNTIF('W3'!$A$7:$A$50,'2 ZT'!A21))+(COUNTIF('ATHIS MONS'!$A$7:$A$50,'2 ZT'!A21))+(COUNTIF('L HAY LES ROSES'!$A$7:$A$50,'2 ZT'!A21))+(COUNTIF(RUNGIS!$A$7:$A$50,'2 ZT'!A21))+(COUNTIF(SCEAUX!$A$7:$A$50,'2 ZT'!A21))+(COUNTIF('INSTANCE C1'!$A$7:$A$50,'2 ZT'!A21))+(COUNTIF('INSTANCE C2'!$A$7:$A$50,'2 ZT'!A21))+(COUNTIF(INTERNES!$A$7:$A$50,'2 ZT'!A21))+(COUNTIF('EN PANNE'!$A$7:$A$50,'2 ZT'!A21))+(COUNTIF(TJM!$A$7:$A$50,'2 ZT'!A21))-C21</f>
        <v>0</v>
      </c>
      <c r="C21" s="23">
        <f>(COUNTIF('2S EXPRESS'!$G$7:$G$50,'2 ZT'!A21))+(COUNTIF('2 ZT'!$G$7:$G$50,'2 ZT'!A21))+(COUNTIF('GO TRANSPORT'!$G$7:$G$50,'2 ZT'!A21))+(COUNTIF('2 ZT'!$G$7:$G$50,'2 ZT'!A21))+(COUNTIF('IB TRANSPORT'!$G$7:$G$50,'2 ZT'!A21))+(COUNTIF(JSL!$G$7:$G$50,'2 ZT'!A21))+(COUNTIF(KIFAITOUT!$G$7:$G$50,'2 ZT'!A21))+(COUNTIF('LUXE DRIVE'!$G$7:$G$50,'2 ZT'!A21))+(COUNTIF(SSN!$G$7:$G$50,'2 ZT'!A21))+(COUNTIF('W3'!$G$7:$G$50,'2 ZT'!A21))+(COUNTIF('ATHIS MONS'!$G$7:$G$50,'2 ZT'!A21))+(COUNTIF('L HAY LES ROSES'!$G$7:$G$50,'2 ZT'!A21))+(COUNTIF(RUNGIS!$G$7:$G$50,'2 ZT'!A21))+(COUNTIF(SCEAUX!$G$7:$G$50,'2 ZT'!A21))+(COUNTIF('INSTANCE C1'!$G$7:$G$50,'2 ZT'!A21))+(COUNTIF('INSTANCE C2'!$G$7:$G$50,'2 ZT'!A21))+(COUNTIF(INTERNES!$G$7:$G$50,'2 ZT'!A21))+(COUNTIF('EN PANNE'!$G$7:$G$50,'2 ZT'!A21))+(COUNTIF(TJM!$G$7:$G$50,'2 ZT'!A21))</f>
        <v>0</v>
      </c>
      <c r="D21" s="28">
        <f t="shared" si="2"/>
        <v>0</v>
      </c>
      <c r="E21" s="2"/>
      <c r="F21" s="5">
        <f t="shared" si="0"/>
        <v>0</v>
      </c>
      <c r="G21" s="20"/>
      <c r="H21" s="23">
        <f>(COUNTIF('2S EXPRESS'!$G$7:$G$50,'2 ZT'!G21))+(COUNTIF('2 ZT'!$G$7:$G$50,'2 ZT'!G21))+(COUNTIF('GO TRANSPORT'!$G$7:$G$50,'2 ZT'!G21))+(COUNTIF('HMZ - KAIS'!$G$7:$G$50,'2 ZT'!G21))+(COUNTIF('IB TRANSPORT'!$G$7:$G$50,'2 ZT'!G21))+(COUNTIF(JSL!$G$7:$G$50,'2 ZT'!G21))+(COUNTIF(KIFAITOUT!$G$7:$G$50,'2 ZT'!G21))+(COUNTIF('LUXE DRIVE'!$G$7:$G$50,'2 ZT'!G21))+(COUNTIF(SSN!$G$7:$G$50,'2 ZT'!G21))+(COUNTIF('W3'!$G$7:$G$50,'2 ZT'!G21))+(COUNTIF('ATHIS MONS'!$G$7:$G$50,'2 ZT'!G21))+(COUNTIF('L HAY LES ROSES'!$G$7:$G$50,'2 ZT'!G21))+(COUNTIF(RUNGIS!$G$7:$G$50,'2 ZT'!G21))+(COUNTIF(SCEAUX!$G$7:$G$50,'2 ZT'!G21))+(COUNTIF('INSTANCE C1'!$G$7:$G$50,'2 ZT'!G21))+(COUNTIF('INSTANCE C2'!$G$7:$G$50,'2 ZT'!G21))+(COUNTIF(INTERNES!$G$7:$G$50,'2 ZT'!G21))+(COUNTIF('EN PANNE'!$G$7:$G$50,'2 ZT'!G21))+(COUNTIF(TJM!$G$7:$G$50,'2 ZT'!G21))-I21</f>
        <v>0</v>
      </c>
      <c r="I21" s="23">
        <f>(COUNTIF('2 ZT'!$A$7:$A$50,'2 ZT'!G21))+(COUNTIF('2 ZT'!$A$7:$A$50,'2 ZT'!G21))+(COUNTIF('GO TRANSPORT'!$A$7:$A$50,'2 ZT'!G21))+(COUNTIF('HMZ - KAIS'!$A$7:$A$50,'2 ZT'!G21))+(COUNTIF('IB TRANSPORT'!$A$7:$A$50,'2 ZT'!G21))+(COUNTIF(JSL!$A$7:$A$50,'2 ZT'!G21))+(COUNTIF(KIFAITOUT!$A$7:$A$50,'2 ZT'!G21))+(COUNTIF('LUXE DRIVE'!$A$7:$A$50,'2 ZT'!G21))+(COUNTIF(SSN!$A$7:$A$50,'2 ZT'!G21))+(COUNTIF('W3'!$A$7:$A$50,'2 ZT'!G21))+(COUNTIF('ATHIS MONS'!$A$7:$A$50,'2 ZT'!G21))+(COUNTIF('L HAY LES ROSES'!$A$7:$A$50,'2 ZT'!G21))+(COUNTIF(RUNGIS!$A$7:$A$50,'2 ZT'!G21))+(COUNTIF(SCEAUX!$A$7:$A$50,'2 ZT'!G21))+(COUNTIF('INSTANCE C1'!$A$7:$A$50,'2 ZT'!G21))+(COUNTIF('INSTANCE C2'!$A$7:$A$50,'2 ZT'!G21))+(COUNTIF(INTERNES!$A$7:$A$50,'2 ZT'!G21))+(COUNTIF('EN PANNE'!$A$7:$A$50,'2 ZT'!G21))+(COUNTIF(TJM!$A$7:$A$50,'2 ZT'!G21))</f>
        <v>0</v>
      </c>
      <c r="J21" s="28">
        <f t="shared" si="3"/>
        <v>0</v>
      </c>
      <c r="K21" s="2"/>
      <c r="L21" s="47"/>
      <c r="M21" s="48"/>
      <c r="N21" s="45"/>
      <c r="O21" s="48"/>
      <c r="P21" s="48"/>
      <c r="Q21" s="48"/>
      <c r="R21" s="62"/>
      <c r="S21" s="60">
        <f t="shared" si="1"/>
        <v>0</v>
      </c>
      <c r="T21" s="67">
        <f t="shared" si="4"/>
        <v>0</v>
      </c>
    </row>
    <row r="22" spans="1:20" ht="24.95" customHeight="1" x14ac:dyDescent="0.2">
      <c r="A22" s="20"/>
      <c r="B22" s="23">
        <f>(COUNTIF('2S EXPRESS'!$A$7:$A$50,'2 ZT'!A22))+(COUNTIF('2 ZT'!$A$7:$A$50,'2 ZT'!A22))+(COUNTIF('GO TRANSPORT'!$A$7:$A$50,'2 ZT'!A22))+(COUNTIF('HMZ - KAIS'!$A$7:$A$50,'2 ZT'!A22))+(COUNTIF('IB TRANSPORT'!$A$7:$A$50,'2 ZT'!A22))+(COUNTIF(JSL!$A$7:$A$50,'2 ZT'!A22))+(COUNTIF(KIFAITOUT!$A$7:$A$50,'2 ZT'!A22))+(COUNTIF('LUXE DRIVE'!$A$7:$A$50,'2 ZT'!A22))+(COUNTIF(SSN!$A$7:$A$50,'2 ZT'!A22))+(COUNTIF('W3'!$A$7:$A$50,'2 ZT'!A22))+(COUNTIF('ATHIS MONS'!$A$7:$A$50,'2 ZT'!A22))+(COUNTIF('L HAY LES ROSES'!$A$7:$A$50,'2 ZT'!A22))+(COUNTIF(RUNGIS!$A$7:$A$50,'2 ZT'!A22))+(COUNTIF(SCEAUX!$A$7:$A$50,'2 ZT'!A22))+(COUNTIF('INSTANCE C1'!$A$7:$A$50,'2 ZT'!A22))+(COUNTIF('INSTANCE C2'!$A$7:$A$50,'2 ZT'!A22))+(COUNTIF(INTERNES!$A$7:$A$50,'2 ZT'!A22))+(COUNTIF('EN PANNE'!$A$7:$A$50,'2 ZT'!A22))+(COUNTIF(TJM!$A$7:$A$50,'2 ZT'!A22))-C22</f>
        <v>0</v>
      </c>
      <c r="C22" s="23">
        <f>(COUNTIF('2S EXPRESS'!$G$7:$G$50,'2 ZT'!A22))+(COUNTIF('2 ZT'!$G$7:$G$50,'2 ZT'!A22))+(COUNTIF('GO TRANSPORT'!$G$7:$G$50,'2 ZT'!A22))+(COUNTIF('2 ZT'!$G$7:$G$50,'2 ZT'!A22))+(COUNTIF('IB TRANSPORT'!$G$7:$G$50,'2 ZT'!A22))+(COUNTIF(JSL!$G$7:$G$50,'2 ZT'!A22))+(COUNTIF(KIFAITOUT!$G$7:$G$50,'2 ZT'!A22))+(COUNTIF('LUXE DRIVE'!$G$7:$G$50,'2 ZT'!A22))+(COUNTIF(SSN!$G$7:$G$50,'2 ZT'!A22))+(COUNTIF('W3'!$G$7:$G$50,'2 ZT'!A22))+(COUNTIF('ATHIS MONS'!$G$7:$G$50,'2 ZT'!A22))+(COUNTIF('L HAY LES ROSES'!$G$7:$G$50,'2 ZT'!A22))+(COUNTIF(RUNGIS!$G$7:$G$50,'2 ZT'!A22))+(COUNTIF(SCEAUX!$G$7:$G$50,'2 ZT'!A22))+(COUNTIF('INSTANCE C1'!$G$7:$G$50,'2 ZT'!A22))+(COUNTIF('INSTANCE C2'!$G$7:$G$50,'2 ZT'!A22))+(COUNTIF(INTERNES!$G$7:$G$50,'2 ZT'!A22))+(COUNTIF('EN PANNE'!$G$7:$G$50,'2 ZT'!A22))+(COUNTIF(TJM!$G$7:$G$50,'2 ZT'!A22))</f>
        <v>0</v>
      </c>
      <c r="D22" s="28">
        <f t="shared" si="2"/>
        <v>0</v>
      </c>
      <c r="E22" s="2"/>
      <c r="F22" s="5">
        <f t="shared" si="0"/>
        <v>0</v>
      </c>
      <c r="G22" s="20"/>
      <c r="H22" s="23">
        <f>(COUNTIF('2S EXPRESS'!$G$7:$G$50,'2 ZT'!G22))+(COUNTIF('2 ZT'!$G$7:$G$50,'2 ZT'!G22))+(COUNTIF('GO TRANSPORT'!$G$7:$G$50,'2 ZT'!G22))+(COUNTIF('HMZ - KAIS'!$G$7:$G$50,'2 ZT'!G22))+(COUNTIF('IB TRANSPORT'!$G$7:$G$50,'2 ZT'!G22))+(COUNTIF(JSL!$G$7:$G$50,'2 ZT'!G22))+(COUNTIF(KIFAITOUT!$G$7:$G$50,'2 ZT'!G22))+(COUNTIF('LUXE DRIVE'!$G$7:$G$50,'2 ZT'!G22))+(COUNTIF(SSN!$G$7:$G$50,'2 ZT'!G22))+(COUNTIF('W3'!$G$7:$G$50,'2 ZT'!G22))+(COUNTIF('ATHIS MONS'!$G$7:$G$50,'2 ZT'!G22))+(COUNTIF('L HAY LES ROSES'!$G$7:$G$50,'2 ZT'!G22))+(COUNTIF(RUNGIS!$G$7:$G$50,'2 ZT'!G22))+(COUNTIF(SCEAUX!$G$7:$G$50,'2 ZT'!G22))+(COUNTIF('INSTANCE C1'!$G$7:$G$50,'2 ZT'!G22))+(COUNTIF('INSTANCE C2'!$G$7:$G$50,'2 ZT'!G22))+(COUNTIF(INTERNES!$G$7:$G$50,'2 ZT'!G22))+(COUNTIF('EN PANNE'!$G$7:$G$50,'2 ZT'!G22))+(COUNTIF(TJM!$G$7:$G$50,'2 ZT'!G22))-I22</f>
        <v>0</v>
      </c>
      <c r="I22" s="23">
        <f>(COUNTIF('2 ZT'!$A$7:$A$50,'2 ZT'!G22))+(COUNTIF('2 ZT'!$A$7:$A$50,'2 ZT'!G22))+(COUNTIF('GO TRANSPORT'!$A$7:$A$50,'2 ZT'!G22))+(COUNTIF('HMZ - KAIS'!$A$7:$A$50,'2 ZT'!G22))+(COUNTIF('IB TRANSPORT'!$A$7:$A$50,'2 ZT'!G22))+(COUNTIF(JSL!$A$7:$A$50,'2 ZT'!G22))+(COUNTIF(KIFAITOUT!$A$7:$A$50,'2 ZT'!G22))+(COUNTIF('LUXE DRIVE'!$A$7:$A$50,'2 ZT'!G22))+(COUNTIF(SSN!$A$7:$A$50,'2 ZT'!G22))+(COUNTIF('W3'!$A$7:$A$50,'2 ZT'!G22))+(COUNTIF('ATHIS MONS'!$A$7:$A$50,'2 ZT'!G22))+(COUNTIF('L HAY LES ROSES'!$A$7:$A$50,'2 ZT'!G22))+(COUNTIF(RUNGIS!$A$7:$A$50,'2 ZT'!G22))+(COUNTIF(SCEAUX!$A$7:$A$50,'2 ZT'!G22))+(COUNTIF('INSTANCE C1'!$A$7:$A$50,'2 ZT'!G22))+(COUNTIF('INSTANCE C2'!$A$7:$A$50,'2 ZT'!G22))+(COUNTIF(INTERNES!$A$7:$A$50,'2 ZT'!G22))+(COUNTIF('EN PANNE'!$A$7:$A$50,'2 ZT'!G22))+(COUNTIF(TJM!$A$7:$A$50,'2 ZT'!G22))</f>
        <v>0</v>
      </c>
      <c r="J22" s="28">
        <f t="shared" si="3"/>
        <v>0</v>
      </c>
      <c r="K22" s="2"/>
      <c r="L22" s="47"/>
      <c r="M22" s="48"/>
      <c r="N22" s="45"/>
      <c r="O22" s="48"/>
      <c r="P22" s="48"/>
      <c r="Q22" s="48"/>
      <c r="R22" s="62"/>
      <c r="S22" s="60">
        <f t="shared" si="1"/>
        <v>0</v>
      </c>
      <c r="T22" s="67">
        <f t="shared" si="4"/>
        <v>0</v>
      </c>
    </row>
    <row r="23" spans="1:20" ht="24.95" customHeight="1" x14ac:dyDescent="0.2">
      <c r="A23" s="20"/>
      <c r="B23" s="23">
        <f>(COUNTIF('2S EXPRESS'!$A$7:$A$50,'2 ZT'!A23))+(COUNTIF('2 ZT'!$A$7:$A$50,'2 ZT'!A23))+(COUNTIF('GO TRANSPORT'!$A$7:$A$50,'2 ZT'!A23))+(COUNTIF('HMZ - KAIS'!$A$7:$A$50,'2 ZT'!A23))+(COUNTIF('IB TRANSPORT'!$A$7:$A$50,'2 ZT'!A23))+(COUNTIF(JSL!$A$7:$A$50,'2 ZT'!A23))+(COUNTIF(KIFAITOUT!$A$7:$A$50,'2 ZT'!A23))+(COUNTIF('LUXE DRIVE'!$A$7:$A$50,'2 ZT'!A23))+(COUNTIF(SSN!$A$7:$A$50,'2 ZT'!A23))+(COUNTIF('W3'!$A$7:$A$50,'2 ZT'!A23))+(COUNTIF('ATHIS MONS'!$A$7:$A$50,'2 ZT'!A23))+(COUNTIF('L HAY LES ROSES'!$A$7:$A$50,'2 ZT'!A23))+(COUNTIF(RUNGIS!$A$7:$A$50,'2 ZT'!A23))+(COUNTIF(SCEAUX!$A$7:$A$50,'2 ZT'!A23))+(COUNTIF('INSTANCE C1'!$A$7:$A$50,'2 ZT'!A23))+(COUNTIF('INSTANCE C2'!$A$7:$A$50,'2 ZT'!A23))+(COUNTIF(INTERNES!$A$7:$A$50,'2 ZT'!A23))+(COUNTIF('EN PANNE'!$A$7:$A$50,'2 ZT'!A23))+(COUNTIF(TJM!$A$7:$A$50,'2 ZT'!A23))-C23</f>
        <v>0</v>
      </c>
      <c r="C23" s="23">
        <f>(COUNTIF('2S EXPRESS'!$G$7:$G$50,'2 ZT'!A23))+(COUNTIF('2 ZT'!$G$7:$G$50,'2 ZT'!A23))+(COUNTIF('GO TRANSPORT'!$G$7:$G$50,'2 ZT'!A23))+(COUNTIF('2 ZT'!$G$7:$G$50,'2 ZT'!A23))+(COUNTIF('IB TRANSPORT'!$G$7:$G$50,'2 ZT'!A23))+(COUNTIF(JSL!$G$7:$G$50,'2 ZT'!A23))+(COUNTIF(KIFAITOUT!$G$7:$G$50,'2 ZT'!A23))+(COUNTIF('LUXE DRIVE'!$G$7:$G$50,'2 ZT'!A23))+(COUNTIF(SSN!$G$7:$G$50,'2 ZT'!A23))+(COUNTIF('W3'!$G$7:$G$50,'2 ZT'!A23))+(COUNTIF('ATHIS MONS'!$G$7:$G$50,'2 ZT'!A23))+(COUNTIF('L HAY LES ROSES'!$G$7:$G$50,'2 ZT'!A23))+(COUNTIF(RUNGIS!$G$7:$G$50,'2 ZT'!A23))+(COUNTIF(SCEAUX!$G$7:$G$50,'2 ZT'!A23))+(COUNTIF('INSTANCE C1'!$G$7:$G$50,'2 ZT'!A23))+(COUNTIF('INSTANCE C2'!$G$7:$G$50,'2 ZT'!A23))+(COUNTIF(INTERNES!$G$7:$G$50,'2 ZT'!A23))+(COUNTIF('EN PANNE'!$G$7:$G$50,'2 ZT'!A23))+(COUNTIF(TJM!$G$7:$G$50,'2 ZT'!A23))</f>
        <v>0</v>
      </c>
      <c r="D23" s="28">
        <f t="shared" si="2"/>
        <v>0</v>
      </c>
      <c r="E23" s="2"/>
      <c r="F23" s="6">
        <f t="shared" si="0"/>
        <v>0</v>
      </c>
      <c r="G23" s="20"/>
      <c r="H23" s="23">
        <f>(COUNTIF('2S EXPRESS'!$G$7:$G$50,'2 ZT'!G23))+(COUNTIF('2 ZT'!$G$7:$G$50,'2 ZT'!G23))+(COUNTIF('GO TRANSPORT'!$G$7:$G$50,'2 ZT'!G23))+(COUNTIF('HMZ - KAIS'!$G$7:$G$50,'2 ZT'!G23))+(COUNTIF('IB TRANSPORT'!$G$7:$G$50,'2 ZT'!G23))+(COUNTIF(JSL!$G$7:$G$50,'2 ZT'!G23))+(COUNTIF(KIFAITOUT!$G$7:$G$50,'2 ZT'!G23))+(COUNTIF('LUXE DRIVE'!$G$7:$G$50,'2 ZT'!G23))+(COUNTIF(SSN!$G$7:$G$50,'2 ZT'!G23))+(COUNTIF('W3'!$G$7:$G$50,'2 ZT'!G23))+(COUNTIF('ATHIS MONS'!$G$7:$G$50,'2 ZT'!G23))+(COUNTIF('L HAY LES ROSES'!$G$7:$G$50,'2 ZT'!G23))+(COUNTIF(RUNGIS!$G$7:$G$50,'2 ZT'!G23))+(COUNTIF(SCEAUX!$G$7:$G$50,'2 ZT'!G23))+(COUNTIF('INSTANCE C1'!$G$7:$G$50,'2 ZT'!G23))+(COUNTIF('INSTANCE C2'!$G$7:$G$50,'2 ZT'!G23))+(COUNTIF(INTERNES!$G$7:$G$50,'2 ZT'!G23))+(COUNTIF('EN PANNE'!$G$7:$G$50,'2 ZT'!G23))+(COUNTIF(TJM!$G$7:$G$50,'2 ZT'!G23))-I23</f>
        <v>0</v>
      </c>
      <c r="I23" s="23">
        <f>(COUNTIF('2 ZT'!$A$7:$A$50,'2 ZT'!G23))+(COUNTIF('2 ZT'!$A$7:$A$50,'2 ZT'!G23))+(COUNTIF('GO TRANSPORT'!$A$7:$A$50,'2 ZT'!G23))+(COUNTIF('HMZ - KAIS'!$A$7:$A$50,'2 ZT'!G23))+(COUNTIF('IB TRANSPORT'!$A$7:$A$50,'2 ZT'!G23))+(COUNTIF(JSL!$A$7:$A$50,'2 ZT'!G23))+(COUNTIF(KIFAITOUT!$A$7:$A$50,'2 ZT'!G23))+(COUNTIF('LUXE DRIVE'!$A$7:$A$50,'2 ZT'!G23))+(COUNTIF(SSN!$A$7:$A$50,'2 ZT'!G23))+(COUNTIF('W3'!$A$7:$A$50,'2 ZT'!G23))+(COUNTIF('ATHIS MONS'!$A$7:$A$50,'2 ZT'!G23))+(COUNTIF('L HAY LES ROSES'!$A$7:$A$50,'2 ZT'!G23))+(COUNTIF(RUNGIS!$A$7:$A$50,'2 ZT'!G23))+(COUNTIF(SCEAUX!$A$7:$A$50,'2 ZT'!G23))+(COUNTIF('INSTANCE C1'!$A$7:$A$50,'2 ZT'!G23))+(COUNTIF('INSTANCE C2'!$A$7:$A$50,'2 ZT'!G23))+(COUNTIF(INTERNES!$A$7:$A$50,'2 ZT'!G23))+(COUNTIF('EN PANNE'!$A$7:$A$50,'2 ZT'!G23))+(COUNTIF(TJM!$A$7:$A$50,'2 ZT'!G23))</f>
        <v>0</v>
      </c>
      <c r="J23" s="28">
        <f t="shared" si="3"/>
        <v>0</v>
      </c>
      <c r="K23" s="2"/>
      <c r="L23" s="47"/>
      <c r="M23" s="48"/>
      <c r="N23" s="45"/>
      <c r="O23" s="48"/>
      <c r="P23" s="48"/>
      <c r="Q23" s="48"/>
      <c r="R23" s="62"/>
      <c r="S23" s="60">
        <f t="shared" si="1"/>
        <v>0</v>
      </c>
      <c r="T23" s="67">
        <f t="shared" si="4"/>
        <v>0</v>
      </c>
    </row>
    <row r="24" spans="1:20" ht="24.95" customHeight="1" x14ac:dyDescent="0.2">
      <c r="A24" s="20"/>
      <c r="B24" s="23">
        <f>(COUNTIF('2S EXPRESS'!$A$7:$A$50,'2 ZT'!A24))+(COUNTIF('2 ZT'!$A$7:$A$50,'2 ZT'!A24))+(COUNTIF('GO TRANSPORT'!$A$7:$A$50,'2 ZT'!A24))+(COUNTIF('HMZ - KAIS'!$A$7:$A$50,'2 ZT'!A24))+(COUNTIF('IB TRANSPORT'!$A$7:$A$50,'2 ZT'!A24))+(COUNTIF(JSL!$A$7:$A$50,'2 ZT'!A24))+(COUNTIF(KIFAITOUT!$A$7:$A$50,'2 ZT'!A24))+(COUNTIF('LUXE DRIVE'!$A$7:$A$50,'2 ZT'!A24))+(COUNTIF(SSN!$A$7:$A$50,'2 ZT'!A24))+(COUNTIF('W3'!$A$7:$A$50,'2 ZT'!A24))+(COUNTIF('ATHIS MONS'!$A$7:$A$50,'2 ZT'!A24))+(COUNTIF('L HAY LES ROSES'!$A$7:$A$50,'2 ZT'!A24))+(COUNTIF(RUNGIS!$A$7:$A$50,'2 ZT'!A24))+(COUNTIF(SCEAUX!$A$7:$A$50,'2 ZT'!A24))+(COUNTIF('INSTANCE C1'!$A$7:$A$50,'2 ZT'!A24))+(COUNTIF('INSTANCE C2'!$A$7:$A$50,'2 ZT'!A24))+(COUNTIF(INTERNES!$A$7:$A$50,'2 ZT'!A24))+(COUNTIF('EN PANNE'!$A$7:$A$50,'2 ZT'!A24))+(COUNTIF(TJM!$A$7:$A$50,'2 ZT'!A24))-C24</f>
        <v>0</v>
      </c>
      <c r="C24" s="23">
        <f>(COUNTIF('2S EXPRESS'!$G$7:$G$50,'2 ZT'!A24))+(COUNTIF('2 ZT'!$G$7:$G$50,'2 ZT'!A24))+(COUNTIF('GO TRANSPORT'!$G$7:$G$50,'2 ZT'!A24))+(COUNTIF('2 ZT'!$G$7:$G$50,'2 ZT'!A24))+(COUNTIF('IB TRANSPORT'!$G$7:$G$50,'2 ZT'!A24))+(COUNTIF(JSL!$G$7:$G$50,'2 ZT'!A24))+(COUNTIF(KIFAITOUT!$G$7:$G$50,'2 ZT'!A24))+(COUNTIF('LUXE DRIVE'!$G$7:$G$50,'2 ZT'!A24))+(COUNTIF(SSN!$G$7:$G$50,'2 ZT'!A24))+(COUNTIF('W3'!$G$7:$G$50,'2 ZT'!A24))+(COUNTIF('ATHIS MONS'!$G$7:$G$50,'2 ZT'!A24))+(COUNTIF('L HAY LES ROSES'!$G$7:$G$50,'2 ZT'!A24))+(COUNTIF(RUNGIS!$G$7:$G$50,'2 ZT'!A24))+(COUNTIF(SCEAUX!$G$7:$G$50,'2 ZT'!A24))+(COUNTIF('INSTANCE C1'!$G$7:$G$50,'2 ZT'!A24))+(COUNTIF('INSTANCE C2'!$G$7:$G$50,'2 ZT'!A24))+(COUNTIF(INTERNES!$G$7:$G$50,'2 ZT'!A24))+(COUNTIF('EN PANNE'!$G$7:$G$50,'2 ZT'!A24))+(COUNTIF(TJM!$G$7:$G$50,'2 ZT'!A24))</f>
        <v>0</v>
      </c>
      <c r="D24" s="28">
        <f t="shared" si="2"/>
        <v>0</v>
      </c>
      <c r="E24" s="2"/>
      <c r="F24" s="6">
        <f t="shared" si="0"/>
        <v>0</v>
      </c>
      <c r="G24" s="20"/>
      <c r="H24" s="23">
        <f>(COUNTIF('2S EXPRESS'!$G$7:$G$50,'2 ZT'!G24))+(COUNTIF('2 ZT'!$G$7:$G$50,'2 ZT'!G24))+(COUNTIF('GO TRANSPORT'!$G$7:$G$50,'2 ZT'!G24))+(COUNTIF('HMZ - KAIS'!$G$7:$G$50,'2 ZT'!G24))+(COUNTIF('IB TRANSPORT'!$G$7:$G$50,'2 ZT'!G24))+(COUNTIF(JSL!$G$7:$G$50,'2 ZT'!G24))+(COUNTIF(KIFAITOUT!$G$7:$G$50,'2 ZT'!G24))+(COUNTIF('LUXE DRIVE'!$G$7:$G$50,'2 ZT'!G24))+(COUNTIF(SSN!$G$7:$G$50,'2 ZT'!G24))+(COUNTIF('W3'!$G$7:$G$50,'2 ZT'!G24))+(COUNTIF('ATHIS MONS'!$G$7:$G$50,'2 ZT'!G24))+(COUNTIF('L HAY LES ROSES'!$G$7:$G$50,'2 ZT'!G24))+(COUNTIF(RUNGIS!$G$7:$G$50,'2 ZT'!G24))+(COUNTIF(SCEAUX!$G$7:$G$50,'2 ZT'!G24))+(COUNTIF('INSTANCE C1'!$G$7:$G$50,'2 ZT'!G24))+(COUNTIF('INSTANCE C2'!$G$7:$G$50,'2 ZT'!G24))+(COUNTIF(INTERNES!$G$7:$G$50,'2 ZT'!G24))+(COUNTIF('EN PANNE'!$G$7:$G$50,'2 ZT'!G24))+(COUNTIF(TJM!$G$7:$G$50,'2 ZT'!G24))-I24</f>
        <v>0</v>
      </c>
      <c r="I24" s="23">
        <f>(COUNTIF('2 ZT'!$A$7:$A$50,'2 ZT'!G24))+(COUNTIF('2 ZT'!$A$7:$A$50,'2 ZT'!G24))+(COUNTIF('GO TRANSPORT'!$A$7:$A$50,'2 ZT'!G24))+(COUNTIF('HMZ - KAIS'!$A$7:$A$50,'2 ZT'!G24))+(COUNTIF('IB TRANSPORT'!$A$7:$A$50,'2 ZT'!G24))+(COUNTIF(JSL!$A$7:$A$50,'2 ZT'!G24))+(COUNTIF(KIFAITOUT!$A$7:$A$50,'2 ZT'!G24))+(COUNTIF('LUXE DRIVE'!$A$7:$A$50,'2 ZT'!G24))+(COUNTIF(SSN!$A$7:$A$50,'2 ZT'!G24))+(COUNTIF('W3'!$A$7:$A$50,'2 ZT'!G24))+(COUNTIF('ATHIS MONS'!$A$7:$A$50,'2 ZT'!G24))+(COUNTIF('L HAY LES ROSES'!$A$7:$A$50,'2 ZT'!G24))+(COUNTIF(RUNGIS!$A$7:$A$50,'2 ZT'!G24))+(COUNTIF(SCEAUX!$A$7:$A$50,'2 ZT'!G24))+(COUNTIF('INSTANCE C1'!$A$7:$A$50,'2 ZT'!G24))+(COUNTIF('INSTANCE C2'!$A$7:$A$50,'2 ZT'!G24))+(COUNTIF(INTERNES!$A$7:$A$50,'2 ZT'!G24))+(COUNTIF('EN PANNE'!$A$7:$A$50,'2 ZT'!G24))+(COUNTIF(TJM!$A$7:$A$50,'2 ZT'!G24))</f>
        <v>0</v>
      </c>
      <c r="J24" s="28">
        <f t="shared" si="3"/>
        <v>0</v>
      </c>
      <c r="K24" s="2"/>
      <c r="L24" s="47"/>
      <c r="S24" s="60">
        <f t="shared" si="1"/>
        <v>0</v>
      </c>
      <c r="T24" s="67">
        <f t="shared" si="4"/>
        <v>0</v>
      </c>
    </row>
    <row r="25" spans="1:20" ht="24.95" customHeight="1" x14ac:dyDescent="0.2">
      <c r="A25" s="20"/>
      <c r="B25" s="23">
        <f>(COUNTIF('2S EXPRESS'!$A$7:$A$50,'2 ZT'!A25))+(COUNTIF('2 ZT'!$A$7:$A$50,'2 ZT'!A25))+(COUNTIF('GO TRANSPORT'!$A$7:$A$50,'2 ZT'!A25))+(COUNTIF('HMZ - KAIS'!$A$7:$A$50,'2 ZT'!A25))+(COUNTIF('IB TRANSPORT'!$A$7:$A$50,'2 ZT'!A25))+(COUNTIF(JSL!$A$7:$A$50,'2 ZT'!A25))+(COUNTIF(KIFAITOUT!$A$7:$A$50,'2 ZT'!A25))+(COUNTIF('LUXE DRIVE'!$A$7:$A$50,'2 ZT'!A25))+(COUNTIF(SSN!$A$7:$A$50,'2 ZT'!A25))+(COUNTIF('W3'!$A$7:$A$50,'2 ZT'!A25))+(COUNTIF('ATHIS MONS'!$A$7:$A$50,'2 ZT'!A25))+(COUNTIF('L HAY LES ROSES'!$A$7:$A$50,'2 ZT'!A25))+(COUNTIF(RUNGIS!$A$7:$A$50,'2 ZT'!A25))+(COUNTIF(SCEAUX!$A$7:$A$50,'2 ZT'!A25))+(COUNTIF('INSTANCE C1'!$A$7:$A$50,'2 ZT'!A25))+(COUNTIF('INSTANCE C2'!$A$7:$A$50,'2 ZT'!A25))+(COUNTIF(INTERNES!$A$7:$A$50,'2 ZT'!A25))+(COUNTIF('EN PANNE'!$A$7:$A$50,'2 ZT'!A25))+(COUNTIF(TJM!$A$7:$A$50,'2 ZT'!A25))-C25</f>
        <v>0</v>
      </c>
      <c r="C25" s="23">
        <f>(COUNTIF('2S EXPRESS'!$G$7:$G$50,'2 ZT'!A25))+(COUNTIF('2 ZT'!$G$7:$G$50,'2 ZT'!A25))+(COUNTIF('GO TRANSPORT'!$G$7:$G$50,'2 ZT'!A25))+(COUNTIF('2 ZT'!$G$7:$G$50,'2 ZT'!A25))+(COUNTIF('IB TRANSPORT'!$G$7:$G$50,'2 ZT'!A25))+(COUNTIF(JSL!$G$7:$G$50,'2 ZT'!A25))+(COUNTIF(KIFAITOUT!$G$7:$G$50,'2 ZT'!A25))+(COUNTIF('LUXE DRIVE'!$G$7:$G$50,'2 ZT'!A25))+(COUNTIF(SSN!$G$7:$G$50,'2 ZT'!A25))+(COUNTIF('W3'!$G$7:$G$50,'2 ZT'!A25))+(COUNTIF('ATHIS MONS'!$G$7:$G$50,'2 ZT'!A25))+(COUNTIF('L HAY LES ROSES'!$G$7:$G$50,'2 ZT'!A25))+(COUNTIF(RUNGIS!$G$7:$G$50,'2 ZT'!A25))+(COUNTIF(SCEAUX!$G$7:$G$50,'2 ZT'!A25))+(COUNTIF('INSTANCE C1'!$G$7:$G$50,'2 ZT'!A25))+(COUNTIF('INSTANCE C2'!$G$7:$G$50,'2 ZT'!A25))+(COUNTIF(INTERNES!$G$7:$G$50,'2 ZT'!A25))+(COUNTIF('EN PANNE'!$G$7:$G$50,'2 ZT'!A25))+(COUNTIF(TJM!$G$7:$G$50,'2 ZT'!A25))</f>
        <v>0</v>
      </c>
      <c r="D25" s="28">
        <f t="shared" si="2"/>
        <v>0</v>
      </c>
      <c r="E25" s="2"/>
      <c r="F25" s="6">
        <f t="shared" si="0"/>
        <v>0</v>
      </c>
      <c r="G25" s="20"/>
      <c r="H25" s="23">
        <f>(COUNTIF('2S EXPRESS'!$G$7:$G$50,'2 ZT'!G25))+(COUNTIF('2 ZT'!$G$7:$G$50,'2 ZT'!G25))+(COUNTIF('GO TRANSPORT'!$G$7:$G$50,'2 ZT'!G25))+(COUNTIF('HMZ - KAIS'!$G$7:$G$50,'2 ZT'!G25))+(COUNTIF('IB TRANSPORT'!$G$7:$G$50,'2 ZT'!G25))+(COUNTIF(JSL!$G$7:$G$50,'2 ZT'!G25))+(COUNTIF(KIFAITOUT!$G$7:$G$50,'2 ZT'!G25))+(COUNTIF('LUXE DRIVE'!$G$7:$G$50,'2 ZT'!G25))+(COUNTIF(SSN!$G$7:$G$50,'2 ZT'!G25))+(COUNTIF('W3'!$G$7:$G$50,'2 ZT'!G25))+(COUNTIF('ATHIS MONS'!$G$7:$G$50,'2 ZT'!G25))+(COUNTIF('L HAY LES ROSES'!$G$7:$G$50,'2 ZT'!G25))+(COUNTIF(RUNGIS!$G$7:$G$50,'2 ZT'!G25))+(COUNTIF(SCEAUX!$G$7:$G$50,'2 ZT'!G25))+(COUNTIF('INSTANCE C1'!$G$7:$G$50,'2 ZT'!G25))+(COUNTIF('INSTANCE C2'!$G$7:$G$50,'2 ZT'!G25))+(COUNTIF(INTERNES!$G$7:$G$50,'2 ZT'!G25))+(COUNTIF('EN PANNE'!$G$7:$G$50,'2 ZT'!G25))+(COUNTIF(TJM!$G$7:$G$50,'2 ZT'!G25))-I25</f>
        <v>0</v>
      </c>
      <c r="I25" s="23">
        <f>(COUNTIF('2 ZT'!$A$7:$A$50,'2 ZT'!G25))+(COUNTIF('2 ZT'!$A$7:$A$50,'2 ZT'!G25))+(COUNTIF('GO TRANSPORT'!$A$7:$A$50,'2 ZT'!G25))+(COUNTIF('HMZ - KAIS'!$A$7:$A$50,'2 ZT'!G25))+(COUNTIF('IB TRANSPORT'!$A$7:$A$50,'2 ZT'!G25))+(COUNTIF(JSL!$A$7:$A$50,'2 ZT'!G25))+(COUNTIF(KIFAITOUT!$A$7:$A$50,'2 ZT'!G25))+(COUNTIF('LUXE DRIVE'!$A$7:$A$50,'2 ZT'!G25))+(COUNTIF(SSN!$A$7:$A$50,'2 ZT'!G25))+(COUNTIF('W3'!$A$7:$A$50,'2 ZT'!G25))+(COUNTIF('ATHIS MONS'!$A$7:$A$50,'2 ZT'!G25))+(COUNTIF('L HAY LES ROSES'!$A$7:$A$50,'2 ZT'!G25))+(COUNTIF(RUNGIS!$A$7:$A$50,'2 ZT'!G25))+(COUNTIF(SCEAUX!$A$7:$A$50,'2 ZT'!G25))+(COUNTIF('INSTANCE C1'!$A$7:$A$50,'2 ZT'!G25))+(COUNTIF('INSTANCE C2'!$A$7:$A$50,'2 ZT'!G25))+(COUNTIF(INTERNES!$A$7:$A$50,'2 ZT'!G25))+(COUNTIF('EN PANNE'!$A$7:$A$50,'2 ZT'!G25))+(COUNTIF(TJM!$A$7:$A$50,'2 ZT'!G25))</f>
        <v>0</v>
      </c>
      <c r="J25" s="28">
        <f t="shared" si="3"/>
        <v>0</v>
      </c>
      <c r="K25" s="2"/>
      <c r="L25" s="47"/>
      <c r="S25" s="60">
        <f t="shared" si="1"/>
        <v>0</v>
      </c>
      <c r="T25" s="67">
        <f t="shared" si="4"/>
        <v>0</v>
      </c>
    </row>
    <row r="26" spans="1:20" ht="24.95" customHeight="1" x14ac:dyDescent="0.2">
      <c r="A26" s="20"/>
      <c r="B26" s="23">
        <f>(COUNTIF('2S EXPRESS'!$A$7:$A$50,'2 ZT'!A26))+(COUNTIF('2 ZT'!$A$7:$A$50,'2 ZT'!A26))+(COUNTIF('GO TRANSPORT'!$A$7:$A$50,'2 ZT'!A26))+(COUNTIF('HMZ - KAIS'!$A$7:$A$50,'2 ZT'!A26))+(COUNTIF('IB TRANSPORT'!$A$7:$A$50,'2 ZT'!A26))+(COUNTIF(JSL!$A$7:$A$50,'2 ZT'!A26))+(COUNTIF(KIFAITOUT!$A$7:$A$50,'2 ZT'!A26))+(COUNTIF('LUXE DRIVE'!$A$7:$A$50,'2 ZT'!A26))+(COUNTIF(SSN!$A$7:$A$50,'2 ZT'!A26))+(COUNTIF('W3'!$A$7:$A$50,'2 ZT'!A26))+(COUNTIF('ATHIS MONS'!$A$7:$A$50,'2 ZT'!A26))+(COUNTIF('L HAY LES ROSES'!$A$7:$A$50,'2 ZT'!A26))+(COUNTIF(RUNGIS!$A$7:$A$50,'2 ZT'!A26))+(COUNTIF(SCEAUX!$A$7:$A$50,'2 ZT'!A26))+(COUNTIF('INSTANCE C1'!$A$7:$A$50,'2 ZT'!A26))+(COUNTIF('INSTANCE C2'!$A$7:$A$50,'2 ZT'!A26))+(COUNTIF(INTERNES!$A$7:$A$50,'2 ZT'!A26))+(COUNTIF('EN PANNE'!$A$7:$A$50,'2 ZT'!A26))+(COUNTIF(TJM!$A$7:$A$50,'2 ZT'!A26))-C26</f>
        <v>0</v>
      </c>
      <c r="C26" s="23">
        <f>(COUNTIF('2S EXPRESS'!$G$7:$G$50,'2 ZT'!A26))+(COUNTIF('2 ZT'!$G$7:$G$50,'2 ZT'!A26))+(COUNTIF('GO TRANSPORT'!$G$7:$G$50,'2 ZT'!A26))+(COUNTIF('2 ZT'!$G$7:$G$50,'2 ZT'!A26))+(COUNTIF('IB TRANSPORT'!$G$7:$G$50,'2 ZT'!A26))+(COUNTIF(JSL!$G$7:$G$50,'2 ZT'!A26))+(COUNTIF(KIFAITOUT!$G$7:$G$50,'2 ZT'!A26))+(COUNTIF('LUXE DRIVE'!$G$7:$G$50,'2 ZT'!A26))+(COUNTIF(SSN!$G$7:$G$50,'2 ZT'!A26))+(COUNTIF('W3'!$G$7:$G$50,'2 ZT'!A26))+(COUNTIF('ATHIS MONS'!$G$7:$G$50,'2 ZT'!A26))+(COUNTIF('L HAY LES ROSES'!$G$7:$G$50,'2 ZT'!A26))+(COUNTIF(RUNGIS!$G$7:$G$50,'2 ZT'!A26))+(COUNTIF(SCEAUX!$G$7:$G$50,'2 ZT'!A26))+(COUNTIF('INSTANCE C1'!$G$7:$G$50,'2 ZT'!A26))+(COUNTIF('INSTANCE C2'!$G$7:$G$50,'2 ZT'!A26))+(COUNTIF(INTERNES!$G$7:$G$50,'2 ZT'!A26))+(COUNTIF('EN PANNE'!$G$7:$G$50,'2 ZT'!A26))+(COUNTIF(TJM!$G$7:$G$50,'2 ZT'!A26))</f>
        <v>0</v>
      </c>
      <c r="D26" s="28">
        <f t="shared" si="2"/>
        <v>0</v>
      </c>
      <c r="E26" s="2"/>
      <c r="F26" s="6">
        <f t="shared" si="0"/>
        <v>0</v>
      </c>
      <c r="G26" s="20"/>
      <c r="H26" s="23">
        <f>(COUNTIF('2S EXPRESS'!$G$7:$G$50,'2 ZT'!G26))+(COUNTIF('2 ZT'!$G$7:$G$50,'2 ZT'!G26))+(COUNTIF('GO TRANSPORT'!$G$7:$G$50,'2 ZT'!G26))+(COUNTIF('HMZ - KAIS'!$G$7:$G$50,'2 ZT'!G26))+(COUNTIF('IB TRANSPORT'!$G$7:$G$50,'2 ZT'!G26))+(COUNTIF(JSL!$G$7:$G$50,'2 ZT'!G26))+(COUNTIF(KIFAITOUT!$G$7:$G$50,'2 ZT'!G26))+(COUNTIF('LUXE DRIVE'!$G$7:$G$50,'2 ZT'!G26))+(COUNTIF(SSN!$G$7:$G$50,'2 ZT'!G26))+(COUNTIF('W3'!$G$7:$G$50,'2 ZT'!G26))+(COUNTIF('ATHIS MONS'!$G$7:$G$50,'2 ZT'!G26))+(COUNTIF('L HAY LES ROSES'!$G$7:$G$50,'2 ZT'!G26))+(COUNTIF(RUNGIS!$G$7:$G$50,'2 ZT'!G26))+(COUNTIF(SCEAUX!$G$7:$G$50,'2 ZT'!G26))+(COUNTIF('INSTANCE C1'!$G$7:$G$50,'2 ZT'!G26))+(COUNTIF('INSTANCE C2'!$G$7:$G$50,'2 ZT'!G26))+(COUNTIF(INTERNES!$G$7:$G$50,'2 ZT'!G26))+(COUNTIF('EN PANNE'!$G$7:$G$50,'2 ZT'!G26))+(COUNTIF(TJM!$G$7:$G$50,'2 ZT'!G26))-I26</f>
        <v>0</v>
      </c>
      <c r="I26" s="23">
        <f>(COUNTIF('2 ZT'!$A$7:$A$50,'2 ZT'!G26))+(COUNTIF('2 ZT'!$A$7:$A$50,'2 ZT'!G26))+(COUNTIF('GO TRANSPORT'!$A$7:$A$50,'2 ZT'!G26))+(COUNTIF('HMZ - KAIS'!$A$7:$A$50,'2 ZT'!G26))+(COUNTIF('IB TRANSPORT'!$A$7:$A$50,'2 ZT'!G26))+(COUNTIF(JSL!$A$7:$A$50,'2 ZT'!G26))+(COUNTIF(KIFAITOUT!$A$7:$A$50,'2 ZT'!G26))+(COUNTIF('LUXE DRIVE'!$A$7:$A$50,'2 ZT'!G26))+(COUNTIF(SSN!$A$7:$A$50,'2 ZT'!G26))+(COUNTIF('W3'!$A$7:$A$50,'2 ZT'!G26))+(COUNTIF('ATHIS MONS'!$A$7:$A$50,'2 ZT'!G26))+(COUNTIF('L HAY LES ROSES'!$A$7:$A$50,'2 ZT'!G26))+(COUNTIF(RUNGIS!$A$7:$A$50,'2 ZT'!G26))+(COUNTIF(SCEAUX!$A$7:$A$50,'2 ZT'!G26))+(COUNTIF('INSTANCE C1'!$A$7:$A$50,'2 ZT'!G26))+(COUNTIF('INSTANCE C2'!$A$7:$A$50,'2 ZT'!G26))+(COUNTIF(INTERNES!$A$7:$A$50,'2 ZT'!G26))+(COUNTIF('EN PANNE'!$A$7:$A$50,'2 ZT'!G26))+(COUNTIF(TJM!$A$7:$A$50,'2 ZT'!G26))</f>
        <v>0</v>
      </c>
      <c r="J26" s="28">
        <f t="shared" si="3"/>
        <v>0</v>
      </c>
      <c r="K26" s="2"/>
      <c r="L26" s="47"/>
      <c r="S26" s="60">
        <f t="shared" si="1"/>
        <v>0</v>
      </c>
      <c r="T26" s="67">
        <f t="shared" si="4"/>
        <v>0</v>
      </c>
    </row>
    <row r="27" spans="1:20" ht="24.95" customHeight="1" x14ac:dyDescent="0.2">
      <c r="A27" s="20"/>
      <c r="B27" s="23">
        <f>(COUNTIF('2S EXPRESS'!$A$7:$A$50,'2 ZT'!A27))+(COUNTIF('2 ZT'!$A$7:$A$50,'2 ZT'!A27))+(COUNTIF('GO TRANSPORT'!$A$7:$A$50,'2 ZT'!A27))+(COUNTIF('HMZ - KAIS'!$A$7:$A$50,'2 ZT'!A27))+(COUNTIF('IB TRANSPORT'!$A$7:$A$50,'2 ZT'!A27))+(COUNTIF(JSL!$A$7:$A$50,'2 ZT'!A27))+(COUNTIF(KIFAITOUT!$A$7:$A$50,'2 ZT'!A27))+(COUNTIF('LUXE DRIVE'!$A$7:$A$50,'2 ZT'!A27))+(COUNTIF(SSN!$A$7:$A$50,'2 ZT'!A27))+(COUNTIF('W3'!$A$7:$A$50,'2 ZT'!A27))+(COUNTIF('ATHIS MONS'!$A$7:$A$50,'2 ZT'!A27))+(COUNTIF('L HAY LES ROSES'!$A$7:$A$50,'2 ZT'!A27))+(COUNTIF(RUNGIS!$A$7:$A$50,'2 ZT'!A27))+(COUNTIF(SCEAUX!$A$7:$A$50,'2 ZT'!A27))+(COUNTIF('INSTANCE C1'!$A$7:$A$50,'2 ZT'!A27))+(COUNTIF('INSTANCE C2'!$A$7:$A$50,'2 ZT'!A27))+(COUNTIF(INTERNES!$A$7:$A$50,'2 ZT'!A27))+(COUNTIF('EN PANNE'!$A$7:$A$50,'2 ZT'!A27))+(COUNTIF(TJM!$A$7:$A$50,'2 ZT'!A27))-C27</f>
        <v>0</v>
      </c>
      <c r="C27" s="23">
        <f>(COUNTIF('2S EXPRESS'!$G$7:$G$50,'2 ZT'!A27))+(COUNTIF('2 ZT'!$G$7:$G$50,'2 ZT'!A27))+(COUNTIF('GO TRANSPORT'!$G$7:$G$50,'2 ZT'!A27))+(COUNTIF('2 ZT'!$G$7:$G$50,'2 ZT'!A27))+(COUNTIF('IB TRANSPORT'!$G$7:$G$50,'2 ZT'!A27))+(COUNTIF(JSL!$G$7:$G$50,'2 ZT'!A27))+(COUNTIF(KIFAITOUT!$G$7:$G$50,'2 ZT'!A27))+(COUNTIF('LUXE DRIVE'!$G$7:$G$50,'2 ZT'!A27))+(COUNTIF(SSN!$G$7:$G$50,'2 ZT'!A27))+(COUNTIF('W3'!$G$7:$G$50,'2 ZT'!A27))+(COUNTIF('ATHIS MONS'!$G$7:$G$50,'2 ZT'!A27))+(COUNTIF('L HAY LES ROSES'!$G$7:$G$50,'2 ZT'!A27))+(COUNTIF(RUNGIS!$G$7:$G$50,'2 ZT'!A27))+(COUNTIF(SCEAUX!$G$7:$G$50,'2 ZT'!A27))+(COUNTIF('INSTANCE C1'!$G$7:$G$50,'2 ZT'!A27))+(COUNTIF('INSTANCE C2'!$G$7:$G$50,'2 ZT'!A27))+(COUNTIF(INTERNES!$G$7:$G$50,'2 ZT'!A27))+(COUNTIF('EN PANNE'!$G$7:$G$50,'2 ZT'!A27))+(COUNTIF(TJM!$G$7:$G$50,'2 ZT'!A27))</f>
        <v>0</v>
      </c>
      <c r="D27" s="28">
        <f t="shared" si="2"/>
        <v>0</v>
      </c>
      <c r="E27" s="2"/>
      <c r="F27" s="6">
        <f t="shared" si="0"/>
        <v>0</v>
      </c>
      <c r="G27" s="20"/>
      <c r="H27" s="23">
        <f>(COUNTIF('2S EXPRESS'!$G$7:$G$50,'2 ZT'!G27))+(COUNTIF('2 ZT'!$G$7:$G$50,'2 ZT'!G27))+(COUNTIF('GO TRANSPORT'!$G$7:$G$50,'2 ZT'!G27))+(COUNTIF('HMZ - KAIS'!$G$7:$G$50,'2 ZT'!G27))+(COUNTIF('IB TRANSPORT'!$G$7:$G$50,'2 ZT'!G27))+(COUNTIF(JSL!$G$7:$G$50,'2 ZT'!G27))+(COUNTIF(KIFAITOUT!$G$7:$G$50,'2 ZT'!G27))+(COUNTIF('LUXE DRIVE'!$G$7:$G$50,'2 ZT'!G27))+(COUNTIF(SSN!$G$7:$G$50,'2 ZT'!G27))+(COUNTIF('W3'!$G$7:$G$50,'2 ZT'!G27))+(COUNTIF('ATHIS MONS'!$G$7:$G$50,'2 ZT'!G27))+(COUNTIF('L HAY LES ROSES'!$G$7:$G$50,'2 ZT'!G27))+(COUNTIF(RUNGIS!$G$7:$G$50,'2 ZT'!G27))+(COUNTIF(SCEAUX!$G$7:$G$50,'2 ZT'!G27))+(COUNTIF('INSTANCE C1'!$G$7:$G$50,'2 ZT'!G27))+(COUNTIF('INSTANCE C2'!$G$7:$G$50,'2 ZT'!G27))+(COUNTIF(INTERNES!$G$7:$G$50,'2 ZT'!G27))+(COUNTIF('EN PANNE'!$G$7:$G$50,'2 ZT'!G27))+(COUNTIF(TJM!$G$7:$G$50,'2 ZT'!G27))-I27</f>
        <v>0</v>
      </c>
      <c r="I27" s="23">
        <f>(COUNTIF('2 ZT'!$A$7:$A$50,'2 ZT'!G27))+(COUNTIF('2 ZT'!$A$7:$A$50,'2 ZT'!G27))+(COUNTIF('GO TRANSPORT'!$A$7:$A$50,'2 ZT'!G27))+(COUNTIF('HMZ - KAIS'!$A$7:$A$50,'2 ZT'!G27))+(COUNTIF('IB TRANSPORT'!$A$7:$A$50,'2 ZT'!G27))+(COUNTIF(JSL!$A$7:$A$50,'2 ZT'!G27))+(COUNTIF(KIFAITOUT!$A$7:$A$50,'2 ZT'!G27))+(COUNTIF('LUXE DRIVE'!$A$7:$A$50,'2 ZT'!G27))+(COUNTIF(SSN!$A$7:$A$50,'2 ZT'!G27))+(COUNTIF('W3'!$A$7:$A$50,'2 ZT'!G27))+(COUNTIF('ATHIS MONS'!$A$7:$A$50,'2 ZT'!G27))+(COUNTIF('L HAY LES ROSES'!$A$7:$A$50,'2 ZT'!G27))+(COUNTIF(RUNGIS!$A$7:$A$50,'2 ZT'!G27))+(COUNTIF(SCEAUX!$A$7:$A$50,'2 ZT'!G27))+(COUNTIF('INSTANCE C1'!$A$7:$A$50,'2 ZT'!G27))+(COUNTIF('INSTANCE C2'!$A$7:$A$50,'2 ZT'!G27))+(COUNTIF(INTERNES!$A$7:$A$50,'2 ZT'!G27))+(COUNTIF('EN PANNE'!$A$7:$A$50,'2 ZT'!G27))+(COUNTIF(TJM!$A$7:$A$50,'2 ZT'!G27))</f>
        <v>0</v>
      </c>
      <c r="J27" s="28">
        <f t="shared" si="3"/>
        <v>0</v>
      </c>
      <c r="K27" s="2"/>
      <c r="L27" s="47"/>
      <c r="S27" s="60">
        <f t="shared" si="1"/>
        <v>0</v>
      </c>
      <c r="T27" s="67">
        <f t="shared" si="4"/>
        <v>0</v>
      </c>
    </row>
    <row r="28" spans="1:20" ht="24.95" customHeight="1" x14ac:dyDescent="0.2">
      <c r="A28" s="20"/>
      <c r="B28" s="23">
        <f>(COUNTIF('2S EXPRESS'!$A$7:$A$50,'2 ZT'!A28))+(COUNTIF('2 ZT'!$A$7:$A$50,'2 ZT'!A28))+(COUNTIF('GO TRANSPORT'!$A$7:$A$50,'2 ZT'!A28))+(COUNTIF('HMZ - KAIS'!$A$7:$A$50,'2 ZT'!A28))+(COUNTIF('IB TRANSPORT'!$A$7:$A$50,'2 ZT'!A28))+(COUNTIF(JSL!$A$7:$A$50,'2 ZT'!A28))+(COUNTIF(KIFAITOUT!$A$7:$A$50,'2 ZT'!A28))+(COUNTIF('LUXE DRIVE'!$A$7:$A$50,'2 ZT'!A28))+(COUNTIF(SSN!$A$7:$A$50,'2 ZT'!A28))+(COUNTIF('W3'!$A$7:$A$50,'2 ZT'!A28))+(COUNTIF('ATHIS MONS'!$A$7:$A$50,'2 ZT'!A28))+(COUNTIF('L HAY LES ROSES'!$A$7:$A$50,'2 ZT'!A28))+(COUNTIF(RUNGIS!$A$7:$A$50,'2 ZT'!A28))+(COUNTIF(SCEAUX!$A$7:$A$50,'2 ZT'!A28))+(COUNTIF('INSTANCE C1'!$A$7:$A$50,'2 ZT'!A28))+(COUNTIF('INSTANCE C2'!$A$7:$A$50,'2 ZT'!A28))+(COUNTIF(INTERNES!$A$7:$A$50,'2 ZT'!A28))+(COUNTIF('EN PANNE'!$A$7:$A$50,'2 ZT'!A28))+(COUNTIF(TJM!$A$7:$A$50,'2 ZT'!A28))-C28</f>
        <v>0</v>
      </c>
      <c r="C28" s="23">
        <f>(COUNTIF('2S EXPRESS'!$G$7:$G$50,'2 ZT'!A28))+(COUNTIF('2 ZT'!$G$7:$G$50,'2 ZT'!A28))+(COUNTIF('GO TRANSPORT'!$G$7:$G$50,'2 ZT'!A28))+(COUNTIF('2 ZT'!$G$7:$G$50,'2 ZT'!A28))+(COUNTIF('IB TRANSPORT'!$G$7:$G$50,'2 ZT'!A28))+(COUNTIF(JSL!$G$7:$G$50,'2 ZT'!A28))+(COUNTIF(KIFAITOUT!$G$7:$G$50,'2 ZT'!A28))+(COUNTIF('LUXE DRIVE'!$G$7:$G$50,'2 ZT'!A28))+(COUNTIF(SSN!$G$7:$G$50,'2 ZT'!A28))+(COUNTIF('W3'!$G$7:$G$50,'2 ZT'!A28))+(COUNTIF('ATHIS MONS'!$G$7:$G$50,'2 ZT'!A28))+(COUNTIF('L HAY LES ROSES'!$G$7:$G$50,'2 ZT'!A28))+(COUNTIF(RUNGIS!$G$7:$G$50,'2 ZT'!A28))+(COUNTIF(SCEAUX!$G$7:$G$50,'2 ZT'!A28))+(COUNTIF('INSTANCE C1'!$G$7:$G$50,'2 ZT'!A28))+(COUNTIF('INSTANCE C2'!$G$7:$G$50,'2 ZT'!A28))+(COUNTIF(INTERNES!$G$7:$G$50,'2 ZT'!A28))+(COUNTIF('EN PANNE'!$G$7:$G$50,'2 ZT'!A28))+(COUNTIF(TJM!$G$7:$G$50,'2 ZT'!A28))</f>
        <v>0</v>
      </c>
      <c r="D28" s="28">
        <f t="shared" si="2"/>
        <v>0</v>
      </c>
      <c r="E28" s="2"/>
      <c r="F28" s="6">
        <f t="shared" si="0"/>
        <v>0</v>
      </c>
      <c r="G28" s="20"/>
      <c r="H28" s="23">
        <f>(COUNTIF('2S EXPRESS'!$G$7:$G$50,'2 ZT'!G28))+(COUNTIF('2 ZT'!$G$7:$G$50,'2 ZT'!G28))+(COUNTIF('GO TRANSPORT'!$G$7:$G$50,'2 ZT'!G28))+(COUNTIF('HMZ - KAIS'!$G$7:$G$50,'2 ZT'!G28))+(COUNTIF('IB TRANSPORT'!$G$7:$G$50,'2 ZT'!G28))+(COUNTIF(JSL!$G$7:$G$50,'2 ZT'!G28))+(COUNTIF(KIFAITOUT!$G$7:$G$50,'2 ZT'!G28))+(COUNTIF('LUXE DRIVE'!$G$7:$G$50,'2 ZT'!G28))+(COUNTIF(SSN!$G$7:$G$50,'2 ZT'!G28))+(COUNTIF('W3'!$G$7:$G$50,'2 ZT'!G28))+(COUNTIF('ATHIS MONS'!$G$7:$G$50,'2 ZT'!G28))+(COUNTIF('L HAY LES ROSES'!$G$7:$G$50,'2 ZT'!G28))+(COUNTIF(RUNGIS!$G$7:$G$50,'2 ZT'!G28))+(COUNTIF(SCEAUX!$G$7:$G$50,'2 ZT'!G28))+(COUNTIF('INSTANCE C1'!$G$7:$G$50,'2 ZT'!G28))+(COUNTIF('INSTANCE C2'!$G$7:$G$50,'2 ZT'!G28))+(COUNTIF(INTERNES!$G$7:$G$50,'2 ZT'!G28))+(COUNTIF('EN PANNE'!$G$7:$G$50,'2 ZT'!G28))+(COUNTIF(TJM!$G$7:$G$50,'2 ZT'!G28))-I28</f>
        <v>0</v>
      </c>
      <c r="I28" s="23">
        <f>(COUNTIF('2 ZT'!$A$7:$A$50,'2 ZT'!G28))+(COUNTIF('2 ZT'!$A$7:$A$50,'2 ZT'!G28))+(COUNTIF('GO TRANSPORT'!$A$7:$A$50,'2 ZT'!G28))+(COUNTIF('HMZ - KAIS'!$A$7:$A$50,'2 ZT'!G28))+(COUNTIF('IB TRANSPORT'!$A$7:$A$50,'2 ZT'!G28))+(COUNTIF(JSL!$A$7:$A$50,'2 ZT'!G28))+(COUNTIF(KIFAITOUT!$A$7:$A$50,'2 ZT'!G28))+(COUNTIF('LUXE DRIVE'!$A$7:$A$50,'2 ZT'!G28))+(COUNTIF(SSN!$A$7:$A$50,'2 ZT'!G28))+(COUNTIF('W3'!$A$7:$A$50,'2 ZT'!G28))+(COUNTIF('ATHIS MONS'!$A$7:$A$50,'2 ZT'!G28))+(COUNTIF('L HAY LES ROSES'!$A$7:$A$50,'2 ZT'!G28))+(COUNTIF(RUNGIS!$A$7:$A$50,'2 ZT'!G28))+(COUNTIF(SCEAUX!$A$7:$A$50,'2 ZT'!G28))+(COUNTIF('INSTANCE C1'!$A$7:$A$50,'2 ZT'!G28))+(COUNTIF('INSTANCE C2'!$A$7:$A$50,'2 ZT'!G28))+(COUNTIF(INTERNES!$A$7:$A$50,'2 ZT'!G28))+(COUNTIF('EN PANNE'!$A$7:$A$50,'2 ZT'!G28))+(COUNTIF(TJM!$A$7:$A$50,'2 ZT'!G28))</f>
        <v>0</v>
      </c>
      <c r="J28" s="28">
        <f t="shared" si="3"/>
        <v>0</v>
      </c>
      <c r="K28" s="2"/>
      <c r="L28" s="47"/>
      <c r="S28" s="60">
        <f t="shared" si="1"/>
        <v>0</v>
      </c>
      <c r="T28" s="67">
        <f t="shared" si="4"/>
        <v>0</v>
      </c>
    </row>
    <row r="29" spans="1:20" ht="24.95" customHeight="1" x14ac:dyDescent="0.2">
      <c r="A29" s="20"/>
      <c r="B29" s="23">
        <f>(COUNTIF('2S EXPRESS'!$A$7:$A$50,'2 ZT'!A29))+(COUNTIF('2 ZT'!$A$7:$A$50,'2 ZT'!A29))+(COUNTIF('GO TRANSPORT'!$A$7:$A$50,'2 ZT'!A29))+(COUNTIF('HMZ - KAIS'!$A$7:$A$50,'2 ZT'!A29))+(COUNTIF('IB TRANSPORT'!$A$7:$A$50,'2 ZT'!A29))+(COUNTIF(JSL!$A$7:$A$50,'2 ZT'!A29))+(COUNTIF(KIFAITOUT!$A$7:$A$50,'2 ZT'!A29))+(COUNTIF('LUXE DRIVE'!$A$7:$A$50,'2 ZT'!A29))+(COUNTIF(SSN!$A$7:$A$50,'2 ZT'!A29))+(COUNTIF('W3'!$A$7:$A$50,'2 ZT'!A29))+(COUNTIF('ATHIS MONS'!$A$7:$A$50,'2 ZT'!A29))+(COUNTIF('L HAY LES ROSES'!$A$7:$A$50,'2 ZT'!A29))+(COUNTIF(RUNGIS!$A$7:$A$50,'2 ZT'!A29))+(COUNTIF(SCEAUX!$A$7:$A$50,'2 ZT'!A29))+(COUNTIF('INSTANCE C1'!$A$7:$A$50,'2 ZT'!A29))+(COUNTIF('INSTANCE C2'!$A$7:$A$50,'2 ZT'!A29))+(COUNTIF(INTERNES!$A$7:$A$50,'2 ZT'!A29))+(COUNTIF('EN PANNE'!$A$7:$A$50,'2 ZT'!A29))+(COUNTIF(TJM!$A$7:$A$50,'2 ZT'!A29))-C29</f>
        <v>0</v>
      </c>
      <c r="C29" s="23">
        <f>(COUNTIF('2S EXPRESS'!$G$7:$G$50,'2 ZT'!A29))+(COUNTIF('2 ZT'!$G$7:$G$50,'2 ZT'!A29))+(COUNTIF('GO TRANSPORT'!$G$7:$G$50,'2 ZT'!A29))+(COUNTIF('2 ZT'!$G$7:$G$50,'2 ZT'!A29))+(COUNTIF('IB TRANSPORT'!$G$7:$G$50,'2 ZT'!A29))+(COUNTIF(JSL!$G$7:$G$50,'2 ZT'!A29))+(COUNTIF(KIFAITOUT!$G$7:$G$50,'2 ZT'!A29))+(COUNTIF('LUXE DRIVE'!$G$7:$G$50,'2 ZT'!A29))+(COUNTIF(SSN!$G$7:$G$50,'2 ZT'!A29))+(COUNTIF('W3'!$G$7:$G$50,'2 ZT'!A29))+(COUNTIF('ATHIS MONS'!$G$7:$G$50,'2 ZT'!A29))+(COUNTIF('L HAY LES ROSES'!$G$7:$G$50,'2 ZT'!A29))+(COUNTIF(RUNGIS!$G$7:$G$50,'2 ZT'!A29))+(COUNTIF(SCEAUX!$G$7:$G$50,'2 ZT'!A29))+(COUNTIF('INSTANCE C1'!$G$7:$G$50,'2 ZT'!A29))+(COUNTIF('INSTANCE C2'!$G$7:$G$50,'2 ZT'!A29))+(COUNTIF(INTERNES!$G$7:$G$50,'2 ZT'!A29))+(COUNTIF('EN PANNE'!$G$7:$G$50,'2 ZT'!A29))+(COUNTIF(TJM!$G$7:$G$50,'2 ZT'!A29))</f>
        <v>0</v>
      </c>
      <c r="D29" s="28">
        <f t="shared" si="2"/>
        <v>0</v>
      </c>
      <c r="E29" s="2"/>
      <c r="F29" s="6">
        <f t="shared" si="0"/>
        <v>0</v>
      </c>
      <c r="G29" s="20"/>
      <c r="H29" s="23">
        <f>(COUNTIF('2S EXPRESS'!$G$7:$G$50,'2 ZT'!G29))+(COUNTIF('2 ZT'!$G$7:$G$50,'2 ZT'!G29))+(COUNTIF('GO TRANSPORT'!$G$7:$G$50,'2 ZT'!G29))+(COUNTIF('HMZ - KAIS'!$G$7:$G$50,'2 ZT'!G29))+(COUNTIF('IB TRANSPORT'!$G$7:$G$50,'2 ZT'!G29))+(COUNTIF(JSL!$G$7:$G$50,'2 ZT'!G29))+(COUNTIF(KIFAITOUT!$G$7:$G$50,'2 ZT'!G29))+(COUNTIF('LUXE DRIVE'!$G$7:$G$50,'2 ZT'!G29))+(COUNTIF(SSN!$G$7:$G$50,'2 ZT'!G29))+(COUNTIF('W3'!$G$7:$G$50,'2 ZT'!G29))+(COUNTIF('ATHIS MONS'!$G$7:$G$50,'2 ZT'!G29))+(COUNTIF('L HAY LES ROSES'!$G$7:$G$50,'2 ZT'!G29))+(COUNTIF(RUNGIS!$G$7:$G$50,'2 ZT'!G29))+(COUNTIF(SCEAUX!$G$7:$G$50,'2 ZT'!G29))+(COUNTIF('INSTANCE C1'!$G$7:$G$50,'2 ZT'!G29))+(COUNTIF('INSTANCE C2'!$G$7:$G$50,'2 ZT'!G29))+(COUNTIF(INTERNES!$G$7:$G$50,'2 ZT'!G29))+(COUNTIF('EN PANNE'!$G$7:$G$50,'2 ZT'!G29))+(COUNTIF(TJM!$G$7:$G$50,'2 ZT'!G29))-I29</f>
        <v>0</v>
      </c>
      <c r="I29" s="23">
        <f>(COUNTIF('2 ZT'!$A$7:$A$50,'2 ZT'!G29))+(COUNTIF('2 ZT'!$A$7:$A$50,'2 ZT'!G29))+(COUNTIF('GO TRANSPORT'!$A$7:$A$50,'2 ZT'!G29))+(COUNTIF('HMZ - KAIS'!$A$7:$A$50,'2 ZT'!G29))+(COUNTIF('IB TRANSPORT'!$A$7:$A$50,'2 ZT'!G29))+(COUNTIF(JSL!$A$7:$A$50,'2 ZT'!G29))+(COUNTIF(KIFAITOUT!$A$7:$A$50,'2 ZT'!G29))+(COUNTIF('LUXE DRIVE'!$A$7:$A$50,'2 ZT'!G29))+(COUNTIF(SSN!$A$7:$A$50,'2 ZT'!G29))+(COUNTIF('W3'!$A$7:$A$50,'2 ZT'!G29))+(COUNTIF('ATHIS MONS'!$A$7:$A$50,'2 ZT'!G29))+(COUNTIF('L HAY LES ROSES'!$A$7:$A$50,'2 ZT'!G29))+(COUNTIF(RUNGIS!$A$7:$A$50,'2 ZT'!G29))+(COUNTIF(SCEAUX!$A$7:$A$50,'2 ZT'!G29))+(COUNTIF('INSTANCE C1'!$A$7:$A$50,'2 ZT'!G29))+(COUNTIF('INSTANCE C2'!$A$7:$A$50,'2 ZT'!G29))+(COUNTIF(INTERNES!$A$7:$A$50,'2 ZT'!G29))+(COUNTIF('EN PANNE'!$A$7:$A$50,'2 ZT'!G29))+(COUNTIF(TJM!$A$7:$A$50,'2 ZT'!G29))</f>
        <v>0</v>
      </c>
      <c r="J29" s="28">
        <f t="shared" si="3"/>
        <v>0</v>
      </c>
      <c r="K29" s="2"/>
      <c r="L29" s="47"/>
      <c r="S29" s="60">
        <f t="shared" si="1"/>
        <v>0</v>
      </c>
      <c r="T29" s="67">
        <f t="shared" si="4"/>
        <v>0</v>
      </c>
    </row>
    <row r="30" spans="1:20" ht="24.95" customHeight="1" x14ac:dyDescent="0.2">
      <c r="A30" s="20"/>
      <c r="B30" s="23">
        <f>(COUNTIF('2S EXPRESS'!$A$7:$A$50,'2 ZT'!A30))+(COUNTIF('2 ZT'!$A$7:$A$50,'2 ZT'!A30))+(COUNTIF('GO TRANSPORT'!$A$7:$A$50,'2 ZT'!A30))+(COUNTIF('HMZ - KAIS'!$A$7:$A$50,'2 ZT'!A30))+(COUNTIF('IB TRANSPORT'!$A$7:$A$50,'2 ZT'!A30))+(COUNTIF(JSL!$A$7:$A$50,'2 ZT'!A30))+(COUNTIF(KIFAITOUT!$A$7:$A$50,'2 ZT'!A30))+(COUNTIF('LUXE DRIVE'!$A$7:$A$50,'2 ZT'!A30))+(COUNTIF(SSN!$A$7:$A$50,'2 ZT'!A30))+(COUNTIF('W3'!$A$7:$A$50,'2 ZT'!A30))+(COUNTIF('ATHIS MONS'!$A$7:$A$50,'2 ZT'!A30))+(COUNTIF('L HAY LES ROSES'!$A$7:$A$50,'2 ZT'!A30))+(COUNTIF(RUNGIS!$A$7:$A$50,'2 ZT'!A30))+(COUNTIF(SCEAUX!$A$7:$A$50,'2 ZT'!A30))+(COUNTIF('INSTANCE C1'!$A$7:$A$50,'2 ZT'!A30))+(COUNTIF('INSTANCE C2'!$A$7:$A$50,'2 ZT'!A30))+(COUNTIF(INTERNES!$A$7:$A$50,'2 ZT'!A30))+(COUNTIF('EN PANNE'!$A$7:$A$50,'2 ZT'!A30))+(COUNTIF(TJM!$A$7:$A$50,'2 ZT'!A30))-C30</f>
        <v>0</v>
      </c>
      <c r="C30" s="23">
        <f>(COUNTIF('2S EXPRESS'!$G$7:$G$50,'2 ZT'!A30))+(COUNTIF('2 ZT'!$G$7:$G$50,'2 ZT'!A30))+(COUNTIF('GO TRANSPORT'!$G$7:$G$50,'2 ZT'!A30))+(COUNTIF('2 ZT'!$G$7:$G$50,'2 ZT'!A30))+(COUNTIF('IB TRANSPORT'!$G$7:$G$50,'2 ZT'!A30))+(COUNTIF(JSL!$G$7:$G$50,'2 ZT'!A30))+(COUNTIF(KIFAITOUT!$G$7:$G$50,'2 ZT'!A30))+(COUNTIF('LUXE DRIVE'!$G$7:$G$50,'2 ZT'!A30))+(COUNTIF(SSN!$G$7:$G$50,'2 ZT'!A30))+(COUNTIF('W3'!$G$7:$G$50,'2 ZT'!A30))+(COUNTIF('ATHIS MONS'!$G$7:$G$50,'2 ZT'!A30))+(COUNTIF('L HAY LES ROSES'!$G$7:$G$50,'2 ZT'!A30))+(COUNTIF(RUNGIS!$G$7:$G$50,'2 ZT'!A30))+(COUNTIF(SCEAUX!$G$7:$G$50,'2 ZT'!A30))+(COUNTIF('INSTANCE C1'!$G$7:$G$50,'2 ZT'!A30))+(COUNTIF('INSTANCE C2'!$G$7:$G$50,'2 ZT'!A30))+(COUNTIF(INTERNES!$G$7:$G$50,'2 ZT'!A30))+(COUNTIF('EN PANNE'!$G$7:$G$50,'2 ZT'!A30))+(COUNTIF(TJM!$G$7:$G$50,'2 ZT'!A30))</f>
        <v>0</v>
      </c>
      <c r="D30" s="28">
        <f t="shared" si="2"/>
        <v>0</v>
      </c>
      <c r="E30" s="2"/>
      <c r="F30" s="6">
        <f t="shared" si="0"/>
        <v>0</v>
      </c>
      <c r="G30" s="20"/>
      <c r="H30" s="23">
        <f>(COUNTIF('2S EXPRESS'!$G$7:$G$50,'2 ZT'!G30))+(COUNTIF('2 ZT'!$G$7:$G$50,'2 ZT'!G30))+(COUNTIF('GO TRANSPORT'!$G$7:$G$50,'2 ZT'!G30))+(COUNTIF('HMZ - KAIS'!$G$7:$G$50,'2 ZT'!G30))+(COUNTIF('IB TRANSPORT'!$G$7:$G$50,'2 ZT'!G30))+(COUNTIF(JSL!$G$7:$G$50,'2 ZT'!G30))+(COUNTIF(KIFAITOUT!$G$7:$G$50,'2 ZT'!G30))+(COUNTIF('LUXE DRIVE'!$G$7:$G$50,'2 ZT'!G30))+(COUNTIF(SSN!$G$7:$G$50,'2 ZT'!G30))+(COUNTIF('W3'!$G$7:$G$50,'2 ZT'!G30))+(COUNTIF('ATHIS MONS'!$G$7:$G$50,'2 ZT'!G30))+(COUNTIF('L HAY LES ROSES'!$G$7:$G$50,'2 ZT'!G30))+(COUNTIF(RUNGIS!$G$7:$G$50,'2 ZT'!G30))+(COUNTIF(SCEAUX!$G$7:$G$50,'2 ZT'!G30))+(COUNTIF('INSTANCE C1'!$G$7:$G$50,'2 ZT'!G30))+(COUNTIF('INSTANCE C2'!$G$7:$G$50,'2 ZT'!G30))+(COUNTIF(INTERNES!$G$7:$G$50,'2 ZT'!G30))+(COUNTIF('EN PANNE'!$G$7:$G$50,'2 ZT'!G30))+(COUNTIF(TJM!$G$7:$G$50,'2 ZT'!G30))-I30</f>
        <v>0</v>
      </c>
      <c r="I30" s="23">
        <f>(COUNTIF('2 ZT'!$A$7:$A$50,'2 ZT'!G30))+(COUNTIF('2 ZT'!$A$7:$A$50,'2 ZT'!G30))+(COUNTIF('GO TRANSPORT'!$A$7:$A$50,'2 ZT'!G30))+(COUNTIF('HMZ - KAIS'!$A$7:$A$50,'2 ZT'!G30))+(COUNTIF('IB TRANSPORT'!$A$7:$A$50,'2 ZT'!G30))+(COUNTIF(JSL!$A$7:$A$50,'2 ZT'!G30))+(COUNTIF(KIFAITOUT!$A$7:$A$50,'2 ZT'!G30))+(COUNTIF('LUXE DRIVE'!$A$7:$A$50,'2 ZT'!G30))+(COUNTIF(SSN!$A$7:$A$50,'2 ZT'!G30))+(COUNTIF('W3'!$A$7:$A$50,'2 ZT'!G30))+(COUNTIF('ATHIS MONS'!$A$7:$A$50,'2 ZT'!G30))+(COUNTIF('L HAY LES ROSES'!$A$7:$A$50,'2 ZT'!G30))+(COUNTIF(RUNGIS!$A$7:$A$50,'2 ZT'!G30))+(COUNTIF(SCEAUX!$A$7:$A$50,'2 ZT'!G30))+(COUNTIF('INSTANCE C1'!$A$7:$A$50,'2 ZT'!G30))+(COUNTIF('INSTANCE C2'!$A$7:$A$50,'2 ZT'!G30))+(COUNTIF(INTERNES!$A$7:$A$50,'2 ZT'!G30))+(COUNTIF('EN PANNE'!$A$7:$A$50,'2 ZT'!G30))+(COUNTIF(TJM!$A$7:$A$50,'2 ZT'!G30))</f>
        <v>0</v>
      </c>
      <c r="J30" s="28">
        <f t="shared" si="3"/>
        <v>0</v>
      </c>
      <c r="K30" s="2"/>
      <c r="L30" s="47"/>
      <c r="S30" s="60">
        <f t="shared" si="1"/>
        <v>0</v>
      </c>
      <c r="T30" s="67">
        <f t="shared" si="4"/>
        <v>0</v>
      </c>
    </row>
    <row r="31" spans="1:20" ht="24.95" customHeight="1" x14ac:dyDescent="0.2">
      <c r="A31" s="20"/>
      <c r="B31" s="23">
        <f>(COUNTIF('2S EXPRESS'!$A$7:$A$50,'2 ZT'!A31))+(COUNTIF('2 ZT'!$A$7:$A$50,'2 ZT'!A31))+(COUNTIF('GO TRANSPORT'!$A$7:$A$50,'2 ZT'!A31))+(COUNTIF('HMZ - KAIS'!$A$7:$A$50,'2 ZT'!A31))+(COUNTIF('IB TRANSPORT'!$A$7:$A$50,'2 ZT'!A31))+(COUNTIF(JSL!$A$7:$A$50,'2 ZT'!A31))+(COUNTIF(KIFAITOUT!$A$7:$A$50,'2 ZT'!A31))+(COUNTIF('LUXE DRIVE'!$A$7:$A$50,'2 ZT'!A31))+(COUNTIF(SSN!$A$7:$A$50,'2 ZT'!A31))+(COUNTIF('W3'!$A$7:$A$50,'2 ZT'!A31))+(COUNTIF('ATHIS MONS'!$A$7:$A$50,'2 ZT'!A31))+(COUNTIF('L HAY LES ROSES'!$A$7:$A$50,'2 ZT'!A31))+(COUNTIF(RUNGIS!$A$7:$A$50,'2 ZT'!A31))+(COUNTIF(SCEAUX!$A$7:$A$50,'2 ZT'!A31))+(COUNTIF('INSTANCE C1'!$A$7:$A$50,'2 ZT'!A31))+(COUNTIF('INSTANCE C2'!$A$7:$A$50,'2 ZT'!A31))+(COUNTIF(INTERNES!$A$7:$A$50,'2 ZT'!A31))+(COUNTIF('EN PANNE'!$A$7:$A$50,'2 ZT'!A31))+(COUNTIF(TJM!$A$7:$A$50,'2 ZT'!A31))-C31</f>
        <v>0</v>
      </c>
      <c r="C31" s="23">
        <f>(COUNTIF('2S EXPRESS'!$G$7:$G$50,'2 ZT'!A31))+(COUNTIF('2 ZT'!$G$7:$G$50,'2 ZT'!A31))+(COUNTIF('GO TRANSPORT'!$G$7:$G$50,'2 ZT'!A31))+(COUNTIF('2 ZT'!$G$7:$G$50,'2 ZT'!A31))+(COUNTIF('IB TRANSPORT'!$G$7:$G$50,'2 ZT'!A31))+(COUNTIF(JSL!$G$7:$G$50,'2 ZT'!A31))+(COUNTIF(KIFAITOUT!$G$7:$G$50,'2 ZT'!A31))+(COUNTIF('LUXE DRIVE'!$G$7:$G$50,'2 ZT'!A31))+(COUNTIF(SSN!$G$7:$G$50,'2 ZT'!A31))+(COUNTIF('W3'!$G$7:$G$50,'2 ZT'!A31))+(COUNTIF('ATHIS MONS'!$G$7:$G$50,'2 ZT'!A31))+(COUNTIF('L HAY LES ROSES'!$G$7:$G$50,'2 ZT'!A31))+(COUNTIF(RUNGIS!$G$7:$G$50,'2 ZT'!A31))+(COUNTIF(SCEAUX!$G$7:$G$50,'2 ZT'!A31))+(COUNTIF('INSTANCE C1'!$G$7:$G$50,'2 ZT'!A31))+(COUNTIF('INSTANCE C2'!$G$7:$G$50,'2 ZT'!A31))+(COUNTIF(INTERNES!$G$7:$G$50,'2 ZT'!A31))+(COUNTIF('EN PANNE'!$G$7:$G$50,'2 ZT'!A31))+(COUNTIF(TJM!$G$7:$G$50,'2 ZT'!A31))</f>
        <v>0</v>
      </c>
      <c r="D31" s="28">
        <f t="shared" si="2"/>
        <v>0</v>
      </c>
      <c r="E31" s="2"/>
      <c r="F31" s="6">
        <f t="shared" si="0"/>
        <v>0</v>
      </c>
      <c r="G31" s="20"/>
      <c r="H31" s="23">
        <f>(COUNTIF('2S EXPRESS'!$G$7:$G$50,'2 ZT'!G31))+(COUNTIF('2 ZT'!$G$7:$G$50,'2 ZT'!G31))+(COUNTIF('GO TRANSPORT'!$G$7:$G$50,'2 ZT'!G31))+(COUNTIF('HMZ - KAIS'!$G$7:$G$50,'2 ZT'!G31))+(COUNTIF('IB TRANSPORT'!$G$7:$G$50,'2 ZT'!G31))+(COUNTIF(JSL!$G$7:$G$50,'2 ZT'!G31))+(COUNTIF(KIFAITOUT!$G$7:$G$50,'2 ZT'!G31))+(COUNTIF('LUXE DRIVE'!$G$7:$G$50,'2 ZT'!G31))+(COUNTIF(SSN!$G$7:$G$50,'2 ZT'!G31))+(COUNTIF('W3'!$G$7:$G$50,'2 ZT'!G31))+(COUNTIF('ATHIS MONS'!$G$7:$G$50,'2 ZT'!G31))+(COUNTIF('L HAY LES ROSES'!$G$7:$G$50,'2 ZT'!G31))+(COUNTIF(RUNGIS!$G$7:$G$50,'2 ZT'!G31))+(COUNTIF(SCEAUX!$G$7:$G$50,'2 ZT'!G31))+(COUNTIF('INSTANCE C1'!$G$7:$G$50,'2 ZT'!G31))+(COUNTIF('INSTANCE C2'!$G$7:$G$50,'2 ZT'!G31))+(COUNTIF(INTERNES!$G$7:$G$50,'2 ZT'!G31))+(COUNTIF('EN PANNE'!$G$7:$G$50,'2 ZT'!G31))+(COUNTIF(TJM!$G$7:$G$50,'2 ZT'!G31))-I31</f>
        <v>0</v>
      </c>
      <c r="I31" s="23">
        <f>(COUNTIF('2 ZT'!$A$7:$A$50,'2 ZT'!G31))+(COUNTIF('2 ZT'!$A$7:$A$50,'2 ZT'!G31))+(COUNTIF('GO TRANSPORT'!$A$7:$A$50,'2 ZT'!G31))+(COUNTIF('HMZ - KAIS'!$A$7:$A$50,'2 ZT'!G31))+(COUNTIF('IB TRANSPORT'!$A$7:$A$50,'2 ZT'!G31))+(COUNTIF(JSL!$A$7:$A$50,'2 ZT'!G31))+(COUNTIF(KIFAITOUT!$A$7:$A$50,'2 ZT'!G31))+(COUNTIF('LUXE DRIVE'!$A$7:$A$50,'2 ZT'!G31))+(COUNTIF(SSN!$A$7:$A$50,'2 ZT'!G31))+(COUNTIF('W3'!$A$7:$A$50,'2 ZT'!G31))+(COUNTIF('ATHIS MONS'!$A$7:$A$50,'2 ZT'!G31))+(COUNTIF('L HAY LES ROSES'!$A$7:$A$50,'2 ZT'!G31))+(COUNTIF(RUNGIS!$A$7:$A$50,'2 ZT'!G31))+(COUNTIF(SCEAUX!$A$7:$A$50,'2 ZT'!G31))+(COUNTIF('INSTANCE C1'!$A$7:$A$50,'2 ZT'!G31))+(COUNTIF('INSTANCE C2'!$A$7:$A$50,'2 ZT'!G31))+(COUNTIF(INTERNES!$A$7:$A$50,'2 ZT'!G31))+(COUNTIF('EN PANNE'!$A$7:$A$50,'2 ZT'!G31))+(COUNTIF(TJM!$A$7:$A$50,'2 ZT'!G31))</f>
        <v>0</v>
      </c>
      <c r="J31" s="28">
        <f t="shared" si="3"/>
        <v>0</v>
      </c>
      <c r="K31" s="2"/>
      <c r="L31" s="47"/>
      <c r="S31" s="60">
        <f t="shared" si="1"/>
        <v>0</v>
      </c>
      <c r="T31" s="67">
        <f t="shared" si="4"/>
        <v>0</v>
      </c>
    </row>
    <row r="32" spans="1:20" ht="24.95" customHeight="1" x14ac:dyDescent="0.2">
      <c r="A32" s="20"/>
      <c r="B32" s="23">
        <f>(COUNTIF('2S EXPRESS'!$A$7:$A$50,'2 ZT'!A32))+(COUNTIF('2 ZT'!$A$7:$A$50,'2 ZT'!A32))+(COUNTIF('GO TRANSPORT'!$A$7:$A$50,'2 ZT'!A32))+(COUNTIF('HMZ - KAIS'!$A$7:$A$50,'2 ZT'!A32))+(COUNTIF('IB TRANSPORT'!$A$7:$A$50,'2 ZT'!A32))+(COUNTIF(JSL!$A$7:$A$50,'2 ZT'!A32))+(COUNTIF(KIFAITOUT!$A$7:$A$50,'2 ZT'!A32))+(COUNTIF('LUXE DRIVE'!$A$7:$A$50,'2 ZT'!A32))+(COUNTIF(SSN!$A$7:$A$50,'2 ZT'!A32))+(COUNTIF('W3'!$A$7:$A$50,'2 ZT'!A32))+(COUNTIF('ATHIS MONS'!$A$7:$A$50,'2 ZT'!A32))+(COUNTIF('L HAY LES ROSES'!$A$7:$A$50,'2 ZT'!A32))+(COUNTIF(RUNGIS!$A$7:$A$50,'2 ZT'!A32))+(COUNTIF(SCEAUX!$A$7:$A$50,'2 ZT'!A32))+(COUNTIF('INSTANCE C1'!$A$7:$A$50,'2 ZT'!A32))+(COUNTIF('INSTANCE C2'!$A$7:$A$50,'2 ZT'!A32))+(COUNTIF(INTERNES!$A$7:$A$50,'2 ZT'!A32))+(COUNTIF('EN PANNE'!$A$7:$A$50,'2 ZT'!A32))+(COUNTIF(TJM!$A$7:$A$50,'2 ZT'!A32))-C32</f>
        <v>0</v>
      </c>
      <c r="C32" s="23">
        <f>(COUNTIF('2S EXPRESS'!$G$7:$G$50,'2 ZT'!A32))+(COUNTIF('2 ZT'!$G$7:$G$50,'2 ZT'!A32))+(COUNTIF('GO TRANSPORT'!$G$7:$G$50,'2 ZT'!A32))+(COUNTIF('2 ZT'!$G$7:$G$50,'2 ZT'!A32))+(COUNTIF('IB TRANSPORT'!$G$7:$G$50,'2 ZT'!A32))+(COUNTIF(JSL!$G$7:$G$50,'2 ZT'!A32))+(COUNTIF(KIFAITOUT!$G$7:$G$50,'2 ZT'!A32))+(COUNTIF('LUXE DRIVE'!$G$7:$G$50,'2 ZT'!A32))+(COUNTIF(SSN!$G$7:$G$50,'2 ZT'!A32))+(COUNTIF('W3'!$G$7:$G$50,'2 ZT'!A32))+(COUNTIF('ATHIS MONS'!$G$7:$G$50,'2 ZT'!A32))+(COUNTIF('L HAY LES ROSES'!$G$7:$G$50,'2 ZT'!A32))+(COUNTIF(RUNGIS!$G$7:$G$50,'2 ZT'!A32))+(COUNTIF(SCEAUX!$G$7:$G$50,'2 ZT'!A32))+(COUNTIF('INSTANCE C1'!$G$7:$G$50,'2 ZT'!A32))+(COUNTIF('INSTANCE C2'!$G$7:$G$50,'2 ZT'!A32))+(COUNTIF(INTERNES!$G$7:$G$50,'2 ZT'!A32))+(COUNTIF('EN PANNE'!$G$7:$G$50,'2 ZT'!A32))+(COUNTIF(TJM!$G$7:$G$50,'2 ZT'!A32))</f>
        <v>0</v>
      </c>
      <c r="D32" s="28">
        <f t="shared" si="2"/>
        <v>0</v>
      </c>
      <c r="E32" s="2"/>
      <c r="F32" s="6">
        <f t="shared" si="0"/>
        <v>0</v>
      </c>
      <c r="G32" s="20"/>
      <c r="H32" s="23">
        <f>(COUNTIF('2S EXPRESS'!$G$7:$G$50,'2 ZT'!G32))+(COUNTIF('2 ZT'!$G$7:$G$50,'2 ZT'!G32))+(COUNTIF('GO TRANSPORT'!$G$7:$G$50,'2 ZT'!G32))+(COUNTIF('HMZ - KAIS'!$G$7:$G$50,'2 ZT'!G32))+(COUNTIF('IB TRANSPORT'!$G$7:$G$50,'2 ZT'!G32))+(COUNTIF(JSL!$G$7:$G$50,'2 ZT'!G32))+(COUNTIF(KIFAITOUT!$G$7:$G$50,'2 ZT'!G32))+(COUNTIF('LUXE DRIVE'!$G$7:$G$50,'2 ZT'!G32))+(COUNTIF(SSN!$G$7:$G$50,'2 ZT'!G32))+(COUNTIF('W3'!$G$7:$G$50,'2 ZT'!G32))+(COUNTIF('ATHIS MONS'!$G$7:$G$50,'2 ZT'!G32))+(COUNTIF('L HAY LES ROSES'!$G$7:$G$50,'2 ZT'!G32))+(COUNTIF(RUNGIS!$G$7:$G$50,'2 ZT'!G32))+(COUNTIF(SCEAUX!$G$7:$G$50,'2 ZT'!G32))+(COUNTIF('INSTANCE C1'!$G$7:$G$50,'2 ZT'!G32))+(COUNTIF('INSTANCE C2'!$G$7:$G$50,'2 ZT'!G32))+(COUNTIF(INTERNES!$G$7:$G$50,'2 ZT'!G32))+(COUNTIF('EN PANNE'!$G$7:$G$50,'2 ZT'!G32))+(COUNTIF(TJM!$G$7:$G$50,'2 ZT'!G32))-I32</f>
        <v>0</v>
      </c>
      <c r="I32" s="23">
        <f>(COUNTIF('2 ZT'!$A$7:$A$50,'2 ZT'!G32))+(COUNTIF('2 ZT'!$A$7:$A$50,'2 ZT'!G32))+(COUNTIF('GO TRANSPORT'!$A$7:$A$50,'2 ZT'!G32))+(COUNTIF('HMZ - KAIS'!$A$7:$A$50,'2 ZT'!G32))+(COUNTIF('IB TRANSPORT'!$A$7:$A$50,'2 ZT'!G32))+(COUNTIF(JSL!$A$7:$A$50,'2 ZT'!G32))+(COUNTIF(KIFAITOUT!$A$7:$A$50,'2 ZT'!G32))+(COUNTIF('LUXE DRIVE'!$A$7:$A$50,'2 ZT'!G32))+(COUNTIF(SSN!$A$7:$A$50,'2 ZT'!G32))+(COUNTIF('W3'!$A$7:$A$50,'2 ZT'!G32))+(COUNTIF('ATHIS MONS'!$A$7:$A$50,'2 ZT'!G32))+(COUNTIF('L HAY LES ROSES'!$A$7:$A$50,'2 ZT'!G32))+(COUNTIF(RUNGIS!$A$7:$A$50,'2 ZT'!G32))+(COUNTIF(SCEAUX!$A$7:$A$50,'2 ZT'!G32))+(COUNTIF('INSTANCE C1'!$A$7:$A$50,'2 ZT'!G32))+(COUNTIF('INSTANCE C2'!$A$7:$A$50,'2 ZT'!G32))+(COUNTIF(INTERNES!$A$7:$A$50,'2 ZT'!G32))+(COUNTIF('EN PANNE'!$A$7:$A$50,'2 ZT'!G32))+(COUNTIF(TJM!$A$7:$A$50,'2 ZT'!G32))</f>
        <v>0</v>
      </c>
      <c r="J32" s="28">
        <f t="shared" si="3"/>
        <v>0</v>
      </c>
      <c r="K32" s="2"/>
      <c r="L32" s="47"/>
      <c r="M32" s="46"/>
      <c r="N32" s="46"/>
      <c r="O32" s="46"/>
      <c r="P32" s="46"/>
      <c r="Q32" s="46"/>
      <c r="R32" s="73"/>
      <c r="S32" s="60">
        <f t="shared" si="1"/>
        <v>0</v>
      </c>
      <c r="T32" s="67">
        <f t="shared" si="4"/>
        <v>0</v>
      </c>
    </row>
    <row r="33" spans="1:20" ht="24.95" customHeight="1" x14ac:dyDescent="0.2">
      <c r="A33" s="20"/>
      <c r="B33" s="23">
        <f>(COUNTIF('2S EXPRESS'!$A$7:$A$50,'2 ZT'!A33))+(COUNTIF('2 ZT'!$A$7:$A$50,'2 ZT'!A33))+(COUNTIF('GO TRANSPORT'!$A$7:$A$50,'2 ZT'!A33))+(COUNTIF('HMZ - KAIS'!$A$7:$A$50,'2 ZT'!A33))+(COUNTIF('IB TRANSPORT'!$A$7:$A$50,'2 ZT'!A33))+(COUNTIF(JSL!$A$7:$A$50,'2 ZT'!A33))+(COUNTIF(KIFAITOUT!$A$7:$A$50,'2 ZT'!A33))+(COUNTIF('LUXE DRIVE'!$A$7:$A$50,'2 ZT'!A33))+(COUNTIF(SSN!$A$7:$A$50,'2 ZT'!A33))+(COUNTIF('W3'!$A$7:$A$50,'2 ZT'!A33))+(COUNTIF('ATHIS MONS'!$A$7:$A$50,'2 ZT'!A33))+(COUNTIF('L HAY LES ROSES'!$A$7:$A$50,'2 ZT'!A33))+(COUNTIF(RUNGIS!$A$7:$A$50,'2 ZT'!A33))+(COUNTIF(SCEAUX!$A$7:$A$50,'2 ZT'!A33))+(COUNTIF('INSTANCE C1'!$A$7:$A$50,'2 ZT'!A33))+(COUNTIF('INSTANCE C2'!$A$7:$A$50,'2 ZT'!A33))+(COUNTIF(INTERNES!$A$7:$A$50,'2 ZT'!A33))+(COUNTIF('EN PANNE'!$A$7:$A$50,'2 ZT'!A33))+(COUNTIF(TJM!$A$7:$A$50,'2 ZT'!A33))-C33</f>
        <v>0</v>
      </c>
      <c r="C33" s="23">
        <f>(COUNTIF('2S EXPRESS'!$G$7:$G$50,'2 ZT'!A33))+(COUNTIF('2 ZT'!$G$7:$G$50,'2 ZT'!A33))+(COUNTIF('GO TRANSPORT'!$G$7:$G$50,'2 ZT'!A33))+(COUNTIF('2 ZT'!$G$7:$G$50,'2 ZT'!A33))+(COUNTIF('IB TRANSPORT'!$G$7:$G$50,'2 ZT'!A33))+(COUNTIF(JSL!$G$7:$G$50,'2 ZT'!A33))+(COUNTIF(KIFAITOUT!$G$7:$G$50,'2 ZT'!A33))+(COUNTIF('LUXE DRIVE'!$G$7:$G$50,'2 ZT'!A33))+(COUNTIF(SSN!$G$7:$G$50,'2 ZT'!A33))+(COUNTIF('W3'!$G$7:$G$50,'2 ZT'!A33))+(COUNTIF('ATHIS MONS'!$G$7:$G$50,'2 ZT'!A33))+(COUNTIF('L HAY LES ROSES'!$G$7:$G$50,'2 ZT'!A33))+(COUNTIF(RUNGIS!$G$7:$G$50,'2 ZT'!A33))+(COUNTIF(SCEAUX!$G$7:$G$50,'2 ZT'!A33))+(COUNTIF('INSTANCE C1'!$G$7:$G$50,'2 ZT'!A33))+(COUNTIF('INSTANCE C2'!$G$7:$G$50,'2 ZT'!A33))+(COUNTIF(INTERNES!$G$7:$G$50,'2 ZT'!A33))+(COUNTIF('EN PANNE'!$G$7:$G$50,'2 ZT'!A33))+(COUNTIF(TJM!$G$7:$G$50,'2 ZT'!A33))</f>
        <v>0</v>
      </c>
      <c r="D33" s="28">
        <f t="shared" si="2"/>
        <v>0</v>
      </c>
      <c r="E33" s="2"/>
      <c r="F33" s="6">
        <f t="shared" si="0"/>
        <v>0</v>
      </c>
      <c r="G33" s="20"/>
      <c r="H33" s="23">
        <f>(COUNTIF('2S EXPRESS'!$G$7:$G$50,'2 ZT'!G33))+(COUNTIF('2 ZT'!$G$7:$G$50,'2 ZT'!G33))+(COUNTIF('GO TRANSPORT'!$G$7:$G$50,'2 ZT'!G33))+(COUNTIF('HMZ - KAIS'!$G$7:$G$50,'2 ZT'!G33))+(COUNTIF('IB TRANSPORT'!$G$7:$G$50,'2 ZT'!G33))+(COUNTIF(JSL!$G$7:$G$50,'2 ZT'!G33))+(COUNTIF(KIFAITOUT!$G$7:$G$50,'2 ZT'!G33))+(COUNTIF('LUXE DRIVE'!$G$7:$G$50,'2 ZT'!G33))+(COUNTIF(SSN!$G$7:$G$50,'2 ZT'!G33))+(COUNTIF('W3'!$G$7:$G$50,'2 ZT'!G33))+(COUNTIF('ATHIS MONS'!$G$7:$G$50,'2 ZT'!G33))+(COUNTIF('L HAY LES ROSES'!$G$7:$G$50,'2 ZT'!G33))+(COUNTIF(RUNGIS!$G$7:$G$50,'2 ZT'!G33))+(COUNTIF(SCEAUX!$G$7:$G$50,'2 ZT'!G33))+(COUNTIF('INSTANCE C1'!$G$7:$G$50,'2 ZT'!G33))+(COUNTIF('INSTANCE C2'!$G$7:$G$50,'2 ZT'!G33))+(COUNTIF(INTERNES!$G$7:$G$50,'2 ZT'!G33))+(COUNTIF('EN PANNE'!$G$7:$G$50,'2 ZT'!G33))+(COUNTIF(TJM!$G$7:$G$50,'2 ZT'!G33))-I33</f>
        <v>0</v>
      </c>
      <c r="I33" s="23">
        <f>(COUNTIF('2 ZT'!$A$7:$A$50,'2 ZT'!G33))+(COUNTIF('2 ZT'!$A$7:$A$50,'2 ZT'!G33))+(COUNTIF('GO TRANSPORT'!$A$7:$A$50,'2 ZT'!G33))+(COUNTIF('HMZ - KAIS'!$A$7:$A$50,'2 ZT'!G33))+(COUNTIF('IB TRANSPORT'!$A$7:$A$50,'2 ZT'!G33))+(COUNTIF(JSL!$A$7:$A$50,'2 ZT'!G33))+(COUNTIF(KIFAITOUT!$A$7:$A$50,'2 ZT'!G33))+(COUNTIF('LUXE DRIVE'!$A$7:$A$50,'2 ZT'!G33))+(COUNTIF(SSN!$A$7:$A$50,'2 ZT'!G33))+(COUNTIF('W3'!$A$7:$A$50,'2 ZT'!G33))+(COUNTIF('ATHIS MONS'!$A$7:$A$50,'2 ZT'!G33))+(COUNTIF('L HAY LES ROSES'!$A$7:$A$50,'2 ZT'!G33))+(COUNTIF(RUNGIS!$A$7:$A$50,'2 ZT'!G33))+(COUNTIF(SCEAUX!$A$7:$A$50,'2 ZT'!G33))+(COUNTIF('INSTANCE C1'!$A$7:$A$50,'2 ZT'!G33))+(COUNTIF('INSTANCE C2'!$A$7:$A$50,'2 ZT'!G33))+(COUNTIF(INTERNES!$A$7:$A$50,'2 ZT'!G33))+(COUNTIF('EN PANNE'!$A$7:$A$50,'2 ZT'!G33))+(COUNTIF(TJM!$A$7:$A$50,'2 ZT'!G33))</f>
        <v>0</v>
      </c>
      <c r="J33" s="28">
        <f t="shared" si="3"/>
        <v>0</v>
      </c>
      <c r="K33" s="2"/>
      <c r="L33" s="47"/>
      <c r="M33" s="46"/>
      <c r="N33" s="46"/>
      <c r="O33" s="46"/>
      <c r="P33" s="46"/>
      <c r="Q33" s="46"/>
      <c r="R33" s="73"/>
      <c r="S33" s="60">
        <f t="shared" si="1"/>
        <v>0</v>
      </c>
      <c r="T33" s="67">
        <f t="shared" si="4"/>
        <v>0</v>
      </c>
    </row>
    <row r="34" spans="1:20" ht="24.95" customHeight="1" x14ac:dyDescent="0.2">
      <c r="A34" s="20"/>
      <c r="B34" s="23">
        <f>(COUNTIF('2S EXPRESS'!$A$7:$A$50,'2 ZT'!A34))+(COUNTIF('2 ZT'!$A$7:$A$50,'2 ZT'!A34))+(COUNTIF('GO TRANSPORT'!$A$7:$A$50,'2 ZT'!A34))+(COUNTIF('HMZ - KAIS'!$A$7:$A$50,'2 ZT'!A34))+(COUNTIF('IB TRANSPORT'!$A$7:$A$50,'2 ZT'!A34))+(COUNTIF(JSL!$A$7:$A$50,'2 ZT'!A34))+(COUNTIF(KIFAITOUT!$A$7:$A$50,'2 ZT'!A34))+(COUNTIF('LUXE DRIVE'!$A$7:$A$50,'2 ZT'!A34))+(COUNTIF(SSN!$A$7:$A$50,'2 ZT'!A34))+(COUNTIF('W3'!$A$7:$A$50,'2 ZT'!A34))+(COUNTIF('ATHIS MONS'!$A$7:$A$50,'2 ZT'!A34))+(COUNTIF('L HAY LES ROSES'!$A$7:$A$50,'2 ZT'!A34))+(COUNTIF(RUNGIS!$A$7:$A$50,'2 ZT'!A34))+(COUNTIF(SCEAUX!$A$7:$A$50,'2 ZT'!A34))+(COUNTIF('INSTANCE C1'!$A$7:$A$50,'2 ZT'!A34))+(COUNTIF('INSTANCE C2'!$A$7:$A$50,'2 ZT'!A34))+(COUNTIF(INTERNES!$A$7:$A$50,'2 ZT'!A34))+(COUNTIF('EN PANNE'!$A$7:$A$50,'2 ZT'!A34))+(COUNTIF(TJM!$A$7:$A$50,'2 ZT'!A34))-C34</f>
        <v>0</v>
      </c>
      <c r="C34" s="23">
        <f>(COUNTIF('2S EXPRESS'!$G$7:$G$50,'2 ZT'!A34))+(COUNTIF('2 ZT'!$G$7:$G$50,'2 ZT'!A34))+(COUNTIF('GO TRANSPORT'!$G$7:$G$50,'2 ZT'!A34))+(COUNTIF('2 ZT'!$G$7:$G$50,'2 ZT'!A34))+(COUNTIF('IB TRANSPORT'!$G$7:$G$50,'2 ZT'!A34))+(COUNTIF(JSL!$G$7:$G$50,'2 ZT'!A34))+(COUNTIF(KIFAITOUT!$G$7:$G$50,'2 ZT'!A34))+(COUNTIF('LUXE DRIVE'!$G$7:$G$50,'2 ZT'!A34))+(COUNTIF(SSN!$G$7:$G$50,'2 ZT'!A34))+(COUNTIF('W3'!$G$7:$G$50,'2 ZT'!A34))+(COUNTIF('ATHIS MONS'!$G$7:$G$50,'2 ZT'!A34))+(COUNTIF('L HAY LES ROSES'!$G$7:$G$50,'2 ZT'!A34))+(COUNTIF(RUNGIS!$G$7:$G$50,'2 ZT'!A34))+(COUNTIF(SCEAUX!$G$7:$G$50,'2 ZT'!A34))+(COUNTIF('INSTANCE C1'!$G$7:$G$50,'2 ZT'!A34))+(COUNTIF('INSTANCE C2'!$G$7:$G$50,'2 ZT'!A34))+(COUNTIF(INTERNES!$G$7:$G$50,'2 ZT'!A34))+(COUNTIF('EN PANNE'!$G$7:$G$50,'2 ZT'!A34))+(COUNTIF(TJM!$G$7:$G$50,'2 ZT'!A34))</f>
        <v>0</v>
      </c>
      <c r="D34" s="28">
        <f t="shared" si="2"/>
        <v>0</v>
      </c>
      <c r="E34" s="2"/>
      <c r="F34" s="6">
        <f t="shared" si="0"/>
        <v>0</v>
      </c>
      <c r="G34" s="20"/>
      <c r="H34" s="23">
        <f>(COUNTIF('2S EXPRESS'!$G$7:$G$50,'2 ZT'!G34))+(COUNTIF('2 ZT'!$G$7:$G$50,'2 ZT'!G34))+(COUNTIF('GO TRANSPORT'!$G$7:$G$50,'2 ZT'!G34))+(COUNTIF('HMZ - KAIS'!$G$7:$G$50,'2 ZT'!G34))+(COUNTIF('IB TRANSPORT'!$G$7:$G$50,'2 ZT'!G34))+(COUNTIF(JSL!$G$7:$G$50,'2 ZT'!G34))+(COUNTIF(KIFAITOUT!$G$7:$G$50,'2 ZT'!G34))+(COUNTIF('LUXE DRIVE'!$G$7:$G$50,'2 ZT'!G34))+(COUNTIF(SSN!$G$7:$G$50,'2 ZT'!G34))+(COUNTIF('W3'!$G$7:$G$50,'2 ZT'!G34))+(COUNTIF('ATHIS MONS'!$G$7:$G$50,'2 ZT'!G34))+(COUNTIF('L HAY LES ROSES'!$G$7:$G$50,'2 ZT'!G34))+(COUNTIF(RUNGIS!$G$7:$G$50,'2 ZT'!G34))+(COUNTIF(SCEAUX!$G$7:$G$50,'2 ZT'!G34))+(COUNTIF('INSTANCE C1'!$G$7:$G$50,'2 ZT'!G34))+(COUNTIF('INSTANCE C2'!$G$7:$G$50,'2 ZT'!G34))+(COUNTIF(INTERNES!$G$7:$G$50,'2 ZT'!G34))+(COUNTIF('EN PANNE'!$G$7:$G$50,'2 ZT'!G34))+(COUNTIF(TJM!$G$7:$G$50,'2 ZT'!G34))-I34</f>
        <v>0</v>
      </c>
      <c r="I34" s="23">
        <f>(COUNTIF('2 ZT'!$A$7:$A$50,'2 ZT'!G34))+(COUNTIF('2 ZT'!$A$7:$A$50,'2 ZT'!G34))+(COUNTIF('GO TRANSPORT'!$A$7:$A$50,'2 ZT'!G34))+(COUNTIF('HMZ - KAIS'!$A$7:$A$50,'2 ZT'!G34))+(COUNTIF('IB TRANSPORT'!$A$7:$A$50,'2 ZT'!G34))+(COUNTIF(JSL!$A$7:$A$50,'2 ZT'!G34))+(COUNTIF(KIFAITOUT!$A$7:$A$50,'2 ZT'!G34))+(COUNTIF('LUXE DRIVE'!$A$7:$A$50,'2 ZT'!G34))+(COUNTIF(SSN!$A$7:$A$50,'2 ZT'!G34))+(COUNTIF('W3'!$A$7:$A$50,'2 ZT'!G34))+(COUNTIF('ATHIS MONS'!$A$7:$A$50,'2 ZT'!G34))+(COUNTIF('L HAY LES ROSES'!$A$7:$A$50,'2 ZT'!G34))+(COUNTIF(RUNGIS!$A$7:$A$50,'2 ZT'!G34))+(COUNTIF(SCEAUX!$A$7:$A$50,'2 ZT'!G34))+(COUNTIF('INSTANCE C1'!$A$7:$A$50,'2 ZT'!G34))+(COUNTIF('INSTANCE C2'!$A$7:$A$50,'2 ZT'!G34))+(COUNTIF(INTERNES!$A$7:$A$50,'2 ZT'!G34))+(COUNTIF('EN PANNE'!$A$7:$A$50,'2 ZT'!G34))+(COUNTIF(TJM!$A$7:$A$50,'2 ZT'!G34))</f>
        <v>0</v>
      </c>
      <c r="J34" s="28">
        <f t="shared" si="3"/>
        <v>0</v>
      </c>
      <c r="K34" s="2"/>
      <c r="L34" s="47"/>
      <c r="M34" s="46"/>
      <c r="N34" s="46"/>
      <c r="O34" s="46"/>
      <c r="P34" s="46"/>
      <c r="Q34" s="46"/>
      <c r="R34" s="73"/>
      <c r="S34" s="60">
        <f t="shared" si="1"/>
        <v>0</v>
      </c>
      <c r="T34" s="67">
        <f t="shared" si="4"/>
        <v>0</v>
      </c>
    </row>
    <row r="35" spans="1:20" ht="24.95" customHeight="1" x14ac:dyDescent="0.2">
      <c r="A35" s="20"/>
      <c r="B35" s="23">
        <f>(COUNTIF('2S EXPRESS'!$A$7:$A$50,'2 ZT'!A35))+(COUNTIF('2 ZT'!$A$7:$A$50,'2 ZT'!A35))+(COUNTIF('GO TRANSPORT'!$A$7:$A$50,'2 ZT'!A35))+(COUNTIF('HMZ - KAIS'!$A$7:$A$50,'2 ZT'!A35))+(COUNTIF('IB TRANSPORT'!$A$7:$A$50,'2 ZT'!A35))+(COUNTIF(JSL!$A$7:$A$50,'2 ZT'!A35))+(COUNTIF(KIFAITOUT!$A$7:$A$50,'2 ZT'!A35))+(COUNTIF('LUXE DRIVE'!$A$7:$A$50,'2 ZT'!A35))+(COUNTIF(SSN!$A$7:$A$50,'2 ZT'!A35))+(COUNTIF('W3'!$A$7:$A$50,'2 ZT'!A35))+(COUNTIF('ATHIS MONS'!$A$7:$A$50,'2 ZT'!A35))+(COUNTIF('L HAY LES ROSES'!$A$7:$A$50,'2 ZT'!A35))+(COUNTIF(RUNGIS!$A$7:$A$50,'2 ZT'!A35))+(COUNTIF(SCEAUX!$A$7:$A$50,'2 ZT'!A35))+(COUNTIF('INSTANCE C1'!$A$7:$A$50,'2 ZT'!A35))+(COUNTIF('INSTANCE C2'!$A$7:$A$50,'2 ZT'!A35))+(COUNTIF(INTERNES!$A$7:$A$50,'2 ZT'!A35))+(COUNTIF('EN PANNE'!$A$7:$A$50,'2 ZT'!A35))+(COUNTIF(TJM!$A$7:$A$50,'2 ZT'!A35))-C35</f>
        <v>0</v>
      </c>
      <c r="C35" s="23">
        <f>(COUNTIF('2S EXPRESS'!$G$7:$G$50,'2 ZT'!A35))+(COUNTIF('2 ZT'!$G$7:$G$50,'2 ZT'!A35))+(COUNTIF('GO TRANSPORT'!$G$7:$G$50,'2 ZT'!A35))+(COUNTIF('2 ZT'!$G$7:$G$50,'2 ZT'!A35))+(COUNTIF('IB TRANSPORT'!$G$7:$G$50,'2 ZT'!A35))+(COUNTIF(JSL!$G$7:$G$50,'2 ZT'!A35))+(COUNTIF(KIFAITOUT!$G$7:$G$50,'2 ZT'!A35))+(COUNTIF('LUXE DRIVE'!$G$7:$G$50,'2 ZT'!A35))+(COUNTIF(SSN!$G$7:$G$50,'2 ZT'!A35))+(COUNTIF('W3'!$G$7:$G$50,'2 ZT'!A35))+(COUNTIF('ATHIS MONS'!$G$7:$G$50,'2 ZT'!A35))+(COUNTIF('L HAY LES ROSES'!$G$7:$G$50,'2 ZT'!A35))+(COUNTIF(RUNGIS!$G$7:$G$50,'2 ZT'!A35))+(COUNTIF(SCEAUX!$G$7:$G$50,'2 ZT'!A35))+(COUNTIF('INSTANCE C1'!$G$7:$G$50,'2 ZT'!A35))+(COUNTIF('INSTANCE C2'!$G$7:$G$50,'2 ZT'!A35))+(COUNTIF(INTERNES!$G$7:$G$50,'2 ZT'!A35))+(COUNTIF('EN PANNE'!$G$7:$G$50,'2 ZT'!A35))+(COUNTIF(TJM!$G$7:$G$50,'2 ZT'!A35))</f>
        <v>0</v>
      </c>
      <c r="D35" s="28">
        <f t="shared" si="2"/>
        <v>0</v>
      </c>
      <c r="E35" s="2"/>
      <c r="F35" s="6">
        <f t="shared" si="0"/>
        <v>0</v>
      </c>
      <c r="G35" s="20"/>
      <c r="H35" s="23">
        <f>(COUNTIF('2S EXPRESS'!$G$7:$G$50,'2 ZT'!G35))+(COUNTIF('2 ZT'!$G$7:$G$50,'2 ZT'!G35))+(COUNTIF('GO TRANSPORT'!$G$7:$G$50,'2 ZT'!G35))+(COUNTIF('HMZ - KAIS'!$G$7:$G$50,'2 ZT'!G35))+(COUNTIF('IB TRANSPORT'!$G$7:$G$50,'2 ZT'!G35))+(COUNTIF(JSL!$G$7:$G$50,'2 ZT'!G35))+(COUNTIF(KIFAITOUT!$G$7:$G$50,'2 ZT'!G35))+(COUNTIF('LUXE DRIVE'!$G$7:$G$50,'2 ZT'!G35))+(COUNTIF(SSN!$G$7:$G$50,'2 ZT'!G35))+(COUNTIF('W3'!$G$7:$G$50,'2 ZT'!G35))+(COUNTIF('ATHIS MONS'!$G$7:$G$50,'2 ZT'!G35))+(COUNTIF('L HAY LES ROSES'!$G$7:$G$50,'2 ZT'!G35))+(COUNTIF(RUNGIS!$G$7:$G$50,'2 ZT'!G35))+(COUNTIF(SCEAUX!$G$7:$G$50,'2 ZT'!G35))+(COUNTIF('INSTANCE C1'!$G$7:$G$50,'2 ZT'!G35))+(COUNTIF('INSTANCE C2'!$G$7:$G$50,'2 ZT'!G35))+(COUNTIF(INTERNES!$G$7:$G$50,'2 ZT'!G35))+(COUNTIF('EN PANNE'!$G$7:$G$50,'2 ZT'!G35))+(COUNTIF(TJM!$G$7:$G$50,'2 ZT'!G35))-I35</f>
        <v>0</v>
      </c>
      <c r="I35" s="23">
        <f>(COUNTIF('2 ZT'!$A$7:$A$50,'2 ZT'!G35))+(COUNTIF('2 ZT'!$A$7:$A$50,'2 ZT'!G35))+(COUNTIF('GO TRANSPORT'!$A$7:$A$50,'2 ZT'!G35))+(COUNTIF('HMZ - KAIS'!$A$7:$A$50,'2 ZT'!G35))+(COUNTIF('IB TRANSPORT'!$A$7:$A$50,'2 ZT'!G35))+(COUNTIF(JSL!$A$7:$A$50,'2 ZT'!G35))+(COUNTIF(KIFAITOUT!$A$7:$A$50,'2 ZT'!G35))+(COUNTIF('LUXE DRIVE'!$A$7:$A$50,'2 ZT'!G35))+(COUNTIF(SSN!$A$7:$A$50,'2 ZT'!G35))+(COUNTIF('W3'!$A$7:$A$50,'2 ZT'!G35))+(COUNTIF('ATHIS MONS'!$A$7:$A$50,'2 ZT'!G35))+(COUNTIF('L HAY LES ROSES'!$A$7:$A$50,'2 ZT'!G35))+(COUNTIF(RUNGIS!$A$7:$A$50,'2 ZT'!G35))+(COUNTIF(SCEAUX!$A$7:$A$50,'2 ZT'!G35))+(COUNTIF('INSTANCE C1'!$A$7:$A$50,'2 ZT'!G35))+(COUNTIF('INSTANCE C2'!$A$7:$A$50,'2 ZT'!G35))+(COUNTIF(INTERNES!$A$7:$A$50,'2 ZT'!G35))+(COUNTIF('EN PANNE'!$A$7:$A$50,'2 ZT'!G35))+(COUNTIF(TJM!$A$7:$A$50,'2 ZT'!G35))</f>
        <v>0</v>
      </c>
      <c r="J35" s="28">
        <f t="shared" si="3"/>
        <v>0</v>
      </c>
      <c r="K35" s="2"/>
      <c r="L35" s="47"/>
      <c r="M35" s="46"/>
      <c r="N35" s="46"/>
      <c r="O35" s="46"/>
      <c r="P35" s="46"/>
      <c r="Q35" s="46"/>
      <c r="R35" s="73"/>
      <c r="S35" s="60">
        <f t="shared" si="1"/>
        <v>0</v>
      </c>
      <c r="T35" s="67">
        <f t="shared" si="4"/>
        <v>0</v>
      </c>
    </row>
    <row r="36" spans="1:20" ht="24.95" customHeight="1" x14ac:dyDescent="0.2">
      <c r="A36" s="20"/>
      <c r="B36" s="23">
        <f>(COUNTIF('2S EXPRESS'!$A$7:$A$50,'2 ZT'!A36))+(COUNTIF('2 ZT'!$A$7:$A$50,'2 ZT'!A36))+(COUNTIF('GO TRANSPORT'!$A$7:$A$50,'2 ZT'!A36))+(COUNTIF('HMZ - KAIS'!$A$7:$A$50,'2 ZT'!A36))+(COUNTIF('IB TRANSPORT'!$A$7:$A$50,'2 ZT'!A36))+(COUNTIF(JSL!$A$7:$A$50,'2 ZT'!A36))+(COUNTIF(KIFAITOUT!$A$7:$A$50,'2 ZT'!A36))+(COUNTIF('LUXE DRIVE'!$A$7:$A$50,'2 ZT'!A36))+(COUNTIF(SSN!$A$7:$A$50,'2 ZT'!A36))+(COUNTIF('W3'!$A$7:$A$50,'2 ZT'!A36))+(COUNTIF('ATHIS MONS'!$A$7:$A$50,'2 ZT'!A36))+(COUNTIF('L HAY LES ROSES'!$A$7:$A$50,'2 ZT'!A36))+(COUNTIF(RUNGIS!$A$7:$A$50,'2 ZT'!A36))+(COUNTIF(SCEAUX!$A$7:$A$50,'2 ZT'!A36))+(COUNTIF('INSTANCE C1'!$A$7:$A$50,'2 ZT'!A36))+(COUNTIF('INSTANCE C2'!$A$7:$A$50,'2 ZT'!A36))+(COUNTIF(INTERNES!$A$7:$A$50,'2 ZT'!A36))+(COUNTIF('EN PANNE'!$A$7:$A$50,'2 ZT'!A36))+(COUNTIF(TJM!$A$7:$A$50,'2 ZT'!A36))-C36</f>
        <v>0</v>
      </c>
      <c r="C36" s="23">
        <f>(COUNTIF('2S EXPRESS'!$G$7:$G$50,'2 ZT'!A36))+(COUNTIF('2 ZT'!$G$7:$G$50,'2 ZT'!A36))+(COUNTIF('GO TRANSPORT'!$G$7:$G$50,'2 ZT'!A36))+(COUNTIF('2 ZT'!$G$7:$G$50,'2 ZT'!A36))+(COUNTIF('IB TRANSPORT'!$G$7:$G$50,'2 ZT'!A36))+(COUNTIF(JSL!$G$7:$G$50,'2 ZT'!A36))+(COUNTIF(KIFAITOUT!$G$7:$G$50,'2 ZT'!A36))+(COUNTIF('LUXE DRIVE'!$G$7:$G$50,'2 ZT'!A36))+(COUNTIF(SSN!$G$7:$G$50,'2 ZT'!A36))+(COUNTIF('W3'!$G$7:$G$50,'2 ZT'!A36))+(COUNTIF('ATHIS MONS'!$G$7:$G$50,'2 ZT'!A36))+(COUNTIF('L HAY LES ROSES'!$G$7:$G$50,'2 ZT'!A36))+(COUNTIF(RUNGIS!$G$7:$G$50,'2 ZT'!A36))+(COUNTIF(SCEAUX!$G$7:$G$50,'2 ZT'!A36))+(COUNTIF('INSTANCE C1'!$G$7:$G$50,'2 ZT'!A36))+(COUNTIF('INSTANCE C2'!$G$7:$G$50,'2 ZT'!A36))+(COUNTIF(INTERNES!$G$7:$G$50,'2 ZT'!A36))+(COUNTIF('EN PANNE'!$G$7:$G$50,'2 ZT'!A36))+(COUNTIF(TJM!$G$7:$G$50,'2 ZT'!A36))</f>
        <v>0</v>
      </c>
      <c r="D36" s="28">
        <f t="shared" si="2"/>
        <v>0</v>
      </c>
      <c r="E36" s="2"/>
      <c r="F36" s="6">
        <f t="shared" si="0"/>
        <v>0</v>
      </c>
      <c r="G36" s="20"/>
      <c r="H36" s="23">
        <f>(COUNTIF('2S EXPRESS'!$G$7:$G$50,'2 ZT'!G36))+(COUNTIF('2 ZT'!$G$7:$G$50,'2 ZT'!G36))+(COUNTIF('GO TRANSPORT'!$G$7:$G$50,'2 ZT'!G36))+(COUNTIF('HMZ - KAIS'!$G$7:$G$50,'2 ZT'!G36))+(COUNTIF('IB TRANSPORT'!$G$7:$G$50,'2 ZT'!G36))+(COUNTIF(JSL!$G$7:$G$50,'2 ZT'!G36))+(COUNTIF(KIFAITOUT!$G$7:$G$50,'2 ZT'!G36))+(COUNTIF('LUXE DRIVE'!$G$7:$G$50,'2 ZT'!G36))+(COUNTIF(SSN!$G$7:$G$50,'2 ZT'!G36))+(COUNTIF('W3'!$G$7:$G$50,'2 ZT'!G36))+(COUNTIF('ATHIS MONS'!$G$7:$G$50,'2 ZT'!G36))+(COUNTIF('L HAY LES ROSES'!$G$7:$G$50,'2 ZT'!G36))+(COUNTIF(RUNGIS!$G$7:$G$50,'2 ZT'!G36))+(COUNTIF(SCEAUX!$G$7:$G$50,'2 ZT'!G36))+(COUNTIF('INSTANCE C1'!$G$7:$G$50,'2 ZT'!G36))+(COUNTIF('INSTANCE C2'!$G$7:$G$50,'2 ZT'!G36))+(COUNTIF(INTERNES!$G$7:$G$50,'2 ZT'!G36))+(COUNTIF('EN PANNE'!$G$7:$G$50,'2 ZT'!G36))+(COUNTIF(TJM!$G$7:$G$50,'2 ZT'!G36))-I36</f>
        <v>0</v>
      </c>
      <c r="I36" s="23">
        <f>(COUNTIF('2 ZT'!$A$7:$A$50,'2 ZT'!G36))+(COUNTIF('2 ZT'!$A$7:$A$50,'2 ZT'!G36))+(COUNTIF('GO TRANSPORT'!$A$7:$A$50,'2 ZT'!G36))+(COUNTIF('HMZ - KAIS'!$A$7:$A$50,'2 ZT'!G36))+(COUNTIF('IB TRANSPORT'!$A$7:$A$50,'2 ZT'!G36))+(COUNTIF(JSL!$A$7:$A$50,'2 ZT'!G36))+(COUNTIF(KIFAITOUT!$A$7:$A$50,'2 ZT'!G36))+(COUNTIF('LUXE DRIVE'!$A$7:$A$50,'2 ZT'!G36))+(COUNTIF(SSN!$A$7:$A$50,'2 ZT'!G36))+(COUNTIF('W3'!$A$7:$A$50,'2 ZT'!G36))+(COUNTIF('ATHIS MONS'!$A$7:$A$50,'2 ZT'!G36))+(COUNTIF('L HAY LES ROSES'!$A$7:$A$50,'2 ZT'!G36))+(COUNTIF(RUNGIS!$A$7:$A$50,'2 ZT'!G36))+(COUNTIF(SCEAUX!$A$7:$A$50,'2 ZT'!G36))+(COUNTIF('INSTANCE C1'!$A$7:$A$50,'2 ZT'!G36))+(COUNTIF('INSTANCE C2'!$A$7:$A$50,'2 ZT'!G36))+(COUNTIF(INTERNES!$A$7:$A$50,'2 ZT'!G36))+(COUNTIF('EN PANNE'!$A$7:$A$50,'2 ZT'!G36))+(COUNTIF(TJM!$A$7:$A$50,'2 ZT'!G36))</f>
        <v>0</v>
      </c>
      <c r="J36" s="28">
        <f t="shared" si="3"/>
        <v>0</v>
      </c>
      <c r="K36" s="2"/>
      <c r="L36" s="47"/>
      <c r="S36" s="60">
        <f t="shared" si="1"/>
        <v>0</v>
      </c>
      <c r="T36" s="67">
        <f t="shared" si="4"/>
        <v>0</v>
      </c>
    </row>
    <row r="37" spans="1:20" ht="24.95" customHeight="1" x14ac:dyDescent="0.2">
      <c r="A37" s="20"/>
      <c r="B37" s="23">
        <f>(COUNTIF('2S EXPRESS'!$A$7:$A$50,'2 ZT'!A37))+(COUNTIF('2 ZT'!$A$7:$A$50,'2 ZT'!A37))+(COUNTIF('GO TRANSPORT'!$A$7:$A$50,'2 ZT'!A37))+(COUNTIF('HMZ - KAIS'!$A$7:$A$50,'2 ZT'!A37))+(COUNTIF('IB TRANSPORT'!$A$7:$A$50,'2 ZT'!A37))+(COUNTIF(JSL!$A$7:$A$50,'2 ZT'!A37))+(COUNTIF(KIFAITOUT!$A$7:$A$50,'2 ZT'!A37))+(COUNTIF('LUXE DRIVE'!$A$7:$A$50,'2 ZT'!A37))+(COUNTIF(SSN!$A$7:$A$50,'2 ZT'!A37))+(COUNTIF('W3'!$A$7:$A$50,'2 ZT'!A37))+(COUNTIF('ATHIS MONS'!$A$7:$A$50,'2 ZT'!A37))+(COUNTIF('L HAY LES ROSES'!$A$7:$A$50,'2 ZT'!A37))+(COUNTIF(RUNGIS!$A$7:$A$50,'2 ZT'!A37))+(COUNTIF(SCEAUX!$A$7:$A$50,'2 ZT'!A37))+(COUNTIF('INSTANCE C1'!$A$7:$A$50,'2 ZT'!A37))+(COUNTIF('INSTANCE C2'!$A$7:$A$50,'2 ZT'!A37))+(COUNTIF(INTERNES!$A$7:$A$50,'2 ZT'!A37))+(COUNTIF('EN PANNE'!$A$7:$A$50,'2 ZT'!A37))+(COUNTIF(TJM!$A$7:$A$50,'2 ZT'!A37))-C37</f>
        <v>0</v>
      </c>
      <c r="C37" s="23">
        <f>(COUNTIF('2S EXPRESS'!$G$7:$G$50,'2 ZT'!A37))+(COUNTIF('2 ZT'!$G$7:$G$50,'2 ZT'!A37))+(COUNTIF('GO TRANSPORT'!$G$7:$G$50,'2 ZT'!A37))+(COUNTIF('2 ZT'!$G$7:$G$50,'2 ZT'!A37))+(COUNTIF('IB TRANSPORT'!$G$7:$G$50,'2 ZT'!A37))+(COUNTIF(JSL!$G$7:$G$50,'2 ZT'!A37))+(COUNTIF(KIFAITOUT!$G$7:$G$50,'2 ZT'!A37))+(COUNTIF('LUXE DRIVE'!$G$7:$G$50,'2 ZT'!A37))+(COUNTIF(SSN!$G$7:$G$50,'2 ZT'!A37))+(COUNTIF('W3'!$G$7:$G$50,'2 ZT'!A37))+(COUNTIF('ATHIS MONS'!$G$7:$G$50,'2 ZT'!A37))+(COUNTIF('L HAY LES ROSES'!$G$7:$G$50,'2 ZT'!A37))+(COUNTIF(RUNGIS!$G$7:$G$50,'2 ZT'!A37))+(COUNTIF(SCEAUX!$G$7:$G$50,'2 ZT'!A37))+(COUNTIF('INSTANCE C1'!$G$7:$G$50,'2 ZT'!A37))+(COUNTIF('INSTANCE C2'!$G$7:$G$50,'2 ZT'!A37))+(COUNTIF(INTERNES!$G$7:$G$50,'2 ZT'!A37))+(COUNTIF('EN PANNE'!$G$7:$G$50,'2 ZT'!A37))+(COUNTIF(TJM!$G$7:$G$50,'2 ZT'!A37))</f>
        <v>0</v>
      </c>
      <c r="D37" s="28">
        <f t="shared" si="2"/>
        <v>0</v>
      </c>
      <c r="E37" s="2"/>
      <c r="F37" s="6">
        <f t="shared" si="0"/>
        <v>0</v>
      </c>
      <c r="G37" s="20"/>
      <c r="H37" s="23">
        <f>(COUNTIF('2S EXPRESS'!$G$7:$G$50,'2 ZT'!G37))+(COUNTIF('2 ZT'!$G$7:$G$50,'2 ZT'!G37))+(COUNTIF('GO TRANSPORT'!$G$7:$G$50,'2 ZT'!G37))+(COUNTIF('HMZ - KAIS'!$G$7:$G$50,'2 ZT'!G37))+(COUNTIF('IB TRANSPORT'!$G$7:$G$50,'2 ZT'!G37))+(COUNTIF(JSL!$G$7:$G$50,'2 ZT'!G37))+(COUNTIF(KIFAITOUT!$G$7:$G$50,'2 ZT'!G37))+(COUNTIF('LUXE DRIVE'!$G$7:$G$50,'2 ZT'!G37))+(COUNTIF(SSN!$G$7:$G$50,'2 ZT'!G37))+(COUNTIF('W3'!$G$7:$G$50,'2 ZT'!G37))+(COUNTIF('ATHIS MONS'!$G$7:$G$50,'2 ZT'!G37))+(COUNTIF('L HAY LES ROSES'!$G$7:$G$50,'2 ZT'!G37))+(COUNTIF(RUNGIS!$G$7:$G$50,'2 ZT'!G37))+(COUNTIF(SCEAUX!$G$7:$G$50,'2 ZT'!G37))+(COUNTIF('INSTANCE C1'!$G$7:$G$50,'2 ZT'!G37))+(COUNTIF('INSTANCE C2'!$G$7:$G$50,'2 ZT'!G37))+(COUNTIF(INTERNES!$G$7:$G$50,'2 ZT'!G37))+(COUNTIF('EN PANNE'!$G$7:$G$50,'2 ZT'!G37))+(COUNTIF(TJM!$G$7:$G$50,'2 ZT'!G37))-I37</f>
        <v>0</v>
      </c>
      <c r="I37" s="23">
        <f>(COUNTIF('2 ZT'!$A$7:$A$50,'2 ZT'!G37))+(COUNTIF('2 ZT'!$A$7:$A$50,'2 ZT'!G37))+(COUNTIF('GO TRANSPORT'!$A$7:$A$50,'2 ZT'!G37))+(COUNTIF('HMZ - KAIS'!$A$7:$A$50,'2 ZT'!G37))+(COUNTIF('IB TRANSPORT'!$A$7:$A$50,'2 ZT'!G37))+(COUNTIF(JSL!$A$7:$A$50,'2 ZT'!G37))+(COUNTIF(KIFAITOUT!$A$7:$A$50,'2 ZT'!G37))+(COUNTIF('LUXE DRIVE'!$A$7:$A$50,'2 ZT'!G37))+(COUNTIF(SSN!$A$7:$A$50,'2 ZT'!G37))+(COUNTIF('W3'!$A$7:$A$50,'2 ZT'!G37))+(COUNTIF('ATHIS MONS'!$A$7:$A$50,'2 ZT'!G37))+(COUNTIF('L HAY LES ROSES'!$A$7:$A$50,'2 ZT'!G37))+(COUNTIF(RUNGIS!$A$7:$A$50,'2 ZT'!G37))+(COUNTIF(SCEAUX!$A$7:$A$50,'2 ZT'!G37))+(COUNTIF('INSTANCE C1'!$A$7:$A$50,'2 ZT'!G37))+(COUNTIF('INSTANCE C2'!$A$7:$A$50,'2 ZT'!G37))+(COUNTIF(INTERNES!$A$7:$A$50,'2 ZT'!G37))+(COUNTIF('EN PANNE'!$A$7:$A$50,'2 ZT'!G37))+(COUNTIF(TJM!$A$7:$A$50,'2 ZT'!G37))</f>
        <v>0</v>
      </c>
      <c r="J37" s="28">
        <f t="shared" si="3"/>
        <v>0</v>
      </c>
      <c r="K37" s="2"/>
      <c r="L37" s="47"/>
      <c r="S37" s="60">
        <f t="shared" si="1"/>
        <v>0</v>
      </c>
      <c r="T37" s="67">
        <f t="shared" si="4"/>
        <v>0</v>
      </c>
    </row>
    <row r="38" spans="1:20" ht="24.95" customHeight="1" x14ac:dyDescent="0.2">
      <c r="A38" s="20"/>
      <c r="B38" s="23">
        <f>(COUNTIF('2S EXPRESS'!$A$7:$A$50,'2 ZT'!A38))+(COUNTIF('2 ZT'!$A$7:$A$50,'2 ZT'!A38))+(COUNTIF('GO TRANSPORT'!$A$7:$A$50,'2 ZT'!A38))+(COUNTIF('HMZ - KAIS'!$A$7:$A$50,'2 ZT'!A38))+(COUNTIF('IB TRANSPORT'!$A$7:$A$50,'2 ZT'!A38))+(COUNTIF(JSL!$A$7:$A$50,'2 ZT'!A38))+(COUNTIF(KIFAITOUT!$A$7:$A$50,'2 ZT'!A38))+(COUNTIF('LUXE DRIVE'!$A$7:$A$50,'2 ZT'!A38))+(COUNTIF(SSN!$A$7:$A$50,'2 ZT'!A38))+(COUNTIF('W3'!$A$7:$A$50,'2 ZT'!A38))+(COUNTIF('ATHIS MONS'!$A$7:$A$50,'2 ZT'!A38))+(COUNTIF('L HAY LES ROSES'!$A$7:$A$50,'2 ZT'!A38))+(COUNTIF(RUNGIS!$A$7:$A$50,'2 ZT'!A38))+(COUNTIF(SCEAUX!$A$7:$A$50,'2 ZT'!A38))+(COUNTIF('INSTANCE C1'!$A$7:$A$50,'2 ZT'!A38))+(COUNTIF('INSTANCE C2'!$A$7:$A$50,'2 ZT'!A38))+(COUNTIF(INTERNES!$A$7:$A$50,'2 ZT'!A38))+(COUNTIF('EN PANNE'!$A$7:$A$50,'2 ZT'!A38))+(COUNTIF(TJM!$A$7:$A$50,'2 ZT'!A38))-C38</f>
        <v>0</v>
      </c>
      <c r="C38" s="23">
        <f>(COUNTIF('2S EXPRESS'!$G$7:$G$50,'2 ZT'!A38))+(COUNTIF('2 ZT'!$G$7:$G$50,'2 ZT'!A38))+(COUNTIF('GO TRANSPORT'!$G$7:$G$50,'2 ZT'!A38))+(COUNTIF('2 ZT'!$G$7:$G$50,'2 ZT'!A38))+(COUNTIF('IB TRANSPORT'!$G$7:$G$50,'2 ZT'!A38))+(COUNTIF(JSL!$G$7:$G$50,'2 ZT'!A38))+(COUNTIF(KIFAITOUT!$G$7:$G$50,'2 ZT'!A38))+(COUNTIF('LUXE DRIVE'!$G$7:$G$50,'2 ZT'!A38))+(COUNTIF(SSN!$G$7:$G$50,'2 ZT'!A38))+(COUNTIF('W3'!$G$7:$G$50,'2 ZT'!A38))+(COUNTIF('ATHIS MONS'!$G$7:$G$50,'2 ZT'!A38))+(COUNTIF('L HAY LES ROSES'!$G$7:$G$50,'2 ZT'!A38))+(COUNTIF(RUNGIS!$G$7:$G$50,'2 ZT'!A38))+(COUNTIF(SCEAUX!$G$7:$G$50,'2 ZT'!A38))+(COUNTIF('INSTANCE C1'!$G$7:$G$50,'2 ZT'!A38))+(COUNTIF('INSTANCE C2'!$G$7:$G$50,'2 ZT'!A38))+(COUNTIF(INTERNES!$G$7:$G$50,'2 ZT'!A38))+(COUNTIF('EN PANNE'!$G$7:$G$50,'2 ZT'!A38))+(COUNTIF(TJM!$G$7:$G$50,'2 ZT'!A38))</f>
        <v>0</v>
      </c>
      <c r="D38" s="28">
        <f t="shared" si="2"/>
        <v>0</v>
      </c>
      <c r="E38" s="2"/>
      <c r="F38" s="6">
        <f t="shared" si="0"/>
        <v>0</v>
      </c>
      <c r="G38" s="20"/>
      <c r="H38" s="23">
        <f>(COUNTIF('2S EXPRESS'!$G$7:$G$50,'2 ZT'!G38))+(COUNTIF('2 ZT'!$G$7:$G$50,'2 ZT'!G38))+(COUNTIF('GO TRANSPORT'!$G$7:$G$50,'2 ZT'!G38))+(COUNTIF('HMZ - KAIS'!$G$7:$G$50,'2 ZT'!G38))+(COUNTIF('IB TRANSPORT'!$G$7:$G$50,'2 ZT'!G38))+(COUNTIF(JSL!$G$7:$G$50,'2 ZT'!G38))+(COUNTIF(KIFAITOUT!$G$7:$G$50,'2 ZT'!G38))+(COUNTIF('LUXE DRIVE'!$G$7:$G$50,'2 ZT'!G38))+(COUNTIF(SSN!$G$7:$G$50,'2 ZT'!G38))+(COUNTIF('W3'!$G$7:$G$50,'2 ZT'!G38))+(COUNTIF('ATHIS MONS'!$G$7:$G$50,'2 ZT'!G38))+(COUNTIF('L HAY LES ROSES'!$G$7:$G$50,'2 ZT'!G38))+(COUNTIF(RUNGIS!$G$7:$G$50,'2 ZT'!G38))+(COUNTIF(SCEAUX!$G$7:$G$50,'2 ZT'!G38))+(COUNTIF('INSTANCE C1'!$G$7:$G$50,'2 ZT'!G38))+(COUNTIF('INSTANCE C2'!$G$7:$G$50,'2 ZT'!G38))+(COUNTIF(INTERNES!$G$7:$G$50,'2 ZT'!G38))+(COUNTIF('EN PANNE'!$G$7:$G$50,'2 ZT'!G38))+(COUNTIF(TJM!$G$7:$G$50,'2 ZT'!G38))-I38</f>
        <v>0</v>
      </c>
      <c r="I38" s="23">
        <f>(COUNTIF('2 ZT'!$A$7:$A$50,'2 ZT'!G38))+(COUNTIF('2 ZT'!$A$7:$A$50,'2 ZT'!G38))+(COUNTIF('GO TRANSPORT'!$A$7:$A$50,'2 ZT'!G38))+(COUNTIF('HMZ - KAIS'!$A$7:$A$50,'2 ZT'!G38))+(COUNTIF('IB TRANSPORT'!$A$7:$A$50,'2 ZT'!G38))+(COUNTIF(JSL!$A$7:$A$50,'2 ZT'!G38))+(COUNTIF(KIFAITOUT!$A$7:$A$50,'2 ZT'!G38))+(COUNTIF('LUXE DRIVE'!$A$7:$A$50,'2 ZT'!G38))+(COUNTIF(SSN!$A$7:$A$50,'2 ZT'!G38))+(COUNTIF('W3'!$A$7:$A$50,'2 ZT'!G38))+(COUNTIF('ATHIS MONS'!$A$7:$A$50,'2 ZT'!G38))+(COUNTIF('L HAY LES ROSES'!$A$7:$A$50,'2 ZT'!G38))+(COUNTIF(RUNGIS!$A$7:$A$50,'2 ZT'!G38))+(COUNTIF(SCEAUX!$A$7:$A$50,'2 ZT'!G38))+(COUNTIF('INSTANCE C1'!$A$7:$A$50,'2 ZT'!G38))+(COUNTIF('INSTANCE C2'!$A$7:$A$50,'2 ZT'!G38))+(COUNTIF(INTERNES!$A$7:$A$50,'2 ZT'!G38))+(COUNTIF('EN PANNE'!$A$7:$A$50,'2 ZT'!G38))+(COUNTIF(TJM!$A$7:$A$50,'2 ZT'!G38))</f>
        <v>0</v>
      </c>
      <c r="J38" s="28">
        <f t="shared" si="3"/>
        <v>0</v>
      </c>
      <c r="K38" s="2"/>
      <c r="L38" s="47"/>
      <c r="S38" s="60">
        <f t="shared" si="1"/>
        <v>0</v>
      </c>
      <c r="T38" s="67">
        <f t="shared" si="4"/>
        <v>0</v>
      </c>
    </row>
    <row r="39" spans="1:20" ht="24.95" customHeight="1" x14ac:dyDescent="0.2">
      <c r="A39" s="20"/>
      <c r="B39" s="23">
        <f>(COUNTIF('2S EXPRESS'!$A$7:$A$50,'2 ZT'!A39))+(COUNTIF('2 ZT'!$A$7:$A$50,'2 ZT'!A39))+(COUNTIF('GO TRANSPORT'!$A$7:$A$50,'2 ZT'!A39))+(COUNTIF('HMZ - KAIS'!$A$7:$A$50,'2 ZT'!A39))+(COUNTIF('IB TRANSPORT'!$A$7:$A$50,'2 ZT'!A39))+(COUNTIF(JSL!$A$7:$A$50,'2 ZT'!A39))+(COUNTIF(KIFAITOUT!$A$7:$A$50,'2 ZT'!A39))+(COUNTIF('LUXE DRIVE'!$A$7:$A$50,'2 ZT'!A39))+(COUNTIF(SSN!$A$7:$A$50,'2 ZT'!A39))+(COUNTIF('W3'!$A$7:$A$50,'2 ZT'!A39))+(COUNTIF('ATHIS MONS'!$A$7:$A$50,'2 ZT'!A39))+(COUNTIF('L HAY LES ROSES'!$A$7:$A$50,'2 ZT'!A39))+(COUNTIF(RUNGIS!$A$7:$A$50,'2 ZT'!A39))+(COUNTIF(SCEAUX!$A$7:$A$50,'2 ZT'!A39))+(COUNTIF('INSTANCE C1'!$A$7:$A$50,'2 ZT'!A39))+(COUNTIF('INSTANCE C2'!$A$7:$A$50,'2 ZT'!A39))+(COUNTIF(INTERNES!$A$7:$A$50,'2 ZT'!A39))+(COUNTIF('EN PANNE'!$A$7:$A$50,'2 ZT'!A39))+(COUNTIF(TJM!$A$7:$A$50,'2 ZT'!A39))-C39</f>
        <v>0</v>
      </c>
      <c r="C39" s="23">
        <f>(COUNTIF('2S EXPRESS'!$G$7:$G$50,'2 ZT'!A39))+(COUNTIF('2 ZT'!$G$7:$G$50,'2 ZT'!A39))+(COUNTIF('GO TRANSPORT'!$G$7:$G$50,'2 ZT'!A39))+(COUNTIF('2 ZT'!$G$7:$G$50,'2 ZT'!A39))+(COUNTIF('IB TRANSPORT'!$G$7:$G$50,'2 ZT'!A39))+(COUNTIF(JSL!$G$7:$G$50,'2 ZT'!A39))+(COUNTIF(KIFAITOUT!$G$7:$G$50,'2 ZT'!A39))+(COUNTIF('LUXE DRIVE'!$G$7:$G$50,'2 ZT'!A39))+(COUNTIF(SSN!$G$7:$G$50,'2 ZT'!A39))+(COUNTIF('W3'!$G$7:$G$50,'2 ZT'!A39))+(COUNTIF('ATHIS MONS'!$G$7:$G$50,'2 ZT'!A39))+(COUNTIF('L HAY LES ROSES'!$G$7:$G$50,'2 ZT'!A39))+(COUNTIF(RUNGIS!$G$7:$G$50,'2 ZT'!A39))+(COUNTIF(SCEAUX!$G$7:$G$50,'2 ZT'!A39))+(COUNTIF('INSTANCE C1'!$G$7:$G$50,'2 ZT'!A39))+(COUNTIF('INSTANCE C2'!$G$7:$G$50,'2 ZT'!A39))+(COUNTIF(INTERNES!$G$7:$G$50,'2 ZT'!A39))+(COUNTIF('EN PANNE'!$G$7:$G$50,'2 ZT'!A39))+(COUNTIF(TJM!$G$7:$G$50,'2 ZT'!A39))</f>
        <v>0</v>
      </c>
      <c r="D39" s="28">
        <f t="shared" si="2"/>
        <v>0</v>
      </c>
      <c r="E39" s="2"/>
      <c r="F39" s="6">
        <f t="shared" si="0"/>
        <v>0</v>
      </c>
      <c r="G39" s="20"/>
      <c r="H39" s="23">
        <f>(COUNTIF('2S EXPRESS'!$G$7:$G$50,'2 ZT'!G39))+(COUNTIF('2 ZT'!$G$7:$G$50,'2 ZT'!G39))+(COUNTIF('GO TRANSPORT'!$G$7:$G$50,'2 ZT'!G39))+(COUNTIF('HMZ - KAIS'!$G$7:$G$50,'2 ZT'!G39))+(COUNTIF('IB TRANSPORT'!$G$7:$G$50,'2 ZT'!G39))+(COUNTIF(JSL!$G$7:$G$50,'2 ZT'!G39))+(COUNTIF(KIFAITOUT!$G$7:$G$50,'2 ZT'!G39))+(COUNTIF('LUXE DRIVE'!$G$7:$G$50,'2 ZT'!G39))+(COUNTIF(SSN!$G$7:$G$50,'2 ZT'!G39))+(COUNTIF('W3'!$G$7:$G$50,'2 ZT'!G39))+(COUNTIF('ATHIS MONS'!$G$7:$G$50,'2 ZT'!G39))+(COUNTIF('L HAY LES ROSES'!$G$7:$G$50,'2 ZT'!G39))+(COUNTIF(RUNGIS!$G$7:$G$50,'2 ZT'!G39))+(COUNTIF(SCEAUX!$G$7:$G$50,'2 ZT'!G39))+(COUNTIF('INSTANCE C1'!$G$7:$G$50,'2 ZT'!G39))+(COUNTIF('INSTANCE C2'!$G$7:$G$50,'2 ZT'!G39))+(COUNTIF(INTERNES!$G$7:$G$50,'2 ZT'!G39))+(COUNTIF('EN PANNE'!$G$7:$G$50,'2 ZT'!G39))+(COUNTIF(TJM!$G$7:$G$50,'2 ZT'!G39))-I39</f>
        <v>0</v>
      </c>
      <c r="I39" s="23">
        <f>(COUNTIF('2 ZT'!$A$7:$A$50,'2 ZT'!G39))+(COUNTIF('2 ZT'!$A$7:$A$50,'2 ZT'!G39))+(COUNTIF('GO TRANSPORT'!$A$7:$A$50,'2 ZT'!G39))+(COUNTIF('HMZ - KAIS'!$A$7:$A$50,'2 ZT'!G39))+(COUNTIF('IB TRANSPORT'!$A$7:$A$50,'2 ZT'!G39))+(COUNTIF(JSL!$A$7:$A$50,'2 ZT'!G39))+(COUNTIF(KIFAITOUT!$A$7:$A$50,'2 ZT'!G39))+(COUNTIF('LUXE DRIVE'!$A$7:$A$50,'2 ZT'!G39))+(COUNTIF(SSN!$A$7:$A$50,'2 ZT'!G39))+(COUNTIF('W3'!$A$7:$A$50,'2 ZT'!G39))+(COUNTIF('ATHIS MONS'!$A$7:$A$50,'2 ZT'!G39))+(COUNTIF('L HAY LES ROSES'!$A$7:$A$50,'2 ZT'!G39))+(COUNTIF(RUNGIS!$A$7:$A$50,'2 ZT'!G39))+(COUNTIF(SCEAUX!$A$7:$A$50,'2 ZT'!G39))+(COUNTIF('INSTANCE C1'!$A$7:$A$50,'2 ZT'!G39))+(COUNTIF('INSTANCE C2'!$A$7:$A$50,'2 ZT'!G39))+(COUNTIF(INTERNES!$A$7:$A$50,'2 ZT'!G39))+(COUNTIF('EN PANNE'!$A$7:$A$50,'2 ZT'!G39))+(COUNTIF(TJM!$A$7:$A$50,'2 ZT'!G39))</f>
        <v>0</v>
      </c>
      <c r="J39" s="28">
        <f t="shared" si="3"/>
        <v>0</v>
      </c>
      <c r="K39" s="2"/>
      <c r="L39" s="47"/>
      <c r="S39" s="60">
        <f t="shared" si="1"/>
        <v>0</v>
      </c>
      <c r="T39" s="67">
        <f t="shared" si="4"/>
        <v>0</v>
      </c>
    </row>
    <row r="40" spans="1:20" ht="24.95" customHeight="1" x14ac:dyDescent="0.2">
      <c r="A40" s="20"/>
      <c r="B40" s="23">
        <f>(COUNTIF('2S EXPRESS'!$A$7:$A$50,'2 ZT'!A40))+(COUNTIF('2 ZT'!$A$7:$A$50,'2 ZT'!A40))+(COUNTIF('GO TRANSPORT'!$A$7:$A$50,'2 ZT'!A40))+(COUNTIF('HMZ - KAIS'!$A$7:$A$50,'2 ZT'!A40))+(COUNTIF('IB TRANSPORT'!$A$7:$A$50,'2 ZT'!A40))+(COUNTIF(JSL!$A$7:$A$50,'2 ZT'!A40))+(COUNTIF(KIFAITOUT!$A$7:$A$50,'2 ZT'!A40))+(COUNTIF('LUXE DRIVE'!$A$7:$A$50,'2 ZT'!A40))+(COUNTIF(SSN!$A$7:$A$50,'2 ZT'!A40))+(COUNTIF('W3'!$A$7:$A$50,'2 ZT'!A40))+(COUNTIF('ATHIS MONS'!$A$7:$A$50,'2 ZT'!A40))+(COUNTIF('L HAY LES ROSES'!$A$7:$A$50,'2 ZT'!A40))+(COUNTIF(RUNGIS!$A$7:$A$50,'2 ZT'!A40))+(COUNTIF(SCEAUX!$A$7:$A$50,'2 ZT'!A40))+(COUNTIF('INSTANCE C1'!$A$7:$A$50,'2 ZT'!A40))+(COUNTIF('INSTANCE C2'!$A$7:$A$50,'2 ZT'!A40))+(COUNTIF(INTERNES!$A$7:$A$50,'2 ZT'!A40))+(COUNTIF('EN PANNE'!$A$7:$A$50,'2 ZT'!A40))+(COUNTIF(TJM!$A$7:$A$50,'2 ZT'!A40))-C40</f>
        <v>0</v>
      </c>
      <c r="C40" s="23">
        <f>(COUNTIF('2S EXPRESS'!$G$7:$G$50,'2 ZT'!A40))+(COUNTIF('2 ZT'!$G$7:$G$50,'2 ZT'!A40))+(COUNTIF('GO TRANSPORT'!$G$7:$G$50,'2 ZT'!A40))+(COUNTIF('2 ZT'!$G$7:$G$50,'2 ZT'!A40))+(COUNTIF('IB TRANSPORT'!$G$7:$G$50,'2 ZT'!A40))+(COUNTIF(JSL!$G$7:$G$50,'2 ZT'!A40))+(COUNTIF(KIFAITOUT!$G$7:$G$50,'2 ZT'!A40))+(COUNTIF('LUXE DRIVE'!$G$7:$G$50,'2 ZT'!A40))+(COUNTIF(SSN!$G$7:$G$50,'2 ZT'!A40))+(COUNTIF('W3'!$G$7:$G$50,'2 ZT'!A40))+(COUNTIF('ATHIS MONS'!$G$7:$G$50,'2 ZT'!A40))+(COUNTIF('L HAY LES ROSES'!$G$7:$G$50,'2 ZT'!A40))+(COUNTIF(RUNGIS!$G$7:$G$50,'2 ZT'!A40))+(COUNTIF(SCEAUX!$G$7:$G$50,'2 ZT'!A40))+(COUNTIF('INSTANCE C1'!$G$7:$G$50,'2 ZT'!A40))+(COUNTIF('INSTANCE C2'!$G$7:$G$50,'2 ZT'!A40))+(COUNTIF(INTERNES!$G$7:$G$50,'2 ZT'!A40))+(COUNTIF('EN PANNE'!$G$7:$G$50,'2 ZT'!A40))+(COUNTIF(TJM!$G$7:$G$50,'2 ZT'!A40))</f>
        <v>0</v>
      </c>
      <c r="D40" s="28">
        <f t="shared" si="2"/>
        <v>0</v>
      </c>
      <c r="E40" s="2"/>
      <c r="F40" s="6">
        <f t="shared" si="0"/>
        <v>0</v>
      </c>
      <c r="G40" s="20"/>
      <c r="H40" s="23">
        <f>(COUNTIF('2S EXPRESS'!$G$7:$G$50,'2 ZT'!G40))+(COUNTIF('2 ZT'!$G$7:$G$50,'2 ZT'!G40))+(COUNTIF('GO TRANSPORT'!$G$7:$G$50,'2 ZT'!G40))+(COUNTIF('HMZ - KAIS'!$G$7:$G$50,'2 ZT'!G40))+(COUNTIF('IB TRANSPORT'!$G$7:$G$50,'2 ZT'!G40))+(COUNTIF(JSL!$G$7:$G$50,'2 ZT'!G40))+(COUNTIF(KIFAITOUT!$G$7:$G$50,'2 ZT'!G40))+(COUNTIF('LUXE DRIVE'!$G$7:$G$50,'2 ZT'!G40))+(COUNTIF(SSN!$G$7:$G$50,'2 ZT'!G40))+(COUNTIF('W3'!$G$7:$G$50,'2 ZT'!G40))+(COUNTIF('ATHIS MONS'!$G$7:$G$50,'2 ZT'!G40))+(COUNTIF('L HAY LES ROSES'!$G$7:$G$50,'2 ZT'!G40))+(COUNTIF(RUNGIS!$G$7:$G$50,'2 ZT'!G40))+(COUNTIF(SCEAUX!$G$7:$G$50,'2 ZT'!G40))+(COUNTIF('INSTANCE C1'!$G$7:$G$50,'2 ZT'!G40))+(COUNTIF('INSTANCE C2'!$G$7:$G$50,'2 ZT'!G40))+(COUNTIF(INTERNES!$G$7:$G$50,'2 ZT'!G40))+(COUNTIF('EN PANNE'!$G$7:$G$50,'2 ZT'!G40))+(COUNTIF(TJM!$G$7:$G$50,'2 ZT'!G40))-I40</f>
        <v>0</v>
      </c>
      <c r="I40" s="23">
        <f>(COUNTIF('2 ZT'!$A$7:$A$50,'2 ZT'!G40))+(COUNTIF('2 ZT'!$A$7:$A$50,'2 ZT'!G40))+(COUNTIF('GO TRANSPORT'!$A$7:$A$50,'2 ZT'!G40))+(COUNTIF('HMZ - KAIS'!$A$7:$A$50,'2 ZT'!G40))+(COUNTIF('IB TRANSPORT'!$A$7:$A$50,'2 ZT'!G40))+(COUNTIF(JSL!$A$7:$A$50,'2 ZT'!G40))+(COUNTIF(KIFAITOUT!$A$7:$A$50,'2 ZT'!G40))+(COUNTIF('LUXE DRIVE'!$A$7:$A$50,'2 ZT'!G40))+(COUNTIF(SSN!$A$7:$A$50,'2 ZT'!G40))+(COUNTIF('W3'!$A$7:$A$50,'2 ZT'!G40))+(COUNTIF('ATHIS MONS'!$A$7:$A$50,'2 ZT'!G40))+(COUNTIF('L HAY LES ROSES'!$A$7:$A$50,'2 ZT'!G40))+(COUNTIF(RUNGIS!$A$7:$A$50,'2 ZT'!G40))+(COUNTIF(SCEAUX!$A$7:$A$50,'2 ZT'!G40))+(COUNTIF('INSTANCE C1'!$A$7:$A$50,'2 ZT'!G40))+(COUNTIF('INSTANCE C2'!$A$7:$A$50,'2 ZT'!G40))+(COUNTIF(INTERNES!$A$7:$A$50,'2 ZT'!G40))+(COUNTIF('EN PANNE'!$A$7:$A$50,'2 ZT'!G40))+(COUNTIF(TJM!$A$7:$A$50,'2 ZT'!G40))</f>
        <v>0</v>
      </c>
      <c r="J40" s="28">
        <f t="shared" si="3"/>
        <v>0</v>
      </c>
      <c r="K40" s="2"/>
      <c r="L40" s="47"/>
      <c r="S40" s="60">
        <f t="shared" si="1"/>
        <v>0</v>
      </c>
      <c r="T40" s="67">
        <f t="shared" si="4"/>
        <v>0</v>
      </c>
    </row>
    <row r="41" spans="1:20" ht="24.95" customHeight="1" x14ac:dyDescent="0.2">
      <c r="A41" s="20"/>
      <c r="B41" s="23">
        <f>(COUNTIF('2S EXPRESS'!$A$7:$A$50,'2 ZT'!A41))+(COUNTIF('2 ZT'!$A$7:$A$50,'2 ZT'!A41))+(COUNTIF('GO TRANSPORT'!$A$7:$A$50,'2 ZT'!A41))+(COUNTIF('HMZ - KAIS'!$A$7:$A$50,'2 ZT'!A41))+(COUNTIF('IB TRANSPORT'!$A$7:$A$50,'2 ZT'!A41))+(COUNTIF(JSL!$A$7:$A$50,'2 ZT'!A41))+(COUNTIF(KIFAITOUT!$A$7:$A$50,'2 ZT'!A41))+(COUNTIF('LUXE DRIVE'!$A$7:$A$50,'2 ZT'!A41))+(COUNTIF(SSN!$A$7:$A$50,'2 ZT'!A41))+(COUNTIF('W3'!$A$7:$A$50,'2 ZT'!A41))+(COUNTIF('ATHIS MONS'!$A$7:$A$50,'2 ZT'!A41))+(COUNTIF('L HAY LES ROSES'!$A$7:$A$50,'2 ZT'!A41))+(COUNTIF(RUNGIS!$A$7:$A$50,'2 ZT'!A41))+(COUNTIF(SCEAUX!$A$7:$A$50,'2 ZT'!A41))+(COUNTIF('INSTANCE C1'!$A$7:$A$50,'2 ZT'!A41))+(COUNTIF('INSTANCE C2'!$A$7:$A$50,'2 ZT'!A41))+(COUNTIF(INTERNES!$A$7:$A$50,'2 ZT'!A41))+(COUNTIF('EN PANNE'!$A$7:$A$50,'2 ZT'!A41))+(COUNTIF(TJM!$A$7:$A$50,'2 ZT'!A41))-C41</f>
        <v>0</v>
      </c>
      <c r="C41" s="23">
        <f>(COUNTIF('2S EXPRESS'!$G$7:$G$50,'2 ZT'!A41))+(COUNTIF('2 ZT'!$G$7:$G$50,'2 ZT'!A41))+(COUNTIF('GO TRANSPORT'!$G$7:$G$50,'2 ZT'!A41))+(COUNTIF('2 ZT'!$G$7:$G$50,'2 ZT'!A41))+(COUNTIF('IB TRANSPORT'!$G$7:$G$50,'2 ZT'!A41))+(COUNTIF(JSL!$G$7:$G$50,'2 ZT'!A41))+(COUNTIF(KIFAITOUT!$G$7:$G$50,'2 ZT'!A41))+(COUNTIF('LUXE DRIVE'!$G$7:$G$50,'2 ZT'!A41))+(COUNTIF(SSN!$G$7:$G$50,'2 ZT'!A41))+(COUNTIF('W3'!$G$7:$G$50,'2 ZT'!A41))+(COUNTIF('ATHIS MONS'!$G$7:$G$50,'2 ZT'!A41))+(COUNTIF('L HAY LES ROSES'!$G$7:$G$50,'2 ZT'!A41))+(COUNTIF(RUNGIS!$G$7:$G$50,'2 ZT'!A41))+(COUNTIF(SCEAUX!$G$7:$G$50,'2 ZT'!A41))+(COUNTIF('INSTANCE C1'!$G$7:$G$50,'2 ZT'!A41))+(COUNTIF('INSTANCE C2'!$G$7:$G$50,'2 ZT'!A41))+(COUNTIF(INTERNES!$G$7:$G$50,'2 ZT'!A41))+(COUNTIF('EN PANNE'!$G$7:$G$50,'2 ZT'!A41))+(COUNTIF(TJM!$G$7:$G$50,'2 ZT'!A41))</f>
        <v>0</v>
      </c>
      <c r="D41" s="28">
        <f t="shared" si="2"/>
        <v>0</v>
      </c>
      <c r="E41" s="2"/>
      <c r="F41" s="6">
        <f t="shared" si="0"/>
        <v>0</v>
      </c>
      <c r="G41" s="20"/>
      <c r="H41" s="23">
        <f>(COUNTIF('2S EXPRESS'!$G$7:$G$50,'2 ZT'!G41))+(COUNTIF('2 ZT'!$G$7:$G$50,'2 ZT'!G41))+(COUNTIF('GO TRANSPORT'!$G$7:$G$50,'2 ZT'!G41))+(COUNTIF('HMZ - KAIS'!$G$7:$G$50,'2 ZT'!G41))+(COUNTIF('IB TRANSPORT'!$G$7:$G$50,'2 ZT'!G41))+(COUNTIF(JSL!$G$7:$G$50,'2 ZT'!G41))+(COUNTIF(KIFAITOUT!$G$7:$G$50,'2 ZT'!G41))+(COUNTIF('LUXE DRIVE'!$G$7:$G$50,'2 ZT'!G41))+(COUNTIF(SSN!$G$7:$G$50,'2 ZT'!G41))+(COUNTIF('W3'!$G$7:$G$50,'2 ZT'!G41))+(COUNTIF('ATHIS MONS'!$G$7:$G$50,'2 ZT'!G41))+(COUNTIF('L HAY LES ROSES'!$G$7:$G$50,'2 ZT'!G41))+(COUNTIF(RUNGIS!$G$7:$G$50,'2 ZT'!G41))+(COUNTIF(SCEAUX!$G$7:$G$50,'2 ZT'!G41))+(COUNTIF('INSTANCE C1'!$G$7:$G$50,'2 ZT'!G41))+(COUNTIF('INSTANCE C2'!$G$7:$G$50,'2 ZT'!G41))+(COUNTIF(INTERNES!$G$7:$G$50,'2 ZT'!G41))+(COUNTIF('EN PANNE'!$G$7:$G$50,'2 ZT'!G41))+(COUNTIF(TJM!$G$7:$G$50,'2 ZT'!G41))-I41</f>
        <v>0</v>
      </c>
      <c r="I41" s="23">
        <f>(COUNTIF('2 ZT'!$A$7:$A$50,'2 ZT'!G41))+(COUNTIF('2 ZT'!$A$7:$A$50,'2 ZT'!G41))+(COUNTIF('GO TRANSPORT'!$A$7:$A$50,'2 ZT'!G41))+(COUNTIF('HMZ - KAIS'!$A$7:$A$50,'2 ZT'!G41))+(COUNTIF('IB TRANSPORT'!$A$7:$A$50,'2 ZT'!G41))+(COUNTIF(JSL!$A$7:$A$50,'2 ZT'!G41))+(COUNTIF(KIFAITOUT!$A$7:$A$50,'2 ZT'!G41))+(COUNTIF('LUXE DRIVE'!$A$7:$A$50,'2 ZT'!G41))+(COUNTIF(SSN!$A$7:$A$50,'2 ZT'!G41))+(COUNTIF('W3'!$A$7:$A$50,'2 ZT'!G41))+(COUNTIF('ATHIS MONS'!$A$7:$A$50,'2 ZT'!G41))+(COUNTIF('L HAY LES ROSES'!$A$7:$A$50,'2 ZT'!G41))+(COUNTIF(RUNGIS!$A$7:$A$50,'2 ZT'!G41))+(COUNTIF(SCEAUX!$A$7:$A$50,'2 ZT'!G41))+(COUNTIF('INSTANCE C1'!$A$7:$A$50,'2 ZT'!G41))+(COUNTIF('INSTANCE C2'!$A$7:$A$50,'2 ZT'!G41))+(COUNTIF(INTERNES!$A$7:$A$50,'2 ZT'!G41))+(COUNTIF('EN PANNE'!$A$7:$A$50,'2 ZT'!G41))+(COUNTIF(TJM!$A$7:$A$50,'2 ZT'!G41))</f>
        <v>0</v>
      </c>
      <c r="J41" s="28">
        <f t="shared" si="3"/>
        <v>0</v>
      </c>
      <c r="K41" s="2"/>
      <c r="L41" s="47"/>
      <c r="S41" s="60">
        <f t="shared" si="1"/>
        <v>0</v>
      </c>
      <c r="T41" s="67">
        <f t="shared" si="4"/>
        <v>0</v>
      </c>
    </row>
    <row r="42" spans="1:20" ht="24.95" customHeight="1" x14ac:dyDescent="0.2">
      <c r="A42" s="20"/>
      <c r="B42" s="23">
        <f>(COUNTIF('2S EXPRESS'!$A$7:$A$50,'2 ZT'!A42))+(COUNTIF('2 ZT'!$A$7:$A$50,'2 ZT'!A42))+(COUNTIF('GO TRANSPORT'!$A$7:$A$50,'2 ZT'!A42))+(COUNTIF('HMZ - KAIS'!$A$7:$A$50,'2 ZT'!A42))+(COUNTIF('IB TRANSPORT'!$A$7:$A$50,'2 ZT'!A42))+(COUNTIF(JSL!$A$7:$A$50,'2 ZT'!A42))+(COUNTIF(KIFAITOUT!$A$7:$A$50,'2 ZT'!A42))+(COUNTIF('LUXE DRIVE'!$A$7:$A$50,'2 ZT'!A42))+(COUNTIF(SSN!$A$7:$A$50,'2 ZT'!A42))+(COUNTIF('W3'!$A$7:$A$50,'2 ZT'!A42))+(COUNTIF('ATHIS MONS'!$A$7:$A$50,'2 ZT'!A42))+(COUNTIF('L HAY LES ROSES'!$A$7:$A$50,'2 ZT'!A42))+(COUNTIF(RUNGIS!$A$7:$A$50,'2 ZT'!A42))+(COUNTIF(SCEAUX!$A$7:$A$50,'2 ZT'!A42))+(COUNTIF('INSTANCE C1'!$A$7:$A$50,'2 ZT'!A42))+(COUNTIF('INSTANCE C2'!$A$7:$A$50,'2 ZT'!A42))+(COUNTIF(INTERNES!$A$7:$A$50,'2 ZT'!A42))+(COUNTIF('EN PANNE'!$A$7:$A$50,'2 ZT'!A42))+(COUNTIF(TJM!$A$7:$A$50,'2 ZT'!A42))-C42</f>
        <v>0</v>
      </c>
      <c r="C42" s="23">
        <f>(COUNTIF('2S EXPRESS'!$G$7:$G$50,'2 ZT'!A42))+(COUNTIF('2 ZT'!$G$7:$G$50,'2 ZT'!A42))+(COUNTIF('GO TRANSPORT'!$G$7:$G$50,'2 ZT'!A42))+(COUNTIF('2 ZT'!$G$7:$G$50,'2 ZT'!A42))+(COUNTIF('IB TRANSPORT'!$G$7:$G$50,'2 ZT'!A42))+(COUNTIF(JSL!$G$7:$G$50,'2 ZT'!A42))+(COUNTIF(KIFAITOUT!$G$7:$G$50,'2 ZT'!A42))+(COUNTIF('LUXE DRIVE'!$G$7:$G$50,'2 ZT'!A42))+(COUNTIF(SSN!$G$7:$G$50,'2 ZT'!A42))+(COUNTIF('W3'!$G$7:$G$50,'2 ZT'!A42))+(COUNTIF('ATHIS MONS'!$G$7:$G$50,'2 ZT'!A42))+(COUNTIF('L HAY LES ROSES'!$G$7:$G$50,'2 ZT'!A42))+(COUNTIF(RUNGIS!$G$7:$G$50,'2 ZT'!A42))+(COUNTIF(SCEAUX!$G$7:$G$50,'2 ZT'!A42))+(COUNTIF('INSTANCE C1'!$G$7:$G$50,'2 ZT'!A42))+(COUNTIF('INSTANCE C2'!$G$7:$G$50,'2 ZT'!A42))+(COUNTIF(INTERNES!$G$7:$G$50,'2 ZT'!A42))+(COUNTIF('EN PANNE'!$G$7:$G$50,'2 ZT'!A42))+(COUNTIF(TJM!$G$7:$G$50,'2 ZT'!A42))</f>
        <v>0</v>
      </c>
      <c r="D42" s="28">
        <f t="shared" si="2"/>
        <v>0</v>
      </c>
      <c r="E42" s="2"/>
      <c r="F42" s="6">
        <f t="shared" si="0"/>
        <v>0</v>
      </c>
      <c r="G42" s="20"/>
      <c r="H42" s="23">
        <f>(COUNTIF('2S EXPRESS'!$G$7:$G$50,'2 ZT'!G42))+(COUNTIF('2 ZT'!$G$7:$G$50,'2 ZT'!G42))+(COUNTIF('GO TRANSPORT'!$G$7:$G$50,'2 ZT'!G42))+(COUNTIF('HMZ - KAIS'!$G$7:$G$50,'2 ZT'!G42))+(COUNTIF('IB TRANSPORT'!$G$7:$G$50,'2 ZT'!G42))+(COUNTIF(JSL!$G$7:$G$50,'2 ZT'!G42))+(COUNTIF(KIFAITOUT!$G$7:$G$50,'2 ZT'!G42))+(COUNTIF('LUXE DRIVE'!$G$7:$G$50,'2 ZT'!G42))+(COUNTIF(SSN!$G$7:$G$50,'2 ZT'!G42))+(COUNTIF('W3'!$G$7:$G$50,'2 ZT'!G42))+(COUNTIF('ATHIS MONS'!$G$7:$G$50,'2 ZT'!G42))+(COUNTIF('L HAY LES ROSES'!$G$7:$G$50,'2 ZT'!G42))+(COUNTIF(RUNGIS!$G$7:$G$50,'2 ZT'!G42))+(COUNTIF(SCEAUX!$G$7:$G$50,'2 ZT'!G42))+(COUNTIF('INSTANCE C1'!$G$7:$G$50,'2 ZT'!G42))+(COUNTIF('INSTANCE C2'!$G$7:$G$50,'2 ZT'!G42))+(COUNTIF(INTERNES!$G$7:$G$50,'2 ZT'!G42))+(COUNTIF('EN PANNE'!$G$7:$G$50,'2 ZT'!G42))+(COUNTIF(TJM!$G$7:$G$50,'2 ZT'!G42))-I42</f>
        <v>0</v>
      </c>
      <c r="I42" s="23">
        <f>(COUNTIF('2 ZT'!$A$7:$A$50,'2 ZT'!G42))+(COUNTIF('2 ZT'!$A$7:$A$50,'2 ZT'!G42))+(COUNTIF('GO TRANSPORT'!$A$7:$A$50,'2 ZT'!G42))+(COUNTIF('HMZ - KAIS'!$A$7:$A$50,'2 ZT'!G42))+(COUNTIF('IB TRANSPORT'!$A$7:$A$50,'2 ZT'!G42))+(COUNTIF(JSL!$A$7:$A$50,'2 ZT'!G42))+(COUNTIF(KIFAITOUT!$A$7:$A$50,'2 ZT'!G42))+(COUNTIF('LUXE DRIVE'!$A$7:$A$50,'2 ZT'!G42))+(COUNTIF(SSN!$A$7:$A$50,'2 ZT'!G42))+(COUNTIF('W3'!$A$7:$A$50,'2 ZT'!G42))+(COUNTIF('ATHIS MONS'!$A$7:$A$50,'2 ZT'!G42))+(COUNTIF('L HAY LES ROSES'!$A$7:$A$50,'2 ZT'!G42))+(COUNTIF(RUNGIS!$A$7:$A$50,'2 ZT'!G42))+(COUNTIF(SCEAUX!$A$7:$A$50,'2 ZT'!G42))+(COUNTIF('INSTANCE C1'!$A$7:$A$50,'2 ZT'!G42))+(COUNTIF('INSTANCE C2'!$A$7:$A$50,'2 ZT'!G42))+(COUNTIF(INTERNES!$A$7:$A$50,'2 ZT'!G42))+(COUNTIF('EN PANNE'!$A$7:$A$50,'2 ZT'!G42))+(COUNTIF(TJM!$A$7:$A$50,'2 ZT'!G42))</f>
        <v>0</v>
      </c>
      <c r="J42" s="28">
        <f t="shared" si="3"/>
        <v>0</v>
      </c>
      <c r="K42" s="2"/>
      <c r="L42" s="47"/>
      <c r="S42" s="60">
        <f t="shared" si="1"/>
        <v>0</v>
      </c>
      <c r="T42" s="67">
        <f t="shared" si="4"/>
        <v>0</v>
      </c>
    </row>
    <row r="43" spans="1:20" ht="24.95" customHeight="1" x14ac:dyDescent="0.2">
      <c r="A43" s="20"/>
      <c r="B43" s="23">
        <f>(COUNTIF('2S EXPRESS'!$A$7:$A$50,'2 ZT'!A43))+(COUNTIF('2 ZT'!$A$7:$A$50,'2 ZT'!A43))+(COUNTIF('GO TRANSPORT'!$A$7:$A$50,'2 ZT'!A43))+(COUNTIF('HMZ - KAIS'!$A$7:$A$50,'2 ZT'!A43))+(COUNTIF('IB TRANSPORT'!$A$7:$A$50,'2 ZT'!A43))+(COUNTIF(JSL!$A$7:$A$50,'2 ZT'!A43))+(COUNTIF(KIFAITOUT!$A$7:$A$50,'2 ZT'!A43))+(COUNTIF('LUXE DRIVE'!$A$7:$A$50,'2 ZT'!A43))+(COUNTIF(SSN!$A$7:$A$50,'2 ZT'!A43))+(COUNTIF('W3'!$A$7:$A$50,'2 ZT'!A43))+(COUNTIF('ATHIS MONS'!$A$7:$A$50,'2 ZT'!A43))+(COUNTIF('L HAY LES ROSES'!$A$7:$A$50,'2 ZT'!A43))+(COUNTIF(RUNGIS!$A$7:$A$50,'2 ZT'!A43))+(COUNTIF(SCEAUX!$A$7:$A$50,'2 ZT'!A43))+(COUNTIF('INSTANCE C1'!$A$7:$A$50,'2 ZT'!A43))+(COUNTIF('INSTANCE C2'!$A$7:$A$50,'2 ZT'!A43))+(COUNTIF(INTERNES!$A$7:$A$50,'2 ZT'!A43))+(COUNTIF('EN PANNE'!$A$7:$A$50,'2 ZT'!A43))+(COUNTIF(TJM!$A$7:$A$50,'2 ZT'!A43))-C43</f>
        <v>0</v>
      </c>
      <c r="C43" s="23">
        <f>(COUNTIF('2S EXPRESS'!$G$7:$G$50,'2 ZT'!A43))+(COUNTIF('2 ZT'!$G$7:$G$50,'2 ZT'!A43))+(COUNTIF('GO TRANSPORT'!$G$7:$G$50,'2 ZT'!A43))+(COUNTIF('2 ZT'!$G$7:$G$50,'2 ZT'!A43))+(COUNTIF('IB TRANSPORT'!$G$7:$G$50,'2 ZT'!A43))+(COUNTIF(JSL!$G$7:$G$50,'2 ZT'!A43))+(COUNTIF(KIFAITOUT!$G$7:$G$50,'2 ZT'!A43))+(COUNTIF('LUXE DRIVE'!$G$7:$G$50,'2 ZT'!A43))+(COUNTIF(SSN!$G$7:$G$50,'2 ZT'!A43))+(COUNTIF('W3'!$G$7:$G$50,'2 ZT'!A43))+(COUNTIF('ATHIS MONS'!$G$7:$G$50,'2 ZT'!A43))+(COUNTIF('L HAY LES ROSES'!$G$7:$G$50,'2 ZT'!A43))+(COUNTIF(RUNGIS!$G$7:$G$50,'2 ZT'!A43))+(COUNTIF(SCEAUX!$G$7:$G$50,'2 ZT'!A43))+(COUNTIF('INSTANCE C1'!$G$7:$G$50,'2 ZT'!A43))+(COUNTIF('INSTANCE C2'!$G$7:$G$50,'2 ZT'!A43))+(COUNTIF(INTERNES!$G$7:$G$50,'2 ZT'!A43))+(COUNTIF('EN PANNE'!$G$7:$G$50,'2 ZT'!A43))+(COUNTIF(TJM!$G$7:$G$50,'2 ZT'!A43))</f>
        <v>0</v>
      </c>
      <c r="D43" s="28">
        <f t="shared" si="2"/>
        <v>0</v>
      </c>
      <c r="E43" s="2"/>
      <c r="F43" s="6">
        <f t="shared" si="0"/>
        <v>0</v>
      </c>
      <c r="G43" s="20"/>
      <c r="H43" s="23">
        <f>(COUNTIF('2S EXPRESS'!$G$7:$G$50,'2 ZT'!G43))+(COUNTIF('2 ZT'!$G$7:$G$50,'2 ZT'!G43))+(COUNTIF('GO TRANSPORT'!$G$7:$G$50,'2 ZT'!G43))+(COUNTIF('HMZ - KAIS'!$G$7:$G$50,'2 ZT'!G43))+(COUNTIF('IB TRANSPORT'!$G$7:$G$50,'2 ZT'!G43))+(COUNTIF(JSL!$G$7:$G$50,'2 ZT'!G43))+(COUNTIF(KIFAITOUT!$G$7:$G$50,'2 ZT'!G43))+(COUNTIF('LUXE DRIVE'!$G$7:$G$50,'2 ZT'!G43))+(COUNTIF(SSN!$G$7:$G$50,'2 ZT'!G43))+(COUNTIF('W3'!$G$7:$G$50,'2 ZT'!G43))+(COUNTIF('ATHIS MONS'!$G$7:$G$50,'2 ZT'!G43))+(COUNTIF('L HAY LES ROSES'!$G$7:$G$50,'2 ZT'!G43))+(COUNTIF(RUNGIS!$G$7:$G$50,'2 ZT'!G43))+(COUNTIF(SCEAUX!$G$7:$G$50,'2 ZT'!G43))+(COUNTIF('INSTANCE C1'!$G$7:$G$50,'2 ZT'!G43))+(COUNTIF('INSTANCE C2'!$G$7:$G$50,'2 ZT'!G43))+(COUNTIF(INTERNES!$G$7:$G$50,'2 ZT'!G43))+(COUNTIF('EN PANNE'!$G$7:$G$50,'2 ZT'!G43))+(COUNTIF(TJM!$G$7:$G$50,'2 ZT'!G43))-I43</f>
        <v>0</v>
      </c>
      <c r="I43" s="23">
        <f>(COUNTIF('2 ZT'!$A$7:$A$50,'2 ZT'!G43))+(COUNTIF('2 ZT'!$A$7:$A$50,'2 ZT'!G43))+(COUNTIF('GO TRANSPORT'!$A$7:$A$50,'2 ZT'!G43))+(COUNTIF('HMZ - KAIS'!$A$7:$A$50,'2 ZT'!G43))+(COUNTIF('IB TRANSPORT'!$A$7:$A$50,'2 ZT'!G43))+(COUNTIF(JSL!$A$7:$A$50,'2 ZT'!G43))+(COUNTIF(KIFAITOUT!$A$7:$A$50,'2 ZT'!G43))+(COUNTIF('LUXE DRIVE'!$A$7:$A$50,'2 ZT'!G43))+(COUNTIF(SSN!$A$7:$A$50,'2 ZT'!G43))+(COUNTIF('W3'!$A$7:$A$50,'2 ZT'!G43))+(COUNTIF('ATHIS MONS'!$A$7:$A$50,'2 ZT'!G43))+(COUNTIF('L HAY LES ROSES'!$A$7:$A$50,'2 ZT'!G43))+(COUNTIF(RUNGIS!$A$7:$A$50,'2 ZT'!G43))+(COUNTIF(SCEAUX!$A$7:$A$50,'2 ZT'!G43))+(COUNTIF('INSTANCE C1'!$A$7:$A$50,'2 ZT'!G43))+(COUNTIF('INSTANCE C2'!$A$7:$A$50,'2 ZT'!G43))+(COUNTIF(INTERNES!$A$7:$A$50,'2 ZT'!G43))+(COUNTIF('EN PANNE'!$A$7:$A$50,'2 ZT'!G43))+(COUNTIF(TJM!$A$7:$A$50,'2 ZT'!G43))</f>
        <v>0</v>
      </c>
      <c r="J43" s="28">
        <f t="shared" si="3"/>
        <v>0</v>
      </c>
      <c r="K43" s="2"/>
      <c r="L43" s="47"/>
      <c r="S43" s="60">
        <f t="shared" si="1"/>
        <v>0</v>
      </c>
      <c r="T43" s="67">
        <f t="shared" si="4"/>
        <v>0</v>
      </c>
    </row>
    <row r="44" spans="1:20" ht="24.95" customHeight="1" x14ac:dyDescent="0.2">
      <c r="A44" s="20"/>
      <c r="B44" s="23">
        <f>(COUNTIF('2S EXPRESS'!$A$7:$A$50,'2 ZT'!A44))+(COUNTIF('2 ZT'!$A$7:$A$50,'2 ZT'!A44))+(COUNTIF('GO TRANSPORT'!$A$7:$A$50,'2 ZT'!A44))+(COUNTIF('HMZ - KAIS'!$A$7:$A$50,'2 ZT'!A44))+(COUNTIF('IB TRANSPORT'!$A$7:$A$50,'2 ZT'!A44))+(COUNTIF(JSL!$A$7:$A$50,'2 ZT'!A44))+(COUNTIF(KIFAITOUT!$A$7:$A$50,'2 ZT'!A44))+(COUNTIF('LUXE DRIVE'!$A$7:$A$50,'2 ZT'!A44))+(COUNTIF(SSN!$A$7:$A$50,'2 ZT'!A44))+(COUNTIF('W3'!$A$7:$A$50,'2 ZT'!A44))+(COUNTIF('ATHIS MONS'!$A$7:$A$50,'2 ZT'!A44))+(COUNTIF('L HAY LES ROSES'!$A$7:$A$50,'2 ZT'!A44))+(COUNTIF(RUNGIS!$A$7:$A$50,'2 ZT'!A44))+(COUNTIF(SCEAUX!$A$7:$A$50,'2 ZT'!A44))+(COUNTIF('INSTANCE C1'!$A$7:$A$50,'2 ZT'!A44))+(COUNTIF('INSTANCE C2'!$A$7:$A$50,'2 ZT'!A44))+(COUNTIF(INTERNES!$A$7:$A$50,'2 ZT'!A44))+(COUNTIF('EN PANNE'!$A$7:$A$50,'2 ZT'!A44))+(COUNTIF(TJM!$A$7:$A$50,'2 ZT'!A44))-C44</f>
        <v>0</v>
      </c>
      <c r="C44" s="23">
        <f>(COUNTIF('2S EXPRESS'!$G$7:$G$50,'2 ZT'!A44))+(COUNTIF('2 ZT'!$G$7:$G$50,'2 ZT'!A44))+(COUNTIF('GO TRANSPORT'!$G$7:$G$50,'2 ZT'!A44))+(COUNTIF('2 ZT'!$G$7:$G$50,'2 ZT'!A44))+(COUNTIF('IB TRANSPORT'!$G$7:$G$50,'2 ZT'!A44))+(COUNTIF(JSL!$G$7:$G$50,'2 ZT'!A44))+(COUNTIF(KIFAITOUT!$G$7:$G$50,'2 ZT'!A44))+(COUNTIF('LUXE DRIVE'!$G$7:$G$50,'2 ZT'!A44))+(COUNTIF(SSN!$G$7:$G$50,'2 ZT'!A44))+(COUNTIF('W3'!$G$7:$G$50,'2 ZT'!A44))+(COUNTIF('ATHIS MONS'!$G$7:$G$50,'2 ZT'!A44))+(COUNTIF('L HAY LES ROSES'!$G$7:$G$50,'2 ZT'!A44))+(COUNTIF(RUNGIS!$G$7:$G$50,'2 ZT'!A44))+(COUNTIF(SCEAUX!$G$7:$G$50,'2 ZT'!A44))+(COUNTIF('INSTANCE C1'!$G$7:$G$50,'2 ZT'!A44))+(COUNTIF('INSTANCE C2'!$G$7:$G$50,'2 ZT'!A44))+(COUNTIF(INTERNES!$G$7:$G$50,'2 ZT'!A44))+(COUNTIF('EN PANNE'!$G$7:$G$50,'2 ZT'!A44))+(COUNTIF(TJM!$G$7:$G$50,'2 ZT'!A44))</f>
        <v>0</v>
      </c>
      <c r="D44" s="28">
        <f t="shared" si="2"/>
        <v>0</v>
      </c>
      <c r="E44" s="2"/>
      <c r="F44" s="6">
        <f t="shared" si="0"/>
        <v>0</v>
      </c>
      <c r="G44" s="20"/>
      <c r="H44" s="23">
        <f>(COUNTIF('2S EXPRESS'!$G$7:$G$50,'2 ZT'!G44))+(COUNTIF('2 ZT'!$G$7:$G$50,'2 ZT'!G44))+(COUNTIF('GO TRANSPORT'!$G$7:$G$50,'2 ZT'!G44))+(COUNTIF('HMZ - KAIS'!$G$7:$G$50,'2 ZT'!G44))+(COUNTIF('IB TRANSPORT'!$G$7:$G$50,'2 ZT'!G44))+(COUNTIF(JSL!$G$7:$G$50,'2 ZT'!G44))+(COUNTIF(KIFAITOUT!$G$7:$G$50,'2 ZT'!G44))+(COUNTIF('LUXE DRIVE'!$G$7:$G$50,'2 ZT'!G44))+(COUNTIF(SSN!$G$7:$G$50,'2 ZT'!G44))+(COUNTIF('W3'!$G$7:$G$50,'2 ZT'!G44))+(COUNTIF('ATHIS MONS'!$G$7:$G$50,'2 ZT'!G44))+(COUNTIF('L HAY LES ROSES'!$G$7:$G$50,'2 ZT'!G44))+(COUNTIF(RUNGIS!$G$7:$G$50,'2 ZT'!G44))+(COUNTIF(SCEAUX!$G$7:$G$50,'2 ZT'!G44))+(COUNTIF('INSTANCE C1'!$G$7:$G$50,'2 ZT'!G44))+(COUNTIF('INSTANCE C2'!$G$7:$G$50,'2 ZT'!G44))+(COUNTIF(INTERNES!$G$7:$G$50,'2 ZT'!G44))+(COUNTIF('EN PANNE'!$G$7:$G$50,'2 ZT'!G44))+(COUNTIF(TJM!$G$7:$G$50,'2 ZT'!G44))-I44</f>
        <v>0</v>
      </c>
      <c r="I44" s="23">
        <f>(COUNTIF('2 ZT'!$A$7:$A$50,'2 ZT'!G44))+(COUNTIF('2 ZT'!$A$7:$A$50,'2 ZT'!G44))+(COUNTIF('GO TRANSPORT'!$A$7:$A$50,'2 ZT'!G44))+(COUNTIF('HMZ - KAIS'!$A$7:$A$50,'2 ZT'!G44))+(COUNTIF('IB TRANSPORT'!$A$7:$A$50,'2 ZT'!G44))+(COUNTIF(JSL!$A$7:$A$50,'2 ZT'!G44))+(COUNTIF(KIFAITOUT!$A$7:$A$50,'2 ZT'!G44))+(COUNTIF('LUXE DRIVE'!$A$7:$A$50,'2 ZT'!G44))+(COUNTIF(SSN!$A$7:$A$50,'2 ZT'!G44))+(COUNTIF('W3'!$A$7:$A$50,'2 ZT'!G44))+(COUNTIF('ATHIS MONS'!$A$7:$A$50,'2 ZT'!G44))+(COUNTIF('L HAY LES ROSES'!$A$7:$A$50,'2 ZT'!G44))+(COUNTIF(RUNGIS!$A$7:$A$50,'2 ZT'!G44))+(COUNTIF(SCEAUX!$A$7:$A$50,'2 ZT'!G44))+(COUNTIF('INSTANCE C1'!$A$7:$A$50,'2 ZT'!G44))+(COUNTIF('INSTANCE C2'!$A$7:$A$50,'2 ZT'!G44))+(COUNTIF(INTERNES!$A$7:$A$50,'2 ZT'!G44))+(COUNTIF('EN PANNE'!$A$7:$A$50,'2 ZT'!G44))+(COUNTIF(TJM!$A$7:$A$50,'2 ZT'!G44))</f>
        <v>0</v>
      </c>
      <c r="J44" s="28">
        <f t="shared" si="3"/>
        <v>0</v>
      </c>
      <c r="K44" s="2"/>
      <c r="L44" s="47"/>
      <c r="S44" s="60">
        <f t="shared" si="1"/>
        <v>0</v>
      </c>
      <c r="T44" s="67">
        <f t="shared" si="4"/>
        <v>0</v>
      </c>
    </row>
    <row r="45" spans="1:20" ht="24.95" customHeight="1" x14ac:dyDescent="0.2">
      <c r="A45" s="20"/>
      <c r="B45" s="23">
        <f>(COUNTIF('2S EXPRESS'!$A$7:$A$50,'2 ZT'!A45))+(COUNTIF('2 ZT'!$A$7:$A$50,'2 ZT'!A45))+(COUNTIF('GO TRANSPORT'!$A$7:$A$50,'2 ZT'!A45))+(COUNTIF('HMZ - KAIS'!$A$7:$A$50,'2 ZT'!A45))+(COUNTIF('IB TRANSPORT'!$A$7:$A$50,'2 ZT'!A45))+(COUNTIF(JSL!$A$7:$A$50,'2 ZT'!A45))+(COUNTIF(KIFAITOUT!$A$7:$A$50,'2 ZT'!A45))+(COUNTIF('LUXE DRIVE'!$A$7:$A$50,'2 ZT'!A45))+(COUNTIF(SSN!$A$7:$A$50,'2 ZT'!A45))+(COUNTIF('W3'!$A$7:$A$50,'2 ZT'!A45))+(COUNTIF('ATHIS MONS'!$A$7:$A$50,'2 ZT'!A45))+(COUNTIF('L HAY LES ROSES'!$A$7:$A$50,'2 ZT'!A45))+(COUNTIF(RUNGIS!$A$7:$A$50,'2 ZT'!A45))+(COUNTIF(SCEAUX!$A$7:$A$50,'2 ZT'!A45))+(COUNTIF('INSTANCE C1'!$A$7:$A$50,'2 ZT'!A45))+(COUNTIF('INSTANCE C2'!$A$7:$A$50,'2 ZT'!A45))+(COUNTIF(INTERNES!$A$7:$A$50,'2 ZT'!A45))+(COUNTIF('EN PANNE'!$A$7:$A$50,'2 ZT'!A45))+(COUNTIF(TJM!$A$7:$A$50,'2 ZT'!A45))-C45</f>
        <v>0</v>
      </c>
      <c r="C45" s="23">
        <f>(COUNTIF('2S EXPRESS'!$G$7:$G$50,'2 ZT'!A45))+(COUNTIF('2 ZT'!$G$7:$G$50,'2 ZT'!A45))+(COUNTIF('GO TRANSPORT'!$G$7:$G$50,'2 ZT'!A45))+(COUNTIF('2 ZT'!$G$7:$G$50,'2 ZT'!A45))+(COUNTIF('IB TRANSPORT'!$G$7:$G$50,'2 ZT'!A45))+(COUNTIF(JSL!$G$7:$G$50,'2 ZT'!A45))+(COUNTIF(KIFAITOUT!$G$7:$G$50,'2 ZT'!A45))+(COUNTIF('LUXE DRIVE'!$G$7:$G$50,'2 ZT'!A45))+(COUNTIF(SSN!$G$7:$G$50,'2 ZT'!A45))+(COUNTIF('W3'!$G$7:$G$50,'2 ZT'!A45))+(COUNTIF('ATHIS MONS'!$G$7:$G$50,'2 ZT'!A45))+(COUNTIF('L HAY LES ROSES'!$G$7:$G$50,'2 ZT'!A45))+(COUNTIF(RUNGIS!$G$7:$G$50,'2 ZT'!A45))+(COUNTIF(SCEAUX!$G$7:$G$50,'2 ZT'!A45))+(COUNTIF('INSTANCE C1'!$G$7:$G$50,'2 ZT'!A45))+(COUNTIF('INSTANCE C2'!$G$7:$G$50,'2 ZT'!A45))+(COUNTIF(INTERNES!$G$7:$G$50,'2 ZT'!A45))+(COUNTIF('EN PANNE'!$G$7:$G$50,'2 ZT'!A45))+(COUNTIF(TJM!$G$7:$G$50,'2 ZT'!A45))</f>
        <v>0</v>
      </c>
      <c r="D45" s="28">
        <f t="shared" si="2"/>
        <v>0</v>
      </c>
      <c r="E45" s="2"/>
      <c r="F45" s="6">
        <f t="shared" si="0"/>
        <v>0</v>
      </c>
      <c r="G45" s="20"/>
      <c r="H45" s="23">
        <f>(COUNTIF('2S EXPRESS'!$G$7:$G$50,'2 ZT'!G45))+(COUNTIF('2 ZT'!$G$7:$G$50,'2 ZT'!G45))+(COUNTIF('GO TRANSPORT'!$G$7:$G$50,'2 ZT'!G45))+(COUNTIF('HMZ - KAIS'!$G$7:$G$50,'2 ZT'!G45))+(COUNTIF('IB TRANSPORT'!$G$7:$G$50,'2 ZT'!G45))+(COUNTIF(JSL!$G$7:$G$50,'2 ZT'!G45))+(COUNTIF(KIFAITOUT!$G$7:$G$50,'2 ZT'!G45))+(COUNTIF('LUXE DRIVE'!$G$7:$G$50,'2 ZT'!G45))+(COUNTIF(SSN!$G$7:$G$50,'2 ZT'!G45))+(COUNTIF('W3'!$G$7:$G$50,'2 ZT'!G45))+(COUNTIF('ATHIS MONS'!$G$7:$G$50,'2 ZT'!G45))+(COUNTIF('L HAY LES ROSES'!$G$7:$G$50,'2 ZT'!G45))+(COUNTIF(RUNGIS!$G$7:$G$50,'2 ZT'!G45))+(COUNTIF(SCEAUX!$G$7:$G$50,'2 ZT'!G45))+(COUNTIF('INSTANCE C1'!$G$7:$G$50,'2 ZT'!G45))+(COUNTIF('INSTANCE C2'!$G$7:$G$50,'2 ZT'!G45))+(COUNTIF(INTERNES!$G$7:$G$50,'2 ZT'!G45))+(COUNTIF('EN PANNE'!$G$7:$G$50,'2 ZT'!G45))+(COUNTIF(TJM!$G$7:$G$50,'2 ZT'!G45))-I45</f>
        <v>0</v>
      </c>
      <c r="I45" s="23">
        <f>(COUNTIF('2 ZT'!$A$7:$A$50,'2 ZT'!G45))+(COUNTIF('2 ZT'!$A$7:$A$50,'2 ZT'!G45))+(COUNTIF('GO TRANSPORT'!$A$7:$A$50,'2 ZT'!G45))+(COUNTIF('HMZ - KAIS'!$A$7:$A$50,'2 ZT'!G45))+(COUNTIF('IB TRANSPORT'!$A$7:$A$50,'2 ZT'!G45))+(COUNTIF(JSL!$A$7:$A$50,'2 ZT'!G45))+(COUNTIF(KIFAITOUT!$A$7:$A$50,'2 ZT'!G45))+(COUNTIF('LUXE DRIVE'!$A$7:$A$50,'2 ZT'!G45))+(COUNTIF(SSN!$A$7:$A$50,'2 ZT'!G45))+(COUNTIF('W3'!$A$7:$A$50,'2 ZT'!G45))+(COUNTIF('ATHIS MONS'!$A$7:$A$50,'2 ZT'!G45))+(COUNTIF('L HAY LES ROSES'!$A$7:$A$50,'2 ZT'!G45))+(COUNTIF(RUNGIS!$A$7:$A$50,'2 ZT'!G45))+(COUNTIF(SCEAUX!$A$7:$A$50,'2 ZT'!G45))+(COUNTIF('INSTANCE C1'!$A$7:$A$50,'2 ZT'!G45))+(COUNTIF('INSTANCE C2'!$A$7:$A$50,'2 ZT'!G45))+(COUNTIF(INTERNES!$A$7:$A$50,'2 ZT'!G45))+(COUNTIF('EN PANNE'!$A$7:$A$50,'2 ZT'!G45))+(COUNTIF(TJM!$A$7:$A$50,'2 ZT'!G45))</f>
        <v>0</v>
      </c>
      <c r="J45" s="28">
        <f t="shared" si="3"/>
        <v>0</v>
      </c>
      <c r="K45" s="2"/>
      <c r="L45" s="47"/>
      <c r="S45" s="60">
        <f t="shared" si="1"/>
        <v>0</v>
      </c>
      <c r="T45" s="67">
        <f t="shared" si="4"/>
        <v>0</v>
      </c>
    </row>
    <row r="46" spans="1:20" ht="24.95" customHeight="1" x14ac:dyDescent="0.2">
      <c r="A46" s="20"/>
      <c r="B46" s="23">
        <f>(COUNTIF('2S EXPRESS'!$A$7:$A$50,'2 ZT'!A46))+(COUNTIF('2 ZT'!$A$7:$A$50,'2 ZT'!A46))+(COUNTIF('GO TRANSPORT'!$A$7:$A$50,'2 ZT'!A46))+(COUNTIF('HMZ - KAIS'!$A$7:$A$50,'2 ZT'!A46))+(COUNTIF('IB TRANSPORT'!$A$7:$A$50,'2 ZT'!A46))+(COUNTIF(JSL!$A$7:$A$50,'2 ZT'!A46))+(COUNTIF(KIFAITOUT!$A$7:$A$50,'2 ZT'!A46))+(COUNTIF('LUXE DRIVE'!$A$7:$A$50,'2 ZT'!A46))+(COUNTIF(SSN!$A$7:$A$50,'2 ZT'!A46))+(COUNTIF('W3'!$A$7:$A$50,'2 ZT'!A46))+(COUNTIF('ATHIS MONS'!$A$7:$A$50,'2 ZT'!A46))+(COUNTIF('L HAY LES ROSES'!$A$7:$A$50,'2 ZT'!A46))+(COUNTIF(RUNGIS!$A$7:$A$50,'2 ZT'!A46))+(COUNTIF(SCEAUX!$A$7:$A$50,'2 ZT'!A46))+(COUNTIF('INSTANCE C1'!$A$7:$A$50,'2 ZT'!A46))+(COUNTIF('INSTANCE C2'!$A$7:$A$50,'2 ZT'!A46))+(COUNTIF(INTERNES!$A$7:$A$50,'2 ZT'!A46))+(COUNTIF('EN PANNE'!$A$7:$A$50,'2 ZT'!A46))+(COUNTIF(TJM!$A$7:$A$50,'2 ZT'!A46))-C46</f>
        <v>0</v>
      </c>
      <c r="C46" s="23">
        <f>(COUNTIF('2S EXPRESS'!$G$7:$G$50,'2 ZT'!A46))+(COUNTIF('2 ZT'!$G$7:$G$50,'2 ZT'!A46))+(COUNTIF('GO TRANSPORT'!$G$7:$G$50,'2 ZT'!A46))+(COUNTIF('2 ZT'!$G$7:$G$50,'2 ZT'!A46))+(COUNTIF('IB TRANSPORT'!$G$7:$G$50,'2 ZT'!A46))+(COUNTIF(JSL!$G$7:$G$50,'2 ZT'!A46))+(COUNTIF(KIFAITOUT!$G$7:$G$50,'2 ZT'!A46))+(COUNTIF('LUXE DRIVE'!$G$7:$G$50,'2 ZT'!A46))+(COUNTIF(SSN!$G$7:$G$50,'2 ZT'!A46))+(COUNTIF('W3'!$G$7:$G$50,'2 ZT'!A46))+(COUNTIF('ATHIS MONS'!$G$7:$G$50,'2 ZT'!A46))+(COUNTIF('L HAY LES ROSES'!$G$7:$G$50,'2 ZT'!A46))+(COUNTIF(RUNGIS!$G$7:$G$50,'2 ZT'!A46))+(COUNTIF(SCEAUX!$G$7:$G$50,'2 ZT'!A46))+(COUNTIF('INSTANCE C1'!$G$7:$G$50,'2 ZT'!A46))+(COUNTIF('INSTANCE C2'!$G$7:$G$50,'2 ZT'!A46))+(COUNTIF(INTERNES!$G$7:$G$50,'2 ZT'!A46))+(COUNTIF('EN PANNE'!$G$7:$G$50,'2 ZT'!A46))+(COUNTIF(TJM!$G$7:$G$50,'2 ZT'!A46))</f>
        <v>0</v>
      </c>
      <c r="D46" s="28">
        <f t="shared" si="2"/>
        <v>0</v>
      </c>
      <c r="E46" s="2"/>
      <c r="F46" s="6">
        <f t="shared" si="0"/>
        <v>0</v>
      </c>
      <c r="G46" s="20"/>
      <c r="H46" s="23">
        <f>(COUNTIF('2S EXPRESS'!$G$7:$G$50,'2 ZT'!G46))+(COUNTIF('2 ZT'!$G$7:$G$50,'2 ZT'!G46))+(COUNTIF('GO TRANSPORT'!$G$7:$G$50,'2 ZT'!G46))+(COUNTIF('HMZ - KAIS'!$G$7:$G$50,'2 ZT'!G46))+(COUNTIF('IB TRANSPORT'!$G$7:$G$50,'2 ZT'!G46))+(COUNTIF(JSL!$G$7:$G$50,'2 ZT'!G46))+(COUNTIF(KIFAITOUT!$G$7:$G$50,'2 ZT'!G46))+(COUNTIF('LUXE DRIVE'!$G$7:$G$50,'2 ZT'!G46))+(COUNTIF(SSN!$G$7:$G$50,'2 ZT'!G46))+(COUNTIF('W3'!$G$7:$G$50,'2 ZT'!G46))+(COUNTIF('ATHIS MONS'!$G$7:$G$50,'2 ZT'!G46))+(COUNTIF('L HAY LES ROSES'!$G$7:$G$50,'2 ZT'!G46))+(COUNTIF(RUNGIS!$G$7:$G$50,'2 ZT'!G46))+(COUNTIF(SCEAUX!$G$7:$G$50,'2 ZT'!G46))+(COUNTIF('INSTANCE C1'!$G$7:$G$50,'2 ZT'!G46))+(COUNTIF('INSTANCE C2'!$G$7:$G$50,'2 ZT'!G46))+(COUNTIF(INTERNES!$G$7:$G$50,'2 ZT'!G46))+(COUNTIF('EN PANNE'!$G$7:$G$50,'2 ZT'!G46))+(COUNTIF(TJM!$G$7:$G$50,'2 ZT'!G46))-I46</f>
        <v>0</v>
      </c>
      <c r="I46" s="23">
        <f>(COUNTIF('2 ZT'!$A$7:$A$50,'2 ZT'!G46))+(COUNTIF('2 ZT'!$A$7:$A$50,'2 ZT'!G46))+(COUNTIF('GO TRANSPORT'!$A$7:$A$50,'2 ZT'!G46))+(COUNTIF('HMZ - KAIS'!$A$7:$A$50,'2 ZT'!G46))+(COUNTIF('IB TRANSPORT'!$A$7:$A$50,'2 ZT'!G46))+(COUNTIF(JSL!$A$7:$A$50,'2 ZT'!G46))+(COUNTIF(KIFAITOUT!$A$7:$A$50,'2 ZT'!G46))+(COUNTIF('LUXE DRIVE'!$A$7:$A$50,'2 ZT'!G46))+(COUNTIF(SSN!$A$7:$A$50,'2 ZT'!G46))+(COUNTIF('W3'!$A$7:$A$50,'2 ZT'!G46))+(COUNTIF('ATHIS MONS'!$A$7:$A$50,'2 ZT'!G46))+(COUNTIF('L HAY LES ROSES'!$A$7:$A$50,'2 ZT'!G46))+(COUNTIF(RUNGIS!$A$7:$A$50,'2 ZT'!G46))+(COUNTIF(SCEAUX!$A$7:$A$50,'2 ZT'!G46))+(COUNTIF('INSTANCE C1'!$A$7:$A$50,'2 ZT'!G46))+(COUNTIF('INSTANCE C2'!$A$7:$A$50,'2 ZT'!G46))+(COUNTIF(INTERNES!$A$7:$A$50,'2 ZT'!G46))+(COUNTIF('EN PANNE'!$A$7:$A$50,'2 ZT'!G46))+(COUNTIF(TJM!$A$7:$A$50,'2 ZT'!G46))</f>
        <v>0</v>
      </c>
      <c r="J46" s="28">
        <f t="shared" si="3"/>
        <v>0</v>
      </c>
      <c r="K46" s="2"/>
      <c r="L46" s="47"/>
      <c r="S46" s="60">
        <f t="shared" si="1"/>
        <v>0</v>
      </c>
      <c r="T46" s="67">
        <f t="shared" si="4"/>
        <v>0</v>
      </c>
    </row>
    <row r="47" spans="1:20" ht="24.95" customHeight="1" x14ac:dyDescent="0.2">
      <c r="A47" s="20"/>
      <c r="B47" s="23">
        <f>(COUNTIF('2S EXPRESS'!$A$7:$A$50,'2 ZT'!A47))+(COUNTIF('2 ZT'!$A$7:$A$50,'2 ZT'!A47))+(COUNTIF('GO TRANSPORT'!$A$7:$A$50,'2 ZT'!A47))+(COUNTIF('HMZ - KAIS'!$A$7:$A$50,'2 ZT'!A47))+(COUNTIF('IB TRANSPORT'!$A$7:$A$50,'2 ZT'!A47))+(COUNTIF(JSL!$A$7:$A$50,'2 ZT'!A47))+(COUNTIF(KIFAITOUT!$A$7:$A$50,'2 ZT'!A47))+(COUNTIF('LUXE DRIVE'!$A$7:$A$50,'2 ZT'!A47))+(COUNTIF(SSN!$A$7:$A$50,'2 ZT'!A47))+(COUNTIF('W3'!$A$7:$A$50,'2 ZT'!A47))+(COUNTIF('ATHIS MONS'!$A$7:$A$50,'2 ZT'!A47))+(COUNTIF('L HAY LES ROSES'!$A$7:$A$50,'2 ZT'!A47))+(COUNTIF(RUNGIS!$A$7:$A$50,'2 ZT'!A47))+(COUNTIF(SCEAUX!$A$7:$A$50,'2 ZT'!A47))+(COUNTIF('INSTANCE C1'!$A$7:$A$50,'2 ZT'!A47))+(COUNTIF('INSTANCE C2'!$A$7:$A$50,'2 ZT'!A47))+(COUNTIF(INTERNES!$A$7:$A$50,'2 ZT'!A47))+(COUNTIF('EN PANNE'!$A$7:$A$50,'2 ZT'!A47))+(COUNTIF(TJM!$A$7:$A$50,'2 ZT'!A47))-C47</f>
        <v>0</v>
      </c>
      <c r="C47" s="23">
        <f>(COUNTIF('2S EXPRESS'!$G$7:$G$50,'2 ZT'!A47))+(COUNTIF('2 ZT'!$G$7:$G$50,'2 ZT'!A47))+(COUNTIF('GO TRANSPORT'!$G$7:$G$50,'2 ZT'!A47))+(COUNTIF('2 ZT'!$G$7:$G$50,'2 ZT'!A47))+(COUNTIF('IB TRANSPORT'!$G$7:$G$50,'2 ZT'!A47))+(COUNTIF(JSL!$G$7:$G$50,'2 ZT'!A47))+(COUNTIF(KIFAITOUT!$G$7:$G$50,'2 ZT'!A47))+(COUNTIF('LUXE DRIVE'!$G$7:$G$50,'2 ZT'!A47))+(COUNTIF(SSN!$G$7:$G$50,'2 ZT'!A47))+(COUNTIF('W3'!$G$7:$G$50,'2 ZT'!A47))+(COUNTIF('ATHIS MONS'!$G$7:$G$50,'2 ZT'!A47))+(COUNTIF('L HAY LES ROSES'!$G$7:$G$50,'2 ZT'!A47))+(COUNTIF(RUNGIS!$G$7:$G$50,'2 ZT'!A47))+(COUNTIF(SCEAUX!$G$7:$G$50,'2 ZT'!A47))+(COUNTIF('INSTANCE C1'!$G$7:$G$50,'2 ZT'!A47))+(COUNTIF('INSTANCE C2'!$G$7:$G$50,'2 ZT'!A47))+(COUNTIF(INTERNES!$G$7:$G$50,'2 ZT'!A47))+(COUNTIF('EN PANNE'!$G$7:$G$50,'2 ZT'!A47))+(COUNTIF(TJM!$G$7:$G$50,'2 ZT'!A47))</f>
        <v>0</v>
      </c>
      <c r="D47" s="28">
        <f t="shared" si="2"/>
        <v>0</v>
      </c>
      <c r="E47" s="2"/>
      <c r="F47" s="6">
        <f t="shared" si="0"/>
        <v>0</v>
      </c>
      <c r="G47" s="20"/>
      <c r="H47" s="23">
        <f>(COUNTIF('2S EXPRESS'!$G$7:$G$50,'2 ZT'!G47))+(COUNTIF('2 ZT'!$G$7:$G$50,'2 ZT'!G47))+(COUNTIF('GO TRANSPORT'!$G$7:$G$50,'2 ZT'!G47))+(COUNTIF('HMZ - KAIS'!$G$7:$G$50,'2 ZT'!G47))+(COUNTIF('IB TRANSPORT'!$G$7:$G$50,'2 ZT'!G47))+(COUNTIF(JSL!$G$7:$G$50,'2 ZT'!G47))+(COUNTIF(KIFAITOUT!$G$7:$G$50,'2 ZT'!G47))+(COUNTIF('LUXE DRIVE'!$G$7:$G$50,'2 ZT'!G47))+(COUNTIF(SSN!$G$7:$G$50,'2 ZT'!G47))+(COUNTIF('W3'!$G$7:$G$50,'2 ZT'!G47))+(COUNTIF('ATHIS MONS'!$G$7:$G$50,'2 ZT'!G47))+(COUNTIF('L HAY LES ROSES'!$G$7:$G$50,'2 ZT'!G47))+(COUNTIF(RUNGIS!$G$7:$G$50,'2 ZT'!G47))+(COUNTIF(SCEAUX!$G$7:$G$50,'2 ZT'!G47))+(COUNTIF('INSTANCE C1'!$G$7:$G$50,'2 ZT'!G47))+(COUNTIF('INSTANCE C2'!$G$7:$G$50,'2 ZT'!G47))+(COUNTIF(INTERNES!$G$7:$G$50,'2 ZT'!G47))+(COUNTIF('EN PANNE'!$G$7:$G$50,'2 ZT'!G47))+(COUNTIF(TJM!$G$7:$G$50,'2 ZT'!G47))-I47</f>
        <v>0</v>
      </c>
      <c r="I47" s="23">
        <f>(COUNTIF('2 ZT'!$A$7:$A$50,'2 ZT'!G47))+(COUNTIF('2 ZT'!$A$7:$A$50,'2 ZT'!G47))+(COUNTIF('GO TRANSPORT'!$A$7:$A$50,'2 ZT'!G47))+(COUNTIF('HMZ - KAIS'!$A$7:$A$50,'2 ZT'!G47))+(COUNTIF('IB TRANSPORT'!$A$7:$A$50,'2 ZT'!G47))+(COUNTIF(JSL!$A$7:$A$50,'2 ZT'!G47))+(COUNTIF(KIFAITOUT!$A$7:$A$50,'2 ZT'!G47))+(COUNTIF('LUXE DRIVE'!$A$7:$A$50,'2 ZT'!G47))+(COUNTIF(SSN!$A$7:$A$50,'2 ZT'!G47))+(COUNTIF('W3'!$A$7:$A$50,'2 ZT'!G47))+(COUNTIF('ATHIS MONS'!$A$7:$A$50,'2 ZT'!G47))+(COUNTIF('L HAY LES ROSES'!$A$7:$A$50,'2 ZT'!G47))+(COUNTIF(RUNGIS!$A$7:$A$50,'2 ZT'!G47))+(COUNTIF(SCEAUX!$A$7:$A$50,'2 ZT'!G47))+(COUNTIF('INSTANCE C1'!$A$7:$A$50,'2 ZT'!G47))+(COUNTIF('INSTANCE C2'!$A$7:$A$50,'2 ZT'!G47))+(COUNTIF(INTERNES!$A$7:$A$50,'2 ZT'!G47))+(COUNTIF('EN PANNE'!$A$7:$A$50,'2 ZT'!G47))+(COUNTIF(TJM!$A$7:$A$50,'2 ZT'!G47))</f>
        <v>0</v>
      </c>
      <c r="J47" s="28">
        <f t="shared" si="3"/>
        <v>0</v>
      </c>
      <c r="K47" s="2"/>
      <c r="L47" s="47"/>
      <c r="S47" s="60">
        <f t="shared" si="1"/>
        <v>0</v>
      </c>
      <c r="T47" s="67">
        <f t="shared" si="4"/>
        <v>0</v>
      </c>
    </row>
    <row r="48" spans="1:20" ht="24.95" customHeight="1" x14ac:dyDescent="0.2">
      <c r="A48" s="20"/>
      <c r="B48" s="23">
        <f>(COUNTIF('2S EXPRESS'!$A$7:$A$50,'2 ZT'!A48))+(COUNTIF('2 ZT'!$A$7:$A$50,'2 ZT'!A48))+(COUNTIF('GO TRANSPORT'!$A$7:$A$50,'2 ZT'!A48))+(COUNTIF('HMZ - KAIS'!$A$7:$A$50,'2 ZT'!A48))+(COUNTIF('IB TRANSPORT'!$A$7:$A$50,'2 ZT'!A48))+(COUNTIF(JSL!$A$7:$A$50,'2 ZT'!A48))+(COUNTIF(KIFAITOUT!$A$7:$A$50,'2 ZT'!A48))+(COUNTIF('LUXE DRIVE'!$A$7:$A$50,'2 ZT'!A48))+(COUNTIF(SSN!$A$7:$A$50,'2 ZT'!A48))+(COUNTIF('W3'!$A$7:$A$50,'2 ZT'!A48))+(COUNTIF('ATHIS MONS'!$A$7:$A$50,'2 ZT'!A48))+(COUNTIF('L HAY LES ROSES'!$A$7:$A$50,'2 ZT'!A48))+(COUNTIF(RUNGIS!$A$7:$A$50,'2 ZT'!A48))+(COUNTIF(SCEAUX!$A$7:$A$50,'2 ZT'!A48))+(COUNTIF('INSTANCE C1'!$A$7:$A$50,'2 ZT'!A48))+(COUNTIF('INSTANCE C2'!$A$7:$A$50,'2 ZT'!A48))+(COUNTIF(INTERNES!$A$7:$A$50,'2 ZT'!A48))+(COUNTIF('EN PANNE'!$A$7:$A$50,'2 ZT'!A48))+(COUNTIF(TJM!$A$7:$A$50,'2 ZT'!A48))-C48</f>
        <v>0</v>
      </c>
      <c r="C48" s="23">
        <f>(COUNTIF('2S EXPRESS'!$G$7:$G$50,'2 ZT'!A48))+(COUNTIF('2 ZT'!$G$7:$G$50,'2 ZT'!A48))+(COUNTIF('GO TRANSPORT'!$G$7:$G$50,'2 ZT'!A48))+(COUNTIF('2 ZT'!$G$7:$G$50,'2 ZT'!A48))+(COUNTIF('IB TRANSPORT'!$G$7:$G$50,'2 ZT'!A48))+(COUNTIF(JSL!$G$7:$G$50,'2 ZT'!A48))+(COUNTIF(KIFAITOUT!$G$7:$G$50,'2 ZT'!A48))+(COUNTIF('LUXE DRIVE'!$G$7:$G$50,'2 ZT'!A48))+(COUNTIF(SSN!$G$7:$G$50,'2 ZT'!A48))+(COUNTIF('W3'!$G$7:$G$50,'2 ZT'!A48))+(COUNTIF('ATHIS MONS'!$G$7:$G$50,'2 ZT'!A48))+(COUNTIF('L HAY LES ROSES'!$G$7:$G$50,'2 ZT'!A48))+(COUNTIF(RUNGIS!$G$7:$G$50,'2 ZT'!A48))+(COUNTIF(SCEAUX!$G$7:$G$50,'2 ZT'!A48))+(COUNTIF('INSTANCE C1'!$G$7:$G$50,'2 ZT'!A48))+(COUNTIF('INSTANCE C2'!$G$7:$G$50,'2 ZT'!A48))+(COUNTIF(INTERNES!$G$7:$G$50,'2 ZT'!A48))+(COUNTIF('EN PANNE'!$G$7:$G$50,'2 ZT'!A48))+(COUNTIF(TJM!$G$7:$G$50,'2 ZT'!A48))</f>
        <v>0</v>
      </c>
      <c r="D48" s="28">
        <f t="shared" si="2"/>
        <v>0</v>
      </c>
      <c r="E48" s="2"/>
      <c r="F48" s="6">
        <f t="shared" si="0"/>
        <v>0</v>
      </c>
      <c r="G48" s="20"/>
      <c r="H48" s="23">
        <f>(COUNTIF('2S EXPRESS'!$G$7:$G$50,'2 ZT'!G48))+(COUNTIF('2 ZT'!$G$7:$G$50,'2 ZT'!G48))+(COUNTIF('GO TRANSPORT'!$G$7:$G$50,'2 ZT'!G48))+(COUNTIF('HMZ - KAIS'!$G$7:$G$50,'2 ZT'!G48))+(COUNTIF('IB TRANSPORT'!$G$7:$G$50,'2 ZT'!G48))+(COUNTIF(JSL!$G$7:$G$50,'2 ZT'!G48))+(COUNTIF(KIFAITOUT!$G$7:$G$50,'2 ZT'!G48))+(COUNTIF('LUXE DRIVE'!$G$7:$G$50,'2 ZT'!G48))+(COUNTIF(SSN!$G$7:$G$50,'2 ZT'!G48))+(COUNTIF('W3'!$G$7:$G$50,'2 ZT'!G48))+(COUNTIF('ATHIS MONS'!$G$7:$G$50,'2 ZT'!G48))+(COUNTIF('L HAY LES ROSES'!$G$7:$G$50,'2 ZT'!G48))+(COUNTIF(RUNGIS!$G$7:$G$50,'2 ZT'!G48))+(COUNTIF(SCEAUX!$G$7:$G$50,'2 ZT'!G48))+(COUNTIF('INSTANCE C1'!$G$7:$G$50,'2 ZT'!G48))+(COUNTIF('INSTANCE C2'!$G$7:$G$50,'2 ZT'!G48))+(COUNTIF(INTERNES!$G$7:$G$50,'2 ZT'!G48))+(COUNTIF('EN PANNE'!$G$7:$G$50,'2 ZT'!G48))+(COUNTIF(TJM!$G$7:$G$50,'2 ZT'!G48))-I48</f>
        <v>0</v>
      </c>
      <c r="I48" s="23">
        <f>(COUNTIF('2 ZT'!$A$7:$A$50,'2 ZT'!G48))+(COUNTIF('2 ZT'!$A$7:$A$50,'2 ZT'!G48))+(COUNTIF('GO TRANSPORT'!$A$7:$A$50,'2 ZT'!G48))+(COUNTIF('HMZ - KAIS'!$A$7:$A$50,'2 ZT'!G48))+(COUNTIF('IB TRANSPORT'!$A$7:$A$50,'2 ZT'!G48))+(COUNTIF(JSL!$A$7:$A$50,'2 ZT'!G48))+(COUNTIF(KIFAITOUT!$A$7:$A$50,'2 ZT'!G48))+(COUNTIF('LUXE DRIVE'!$A$7:$A$50,'2 ZT'!G48))+(COUNTIF(SSN!$A$7:$A$50,'2 ZT'!G48))+(COUNTIF('W3'!$A$7:$A$50,'2 ZT'!G48))+(COUNTIF('ATHIS MONS'!$A$7:$A$50,'2 ZT'!G48))+(COUNTIF('L HAY LES ROSES'!$A$7:$A$50,'2 ZT'!G48))+(COUNTIF(RUNGIS!$A$7:$A$50,'2 ZT'!G48))+(COUNTIF(SCEAUX!$A$7:$A$50,'2 ZT'!G48))+(COUNTIF('INSTANCE C1'!$A$7:$A$50,'2 ZT'!G48))+(COUNTIF('INSTANCE C2'!$A$7:$A$50,'2 ZT'!G48))+(COUNTIF(INTERNES!$A$7:$A$50,'2 ZT'!G48))+(COUNTIF('EN PANNE'!$A$7:$A$50,'2 ZT'!G48))+(COUNTIF(TJM!$A$7:$A$50,'2 ZT'!G48))</f>
        <v>0</v>
      </c>
      <c r="J48" s="28">
        <f t="shared" si="3"/>
        <v>0</v>
      </c>
      <c r="K48" s="2"/>
      <c r="L48" s="47"/>
      <c r="S48" s="60">
        <f t="shared" si="1"/>
        <v>0</v>
      </c>
      <c r="T48" s="67">
        <f t="shared" si="4"/>
        <v>0</v>
      </c>
    </row>
    <row r="49" spans="1:20" ht="24.95" customHeight="1" x14ac:dyDescent="0.2">
      <c r="A49" s="20"/>
      <c r="B49" s="23">
        <f>(COUNTIF('2S EXPRESS'!$A$7:$A$50,'2 ZT'!A49))+(COUNTIF('2 ZT'!$A$7:$A$50,'2 ZT'!A49))+(COUNTIF('GO TRANSPORT'!$A$7:$A$50,'2 ZT'!A49))+(COUNTIF('HMZ - KAIS'!$A$7:$A$50,'2 ZT'!A49))+(COUNTIF('IB TRANSPORT'!$A$7:$A$50,'2 ZT'!A49))+(COUNTIF(JSL!$A$7:$A$50,'2 ZT'!A49))+(COUNTIF(KIFAITOUT!$A$7:$A$50,'2 ZT'!A49))+(COUNTIF('LUXE DRIVE'!$A$7:$A$50,'2 ZT'!A49))+(COUNTIF(SSN!$A$7:$A$50,'2 ZT'!A49))+(COUNTIF('W3'!$A$7:$A$50,'2 ZT'!A49))+(COUNTIF('ATHIS MONS'!$A$7:$A$50,'2 ZT'!A49))+(COUNTIF('L HAY LES ROSES'!$A$7:$A$50,'2 ZT'!A49))+(COUNTIF(RUNGIS!$A$7:$A$50,'2 ZT'!A49))+(COUNTIF(SCEAUX!$A$7:$A$50,'2 ZT'!A49))+(COUNTIF('INSTANCE C1'!$A$7:$A$50,'2 ZT'!A49))+(COUNTIF('INSTANCE C2'!$A$7:$A$50,'2 ZT'!A49))+(COUNTIF(INTERNES!$A$7:$A$50,'2 ZT'!A49))+(COUNTIF('EN PANNE'!$A$7:$A$50,'2 ZT'!A49))+(COUNTIF(TJM!$A$7:$A$50,'2 ZT'!A49))-C49</f>
        <v>0</v>
      </c>
      <c r="C49" s="23">
        <f>(COUNTIF('2S EXPRESS'!$G$7:$G$50,'2 ZT'!A49))+(COUNTIF('2 ZT'!$G$7:$G$50,'2 ZT'!A49))+(COUNTIF('GO TRANSPORT'!$G$7:$G$50,'2 ZT'!A49))+(COUNTIF('2 ZT'!$G$7:$G$50,'2 ZT'!A49))+(COUNTIF('IB TRANSPORT'!$G$7:$G$50,'2 ZT'!A49))+(COUNTIF(JSL!$G$7:$G$50,'2 ZT'!A49))+(COUNTIF(KIFAITOUT!$G$7:$G$50,'2 ZT'!A49))+(COUNTIF('LUXE DRIVE'!$G$7:$G$50,'2 ZT'!A49))+(COUNTIF(SSN!$G$7:$G$50,'2 ZT'!A49))+(COUNTIF('W3'!$G$7:$G$50,'2 ZT'!A49))+(COUNTIF('ATHIS MONS'!$G$7:$G$50,'2 ZT'!A49))+(COUNTIF('L HAY LES ROSES'!$G$7:$G$50,'2 ZT'!A49))+(COUNTIF(RUNGIS!$G$7:$G$50,'2 ZT'!A49))+(COUNTIF(SCEAUX!$G$7:$G$50,'2 ZT'!A49))+(COUNTIF('INSTANCE C1'!$G$7:$G$50,'2 ZT'!A49))+(COUNTIF('INSTANCE C2'!$G$7:$G$50,'2 ZT'!A49))+(COUNTIF(INTERNES!$G$7:$G$50,'2 ZT'!A49))+(COUNTIF('EN PANNE'!$G$7:$G$50,'2 ZT'!A49))+(COUNTIF(TJM!$G$7:$G$50,'2 ZT'!A49))</f>
        <v>0</v>
      </c>
      <c r="D49" s="28">
        <f t="shared" si="2"/>
        <v>0</v>
      </c>
      <c r="E49" s="2"/>
      <c r="F49" s="6">
        <f t="shared" si="0"/>
        <v>0</v>
      </c>
      <c r="G49" s="20"/>
      <c r="H49" s="23">
        <f>(COUNTIF('2S EXPRESS'!$G$7:$G$50,'2 ZT'!G49))+(COUNTIF('2 ZT'!$G$7:$G$50,'2 ZT'!G49))+(COUNTIF('GO TRANSPORT'!$G$7:$G$50,'2 ZT'!G49))+(COUNTIF('HMZ - KAIS'!$G$7:$G$50,'2 ZT'!G49))+(COUNTIF('IB TRANSPORT'!$G$7:$G$50,'2 ZT'!G49))+(COUNTIF(JSL!$G$7:$G$50,'2 ZT'!G49))+(COUNTIF(KIFAITOUT!$G$7:$G$50,'2 ZT'!G49))+(COUNTIF('LUXE DRIVE'!$G$7:$G$50,'2 ZT'!G49))+(COUNTIF(SSN!$G$7:$G$50,'2 ZT'!G49))+(COUNTIF('W3'!$G$7:$G$50,'2 ZT'!G49))+(COUNTIF('ATHIS MONS'!$G$7:$G$50,'2 ZT'!G49))+(COUNTIF('L HAY LES ROSES'!$G$7:$G$50,'2 ZT'!G49))+(COUNTIF(RUNGIS!$G$7:$G$50,'2 ZT'!G49))+(COUNTIF(SCEAUX!$G$7:$G$50,'2 ZT'!G49))+(COUNTIF('INSTANCE C1'!$G$7:$G$50,'2 ZT'!G49))+(COUNTIF('INSTANCE C2'!$G$7:$G$50,'2 ZT'!G49))+(COUNTIF(INTERNES!$G$7:$G$50,'2 ZT'!G49))+(COUNTIF('EN PANNE'!$G$7:$G$50,'2 ZT'!G49))+(COUNTIF(TJM!$G$7:$G$50,'2 ZT'!G49))-I49</f>
        <v>0</v>
      </c>
      <c r="I49" s="23">
        <f>(COUNTIF('2 ZT'!$A$7:$A$50,'2 ZT'!G49))+(COUNTIF('2 ZT'!$A$7:$A$50,'2 ZT'!G49))+(COUNTIF('GO TRANSPORT'!$A$7:$A$50,'2 ZT'!G49))+(COUNTIF('HMZ - KAIS'!$A$7:$A$50,'2 ZT'!G49))+(COUNTIF('IB TRANSPORT'!$A$7:$A$50,'2 ZT'!G49))+(COUNTIF(JSL!$A$7:$A$50,'2 ZT'!G49))+(COUNTIF(KIFAITOUT!$A$7:$A$50,'2 ZT'!G49))+(COUNTIF('LUXE DRIVE'!$A$7:$A$50,'2 ZT'!G49))+(COUNTIF(SSN!$A$7:$A$50,'2 ZT'!G49))+(COUNTIF('W3'!$A$7:$A$50,'2 ZT'!G49))+(COUNTIF('ATHIS MONS'!$A$7:$A$50,'2 ZT'!G49))+(COUNTIF('L HAY LES ROSES'!$A$7:$A$50,'2 ZT'!G49))+(COUNTIF(RUNGIS!$A$7:$A$50,'2 ZT'!G49))+(COUNTIF(SCEAUX!$A$7:$A$50,'2 ZT'!G49))+(COUNTIF('INSTANCE C1'!$A$7:$A$50,'2 ZT'!G49))+(COUNTIF('INSTANCE C2'!$A$7:$A$50,'2 ZT'!G49))+(COUNTIF(INTERNES!$A$7:$A$50,'2 ZT'!G49))+(COUNTIF('EN PANNE'!$A$7:$A$50,'2 ZT'!G49))+(COUNTIF(TJM!$A$7:$A$50,'2 ZT'!G49))</f>
        <v>0</v>
      </c>
      <c r="J49" s="28">
        <f t="shared" si="3"/>
        <v>0</v>
      </c>
      <c r="K49" s="2"/>
      <c r="L49" s="47"/>
      <c r="S49" s="60">
        <f t="shared" si="1"/>
        <v>0</v>
      </c>
      <c r="T49" s="67">
        <f t="shared" si="4"/>
        <v>0</v>
      </c>
    </row>
    <row r="50" spans="1:20" ht="24.95" customHeight="1" thickBot="1" x14ac:dyDescent="0.25">
      <c r="A50" s="21"/>
      <c r="B50" s="25">
        <f>(COUNTIF('2S EXPRESS'!$A$7:$A$50,'2 ZT'!A50))+(COUNTIF('2 ZT'!$A$7:$A$50,'2 ZT'!A50))+(COUNTIF('GO TRANSPORT'!$A$7:$A$50,'2 ZT'!A50))+(COUNTIF('HMZ - KAIS'!$A$7:$A$50,'2 ZT'!A50))+(COUNTIF('IB TRANSPORT'!$A$7:$A$50,'2 ZT'!A50))+(COUNTIF(JSL!$A$7:$A$50,'2 ZT'!A50))+(COUNTIF(KIFAITOUT!$A$7:$A$50,'2 ZT'!A50))+(COUNTIF('LUXE DRIVE'!$A$7:$A$50,'2 ZT'!A50))+(COUNTIF(SSN!$A$7:$A$50,'2 ZT'!A50))+(COUNTIF('W3'!$A$7:$A$50,'2 ZT'!A50))+(COUNTIF('ATHIS MONS'!$A$7:$A$50,'2 ZT'!A50))+(COUNTIF('L HAY LES ROSES'!$A$7:$A$50,'2 ZT'!A50))+(COUNTIF(RUNGIS!$A$7:$A$50,'2 ZT'!A50))+(COUNTIF(SCEAUX!$A$7:$A$50,'2 ZT'!A50))+(COUNTIF('INSTANCE C1'!$A$7:$A$50,'2 ZT'!A50))+(COUNTIF('INSTANCE C2'!$A$7:$A$50,'2 ZT'!A50))+(COUNTIF(INTERNES!$A$7:$A$50,'2 ZT'!A50))+(COUNTIF('EN PANNE'!$A$7:$A$50,'2 ZT'!A50))+(COUNTIF(TJM!$A$7:$A$50,'2 ZT'!A50))-C50</f>
        <v>0</v>
      </c>
      <c r="C50" s="23">
        <f>(COUNTIF('2S EXPRESS'!$G$7:$G$50,'2 ZT'!A50))+(COUNTIF('2 ZT'!$G$7:$G$50,'2 ZT'!A50))+(COUNTIF('GO TRANSPORT'!$G$7:$G$50,'2 ZT'!A50))+(COUNTIF('2 ZT'!$G$7:$G$50,'2 ZT'!A50))+(COUNTIF('IB TRANSPORT'!$G$7:$G$50,'2 ZT'!A50))+(COUNTIF(JSL!$G$7:$G$50,'2 ZT'!A50))+(COUNTIF(KIFAITOUT!$G$7:$G$50,'2 ZT'!A50))+(COUNTIF('LUXE DRIVE'!$G$7:$G$50,'2 ZT'!A50))+(COUNTIF(SSN!$G$7:$G$50,'2 ZT'!A50))+(COUNTIF('W3'!$G$7:$G$50,'2 ZT'!A50))+(COUNTIF('ATHIS MONS'!$G$7:$G$50,'2 ZT'!A50))+(COUNTIF('L HAY LES ROSES'!$G$7:$G$50,'2 ZT'!A50))+(COUNTIF(RUNGIS!$G$7:$G$50,'2 ZT'!A50))+(COUNTIF(SCEAUX!$G$7:$G$50,'2 ZT'!A50))+(COUNTIF('INSTANCE C1'!$G$7:$G$50,'2 ZT'!A50))+(COUNTIF('INSTANCE C2'!$G$7:$G$50,'2 ZT'!A50))+(COUNTIF(INTERNES!$G$7:$G$50,'2 ZT'!A50))+(COUNTIF('EN PANNE'!$G$7:$G$50,'2 ZT'!A50))+(COUNTIF(TJM!$G$7:$G$50,'2 ZT'!A50))</f>
        <v>0</v>
      </c>
      <c r="D50" s="29">
        <f t="shared" si="2"/>
        <v>0</v>
      </c>
      <c r="E50" s="3"/>
      <c r="F50" s="7">
        <f t="shared" si="0"/>
        <v>0</v>
      </c>
      <c r="G50" s="21"/>
      <c r="H50" s="23">
        <f>(COUNTIF('2S EXPRESS'!$G$7:$G$50,'2 ZT'!G50))+(COUNTIF('2 ZT'!$G$7:$G$50,'2 ZT'!G50))+(COUNTIF('GO TRANSPORT'!$G$7:$G$50,'2 ZT'!G50))+(COUNTIF('HMZ - KAIS'!$G$7:$G$50,'2 ZT'!G50))+(COUNTIF('IB TRANSPORT'!$G$7:$G$50,'2 ZT'!G50))+(COUNTIF(JSL!$G$7:$G$50,'2 ZT'!G50))+(COUNTIF(KIFAITOUT!$G$7:$G$50,'2 ZT'!G50))+(COUNTIF('LUXE DRIVE'!$G$7:$G$50,'2 ZT'!G50))+(COUNTIF(SSN!$G$7:$G$50,'2 ZT'!G50))+(COUNTIF('W3'!$G$7:$G$50,'2 ZT'!G50))+(COUNTIF('ATHIS MONS'!$G$7:$G$50,'2 ZT'!G50))+(COUNTIF('L HAY LES ROSES'!$G$7:$G$50,'2 ZT'!G50))+(COUNTIF(RUNGIS!$G$7:$G$50,'2 ZT'!G50))+(COUNTIF(SCEAUX!$G$7:$G$50,'2 ZT'!G50))+(COUNTIF('INSTANCE C1'!$G$7:$G$50,'2 ZT'!G50))+(COUNTIF('INSTANCE C2'!$G$7:$G$50,'2 ZT'!G50))+(COUNTIF(INTERNES!$G$7:$G$50,'2 ZT'!G50))+(COUNTIF('EN PANNE'!$G$7:$G$50,'2 ZT'!G50))+(COUNTIF(TJM!$G$7:$G$50,'2 ZT'!G50))-I50</f>
        <v>0</v>
      </c>
      <c r="I50" s="23">
        <f>(COUNTIF('2 ZT'!$A$7:$A$50,'2 ZT'!G50))+(COUNTIF('2 ZT'!$A$7:$A$50,'2 ZT'!G50))+(COUNTIF('GO TRANSPORT'!$A$7:$A$50,'2 ZT'!G50))+(COUNTIF('HMZ - KAIS'!$A$7:$A$50,'2 ZT'!G50))+(COUNTIF('IB TRANSPORT'!$A$7:$A$50,'2 ZT'!G50))+(COUNTIF(JSL!$A$7:$A$50,'2 ZT'!G50))+(COUNTIF(KIFAITOUT!$A$7:$A$50,'2 ZT'!G50))+(COUNTIF('LUXE DRIVE'!$A$7:$A$50,'2 ZT'!G50))+(COUNTIF(SSN!$A$7:$A$50,'2 ZT'!G50))+(COUNTIF('W3'!$A$7:$A$50,'2 ZT'!G50))+(COUNTIF('ATHIS MONS'!$A$7:$A$50,'2 ZT'!G50))+(COUNTIF('L HAY LES ROSES'!$A$7:$A$50,'2 ZT'!G50))+(COUNTIF(RUNGIS!$A$7:$A$50,'2 ZT'!G50))+(COUNTIF(SCEAUX!$A$7:$A$50,'2 ZT'!G50))+(COUNTIF('INSTANCE C1'!$A$7:$A$50,'2 ZT'!G50))+(COUNTIF('INSTANCE C2'!$A$7:$A$50,'2 ZT'!G50))+(COUNTIF(INTERNES!$A$7:$A$50,'2 ZT'!G50))+(COUNTIF('EN PANNE'!$A$7:$A$50,'2 ZT'!G50))+(COUNTIF(TJM!$A$7:$A$50,'2 ZT'!G50))</f>
        <v>0</v>
      </c>
      <c r="J50" s="29">
        <f t="shared" si="3"/>
        <v>0</v>
      </c>
      <c r="K50" s="3"/>
      <c r="L50" s="47"/>
      <c r="S50" s="60">
        <f t="shared" si="1"/>
        <v>0</v>
      </c>
      <c r="T50" s="67">
        <f t="shared" si="4"/>
        <v>0</v>
      </c>
    </row>
    <row r="53" spans="1:20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</row>
  </sheetData>
  <mergeCells count="13">
    <mergeCell ref="M8:P8"/>
    <mergeCell ref="M9:P9"/>
    <mergeCell ref="M11:P11"/>
    <mergeCell ref="M12:P12"/>
    <mergeCell ref="G2:K3"/>
    <mergeCell ref="G4:K4"/>
    <mergeCell ref="K5:K6"/>
    <mergeCell ref="B2:E3"/>
    <mergeCell ref="A4:E4"/>
    <mergeCell ref="E5:E6"/>
    <mergeCell ref="F5:F6"/>
    <mergeCell ref="G5:G6"/>
    <mergeCell ref="A5:A6"/>
  </mergeCells>
  <conditionalFormatting sqref="J8:J50">
    <cfRule type="cellIs" dxfId="183" priority="5" operator="greaterThan">
      <formula>0</formula>
    </cfRule>
  </conditionalFormatting>
  <conditionalFormatting sqref="F7:F50">
    <cfRule type="cellIs" dxfId="182" priority="13" operator="equal">
      <formula>1</formula>
    </cfRule>
  </conditionalFormatting>
  <conditionalFormatting sqref="A7:A15 A17:A50">
    <cfRule type="duplicateValues" dxfId="181" priority="11"/>
  </conditionalFormatting>
  <conditionalFormatting sqref="L7:L50">
    <cfRule type="cellIs" dxfId="180" priority="10" operator="greaterThan">
      <formula>0</formula>
    </cfRule>
  </conditionalFormatting>
  <conditionalFormatting sqref="D7">
    <cfRule type="cellIs" dxfId="179" priority="9" operator="greaterThan">
      <formula>0</formula>
    </cfRule>
  </conditionalFormatting>
  <conditionalFormatting sqref="D8:D50">
    <cfRule type="cellIs" dxfId="178" priority="8" operator="greaterThan">
      <formula>0</formula>
    </cfRule>
  </conditionalFormatting>
  <conditionalFormatting sqref="G7:G50">
    <cfRule type="duplicateValues" dxfId="177" priority="7"/>
  </conditionalFormatting>
  <conditionalFormatting sqref="J7">
    <cfRule type="cellIs" dxfId="176" priority="6" operator="greaterThan">
      <formula>0</formula>
    </cfRule>
  </conditionalFormatting>
  <conditionalFormatting sqref="A16">
    <cfRule type="duplicateValues" dxfId="175" priority="2"/>
  </conditionalFormatting>
  <conditionalFormatting sqref="S7:S50">
    <cfRule type="cellIs" dxfId="174" priority="1" operator="greaterThan">
      <formula>0</formula>
    </cfRule>
  </conditionalFormatting>
  <dataValidations count="1">
    <dataValidation type="list" allowBlank="1" showInputMessage="1" showErrorMessage="1" sqref="K7:K50 E7:E50" xr:uid="{F30ACE90-2CD6-4C64-8B88-AC511FFCD8A3}">
      <formula1>$Q$9:$Q$17</formula1>
    </dataValidation>
  </dataValidations>
  <pageMargins left="0.25" right="0.25" top="0.75" bottom="0.75" header="0.3" footer="0.3"/>
  <pageSetup paperSize="9" scale="88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" operator="containsText" id="{9819D8D3-F283-46BE-BA7A-B3AAE85D57B3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>
    <tabColor rgb="FF92D050"/>
    <pageSetUpPr fitToPage="1"/>
  </sheetPr>
  <dimension ref="A1:HO71"/>
  <sheetViews>
    <sheetView showGridLines="0" zoomScaleNormal="100" workbookViewId="0">
      <selection activeCell="A7" sqref="A7"/>
    </sheetView>
  </sheetViews>
  <sheetFormatPr baseColWidth="10" defaultColWidth="11.42578125" defaultRowHeight="12.75" x14ac:dyDescent="0.2"/>
  <cols>
    <col min="1" max="1" width="25.7109375" style="10" customWidth="1"/>
    <col min="2" max="3" width="10.7109375" style="15" hidden="1" customWidth="1"/>
    <col min="4" max="4" width="7.7109375" style="15" customWidth="1"/>
    <col min="5" max="5" width="50.7109375" style="10" customWidth="1"/>
    <col min="6" max="6" width="13.7109375" style="10" customWidth="1"/>
    <col min="7" max="7" width="25.7109375" style="10" customWidth="1"/>
    <col min="8" max="8" width="10.7109375" style="10" hidden="1" customWidth="1"/>
    <col min="9" max="9" width="10.7109375" style="9" hidden="1" customWidth="1"/>
    <col min="10" max="10" width="7.7109375" style="10" customWidth="1"/>
    <col min="11" max="11" width="50.7109375" style="10" customWidth="1"/>
    <col min="12" max="16" width="7.7109375" style="10" customWidth="1"/>
    <col min="17" max="17" width="22.7109375" style="9" hidden="1" customWidth="1"/>
    <col min="18" max="18" width="18.7109375" style="77" hidden="1" customWidth="1"/>
    <col min="19" max="19" width="20.140625" style="30" hidden="1" customWidth="1"/>
    <col min="20" max="20" width="18.7109375" style="30" hidden="1" customWidth="1"/>
    <col min="21" max="21" width="11.42578125" style="30" customWidth="1"/>
    <col min="22" max="26" width="11.42578125" style="30"/>
    <col min="27" max="16384" width="11.42578125" style="10"/>
  </cols>
  <sheetData>
    <row r="1" spans="1:223" ht="13.5" thickBot="1" x14ac:dyDescent="0.25">
      <c r="A1" s="33"/>
      <c r="B1" s="35"/>
      <c r="C1" s="35"/>
      <c r="D1" s="35"/>
      <c r="F1" s="34"/>
      <c r="G1" s="34"/>
      <c r="I1" s="10"/>
    </row>
    <row r="2" spans="1:223" s="52" customFormat="1" ht="24.95" customHeight="1" x14ac:dyDescent="0.2">
      <c r="A2" s="36"/>
      <c r="B2" s="194" t="s">
        <v>35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63"/>
      <c r="S2" s="74"/>
      <c r="T2" s="74"/>
      <c r="U2" s="74"/>
      <c r="V2" s="74"/>
      <c r="W2" s="74"/>
      <c r="X2" s="74"/>
      <c r="Y2" s="74"/>
      <c r="Z2" s="74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51"/>
      <c r="CG2" s="51"/>
      <c r="CH2" s="51"/>
      <c r="CI2" s="51"/>
      <c r="CJ2" s="51"/>
      <c r="CK2" s="51"/>
      <c r="CL2" s="51"/>
      <c r="CM2" s="51"/>
      <c r="CN2" s="51"/>
      <c r="CO2" s="51"/>
      <c r="CP2" s="51"/>
      <c r="CQ2" s="51"/>
      <c r="CR2" s="51"/>
      <c r="CS2" s="51"/>
      <c r="CT2" s="51"/>
      <c r="CU2" s="51"/>
      <c r="CV2" s="51"/>
      <c r="CW2" s="51"/>
      <c r="CX2" s="51"/>
      <c r="CY2" s="51"/>
      <c r="CZ2" s="51"/>
      <c r="DA2" s="51"/>
      <c r="DB2" s="51"/>
      <c r="DC2" s="51"/>
      <c r="DD2" s="51"/>
      <c r="DE2" s="51"/>
      <c r="DF2" s="51"/>
      <c r="DG2" s="51"/>
      <c r="DH2" s="51"/>
      <c r="DI2" s="51"/>
      <c r="DJ2" s="51"/>
      <c r="DK2" s="51"/>
      <c r="DL2" s="51"/>
      <c r="DM2" s="51"/>
      <c r="DN2" s="51"/>
      <c r="DO2" s="51"/>
      <c r="DP2" s="51"/>
      <c r="DQ2" s="51"/>
      <c r="DR2" s="51"/>
      <c r="DS2" s="51"/>
      <c r="DT2" s="51"/>
      <c r="DU2" s="51"/>
      <c r="DV2" s="51"/>
      <c r="DW2" s="51"/>
      <c r="DX2" s="51"/>
      <c r="DY2" s="51"/>
      <c r="DZ2" s="51"/>
      <c r="EA2" s="51"/>
      <c r="EB2" s="51"/>
      <c r="EC2" s="51"/>
      <c r="ED2" s="51"/>
      <c r="EE2" s="51"/>
      <c r="EF2" s="51"/>
      <c r="EG2" s="51"/>
      <c r="EH2" s="51"/>
      <c r="EI2" s="51"/>
      <c r="EJ2" s="51"/>
      <c r="EK2" s="51"/>
      <c r="EL2" s="51"/>
      <c r="EM2" s="51"/>
      <c r="EN2" s="51"/>
      <c r="EO2" s="51"/>
      <c r="EP2" s="51"/>
      <c r="EQ2" s="51"/>
      <c r="ER2" s="51"/>
      <c r="ES2" s="51"/>
      <c r="ET2" s="51"/>
      <c r="EU2" s="51"/>
      <c r="EV2" s="51"/>
      <c r="EW2" s="51"/>
      <c r="EX2" s="51"/>
      <c r="EY2" s="51"/>
      <c r="EZ2" s="51"/>
      <c r="FA2" s="51"/>
      <c r="FB2" s="51"/>
      <c r="FC2" s="51"/>
      <c r="FD2" s="51"/>
      <c r="FE2" s="51"/>
      <c r="FF2" s="51"/>
      <c r="FG2" s="51"/>
      <c r="FH2" s="51"/>
      <c r="FI2" s="51"/>
      <c r="FJ2" s="51"/>
      <c r="FK2" s="51"/>
      <c r="FL2" s="51"/>
      <c r="FM2" s="51"/>
      <c r="FN2" s="51"/>
      <c r="FO2" s="51"/>
      <c r="FP2" s="51"/>
      <c r="FQ2" s="51"/>
      <c r="FR2" s="51"/>
      <c r="FS2" s="51"/>
      <c r="FT2" s="51"/>
      <c r="FU2" s="51"/>
      <c r="FV2" s="51"/>
      <c r="FW2" s="51"/>
      <c r="FX2" s="51"/>
      <c r="FY2" s="51"/>
      <c r="FZ2" s="51"/>
      <c r="GA2" s="51"/>
      <c r="GB2" s="51"/>
      <c r="GC2" s="51"/>
      <c r="GD2" s="51"/>
      <c r="GE2" s="51"/>
      <c r="GF2" s="51"/>
      <c r="GG2" s="51"/>
      <c r="GH2" s="51"/>
      <c r="GI2" s="51"/>
      <c r="GJ2" s="51"/>
      <c r="GK2" s="51"/>
      <c r="GL2" s="51"/>
      <c r="GM2" s="51"/>
      <c r="GN2" s="51"/>
      <c r="GO2" s="51"/>
      <c r="GP2" s="51"/>
      <c r="GQ2" s="51"/>
      <c r="GR2" s="51"/>
      <c r="GS2" s="51"/>
      <c r="GT2" s="51"/>
      <c r="GU2" s="51"/>
      <c r="GV2" s="51"/>
      <c r="GW2" s="51"/>
      <c r="GX2" s="51"/>
      <c r="GY2" s="51"/>
      <c r="GZ2" s="51"/>
      <c r="HA2" s="51"/>
      <c r="HB2" s="51"/>
      <c r="HC2" s="51"/>
      <c r="HD2" s="51"/>
      <c r="HE2" s="51"/>
      <c r="HF2" s="51"/>
      <c r="HG2" s="51"/>
      <c r="HH2" s="51"/>
      <c r="HI2" s="51"/>
      <c r="HJ2" s="51"/>
      <c r="HK2" s="51"/>
      <c r="HL2" s="51"/>
      <c r="HM2" s="51"/>
      <c r="HN2" s="51"/>
      <c r="HO2" s="51"/>
    </row>
    <row r="3" spans="1:223" s="52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63"/>
      <c r="S3" s="74"/>
      <c r="T3" s="74"/>
      <c r="U3" s="74"/>
      <c r="V3" s="74"/>
      <c r="W3" s="74"/>
      <c r="X3" s="74"/>
      <c r="Y3" s="74"/>
      <c r="Z3" s="74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1"/>
      <c r="BC3" s="51"/>
      <c r="BD3" s="51"/>
      <c r="BE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  <c r="CO3" s="51"/>
      <c r="CP3" s="51"/>
      <c r="CQ3" s="51"/>
      <c r="CR3" s="51"/>
      <c r="CS3" s="51"/>
      <c r="CT3" s="51"/>
      <c r="CU3" s="51"/>
      <c r="CV3" s="51"/>
      <c r="CW3" s="51"/>
      <c r="CX3" s="51"/>
      <c r="CY3" s="51"/>
      <c r="CZ3" s="51"/>
      <c r="DA3" s="51"/>
      <c r="DB3" s="51"/>
      <c r="DC3" s="51"/>
      <c r="DD3" s="51"/>
      <c r="DE3" s="51"/>
      <c r="DF3" s="51"/>
      <c r="DG3" s="51"/>
      <c r="DH3" s="51"/>
      <c r="DI3" s="51"/>
      <c r="DJ3" s="51"/>
      <c r="DK3" s="51"/>
      <c r="DL3" s="51"/>
      <c r="DM3" s="51"/>
      <c r="DN3" s="51"/>
      <c r="DO3" s="51"/>
      <c r="DP3" s="51"/>
      <c r="DQ3" s="51"/>
      <c r="DR3" s="51"/>
      <c r="DS3" s="51"/>
      <c r="DT3" s="51"/>
      <c r="DU3" s="51"/>
      <c r="DV3" s="51"/>
      <c r="DW3" s="51"/>
      <c r="DX3" s="51"/>
      <c r="DY3" s="51"/>
      <c r="DZ3" s="51"/>
      <c r="EA3" s="51"/>
      <c r="EB3" s="51"/>
      <c r="EC3" s="51"/>
      <c r="ED3" s="51"/>
      <c r="EE3" s="51"/>
      <c r="EF3" s="51"/>
      <c r="EG3" s="51"/>
      <c r="EH3" s="51"/>
      <c r="EI3" s="51"/>
      <c r="EJ3" s="51"/>
      <c r="EK3" s="51"/>
      <c r="EL3" s="51"/>
      <c r="EM3" s="51"/>
      <c r="EN3" s="51"/>
      <c r="EO3" s="51"/>
      <c r="EP3" s="51"/>
      <c r="EQ3" s="51"/>
      <c r="ER3" s="51"/>
      <c r="ES3" s="51"/>
      <c r="ET3" s="51"/>
      <c r="EU3" s="51"/>
      <c r="EV3" s="51"/>
      <c r="EW3" s="51"/>
      <c r="EX3" s="51"/>
      <c r="EY3" s="51"/>
      <c r="EZ3" s="51"/>
      <c r="FA3" s="51"/>
      <c r="FB3" s="51"/>
      <c r="FC3" s="51"/>
      <c r="FD3" s="51"/>
      <c r="FE3" s="51"/>
      <c r="FF3" s="51"/>
      <c r="FG3" s="51"/>
      <c r="FH3" s="51"/>
      <c r="FI3" s="51"/>
      <c r="FJ3" s="51"/>
      <c r="FK3" s="51"/>
      <c r="FL3" s="51"/>
      <c r="FM3" s="51"/>
      <c r="FN3" s="51"/>
      <c r="FO3" s="51"/>
      <c r="FP3" s="51"/>
      <c r="FQ3" s="51"/>
      <c r="FR3" s="51"/>
      <c r="FS3" s="51"/>
      <c r="FT3" s="51"/>
      <c r="FU3" s="51"/>
      <c r="FV3" s="51"/>
      <c r="FW3" s="51"/>
      <c r="FX3" s="51"/>
      <c r="FY3" s="51"/>
      <c r="FZ3" s="51"/>
      <c r="GA3" s="51"/>
      <c r="GB3" s="51"/>
      <c r="GC3" s="51"/>
      <c r="GD3" s="51"/>
      <c r="GE3" s="51"/>
      <c r="GF3" s="51"/>
      <c r="GG3" s="51"/>
      <c r="GH3" s="51"/>
      <c r="GI3" s="51"/>
      <c r="GJ3" s="51"/>
      <c r="GK3" s="51"/>
      <c r="GL3" s="51"/>
      <c r="GM3" s="51"/>
      <c r="GN3" s="51"/>
      <c r="GO3" s="51"/>
      <c r="GP3" s="51"/>
      <c r="GQ3" s="51"/>
      <c r="GR3" s="51"/>
      <c r="GS3" s="51"/>
      <c r="GT3" s="51"/>
      <c r="GU3" s="51"/>
      <c r="GV3" s="51"/>
      <c r="GW3" s="51"/>
      <c r="GX3" s="51"/>
      <c r="GY3" s="51"/>
      <c r="GZ3" s="51"/>
      <c r="HA3" s="51"/>
      <c r="HB3" s="51"/>
      <c r="HC3" s="51"/>
      <c r="HD3" s="51"/>
      <c r="HE3" s="51"/>
      <c r="HF3" s="51"/>
      <c r="HG3" s="51"/>
      <c r="HH3" s="51"/>
      <c r="HI3" s="51"/>
      <c r="HJ3" s="51"/>
      <c r="HK3" s="51"/>
      <c r="HL3" s="51"/>
      <c r="HM3" s="51"/>
      <c r="HN3" s="51"/>
      <c r="HO3" s="51"/>
    </row>
    <row r="4" spans="1:223" s="52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38"/>
      <c r="M4" s="38"/>
      <c r="N4" s="38"/>
      <c r="O4" s="38"/>
      <c r="P4" s="38"/>
      <c r="Q4" s="43"/>
      <c r="R4" s="63"/>
      <c r="S4" s="74"/>
      <c r="T4" s="74"/>
      <c r="U4" s="74"/>
      <c r="V4" s="74"/>
      <c r="W4" s="74"/>
      <c r="X4" s="74"/>
      <c r="Y4" s="74"/>
      <c r="Z4" s="74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51"/>
      <c r="CU4" s="51"/>
      <c r="CV4" s="51"/>
      <c r="CW4" s="51"/>
      <c r="CX4" s="51"/>
      <c r="CY4" s="51"/>
      <c r="CZ4" s="51"/>
      <c r="DA4" s="51"/>
      <c r="DB4" s="51"/>
      <c r="DC4" s="51"/>
      <c r="DD4" s="51"/>
      <c r="DE4" s="51"/>
      <c r="DF4" s="51"/>
      <c r="DG4" s="51"/>
      <c r="DH4" s="51"/>
      <c r="DI4" s="51"/>
      <c r="DJ4" s="51"/>
      <c r="DK4" s="51"/>
      <c r="DL4" s="51"/>
      <c r="DM4" s="51"/>
      <c r="DN4" s="51"/>
      <c r="DO4" s="51"/>
      <c r="DP4" s="51"/>
      <c r="DQ4" s="51"/>
      <c r="DR4" s="51"/>
      <c r="DS4" s="51"/>
      <c r="DT4" s="51"/>
      <c r="DU4" s="51"/>
      <c r="DV4" s="51"/>
      <c r="DW4" s="51"/>
      <c r="DX4" s="51"/>
      <c r="DY4" s="51"/>
      <c r="DZ4" s="51"/>
      <c r="EA4" s="51"/>
      <c r="EB4" s="51"/>
      <c r="EC4" s="51"/>
      <c r="ED4" s="51"/>
      <c r="EE4" s="51"/>
      <c r="EF4" s="51"/>
      <c r="EG4" s="51"/>
      <c r="EH4" s="51"/>
      <c r="EI4" s="51"/>
      <c r="EJ4" s="51"/>
      <c r="EK4" s="51"/>
      <c r="EL4" s="51"/>
      <c r="EM4" s="51"/>
      <c r="EN4" s="51"/>
      <c r="EO4" s="51"/>
      <c r="EP4" s="51"/>
      <c r="EQ4" s="51"/>
      <c r="ER4" s="51"/>
      <c r="ES4" s="51"/>
      <c r="ET4" s="51"/>
      <c r="EU4" s="51"/>
      <c r="EV4" s="51"/>
      <c r="EW4" s="51"/>
      <c r="EX4" s="51"/>
      <c r="EY4" s="51"/>
      <c r="EZ4" s="51"/>
      <c r="FA4" s="51"/>
      <c r="FB4" s="51"/>
      <c r="FC4" s="51"/>
      <c r="FD4" s="51"/>
      <c r="FE4" s="51"/>
      <c r="FF4" s="51"/>
      <c r="FG4" s="51"/>
      <c r="FH4" s="51"/>
      <c r="FI4" s="51"/>
      <c r="FJ4" s="51"/>
      <c r="FK4" s="51"/>
      <c r="FL4" s="51"/>
      <c r="FM4" s="51"/>
      <c r="FN4" s="51"/>
      <c r="FO4" s="51"/>
      <c r="FP4" s="51"/>
      <c r="FQ4" s="51"/>
      <c r="FR4" s="51"/>
      <c r="FS4" s="51"/>
      <c r="FT4" s="51"/>
      <c r="FU4" s="51"/>
      <c r="FV4" s="51"/>
      <c r="FW4" s="51"/>
      <c r="FX4" s="51"/>
      <c r="FY4" s="51"/>
      <c r="FZ4" s="51"/>
      <c r="GA4" s="51"/>
      <c r="GB4" s="51"/>
      <c r="GC4" s="51"/>
      <c r="GD4" s="51"/>
      <c r="GE4" s="51"/>
      <c r="GF4" s="51"/>
      <c r="GG4" s="51"/>
      <c r="GH4" s="51"/>
      <c r="GI4" s="51"/>
      <c r="GJ4" s="51"/>
      <c r="GK4" s="51"/>
      <c r="GL4" s="51"/>
      <c r="GM4" s="51"/>
      <c r="GN4" s="51"/>
      <c r="GO4" s="51"/>
      <c r="GP4" s="51"/>
      <c r="GQ4" s="51"/>
      <c r="GR4" s="51"/>
      <c r="GS4" s="51"/>
      <c r="GT4" s="51"/>
      <c r="GU4" s="51"/>
      <c r="GV4" s="51"/>
      <c r="GW4" s="51"/>
      <c r="GX4" s="51"/>
      <c r="GY4" s="51"/>
      <c r="GZ4" s="51"/>
      <c r="HA4" s="51"/>
      <c r="HB4" s="51"/>
      <c r="HC4" s="51"/>
      <c r="HD4" s="51"/>
      <c r="HE4" s="51"/>
      <c r="HF4" s="51"/>
      <c r="HG4" s="51"/>
      <c r="HH4" s="51"/>
      <c r="HI4" s="51"/>
      <c r="HJ4" s="51"/>
      <c r="HK4" s="51"/>
      <c r="HL4" s="51"/>
      <c r="HM4" s="51"/>
      <c r="HN4" s="51"/>
      <c r="HO4" s="51"/>
    </row>
    <row r="5" spans="1:223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  <c r="R5" s="78"/>
      <c r="S5" s="75"/>
    </row>
    <row r="6" spans="1:223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  <c r="R6" s="64"/>
      <c r="S6" s="56"/>
    </row>
    <row r="7" spans="1:223" ht="24.95" customHeight="1" thickBot="1" x14ac:dyDescent="0.25">
      <c r="A7" s="19"/>
      <c r="B7" s="22">
        <f>(COUNTIF('2S EXPRESS'!$A$7:$A$50,'GO TRANSPORT'!A7))+(COUNTIF('2 ZT'!$A$7:$A$50,'GO TRANSPORT'!A7))+(COUNTIF('GO TRANSPORT'!$A$7:$A$50,'GO TRANSPORT'!A7))+(COUNTIF('HMZ - KAIS'!$A$7:$A$50,'GO TRANSPORT'!A7))+(COUNTIF('IB TRANSPORT'!$A$7:$A$50,'GO TRANSPORT'!A7))+(COUNTIF(JSL!$A$7:$A$50,'GO TRANSPORT'!A7))+(COUNTIF(KIFAITOUT!$A$7:$A$50,'GO TRANSPORT'!A7))+(COUNTIF('LUXE DRIVE'!$A$7:$A$50,'GO TRANSPORT'!A7))+(COUNTIF(SSN!$A$7:$A$50,'GO TRANSPORT'!A7))+(COUNTIF('W3'!$A$7:$A$50,'GO TRANSPORT'!A7))+(COUNTIF('ATHIS MONS'!$A$7:$A$50,'GO TRANSPORT'!A7))+(COUNTIF('L HAY LES ROSES'!$A$7:$A$50,'GO TRANSPORT'!A7))+(COUNTIF(RUNGIS!$A$7:$A$50,'GO TRANSPORT'!A7))+(COUNTIF(SCEAUX!$A$7:$A$50,'GO TRANSPORT'!A7))+(COUNTIF('INSTANCE C1'!$A$7:$A$50,'GO TRANSPORT'!A7))+(COUNTIF('INSTANCE C2'!$A$7:$A$50,'GO TRANSPORT'!A7))+(COUNTIF(INTERNES!$A$7:$A$50,'GO TRANSPORT'!A7))+(COUNTIF('EN PANNE'!$A$7:$A$50,'GO TRANSPORT'!A7))+(COUNTIF(TJM!$A$7:$A$50,'GO TRANSPORT'!A7))-C7</f>
        <v>0</v>
      </c>
      <c r="C7" s="23">
        <f>(COUNTIF('2S EXPRESS'!$G$7:$G$50,'GO TRANSPORT'!A7))+(COUNTIF('2 ZT'!$G$7:$G$50,'GO TRANSPORT'!A7))+(COUNTIF('GO TRANSPORT'!$G$7:$G$50,'GO TRANSPORT'!A7))+(COUNTIF('GO TRANSPORT'!$G$7:$G$50,'GO TRANSPORT'!A7))+(COUNTIF('IB TRANSPORT'!$G$7:$G$50,'GO TRANSPORT'!A7))+(COUNTIF(JSL!$G$7:$G$50,'GO TRANSPORT'!A7))+(COUNTIF(KIFAITOUT!$G$7:$G$50,'GO TRANSPORT'!A7))+(COUNTIF('LUXE DRIVE'!$G$7:$G$50,'GO TRANSPORT'!A7))+(COUNTIF(SSN!$G$7:$G$50,'GO TRANSPORT'!A7))+(COUNTIF('W3'!$G$7:$G$50,'GO TRANSPORT'!A7))+(COUNTIF('ATHIS MONS'!$G$7:$G$50,'GO TRANSPORT'!A7))+(COUNTIF('L HAY LES ROSES'!$G$7:$G$50,'GO TRANSPORT'!A7))+(COUNTIF(RUNGIS!$G$7:$G$50,'GO TRANSPORT'!A7))+(COUNTIF(SCEAUX!$G$7:$G$50,'GO TRANSPORT'!A7))+(COUNTIF('INSTANCE C1'!$G$7:$G$50,'GO TRANSPORT'!A7))+(COUNTIF('INSTANCE C2'!$G$7:$G$50,'GO TRANSPORT'!A7))+(COUNTIF(INTERNES!$G$7:$G$50,'GO TRANSPORT'!A7))+(COUNTIF('EN PANNE'!$G$7:$G$50,'GO TRANSPORT'!A7))+(COUNTIF(TJM!$G$7:$G$50,'GO TRANSPORT'!A7))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EXPRESS'!$G$7:$G$50,'GO TRANSPORT'!G7))+(COUNTIF('2 ZT'!$G$7:$G$50,'GO TRANSPORT'!G7))+(COUNTIF('GO TRANSPORT'!$G$7:$G$50,'GO TRANSPORT'!G7))+(COUNTIF('HMZ - KAIS'!$G$7:$G$50,'GO TRANSPORT'!G7))+(COUNTIF('IB TRANSPORT'!$G$7:$G$50,'GO TRANSPORT'!G7))+(COUNTIF(JSL!$G$7:$G$50,'GO TRANSPORT'!G7))+(COUNTIF(KIFAITOUT!$G$7:$G$50,'GO TRANSPORT'!G7))+(COUNTIF('LUXE DRIVE'!$G$7:$G$50,'GO TRANSPORT'!G7))+(COUNTIF(SSN!$G$7:$G$50,'GO TRANSPORT'!G7))+(COUNTIF('W3'!$G$7:$G$50,'GO TRANSPORT'!G7))+(COUNTIF('ATHIS MONS'!$G$7:$G$50,'GO TRANSPORT'!G7))+(COUNTIF('L HAY LES ROSES'!$G$7:$G$50,'GO TRANSPORT'!G7))+(COUNTIF(RUNGIS!$G$7:$G$50,'GO TRANSPORT'!G7))+(COUNTIF(SCEAUX!$G$7:$G$50,'GO TRANSPORT'!G7))+(COUNTIF('INSTANCE C1'!$G$7:$G$50,'GO TRANSPORT'!G7))+(COUNTIF('INSTANCE C2'!$G$7:$G$50,'GO TRANSPORT'!G7))+(COUNTIF(INTERNES!$G$7:$G$50,'GO TRANSPORT'!G7))+(COUNTIF('EN PANNE'!$G$7:$G$50,'GO TRANSPORT'!G7))+(COUNTIF(TJM!$G$7:$G$50,'GO TRANSPORT'!G7))-I7</f>
        <v>0</v>
      </c>
      <c r="I7" s="23">
        <f>(COUNTIF('2S EXPRESS'!$A$7:$A$50,'GO TRANSPORT'!G7))+(COUNTIF('2 ZT'!$A$7:$A$50,'GO TRANSPORT'!G7))+(COUNTIF('GO TRANSPORT'!$A$7:$A$50,'GO TRANSPORT'!G7))+(COUNTIF('HMZ - KAIS'!$A$7:$A$50,'GO TRANSPORT'!G7))+(COUNTIF('IB TRANSPORT'!$A$7:$A$50,'GO TRANSPORT'!G7))+(COUNTIF(JSL!$A$7:$A$50,'GO TRANSPORT'!G7))+(COUNTIF(KIFAITOUT!$A$7:$A$50,'GO TRANSPORT'!G7))+(COUNTIF('LUXE DRIVE'!$A$7:$A$50,'GO TRANSPORT'!G7))+(COUNTIF(SSN!$A$7:$A$50,'GO TRANSPORT'!G7))+(COUNTIF('W3'!$A$7:$A$50,'GO TRANSPORT'!G7))+(COUNTIF('ATHIS MONS'!$A$7:$A$50,'GO TRANSPORT'!G7))+(COUNTIF('L HAY LES ROSES'!$A$7:$A$50,'GO TRANSPORT'!G7))+(COUNTIF(RUNGIS!$A$7:$A$50,'GO TRANSPORT'!G7))+(COUNTIF(SCEAUX!$A$7:$A$50,'GO TRANSPORT'!G7))+(COUNTIF('INSTANCE C1'!$A$7:$A$50,'GO TRANSPORT'!G7))+(COUNTIF('INSTANCE C2'!$A$7:$A$50,'GO TRANSPORT'!G7))+(COUNTIF(INTERNES!$A$7:$A$50,'GO TRANSPORT'!G7))+(COUNTIF('EN PANNE'!$A$7:$A$50,'GO TRANSPORT'!G7))+(COUNTIF(TJM!$A$7:$A$50,'GO TRANSPORT'!G7))</f>
        <v>0</v>
      </c>
      <c r="J7" s="27">
        <f>IF(H7&gt;=2,1,0)</f>
        <v>0</v>
      </c>
      <c r="K7" s="1"/>
      <c r="L7" s="47"/>
      <c r="M7" s="48"/>
      <c r="N7" s="9"/>
      <c r="O7" s="48"/>
      <c r="P7" s="48"/>
      <c r="Q7" s="48"/>
      <c r="R7" s="65"/>
      <c r="S7" s="60">
        <f t="shared" ref="S7:S50" si="1">COUNTIF($G$7:$G$50,$A7)</f>
        <v>0</v>
      </c>
      <c r="T7" s="67">
        <f t="shared" ref="T7:T50" si="2">IF($S7=1,"",$A7)</f>
        <v>0</v>
      </c>
    </row>
    <row r="8" spans="1:223" ht="24.95" customHeight="1" thickBot="1" x14ac:dyDescent="0.25">
      <c r="A8" s="20"/>
      <c r="B8" s="23">
        <f>(COUNTIF('2S EXPRESS'!$A$7:$A$50,'GO TRANSPORT'!A8))+(COUNTIF('2 ZT'!$A$7:$A$50,'GO TRANSPORT'!A8))+(COUNTIF('GO TRANSPORT'!$A$7:$A$50,'GO TRANSPORT'!A8))+(COUNTIF('HMZ - KAIS'!$A$7:$A$50,'GO TRANSPORT'!A8))+(COUNTIF('IB TRANSPORT'!$A$7:$A$50,'GO TRANSPORT'!A8))+(COUNTIF(JSL!$A$7:$A$50,'GO TRANSPORT'!A8))+(COUNTIF(KIFAITOUT!$A$7:$A$50,'GO TRANSPORT'!A8))+(COUNTIF('LUXE DRIVE'!$A$7:$A$50,'GO TRANSPORT'!A8))+(COUNTIF(SSN!$A$7:$A$50,'GO TRANSPORT'!A8))+(COUNTIF('W3'!$A$7:$A$50,'GO TRANSPORT'!A8))+(COUNTIF('ATHIS MONS'!$A$7:$A$50,'GO TRANSPORT'!A8))+(COUNTIF('L HAY LES ROSES'!$A$7:$A$50,'GO TRANSPORT'!A8))+(COUNTIF(RUNGIS!$A$7:$A$50,'GO TRANSPORT'!A8))+(COUNTIF(SCEAUX!$A$7:$A$50,'GO TRANSPORT'!A8))+(COUNTIF('INSTANCE C1'!$A$7:$A$50,'GO TRANSPORT'!A8))+(COUNTIF('INSTANCE C2'!$A$7:$A$50,'GO TRANSPORT'!A8))+(COUNTIF(INTERNES!$A$7:$A$50,'GO TRANSPORT'!A8))+(COUNTIF('EN PANNE'!$A$7:$A$50,'GO TRANSPORT'!A8))+(COUNTIF(TJM!$A$7:$A$50,'GO TRANSPORT'!A8))-C8</f>
        <v>0</v>
      </c>
      <c r="C8" s="23">
        <f>(COUNTIF('2S EXPRESS'!$G$7:$G$50,'GO TRANSPORT'!A8))+(COUNTIF('2 ZT'!$G$7:$G$50,'GO TRANSPORT'!A8))+(COUNTIF('GO TRANSPORT'!$G$7:$G$50,'GO TRANSPORT'!A8))+(COUNTIF('GO TRANSPORT'!$G$7:$G$50,'GO TRANSPORT'!A8))+(COUNTIF('IB TRANSPORT'!$G$7:$G$50,'GO TRANSPORT'!A8))+(COUNTIF(JSL!$G$7:$G$50,'GO TRANSPORT'!A8))+(COUNTIF(KIFAITOUT!$G$7:$G$50,'GO TRANSPORT'!A8))+(COUNTIF('LUXE DRIVE'!$G$7:$G$50,'GO TRANSPORT'!A8))+(COUNTIF(SSN!$G$7:$G$50,'GO TRANSPORT'!A8))+(COUNTIF('W3'!$G$7:$G$50,'GO TRANSPORT'!A8))+(COUNTIF('ATHIS MONS'!$G$7:$G$50,'GO TRANSPORT'!A8))+(COUNTIF('L HAY LES ROSES'!$G$7:$G$50,'GO TRANSPORT'!A8))+(COUNTIF(RUNGIS!$G$7:$G$50,'GO TRANSPORT'!A8))+(COUNTIF(SCEAUX!$G$7:$G$50,'GO TRANSPORT'!A8))+(COUNTIF('INSTANCE C1'!$G$7:$G$50,'GO TRANSPORT'!A8))+(COUNTIF('INSTANCE C2'!$G$7:$G$50,'GO TRANSPORT'!A8))+(COUNTIF(INTERNES!$G$7:$G$50,'GO TRANSPORT'!A8))+(COUNTIF('EN PANNE'!$G$7:$G$50,'GO TRANSPORT'!A8))+(COUNTIF(TJM!$G$7:$G$50,'GO TRANSPORT'!A8))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EXPRESS'!$G$7:$G$50,'GO TRANSPORT'!G8))+(COUNTIF('2 ZT'!$G$7:$G$50,'GO TRANSPORT'!G8))+(COUNTIF('GO TRANSPORT'!$G$7:$G$50,'GO TRANSPORT'!G8))+(COUNTIF('HMZ - KAIS'!$G$7:$G$50,'GO TRANSPORT'!G8))+(COUNTIF('IB TRANSPORT'!$G$7:$G$50,'GO TRANSPORT'!G8))+(COUNTIF(JSL!$G$7:$G$50,'GO TRANSPORT'!G8))+(COUNTIF(KIFAITOUT!$G$7:$G$50,'GO TRANSPORT'!G8))+(COUNTIF('LUXE DRIVE'!$G$7:$G$50,'GO TRANSPORT'!G8))+(COUNTIF(SSN!$G$7:$G$50,'GO TRANSPORT'!G8))+(COUNTIF('W3'!$G$7:$G$50,'GO TRANSPORT'!G8))+(COUNTIF('ATHIS MONS'!$G$7:$G$50,'GO TRANSPORT'!G8))+(COUNTIF('L HAY LES ROSES'!$G$7:$G$50,'GO TRANSPORT'!G8))+(COUNTIF(RUNGIS!$G$7:$G$50,'GO TRANSPORT'!G8))+(COUNTIF(SCEAUX!$G$7:$G$50,'GO TRANSPORT'!G8))+(COUNTIF('INSTANCE C1'!$G$7:$G$50,'GO TRANSPORT'!G8))+(COUNTIF('INSTANCE C2'!$G$7:$G$50,'GO TRANSPORT'!G8))+(COUNTIF(INTERNES!$G$7:$G$50,'GO TRANSPORT'!G8))+(COUNTIF('EN PANNE'!$G$7:$G$50,'GO TRANSPORT'!G8))+(COUNTIF(TJM!$G$7:$G$50,'GO TRANSPORT'!G8))-I8</f>
        <v>0</v>
      </c>
      <c r="I8" s="23">
        <f>(COUNTIF('2S EXPRESS'!$A$7:$A$50,'GO TRANSPORT'!G8))+(COUNTIF('2 ZT'!$A$7:$A$50,'GO TRANSPORT'!G8))+(COUNTIF('GO TRANSPORT'!$A$7:$A$50,'GO TRANSPORT'!G8))+(COUNTIF('HMZ - KAIS'!$A$7:$A$50,'GO TRANSPORT'!G8))+(COUNTIF('IB TRANSPORT'!$A$7:$A$50,'GO TRANSPORT'!G8))+(COUNTIF(JSL!$A$7:$A$50,'GO TRANSPORT'!G8))+(COUNTIF(KIFAITOUT!$A$7:$A$50,'GO TRANSPORT'!G8))+(COUNTIF('LUXE DRIVE'!$A$7:$A$50,'GO TRANSPORT'!G8))+(COUNTIF(SSN!$A$7:$A$50,'GO TRANSPORT'!G8))+(COUNTIF('W3'!$A$7:$A$50,'GO TRANSPORT'!G8))+(COUNTIF('ATHIS MONS'!$A$7:$A$50,'GO TRANSPORT'!G8))+(COUNTIF('L HAY LES ROSES'!$A$7:$A$50,'GO TRANSPORT'!G8))+(COUNTIF(RUNGIS!$A$7:$A$50,'GO TRANSPORT'!G8))+(COUNTIF(SCEAUX!$A$7:$A$50,'GO TRANSPORT'!G8))+(COUNTIF('INSTANCE C1'!$A$7:$A$50,'GO TRANSPORT'!G8))+(COUNTIF('INSTANCE C2'!$A$7:$A$50,'GO TRANSPORT'!G8))+(COUNTIF(INTERNES!$A$7:$A$50,'GO TRANSPORT'!G8))+(COUNTIF('EN PANNE'!$A$7:$A$50,'GO TRANSPORT'!G8))+(COUNTIF(TJM!$A$7:$A$50,'GO TRANSPORT'!G8))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65"/>
      <c r="S8" s="60">
        <f t="shared" si="1"/>
        <v>0</v>
      </c>
      <c r="T8" s="67">
        <f t="shared" si="2"/>
        <v>0</v>
      </c>
    </row>
    <row r="9" spans="1:223" ht="24.95" customHeight="1" thickBot="1" x14ac:dyDescent="0.25">
      <c r="A9" s="20"/>
      <c r="B9" s="23">
        <f>(COUNTIF('2S EXPRESS'!$A$7:$A$50,'GO TRANSPORT'!A9))+(COUNTIF('2 ZT'!$A$7:$A$50,'GO TRANSPORT'!A9))+(COUNTIF('GO TRANSPORT'!$A$7:$A$50,'GO TRANSPORT'!A9))+(COUNTIF('HMZ - KAIS'!$A$7:$A$50,'GO TRANSPORT'!A9))+(COUNTIF('IB TRANSPORT'!$A$7:$A$50,'GO TRANSPORT'!A9))+(COUNTIF(JSL!$A$7:$A$50,'GO TRANSPORT'!A9))+(COUNTIF(KIFAITOUT!$A$7:$A$50,'GO TRANSPORT'!A9))+(COUNTIF('LUXE DRIVE'!$A$7:$A$50,'GO TRANSPORT'!A9))+(COUNTIF(SSN!$A$7:$A$50,'GO TRANSPORT'!A9))+(COUNTIF('W3'!$A$7:$A$50,'GO TRANSPORT'!A9))+(COUNTIF('ATHIS MONS'!$A$7:$A$50,'GO TRANSPORT'!A9))+(COUNTIF('L HAY LES ROSES'!$A$7:$A$50,'GO TRANSPORT'!A9))+(COUNTIF(RUNGIS!$A$7:$A$50,'GO TRANSPORT'!A9))+(COUNTIF(SCEAUX!$A$7:$A$50,'GO TRANSPORT'!A9))+(COUNTIF('INSTANCE C1'!$A$7:$A$50,'GO TRANSPORT'!A9))+(COUNTIF('INSTANCE C2'!$A$7:$A$50,'GO TRANSPORT'!A9))+(COUNTIF(INTERNES!$A$7:$A$50,'GO TRANSPORT'!A9))+(COUNTIF('EN PANNE'!$A$7:$A$50,'GO TRANSPORT'!A9))+(COUNTIF(TJM!$A$7:$A$50,'GO TRANSPORT'!A9))-C9</f>
        <v>0</v>
      </c>
      <c r="C9" s="23">
        <f>(COUNTIF('2S EXPRESS'!$G$7:$G$50,'GO TRANSPORT'!A9))+(COUNTIF('2 ZT'!$G$7:$G$50,'GO TRANSPORT'!A9))+(COUNTIF('GO TRANSPORT'!$G$7:$G$50,'GO TRANSPORT'!A9))+(COUNTIF('GO TRANSPORT'!$G$7:$G$50,'GO TRANSPORT'!A9))+(COUNTIF('IB TRANSPORT'!$G$7:$G$50,'GO TRANSPORT'!A9))+(COUNTIF(JSL!$G$7:$G$50,'GO TRANSPORT'!A9))+(COUNTIF(KIFAITOUT!$G$7:$G$50,'GO TRANSPORT'!A9))+(COUNTIF('LUXE DRIVE'!$G$7:$G$50,'GO TRANSPORT'!A9))+(COUNTIF(SSN!$G$7:$G$50,'GO TRANSPORT'!A9))+(COUNTIF('W3'!$G$7:$G$50,'GO TRANSPORT'!A9))+(COUNTIF('ATHIS MONS'!$G$7:$G$50,'GO TRANSPORT'!A9))+(COUNTIF('L HAY LES ROSES'!$G$7:$G$50,'GO TRANSPORT'!A9))+(COUNTIF(RUNGIS!$G$7:$G$50,'GO TRANSPORT'!A9))+(COUNTIF(SCEAUX!$G$7:$G$50,'GO TRANSPORT'!A9))+(COUNTIF('INSTANCE C1'!$G$7:$G$50,'GO TRANSPORT'!A9))+(COUNTIF('INSTANCE C2'!$G$7:$G$50,'GO TRANSPORT'!A9))+(COUNTIF(INTERNES!$G$7:$G$50,'GO TRANSPORT'!A9))+(COUNTIF('EN PANNE'!$G$7:$G$50,'GO TRANSPORT'!A9))+(COUNTIF(TJM!$G$7:$G$50,'GO TRANSPORT'!A9))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EXPRESS'!$G$7:$G$50,'GO TRANSPORT'!G9))+(COUNTIF('2 ZT'!$G$7:$G$50,'GO TRANSPORT'!G9))+(COUNTIF('GO TRANSPORT'!$G$7:$G$50,'GO TRANSPORT'!G9))+(COUNTIF('HMZ - KAIS'!$G$7:$G$50,'GO TRANSPORT'!G9))+(COUNTIF('IB TRANSPORT'!$G$7:$G$50,'GO TRANSPORT'!G9))+(COUNTIF(JSL!$G$7:$G$50,'GO TRANSPORT'!G9))+(COUNTIF(KIFAITOUT!$G$7:$G$50,'GO TRANSPORT'!G9))+(COUNTIF('LUXE DRIVE'!$G$7:$G$50,'GO TRANSPORT'!G9))+(COUNTIF(SSN!$G$7:$G$50,'GO TRANSPORT'!G9))+(COUNTIF('W3'!$G$7:$G$50,'GO TRANSPORT'!G9))+(COUNTIF('ATHIS MONS'!$G$7:$G$50,'GO TRANSPORT'!G9))+(COUNTIF('L HAY LES ROSES'!$G$7:$G$50,'GO TRANSPORT'!G9))+(COUNTIF(RUNGIS!$G$7:$G$50,'GO TRANSPORT'!G9))+(COUNTIF(SCEAUX!$G$7:$G$50,'GO TRANSPORT'!G9))+(COUNTIF('INSTANCE C1'!$G$7:$G$50,'GO TRANSPORT'!G9))+(COUNTIF('INSTANCE C2'!$G$7:$G$50,'GO TRANSPORT'!G9))+(COUNTIF(INTERNES!$G$7:$G$50,'GO TRANSPORT'!G9))+(COUNTIF('EN PANNE'!$G$7:$G$50,'GO TRANSPORT'!G9))+(COUNTIF(TJM!$G$7:$G$50,'GO TRANSPORT'!G9))-I9</f>
        <v>0</v>
      </c>
      <c r="I9" s="23">
        <f>(COUNTIF('2S EXPRESS'!$A$7:$A$50,'GO TRANSPORT'!G9))+(COUNTIF('2 ZT'!$A$7:$A$50,'GO TRANSPORT'!G9))+(COUNTIF('GO TRANSPORT'!$A$7:$A$50,'GO TRANSPORT'!G9))+(COUNTIF('HMZ - KAIS'!$A$7:$A$50,'GO TRANSPORT'!G9))+(COUNTIF('IB TRANSPORT'!$A$7:$A$50,'GO TRANSPORT'!G9))+(COUNTIF(JSL!$A$7:$A$50,'GO TRANSPORT'!G9))+(COUNTIF(KIFAITOUT!$A$7:$A$50,'GO TRANSPORT'!G9))+(COUNTIF('LUXE DRIVE'!$A$7:$A$50,'GO TRANSPORT'!G9))+(COUNTIF(SSN!$A$7:$A$50,'GO TRANSPORT'!G9))+(COUNTIF('W3'!$A$7:$A$50,'GO TRANSPORT'!G9))+(COUNTIF('ATHIS MONS'!$A$7:$A$50,'GO TRANSPORT'!G9))+(COUNTIF('L HAY LES ROSES'!$A$7:$A$50,'GO TRANSPORT'!G9))+(COUNTIF(RUNGIS!$A$7:$A$50,'GO TRANSPORT'!G9))+(COUNTIF(SCEAUX!$A$7:$A$50,'GO TRANSPORT'!G9))+(COUNTIF('INSTANCE C1'!$A$7:$A$50,'GO TRANSPORT'!G9))+(COUNTIF('INSTANCE C2'!$A$7:$A$50,'GO TRANSPORT'!G9))+(COUNTIF(INTERNES!$A$7:$A$50,'GO TRANSPORT'!G9))+(COUNTIF('EN PANNE'!$A$7:$A$50,'GO TRANSPORT'!G9))+(COUNTIF(TJM!$A$7:$A$50,'GO TRANSPORT'!G9))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65"/>
      <c r="S9" s="60">
        <f t="shared" si="1"/>
        <v>0</v>
      </c>
      <c r="T9" s="67">
        <f t="shared" si="2"/>
        <v>0</v>
      </c>
    </row>
    <row r="10" spans="1:223" ht="24.95" customHeight="1" thickBot="1" x14ac:dyDescent="0.25">
      <c r="A10" s="20"/>
      <c r="B10" s="23">
        <f>(COUNTIF('2S EXPRESS'!$A$7:$A$50,'GO TRANSPORT'!A10))+(COUNTIF('2 ZT'!$A$7:$A$50,'GO TRANSPORT'!A10))+(COUNTIF('GO TRANSPORT'!$A$7:$A$50,'GO TRANSPORT'!A10))+(COUNTIF('HMZ - KAIS'!$A$7:$A$50,'GO TRANSPORT'!A10))+(COUNTIF('IB TRANSPORT'!$A$7:$A$50,'GO TRANSPORT'!A10))+(COUNTIF(JSL!$A$7:$A$50,'GO TRANSPORT'!A10))+(COUNTIF(KIFAITOUT!$A$7:$A$50,'GO TRANSPORT'!A10))+(COUNTIF('LUXE DRIVE'!$A$7:$A$50,'GO TRANSPORT'!A10))+(COUNTIF(SSN!$A$7:$A$50,'GO TRANSPORT'!A10))+(COUNTIF('W3'!$A$7:$A$50,'GO TRANSPORT'!A10))+(COUNTIF('ATHIS MONS'!$A$7:$A$50,'GO TRANSPORT'!A10))+(COUNTIF('L HAY LES ROSES'!$A$7:$A$50,'GO TRANSPORT'!A10))+(COUNTIF(RUNGIS!$A$7:$A$50,'GO TRANSPORT'!A10))+(COUNTIF(SCEAUX!$A$7:$A$50,'GO TRANSPORT'!A10))+(COUNTIF('INSTANCE C1'!$A$7:$A$50,'GO TRANSPORT'!A10))+(COUNTIF('INSTANCE C2'!$A$7:$A$50,'GO TRANSPORT'!A10))+(COUNTIF(INTERNES!$A$7:$A$50,'GO TRANSPORT'!A10))+(COUNTIF('EN PANNE'!$A$7:$A$50,'GO TRANSPORT'!A10))+(COUNTIF(TJM!$A$7:$A$50,'GO TRANSPORT'!A10))-C10</f>
        <v>0</v>
      </c>
      <c r="C10" s="23">
        <f>(COUNTIF('2S EXPRESS'!$G$7:$G$50,'GO TRANSPORT'!A10))+(COUNTIF('2 ZT'!$G$7:$G$50,'GO TRANSPORT'!A10))+(COUNTIF('GO TRANSPORT'!$G$7:$G$50,'GO TRANSPORT'!A10))+(COUNTIF('GO TRANSPORT'!$G$7:$G$50,'GO TRANSPORT'!A10))+(COUNTIF('IB TRANSPORT'!$G$7:$G$50,'GO TRANSPORT'!A10))+(COUNTIF(JSL!$G$7:$G$50,'GO TRANSPORT'!A10))+(COUNTIF(KIFAITOUT!$G$7:$G$50,'GO TRANSPORT'!A10))+(COUNTIF('LUXE DRIVE'!$G$7:$G$50,'GO TRANSPORT'!A10))+(COUNTIF(SSN!$G$7:$G$50,'GO TRANSPORT'!A10))+(COUNTIF('W3'!$G$7:$G$50,'GO TRANSPORT'!A10))+(COUNTIF('ATHIS MONS'!$G$7:$G$50,'GO TRANSPORT'!A10))+(COUNTIF('L HAY LES ROSES'!$G$7:$G$50,'GO TRANSPORT'!A10))+(COUNTIF(RUNGIS!$G$7:$G$50,'GO TRANSPORT'!A10))+(COUNTIF(SCEAUX!$G$7:$G$50,'GO TRANSPORT'!A10))+(COUNTIF('INSTANCE C1'!$G$7:$G$50,'GO TRANSPORT'!A10))+(COUNTIF('INSTANCE C2'!$G$7:$G$50,'GO TRANSPORT'!A10))+(COUNTIF(INTERNES!$G$7:$G$50,'GO TRANSPORT'!A10))+(COUNTIF('EN PANNE'!$G$7:$G$50,'GO TRANSPORT'!A10))+(COUNTIF(TJM!$G$7:$G$50,'GO TRANSPORT'!A10))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EXPRESS'!$G$7:$G$50,'GO TRANSPORT'!G10))+(COUNTIF('2 ZT'!$G$7:$G$50,'GO TRANSPORT'!G10))+(COUNTIF('GO TRANSPORT'!$G$7:$G$50,'GO TRANSPORT'!G10))+(COUNTIF('HMZ - KAIS'!$G$7:$G$50,'GO TRANSPORT'!G10))+(COUNTIF('IB TRANSPORT'!$G$7:$G$50,'GO TRANSPORT'!G10))+(COUNTIF(JSL!$G$7:$G$50,'GO TRANSPORT'!G10))+(COUNTIF(KIFAITOUT!$G$7:$G$50,'GO TRANSPORT'!G10))+(COUNTIF('LUXE DRIVE'!$G$7:$G$50,'GO TRANSPORT'!G10))+(COUNTIF(SSN!$G$7:$G$50,'GO TRANSPORT'!G10))+(COUNTIF('W3'!$G$7:$G$50,'GO TRANSPORT'!G10))+(COUNTIF('ATHIS MONS'!$G$7:$G$50,'GO TRANSPORT'!G10))+(COUNTIF('L HAY LES ROSES'!$G$7:$G$50,'GO TRANSPORT'!G10))+(COUNTIF(RUNGIS!$G$7:$G$50,'GO TRANSPORT'!G10))+(COUNTIF(SCEAUX!$G$7:$G$50,'GO TRANSPORT'!G10))+(COUNTIF('INSTANCE C1'!$G$7:$G$50,'GO TRANSPORT'!G10))+(COUNTIF('INSTANCE C2'!$G$7:$G$50,'GO TRANSPORT'!G10))+(COUNTIF(INTERNES!$G$7:$G$50,'GO TRANSPORT'!G10))+(COUNTIF('EN PANNE'!$G$7:$G$50,'GO TRANSPORT'!G10))+(COUNTIF(TJM!$G$7:$G$50,'GO TRANSPORT'!G10))-I10</f>
        <v>0</v>
      </c>
      <c r="I10" s="23">
        <f>(COUNTIF('2S EXPRESS'!$A$7:$A$50,'GO TRANSPORT'!G10))+(COUNTIF('2 ZT'!$A$7:$A$50,'GO TRANSPORT'!G10))+(COUNTIF('GO TRANSPORT'!$A$7:$A$50,'GO TRANSPORT'!G10))+(COUNTIF('HMZ - KAIS'!$A$7:$A$50,'GO TRANSPORT'!G10))+(COUNTIF('IB TRANSPORT'!$A$7:$A$50,'GO TRANSPORT'!G10))+(COUNTIF(JSL!$A$7:$A$50,'GO TRANSPORT'!G10))+(COUNTIF(KIFAITOUT!$A$7:$A$50,'GO TRANSPORT'!G10))+(COUNTIF('LUXE DRIVE'!$A$7:$A$50,'GO TRANSPORT'!G10))+(COUNTIF(SSN!$A$7:$A$50,'GO TRANSPORT'!G10))+(COUNTIF('W3'!$A$7:$A$50,'GO TRANSPORT'!G10))+(COUNTIF('ATHIS MONS'!$A$7:$A$50,'GO TRANSPORT'!G10))+(COUNTIF('L HAY LES ROSES'!$A$7:$A$50,'GO TRANSPORT'!G10))+(COUNTIF(RUNGIS!$A$7:$A$50,'GO TRANSPORT'!G10))+(COUNTIF(SCEAUX!$A$7:$A$50,'GO TRANSPORT'!G10))+(COUNTIF('INSTANCE C1'!$A$7:$A$50,'GO TRANSPORT'!G10))+(COUNTIF('INSTANCE C2'!$A$7:$A$50,'GO TRANSPORT'!G10))+(COUNTIF(INTERNES!$A$7:$A$50,'GO TRANSPORT'!G10))+(COUNTIF('EN PANNE'!$A$7:$A$50,'GO TRANSPORT'!G10))+(COUNTIF(TJM!$A$7:$A$50,'GO TRANSPORT'!G10))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R10" s="65"/>
      <c r="S10" s="60">
        <f t="shared" si="1"/>
        <v>0</v>
      </c>
      <c r="T10" s="67">
        <f t="shared" si="2"/>
        <v>0</v>
      </c>
    </row>
    <row r="11" spans="1:223" ht="24.95" customHeight="1" thickBot="1" x14ac:dyDescent="0.25">
      <c r="A11" s="20"/>
      <c r="B11" s="23">
        <f>(COUNTIF('2S EXPRESS'!$A$7:$A$50,'GO TRANSPORT'!A11))+(COUNTIF('2 ZT'!$A$7:$A$50,'GO TRANSPORT'!A11))+(COUNTIF('GO TRANSPORT'!$A$7:$A$50,'GO TRANSPORT'!A11))+(COUNTIF('HMZ - KAIS'!$A$7:$A$50,'GO TRANSPORT'!A11))+(COUNTIF('IB TRANSPORT'!$A$7:$A$50,'GO TRANSPORT'!A11))+(COUNTIF(JSL!$A$7:$A$50,'GO TRANSPORT'!A11))+(COUNTIF(KIFAITOUT!$A$7:$A$50,'GO TRANSPORT'!A11))+(COUNTIF('LUXE DRIVE'!$A$7:$A$50,'GO TRANSPORT'!A11))+(COUNTIF(SSN!$A$7:$A$50,'GO TRANSPORT'!A11))+(COUNTIF('W3'!$A$7:$A$50,'GO TRANSPORT'!A11))+(COUNTIF('ATHIS MONS'!$A$7:$A$50,'GO TRANSPORT'!A11))+(COUNTIF('L HAY LES ROSES'!$A$7:$A$50,'GO TRANSPORT'!A11))+(COUNTIF(RUNGIS!$A$7:$A$50,'GO TRANSPORT'!A11))+(COUNTIF(SCEAUX!$A$7:$A$50,'GO TRANSPORT'!A11))+(COUNTIF('INSTANCE C1'!$A$7:$A$50,'GO TRANSPORT'!A11))+(COUNTIF('INSTANCE C2'!$A$7:$A$50,'GO TRANSPORT'!A11))+(COUNTIF(INTERNES!$A$7:$A$50,'GO TRANSPORT'!A11))+(COUNTIF('EN PANNE'!$A$7:$A$50,'GO TRANSPORT'!A11))+(COUNTIF(TJM!$A$7:$A$50,'GO TRANSPORT'!A11))-C11</f>
        <v>0</v>
      </c>
      <c r="C11" s="23">
        <f>(COUNTIF('2S EXPRESS'!$G$7:$G$50,'GO TRANSPORT'!A11))+(COUNTIF('2 ZT'!$G$7:$G$50,'GO TRANSPORT'!A11))+(COUNTIF('GO TRANSPORT'!$G$7:$G$50,'GO TRANSPORT'!A11))+(COUNTIF('GO TRANSPORT'!$G$7:$G$50,'GO TRANSPORT'!A11))+(COUNTIF('IB TRANSPORT'!$G$7:$G$50,'GO TRANSPORT'!A11))+(COUNTIF(JSL!$G$7:$G$50,'GO TRANSPORT'!A11))+(COUNTIF(KIFAITOUT!$G$7:$G$50,'GO TRANSPORT'!A11))+(COUNTIF('LUXE DRIVE'!$G$7:$G$50,'GO TRANSPORT'!A11))+(COUNTIF(SSN!$G$7:$G$50,'GO TRANSPORT'!A11))+(COUNTIF('W3'!$G$7:$G$50,'GO TRANSPORT'!A11))+(COUNTIF('ATHIS MONS'!$G$7:$G$50,'GO TRANSPORT'!A11))+(COUNTIF('L HAY LES ROSES'!$G$7:$G$50,'GO TRANSPORT'!A11))+(COUNTIF(RUNGIS!$G$7:$G$50,'GO TRANSPORT'!A11))+(COUNTIF(SCEAUX!$G$7:$G$50,'GO TRANSPORT'!A11))+(COUNTIF('INSTANCE C1'!$G$7:$G$50,'GO TRANSPORT'!A11))+(COUNTIF('INSTANCE C2'!$G$7:$G$50,'GO TRANSPORT'!A11))+(COUNTIF(INTERNES!$G$7:$G$50,'GO TRANSPORT'!A11))+(COUNTIF('EN PANNE'!$G$7:$G$50,'GO TRANSPORT'!A11))+(COUNTIF(TJM!$G$7:$G$50,'GO TRANSPORT'!A11))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EXPRESS'!$G$7:$G$50,'GO TRANSPORT'!G11))+(COUNTIF('2 ZT'!$G$7:$G$50,'GO TRANSPORT'!G11))+(COUNTIF('GO TRANSPORT'!$G$7:$G$50,'GO TRANSPORT'!G11))+(COUNTIF('HMZ - KAIS'!$G$7:$G$50,'GO TRANSPORT'!G11))+(COUNTIF('IB TRANSPORT'!$G$7:$G$50,'GO TRANSPORT'!G11))+(COUNTIF(JSL!$G$7:$G$50,'GO TRANSPORT'!G11))+(COUNTIF(KIFAITOUT!$G$7:$G$50,'GO TRANSPORT'!G11))+(COUNTIF('LUXE DRIVE'!$G$7:$G$50,'GO TRANSPORT'!G11))+(COUNTIF(SSN!$G$7:$G$50,'GO TRANSPORT'!G11))+(COUNTIF('W3'!$G$7:$G$50,'GO TRANSPORT'!G11))+(COUNTIF('ATHIS MONS'!$G$7:$G$50,'GO TRANSPORT'!G11))+(COUNTIF('L HAY LES ROSES'!$G$7:$G$50,'GO TRANSPORT'!G11))+(COUNTIF(RUNGIS!$G$7:$G$50,'GO TRANSPORT'!G11))+(COUNTIF(SCEAUX!$G$7:$G$50,'GO TRANSPORT'!G11))+(COUNTIF('INSTANCE C1'!$G$7:$G$50,'GO TRANSPORT'!G11))+(COUNTIF('INSTANCE C2'!$G$7:$G$50,'GO TRANSPORT'!G11))+(COUNTIF(INTERNES!$G$7:$G$50,'GO TRANSPORT'!G11))+(COUNTIF('EN PANNE'!$G$7:$G$50,'GO TRANSPORT'!G11))+(COUNTIF(TJM!$G$7:$G$50,'GO TRANSPORT'!G11))-I11</f>
        <v>0</v>
      </c>
      <c r="I11" s="23">
        <f>(COUNTIF('2S EXPRESS'!$A$7:$A$50,'GO TRANSPORT'!G11))+(COUNTIF('2 ZT'!$A$7:$A$50,'GO TRANSPORT'!G11))+(COUNTIF('GO TRANSPORT'!$A$7:$A$50,'GO TRANSPORT'!G11))+(COUNTIF('HMZ - KAIS'!$A$7:$A$50,'GO TRANSPORT'!G11))+(COUNTIF('IB TRANSPORT'!$A$7:$A$50,'GO TRANSPORT'!G11))+(COUNTIF(JSL!$A$7:$A$50,'GO TRANSPORT'!G11))+(COUNTIF(KIFAITOUT!$A$7:$A$50,'GO TRANSPORT'!G11))+(COUNTIF('LUXE DRIVE'!$A$7:$A$50,'GO TRANSPORT'!G11))+(COUNTIF(SSN!$A$7:$A$50,'GO TRANSPORT'!G11))+(COUNTIF('W3'!$A$7:$A$50,'GO TRANSPORT'!G11))+(COUNTIF('ATHIS MONS'!$A$7:$A$50,'GO TRANSPORT'!G11))+(COUNTIF('L HAY LES ROSES'!$A$7:$A$50,'GO TRANSPORT'!G11))+(COUNTIF(RUNGIS!$A$7:$A$50,'GO TRANSPORT'!G11))+(COUNTIF(SCEAUX!$A$7:$A$50,'GO TRANSPORT'!G11))+(COUNTIF('INSTANCE C1'!$A$7:$A$50,'GO TRANSPORT'!G11))+(COUNTIF('INSTANCE C2'!$A$7:$A$50,'GO TRANSPORT'!G11))+(COUNTIF(INTERNES!$A$7:$A$50,'GO TRANSPORT'!G11))+(COUNTIF('EN PANNE'!$A$7:$A$50,'GO TRANSPORT'!G11))+(COUNTIF(TJM!$A$7:$A$50,'GO TRANSPORT'!G11))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R11" s="65"/>
      <c r="S11" s="60">
        <f t="shared" si="1"/>
        <v>0</v>
      </c>
      <c r="T11" s="67">
        <f t="shared" si="2"/>
        <v>0</v>
      </c>
    </row>
    <row r="12" spans="1:223" ht="24.95" customHeight="1" thickBot="1" x14ac:dyDescent="0.25">
      <c r="A12" s="20"/>
      <c r="B12" s="23">
        <f>(COUNTIF('2S EXPRESS'!$A$7:$A$50,'GO TRANSPORT'!A12))+(COUNTIF('2 ZT'!$A$7:$A$50,'GO TRANSPORT'!A12))+(COUNTIF('GO TRANSPORT'!$A$7:$A$50,'GO TRANSPORT'!A12))+(COUNTIF('HMZ - KAIS'!$A$7:$A$50,'GO TRANSPORT'!A12))+(COUNTIF('IB TRANSPORT'!$A$7:$A$50,'GO TRANSPORT'!A12))+(COUNTIF(JSL!$A$7:$A$50,'GO TRANSPORT'!A12))+(COUNTIF(KIFAITOUT!$A$7:$A$50,'GO TRANSPORT'!A12))+(COUNTIF('LUXE DRIVE'!$A$7:$A$50,'GO TRANSPORT'!A12))+(COUNTIF(SSN!$A$7:$A$50,'GO TRANSPORT'!A12))+(COUNTIF('W3'!$A$7:$A$50,'GO TRANSPORT'!A12))+(COUNTIF('ATHIS MONS'!$A$7:$A$50,'GO TRANSPORT'!A12))+(COUNTIF('L HAY LES ROSES'!$A$7:$A$50,'GO TRANSPORT'!A12))+(COUNTIF(RUNGIS!$A$7:$A$50,'GO TRANSPORT'!A12))+(COUNTIF(SCEAUX!$A$7:$A$50,'GO TRANSPORT'!A12))+(COUNTIF('INSTANCE C1'!$A$7:$A$50,'GO TRANSPORT'!A12))+(COUNTIF('INSTANCE C2'!$A$7:$A$50,'GO TRANSPORT'!A12))+(COUNTIF(INTERNES!$A$7:$A$50,'GO TRANSPORT'!A12))+(COUNTIF('EN PANNE'!$A$7:$A$50,'GO TRANSPORT'!A12))+(COUNTIF(TJM!$A$7:$A$50,'GO TRANSPORT'!A12))-C12</f>
        <v>0</v>
      </c>
      <c r="C12" s="23">
        <f>(COUNTIF('2S EXPRESS'!$G$7:$G$50,'GO TRANSPORT'!A12))+(COUNTIF('2 ZT'!$G$7:$G$50,'GO TRANSPORT'!A12))+(COUNTIF('GO TRANSPORT'!$G$7:$G$50,'GO TRANSPORT'!A12))+(COUNTIF('GO TRANSPORT'!$G$7:$G$50,'GO TRANSPORT'!A12))+(COUNTIF('IB TRANSPORT'!$G$7:$G$50,'GO TRANSPORT'!A12))+(COUNTIF(JSL!$G$7:$G$50,'GO TRANSPORT'!A12))+(COUNTIF(KIFAITOUT!$G$7:$G$50,'GO TRANSPORT'!A12))+(COUNTIF('LUXE DRIVE'!$G$7:$G$50,'GO TRANSPORT'!A12))+(COUNTIF(SSN!$G$7:$G$50,'GO TRANSPORT'!A12))+(COUNTIF('W3'!$G$7:$G$50,'GO TRANSPORT'!A12))+(COUNTIF('ATHIS MONS'!$G$7:$G$50,'GO TRANSPORT'!A12))+(COUNTIF('L HAY LES ROSES'!$G$7:$G$50,'GO TRANSPORT'!A12))+(COUNTIF(RUNGIS!$G$7:$G$50,'GO TRANSPORT'!A12))+(COUNTIF(SCEAUX!$G$7:$G$50,'GO TRANSPORT'!A12))+(COUNTIF('INSTANCE C1'!$G$7:$G$50,'GO TRANSPORT'!A12))+(COUNTIF('INSTANCE C2'!$G$7:$G$50,'GO TRANSPORT'!A12))+(COUNTIF(INTERNES!$G$7:$G$50,'GO TRANSPORT'!A12))+(COUNTIF('EN PANNE'!$G$7:$G$50,'GO TRANSPORT'!A12))+(COUNTIF(TJM!$G$7:$G$50,'GO TRANSPORT'!A12))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EXPRESS'!$G$7:$G$50,'GO TRANSPORT'!G12))+(COUNTIF('2 ZT'!$G$7:$G$50,'GO TRANSPORT'!G12))+(COUNTIF('GO TRANSPORT'!$G$7:$G$50,'GO TRANSPORT'!G12))+(COUNTIF('HMZ - KAIS'!$G$7:$G$50,'GO TRANSPORT'!G12))+(COUNTIF('IB TRANSPORT'!$G$7:$G$50,'GO TRANSPORT'!G12))+(COUNTIF(JSL!$G$7:$G$50,'GO TRANSPORT'!G12))+(COUNTIF(KIFAITOUT!$G$7:$G$50,'GO TRANSPORT'!G12))+(COUNTIF('LUXE DRIVE'!$G$7:$G$50,'GO TRANSPORT'!G12))+(COUNTIF(SSN!$G$7:$G$50,'GO TRANSPORT'!G12))+(COUNTIF('W3'!$G$7:$G$50,'GO TRANSPORT'!G12))+(COUNTIF('ATHIS MONS'!$G$7:$G$50,'GO TRANSPORT'!G12))+(COUNTIF('L HAY LES ROSES'!$G$7:$G$50,'GO TRANSPORT'!G12))+(COUNTIF(RUNGIS!$G$7:$G$50,'GO TRANSPORT'!G12))+(COUNTIF(SCEAUX!$G$7:$G$50,'GO TRANSPORT'!G12))+(COUNTIF('INSTANCE C1'!$G$7:$G$50,'GO TRANSPORT'!G12))+(COUNTIF('INSTANCE C2'!$G$7:$G$50,'GO TRANSPORT'!G12))+(COUNTIF(INTERNES!$G$7:$G$50,'GO TRANSPORT'!G12))+(COUNTIF('EN PANNE'!$G$7:$G$50,'GO TRANSPORT'!G12))+(COUNTIF(TJM!$G$7:$G$50,'GO TRANSPORT'!G12))-I12</f>
        <v>0</v>
      </c>
      <c r="I12" s="23">
        <f>(COUNTIF('2S EXPRESS'!$A$7:$A$50,'GO TRANSPORT'!G12))+(COUNTIF('2 ZT'!$A$7:$A$50,'GO TRANSPORT'!G12))+(COUNTIF('GO TRANSPORT'!$A$7:$A$50,'GO TRANSPORT'!G12))+(COUNTIF('HMZ - KAIS'!$A$7:$A$50,'GO TRANSPORT'!G12))+(COUNTIF('IB TRANSPORT'!$A$7:$A$50,'GO TRANSPORT'!G12))+(COUNTIF(JSL!$A$7:$A$50,'GO TRANSPORT'!G12))+(COUNTIF(KIFAITOUT!$A$7:$A$50,'GO TRANSPORT'!G12))+(COUNTIF('LUXE DRIVE'!$A$7:$A$50,'GO TRANSPORT'!G12))+(COUNTIF(SSN!$A$7:$A$50,'GO TRANSPORT'!G12))+(COUNTIF('W3'!$A$7:$A$50,'GO TRANSPORT'!G12))+(COUNTIF('ATHIS MONS'!$A$7:$A$50,'GO TRANSPORT'!G12))+(COUNTIF('L HAY LES ROSES'!$A$7:$A$50,'GO TRANSPORT'!G12))+(COUNTIF(RUNGIS!$A$7:$A$50,'GO TRANSPORT'!G12))+(COUNTIF(SCEAUX!$A$7:$A$50,'GO TRANSPORT'!G12))+(COUNTIF('INSTANCE C1'!$A$7:$A$50,'GO TRANSPORT'!G12))+(COUNTIF('INSTANCE C2'!$A$7:$A$50,'GO TRANSPORT'!G12))+(COUNTIF(INTERNES!$A$7:$A$50,'GO TRANSPORT'!G12))+(COUNTIF('EN PANNE'!$A$7:$A$50,'GO TRANSPORT'!G12))+(COUNTIF(TJM!$A$7:$A$50,'GO TRANSPORT'!G12))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R12" s="65"/>
      <c r="S12" s="60">
        <f t="shared" si="1"/>
        <v>0</v>
      </c>
      <c r="T12" s="67">
        <f t="shared" si="2"/>
        <v>0</v>
      </c>
    </row>
    <row r="13" spans="1:223" ht="24.95" customHeight="1" x14ac:dyDescent="0.2">
      <c r="A13" s="20"/>
      <c r="B13" s="23">
        <f>(COUNTIF('2S EXPRESS'!$A$7:$A$50,'GO TRANSPORT'!A13))+(COUNTIF('2 ZT'!$A$7:$A$50,'GO TRANSPORT'!A13))+(COUNTIF('GO TRANSPORT'!$A$7:$A$50,'GO TRANSPORT'!A13))+(COUNTIF('HMZ - KAIS'!$A$7:$A$50,'GO TRANSPORT'!A13))+(COUNTIF('IB TRANSPORT'!$A$7:$A$50,'GO TRANSPORT'!A13))+(COUNTIF(JSL!$A$7:$A$50,'GO TRANSPORT'!A13))+(COUNTIF(KIFAITOUT!$A$7:$A$50,'GO TRANSPORT'!A13))+(COUNTIF('LUXE DRIVE'!$A$7:$A$50,'GO TRANSPORT'!A13))+(COUNTIF(SSN!$A$7:$A$50,'GO TRANSPORT'!A13))+(COUNTIF('W3'!$A$7:$A$50,'GO TRANSPORT'!A13))+(COUNTIF('ATHIS MONS'!$A$7:$A$50,'GO TRANSPORT'!A13))+(COUNTIF('L HAY LES ROSES'!$A$7:$A$50,'GO TRANSPORT'!A13))+(COUNTIF(RUNGIS!$A$7:$A$50,'GO TRANSPORT'!A13))+(COUNTIF(SCEAUX!$A$7:$A$50,'GO TRANSPORT'!A13))+(COUNTIF('INSTANCE C1'!$A$7:$A$50,'GO TRANSPORT'!A13))+(COUNTIF('INSTANCE C2'!$A$7:$A$50,'GO TRANSPORT'!A13))+(COUNTIF(INTERNES!$A$7:$A$50,'GO TRANSPORT'!A13))+(COUNTIF('EN PANNE'!$A$7:$A$50,'GO TRANSPORT'!A13))+(COUNTIF(TJM!$A$7:$A$50,'GO TRANSPORT'!A13))-C13</f>
        <v>0</v>
      </c>
      <c r="C13" s="23">
        <f>(COUNTIF('2S EXPRESS'!$G$7:$G$50,'GO TRANSPORT'!A13))+(COUNTIF('2 ZT'!$G$7:$G$50,'GO TRANSPORT'!A13))+(COUNTIF('GO TRANSPORT'!$G$7:$G$50,'GO TRANSPORT'!A13))+(COUNTIF('GO TRANSPORT'!$G$7:$G$50,'GO TRANSPORT'!A13))+(COUNTIF('IB TRANSPORT'!$G$7:$G$50,'GO TRANSPORT'!A13))+(COUNTIF(JSL!$G$7:$G$50,'GO TRANSPORT'!A13))+(COUNTIF(KIFAITOUT!$G$7:$G$50,'GO TRANSPORT'!A13))+(COUNTIF('LUXE DRIVE'!$G$7:$G$50,'GO TRANSPORT'!A13))+(COUNTIF(SSN!$G$7:$G$50,'GO TRANSPORT'!A13))+(COUNTIF('W3'!$G$7:$G$50,'GO TRANSPORT'!A13))+(COUNTIF('ATHIS MONS'!$G$7:$G$50,'GO TRANSPORT'!A13))+(COUNTIF('L HAY LES ROSES'!$G$7:$G$50,'GO TRANSPORT'!A13))+(COUNTIF(RUNGIS!$G$7:$G$50,'GO TRANSPORT'!A13))+(COUNTIF(SCEAUX!$G$7:$G$50,'GO TRANSPORT'!A13))+(COUNTIF('INSTANCE C1'!$G$7:$G$50,'GO TRANSPORT'!A13))+(COUNTIF('INSTANCE C2'!$G$7:$G$50,'GO TRANSPORT'!A13))+(COUNTIF(INTERNES!$G$7:$G$50,'GO TRANSPORT'!A13))+(COUNTIF('EN PANNE'!$G$7:$G$50,'GO TRANSPORT'!A13))+(COUNTIF(TJM!$G$7:$G$50,'GO TRANSPORT'!A13))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EXPRESS'!$G$7:$G$50,'GO TRANSPORT'!G13))+(COUNTIF('2 ZT'!$G$7:$G$50,'GO TRANSPORT'!G13))+(COUNTIF('GO TRANSPORT'!$G$7:$G$50,'GO TRANSPORT'!G13))+(COUNTIF('HMZ - KAIS'!$G$7:$G$50,'GO TRANSPORT'!G13))+(COUNTIF('IB TRANSPORT'!$G$7:$G$50,'GO TRANSPORT'!G13))+(COUNTIF(JSL!$G$7:$G$50,'GO TRANSPORT'!G13))+(COUNTIF(KIFAITOUT!$G$7:$G$50,'GO TRANSPORT'!G13))+(COUNTIF('LUXE DRIVE'!$G$7:$G$50,'GO TRANSPORT'!G13))+(COUNTIF(SSN!$G$7:$G$50,'GO TRANSPORT'!G13))+(COUNTIF('W3'!$G$7:$G$50,'GO TRANSPORT'!G13))+(COUNTIF('ATHIS MONS'!$G$7:$G$50,'GO TRANSPORT'!G13))+(COUNTIF('L HAY LES ROSES'!$G$7:$G$50,'GO TRANSPORT'!G13))+(COUNTIF(RUNGIS!$G$7:$G$50,'GO TRANSPORT'!G13))+(COUNTIF(SCEAUX!$G$7:$G$50,'GO TRANSPORT'!G13))+(COUNTIF('INSTANCE C1'!$G$7:$G$50,'GO TRANSPORT'!G13))+(COUNTIF('INSTANCE C2'!$G$7:$G$50,'GO TRANSPORT'!G13))+(COUNTIF(INTERNES!$G$7:$G$50,'GO TRANSPORT'!G13))+(COUNTIF('EN PANNE'!$G$7:$G$50,'GO TRANSPORT'!G13))+(COUNTIF(TJM!$G$7:$G$50,'GO TRANSPORT'!G13))-I13</f>
        <v>0</v>
      </c>
      <c r="I13" s="23">
        <f>(COUNTIF('2S EXPRESS'!$A$7:$A$50,'GO TRANSPORT'!G13))+(COUNTIF('2 ZT'!$A$7:$A$50,'GO TRANSPORT'!G13))+(COUNTIF('GO TRANSPORT'!$A$7:$A$50,'GO TRANSPORT'!G13))+(COUNTIF('HMZ - KAIS'!$A$7:$A$50,'GO TRANSPORT'!G13))+(COUNTIF('IB TRANSPORT'!$A$7:$A$50,'GO TRANSPORT'!G13))+(COUNTIF(JSL!$A$7:$A$50,'GO TRANSPORT'!G13))+(COUNTIF(KIFAITOUT!$A$7:$A$50,'GO TRANSPORT'!G13))+(COUNTIF('LUXE DRIVE'!$A$7:$A$50,'GO TRANSPORT'!G13))+(COUNTIF(SSN!$A$7:$A$50,'GO TRANSPORT'!G13))+(COUNTIF('W3'!$A$7:$A$50,'GO TRANSPORT'!G13))+(COUNTIF('ATHIS MONS'!$A$7:$A$50,'GO TRANSPORT'!G13))+(COUNTIF('L HAY LES ROSES'!$A$7:$A$50,'GO TRANSPORT'!G13))+(COUNTIF(RUNGIS!$A$7:$A$50,'GO TRANSPORT'!G13))+(COUNTIF(SCEAUX!$A$7:$A$50,'GO TRANSPORT'!G13))+(COUNTIF('INSTANCE C1'!$A$7:$A$50,'GO TRANSPORT'!G13))+(COUNTIF('INSTANCE C2'!$A$7:$A$50,'GO TRANSPORT'!G13))+(COUNTIF(INTERNES!$A$7:$A$50,'GO TRANSPORT'!G13))+(COUNTIF('EN PANNE'!$A$7:$A$50,'GO TRANSPORT'!G13))+(COUNTIF(TJM!$A$7:$A$50,'GO TRANSPORT'!G13))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R13" s="65"/>
      <c r="S13" s="60">
        <f t="shared" si="1"/>
        <v>0</v>
      </c>
      <c r="T13" s="67">
        <f t="shared" si="2"/>
        <v>0</v>
      </c>
    </row>
    <row r="14" spans="1:223" ht="24.95" customHeight="1" x14ac:dyDescent="0.2">
      <c r="A14" s="20"/>
      <c r="B14" s="23">
        <f>(COUNTIF('2S EXPRESS'!$A$7:$A$50,'GO TRANSPORT'!A14))+(COUNTIF('2 ZT'!$A$7:$A$50,'GO TRANSPORT'!A14))+(COUNTIF('GO TRANSPORT'!$A$7:$A$50,'GO TRANSPORT'!A14))+(COUNTIF('HMZ - KAIS'!$A$7:$A$50,'GO TRANSPORT'!A14))+(COUNTIF('IB TRANSPORT'!$A$7:$A$50,'GO TRANSPORT'!A14))+(COUNTIF(JSL!$A$7:$A$50,'GO TRANSPORT'!A14))+(COUNTIF(KIFAITOUT!$A$7:$A$50,'GO TRANSPORT'!A14))+(COUNTIF('LUXE DRIVE'!$A$7:$A$50,'GO TRANSPORT'!A14))+(COUNTIF(SSN!$A$7:$A$50,'GO TRANSPORT'!A14))+(COUNTIF('W3'!$A$7:$A$50,'GO TRANSPORT'!A14))+(COUNTIF('ATHIS MONS'!$A$7:$A$50,'GO TRANSPORT'!A14))+(COUNTIF('L HAY LES ROSES'!$A$7:$A$50,'GO TRANSPORT'!A14))+(COUNTIF(RUNGIS!$A$7:$A$50,'GO TRANSPORT'!A14))+(COUNTIF(SCEAUX!$A$7:$A$50,'GO TRANSPORT'!A14))+(COUNTIF('INSTANCE C1'!$A$7:$A$50,'GO TRANSPORT'!A14))+(COUNTIF('INSTANCE C2'!$A$7:$A$50,'GO TRANSPORT'!A14))+(COUNTIF(INTERNES!$A$7:$A$50,'GO TRANSPORT'!A14))+(COUNTIF('EN PANNE'!$A$7:$A$50,'GO TRANSPORT'!A14))+(COUNTIF(TJM!$A$7:$A$50,'GO TRANSPORT'!A14))-C14</f>
        <v>0</v>
      </c>
      <c r="C14" s="23">
        <f>(COUNTIF('2S EXPRESS'!$G$7:$G$50,'GO TRANSPORT'!A14))+(COUNTIF('2 ZT'!$G$7:$G$50,'GO TRANSPORT'!A14))+(COUNTIF('GO TRANSPORT'!$G$7:$G$50,'GO TRANSPORT'!A14))+(COUNTIF('GO TRANSPORT'!$G$7:$G$50,'GO TRANSPORT'!A14))+(COUNTIF('IB TRANSPORT'!$G$7:$G$50,'GO TRANSPORT'!A14))+(COUNTIF(JSL!$G$7:$G$50,'GO TRANSPORT'!A14))+(COUNTIF(KIFAITOUT!$G$7:$G$50,'GO TRANSPORT'!A14))+(COUNTIF('LUXE DRIVE'!$G$7:$G$50,'GO TRANSPORT'!A14))+(COUNTIF(SSN!$G$7:$G$50,'GO TRANSPORT'!A14))+(COUNTIF('W3'!$G$7:$G$50,'GO TRANSPORT'!A14))+(COUNTIF('ATHIS MONS'!$G$7:$G$50,'GO TRANSPORT'!A14))+(COUNTIF('L HAY LES ROSES'!$G$7:$G$50,'GO TRANSPORT'!A14))+(COUNTIF(RUNGIS!$G$7:$G$50,'GO TRANSPORT'!A14))+(COUNTIF(SCEAUX!$G$7:$G$50,'GO TRANSPORT'!A14))+(COUNTIF('INSTANCE C1'!$G$7:$G$50,'GO TRANSPORT'!A14))+(COUNTIF('INSTANCE C2'!$G$7:$G$50,'GO TRANSPORT'!A14))+(COUNTIF(INTERNES!$G$7:$G$50,'GO TRANSPORT'!A14))+(COUNTIF('EN PANNE'!$G$7:$G$50,'GO TRANSPORT'!A14))+(COUNTIF(TJM!$G$7:$G$50,'GO TRANSPORT'!A14))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EXPRESS'!$G$7:$G$50,'GO TRANSPORT'!G14))+(COUNTIF('2 ZT'!$G$7:$G$50,'GO TRANSPORT'!G14))+(COUNTIF('GO TRANSPORT'!$G$7:$G$50,'GO TRANSPORT'!G14))+(COUNTIF('HMZ - KAIS'!$G$7:$G$50,'GO TRANSPORT'!G14))+(COUNTIF('IB TRANSPORT'!$G$7:$G$50,'GO TRANSPORT'!G14))+(COUNTIF(JSL!$G$7:$G$50,'GO TRANSPORT'!G14))+(COUNTIF(KIFAITOUT!$G$7:$G$50,'GO TRANSPORT'!G14))+(COUNTIF('LUXE DRIVE'!$G$7:$G$50,'GO TRANSPORT'!G14))+(COUNTIF(SSN!$G$7:$G$50,'GO TRANSPORT'!G14))+(COUNTIF('W3'!$G$7:$G$50,'GO TRANSPORT'!G14))+(COUNTIF('ATHIS MONS'!$G$7:$G$50,'GO TRANSPORT'!G14))+(COUNTIF('L HAY LES ROSES'!$G$7:$G$50,'GO TRANSPORT'!G14))+(COUNTIF(RUNGIS!$G$7:$G$50,'GO TRANSPORT'!G14))+(COUNTIF(SCEAUX!$G$7:$G$50,'GO TRANSPORT'!G14))+(COUNTIF('INSTANCE C1'!$G$7:$G$50,'GO TRANSPORT'!G14))+(COUNTIF('INSTANCE C2'!$G$7:$G$50,'GO TRANSPORT'!G14))+(COUNTIF(INTERNES!$G$7:$G$50,'GO TRANSPORT'!G14))+(COUNTIF('EN PANNE'!$G$7:$G$50,'GO TRANSPORT'!G14))+(COUNTIF(TJM!$G$7:$G$50,'GO TRANSPORT'!G14))-I14</f>
        <v>0</v>
      </c>
      <c r="I14" s="23">
        <f>(COUNTIF('2S EXPRESS'!$A$7:$A$50,'GO TRANSPORT'!G14))+(COUNTIF('2 ZT'!$A$7:$A$50,'GO TRANSPORT'!G14))+(COUNTIF('GO TRANSPORT'!$A$7:$A$50,'GO TRANSPORT'!G14))+(COUNTIF('HMZ - KAIS'!$A$7:$A$50,'GO TRANSPORT'!G14))+(COUNTIF('IB TRANSPORT'!$A$7:$A$50,'GO TRANSPORT'!G14))+(COUNTIF(JSL!$A$7:$A$50,'GO TRANSPORT'!G14))+(COUNTIF(KIFAITOUT!$A$7:$A$50,'GO TRANSPORT'!G14))+(COUNTIF('LUXE DRIVE'!$A$7:$A$50,'GO TRANSPORT'!G14))+(COUNTIF(SSN!$A$7:$A$50,'GO TRANSPORT'!G14))+(COUNTIF('W3'!$A$7:$A$50,'GO TRANSPORT'!G14))+(COUNTIF('ATHIS MONS'!$A$7:$A$50,'GO TRANSPORT'!G14))+(COUNTIF('L HAY LES ROSES'!$A$7:$A$50,'GO TRANSPORT'!G14))+(COUNTIF(RUNGIS!$A$7:$A$50,'GO TRANSPORT'!G14))+(COUNTIF(SCEAUX!$A$7:$A$50,'GO TRANSPORT'!G14))+(COUNTIF('INSTANCE C1'!$A$7:$A$50,'GO TRANSPORT'!G14))+(COUNTIF('INSTANCE C2'!$A$7:$A$50,'GO TRANSPORT'!G14))+(COUNTIF(INTERNES!$A$7:$A$50,'GO TRANSPORT'!G14))+(COUNTIF('EN PANNE'!$A$7:$A$50,'GO TRANSPORT'!G14))+(COUNTIF(TJM!$A$7:$A$50,'GO TRANSPORT'!G14))</f>
        <v>0</v>
      </c>
      <c r="J14" s="28">
        <f t="shared" si="4"/>
        <v>0</v>
      </c>
      <c r="K14" s="2"/>
      <c r="L14" s="47"/>
      <c r="Q14" s="66" t="s">
        <v>30</v>
      </c>
      <c r="S14" s="60">
        <f t="shared" si="1"/>
        <v>0</v>
      </c>
      <c r="T14" s="67">
        <f t="shared" si="2"/>
        <v>0</v>
      </c>
    </row>
    <row r="15" spans="1:223" ht="24.95" customHeight="1" x14ac:dyDescent="0.2">
      <c r="A15" s="20"/>
      <c r="B15" s="23">
        <f>(COUNTIF('2S EXPRESS'!$A$7:$A$50,'GO TRANSPORT'!A15))+(COUNTIF('2 ZT'!$A$7:$A$50,'GO TRANSPORT'!A15))+(COUNTIF('GO TRANSPORT'!$A$7:$A$50,'GO TRANSPORT'!A15))+(COUNTIF('HMZ - KAIS'!$A$7:$A$50,'GO TRANSPORT'!A15))+(COUNTIF('IB TRANSPORT'!$A$7:$A$50,'GO TRANSPORT'!A15))+(COUNTIF(JSL!$A$7:$A$50,'GO TRANSPORT'!A15))+(COUNTIF(KIFAITOUT!$A$7:$A$50,'GO TRANSPORT'!A15))+(COUNTIF('LUXE DRIVE'!$A$7:$A$50,'GO TRANSPORT'!A15))+(COUNTIF(SSN!$A$7:$A$50,'GO TRANSPORT'!A15))+(COUNTIF('W3'!$A$7:$A$50,'GO TRANSPORT'!A15))+(COUNTIF('ATHIS MONS'!$A$7:$A$50,'GO TRANSPORT'!A15))+(COUNTIF('L HAY LES ROSES'!$A$7:$A$50,'GO TRANSPORT'!A15))+(COUNTIF(RUNGIS!$A$7:$A$50,'GO TRANSPORT'!A15))+(COUNTIF(SCEAUX!$A$7:$A$50,'GO TRANSPORT'!A15))+(COUNTIF('INSTANCE C1'!$A$7:$A$50,'GO TRANSPORT'!A15))+(COUNTIF('INSTANCE C2'!$A$7:$A$50,'GO TRANSPORT'!A15))+(COUNTIF(INTERNES!$A$7:$A$50,'GO TRANSPORT'!A15))+(COUNTIF('EN PANNE'!$A$7:$A$50,'GO TRANSPORT'!A15))+(COUNTIF(TJM!$A$7:$A$50,'GO TRANSPORT'!A15))-C15</f>
        <v>0</v>
      </c>
      <c r="C15" s="23">
        <f>(COUNTIF('2S EXPRESS'!$G$7:$G$50,'GO TRANSPORT'!A15))+(COUNTIF('2 ZT'!$G$7:$G$50,'GO TRANSPORT'!A15))+(COUNTIF('GO TRANSPORT'!$G$7:$G$50,'GO TRANSPORT'!A15))+(COUNTIF('GO TRANSPORT'!$G$7:$G$50,'GO TRANSPORT'!A15))+(COUNTIF('IB TRANSPORT'!$G$7:$G$50,'GO TRANSPORT'!A15))+(COUNTIF(JSL!$G$7:$G$50,'GO TRANSPORT'!A15))+(COUNTIF(KIFAITOUT!$G$7:$G$50,'GO TRANSPORT'!A15))+(COUNTIF('LUXE DRIVE'!$G$7:$G$50,'GO TRANSPORT'!A15))+(COUNTIF(SSN!$G$7:$G$50,'GO TRANSPORT'!A15))+(COUNTIF('W3'!$G$7:$G$50,'GO TRANSPORT'!A15))+(COUNTIF('ATHIS MONS'!$G$7:$G$50,'GO TRANSPORT'!A15))+(COUNTIF('L HAY LES ROSES'!$G$7:$G$50,'GO TRANSPORT'!A15))+(COUNTIF(RUNGIS!$G$7:$G$50,'GO TRANSPORT'!A15))+(COUNTIF(SCEAUX!$G$7:$G$50,'GO TRANSPORT'!A15))+(COUNTIF('INSTANCE C1'!$G$7:$G$50,'GO TRANSPORT'!A15))+(COUNTIF('INSTANCE C2'!$G$7:$G$50,'GO TRANSPORT'!A15))+(COUNTIF(INTERNES!$G$7:$G$50,'GO TRANSPORT'!A15))+(COUNTIF('EN PANNE'!$G$7:$G$50,'GO TRANSPORT'!A15))+(COUNTIF(TJM!$G$7:$G$50,'GO TRANSPORT'!A15))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EXPRESS'!$G$7:$G$50,'GO TRANSPORT'!G15))+(COUNTIF('2 ZT'!$G$7:$G$50,'GO TRANSPORT'!G15))+(COUNTIF('GO TRANSPORT'!$G$7:$G$50,'GO TRANSPORT'!G15))+(COUNTIF('HMZ - KAIS'!$G$7:$G$50,'GO TRANSPORT'!G15))+(COUNTIF('IB TRANSPORT'!$G$7:$G$50,'GO TRANSPORT'!G15))+(COUNTIF(JSL!$G$7:$G$50,'GO TRANSPORT'!G15))+(COUNTIF(KIFAITOUT!$G$7:$G$50,'GO TRANSPORT'!G15))+(COUNTIF('LUXE DRIVE'!$G$7:$G$50,'GO TRANSPORT'!G15))+(COUNTIF(SSN!$G$7:$G$50,'GO TRANSPORT'!G15))+(COUNTIF('W3'!$G$7:$G$50,'GO TRANSPORT'!G15))+(COUNTIF('ATHIS MONS'!$G$7:$G$50,'GO TRANSPORT'!G15))+(COUNTIF('L HAY LES ROSES'!$G$7:$G$50,'GO TRANSPORT'!G15))+(COUNTIF(RUNGIS!$G$7:$G$50,'GO TRANSPORT'!G15))+(COUNTIF(SCEAUX!$G$7:$G$50,'GO TRANSPORT'!G15))+(COUNTIF('INSTANCE C1'!$G$7:$G$50,'GO TRANSPORT'!G15))+(COUNTIF('INSTANCE C2'!$G$7:$G$50,'GO TRANSPORT'!G15))+(COUNTIF(INTERNES!$G$7:$G$50,'GO TRANSPORT'!G15))+(COUNTIF('EN PANNE'!$G$7:$G$50,'GO TRANSPORT'!G15))+(COUNTIF(TJM!$G$7:$G$50,'GO TRANSPORT'!G15))-I15</f>
        <v>0</v>
      </c>
      <c r="I15" s="23">
        <f>(COUNTIF('2S EXPRESS'!$A$7:$A$50,'GO TRANSPORT'!G15))+(COUNTIF('2 ZT'!$A$7:$A$50,'GO TRANSPORT'!G15))+(COUNTIF('GO TRANSPORT'!$A$7:$A$50,'GO TRANSPORT'!G15))+(COUNTIF('HMZ - KAIS'!$A$7:$A$50,'GO TRANSPORT'!G15))+(COUNTIF('IB TRANSPORT'!$A$7:$A$50,'GO TRANSPORT'!G15))+(COUNTIF(JSL!$A$7:$A$50,'GO TRANSPORT'!G15))+(COUNTIF(KIFAITOUT!$A$7:$A$50,'GO TRANSPORT'!G15))+(COUNTIF('LUXE DRIVE'!$A$7:$A$50,'GO TRANSPORT'!G15))+(COUNTIF(SSN!$A$7:$A$50,'GO TRANSPORT'!G15))+(COUNTIF('W3'!$A$7:$A$50,'GO TRANSPORT'!G15))+(COUNTIF('ATHIS MONS'!$A$7:$A$50,'GO TRANSPORT'!G15))+(COUNTIF('L HAY LES ROSES'!$A$7:$A$50,'GO TRANSPORT'!G15))+(COUNTIF(RUNGIS!$A$7:$A$50,'GO TRANSPORT'!G15))+(COUNTIF(SCEAUX!$A$7:$A$50,'GO TRANSPORT'!G15))+(COUNTIF('INSTANCE C1'!$A$7:$A$50,'GO TRANSPORT'!G15))+(COUNTIF('INSTANCE C2'!$A$7:$A$50,'GO TRANSPORT'!G15))+(COUNTIF(INTERNES!$A$7:$A$50,'GO TRANSPORT'!G15))+(COUNTIF('EN PANNE'!$A$7:$A$50,'GO TRANSPORT'!G15))+(COUNTIF(TJM!$A$7:$A$50,'GO TRANSPORT'!G15))</f>
        <v>0</v>
      </c>
      <c r="J15" s="28">
        <f t="shared" si="4"/>
        <v>0</v>
      </c>
      <c r="K15" s="2"/>
      <c r="L15" s="47"/>
      <c r="Q15" s="66" t="s">
        <v>31</v>
      </c>
      <c r="S15" s="60">
        <f t="shared" si="1"/>
        <v>0</v>
      </c>
      <c r="T15" s="67">
        <f t="shared" si="2"/>
        <v>0</v>
      </c>
    </row>
    <row r="16" spans="1:223" ht="24.95" customHeight="1" x14ac:dyDescent="0.2">
      <c r="A16" s="20"/>
      <c r="B16" s="23">
        <f>(COUNTIF('2S EXPRESS'!$A$7:$A$50,'GO TRANSPORT'!A16))+(COUNTIF('2 ZT'!$A$7:$A$50,'GO TRANSPORT'!A16))+(COUNTIF('GO TRANSPORT'!$A$7:$A$50,'GO TRANSPORT'!A16))+(COUNTIF('HMZ - KAIS'!$A$7:$A$50,'GO TRANSPORT'!A16))+(COUNTIF('IB TRANSPORT'!$A$7:$A$50,'GO TRANSPORT'!A16))+(COUNTIF(JSL!$A$7:$A$50,'GO TRANSPORT'!A16))+(COUNTIF(KIFAITOUT!$A$7:$A$50,'GO TRANSPORT'!A16))+(COUNTIF('LUXE DRIVE'!$A$7:$A$50,'GO TRANSPORT'!A16))+(COUNTIF(SSN!$A$7:$A$50,'GO TRANSPORT'!A16))+(COUNTIF('W3'!$A$7:$A$50,'GO TRANSPORT'!A16))+(COUNTIF('ATHIS MONS'!$A$7:$A$50,'GO TRANSPORT'!A16))+(COUNTIF('L HAY LES ROSES'!$A$7:$A$50,'GO TRANSPORT'!A16))+(COUNTIF(RUNGIS!$A$7:$A$50,'GO TRANSPORT'!A16))+(COUNTIF(SCEAUX!$A$7:$A$50,'GO TRANSPORT'!A16))+(COUNTIF('INSTANCE C1'!$A$7:$A$50,'GO TRANSPORT'!A16))+(COUNTIF('INSTANCE C2'!$A$7:$A$50,'GO TRANSPORT'!A16))+(COUNTIF(INTERNES!$A$7:$A$50,'GO TRANSPORT'!A16))+(COUNTIF('EN PANNE'!$A$7:$A$50,'GO TRANSPORT'!A16))+(COUNTIF(TJM!$A$7:$A$50,'GO TRANSPORT'!A16))-C16</f>
        <v>0</v>
      </c>
      <c r="C16" s="23">
        <f>(COUNTIF('2S EXPRESS'!$G$7:$G$50,'GO TRANSPORT'!A16))+(COUNTIF('2 ZT'!$G$7:$G$50,'GO TRANSPORT'!A16))+(COUNTIF('GO TRANSPORT'!$G$7:$G$50,'GO TRANSPORT'!A16))+(COUNTIF('GO TRANSPORT'!$G$7:$G$50,'GO TRANSPORT'!A16))+(COUNTIF('IB TRANSPORT'!$G$7:$G$50,'GO TRANSPORT'!A16))+(COUNTIF(JSL!$G$7:$G$50,'GO TRANSPORT'!A16))+(COUNTIF(KIFAITOUT!$G$7:$G$50,'GO TRANSPORT'!A16))+(COUNTIF('LUXE DRIVE'!$G$7:$G$50,'GO TRANSPORT'!A16))+(COUNTIF(SSN!$G$7:$G$50,'GO TRANSPORT'!A16))+(COUNTIF('W3'!$G$7:$G$50,'GO TRANSPORT'!A16))+(COUNTIF('ATHIS MONS'!$G$7:$G$50,'GO TRANSPORT'!A16))+(COUNTIF('L HAY LES ROSES'!$G$7:$G$50,'GO TRANSPORT'!A16))+(COUNTIF(RUNGIS!$G$7:$G$50,'GO TRANSPORT'!A16))+(COUNTIF(SCEAUX!$G$7:$G$50,'GO TRANSPORT'!A16))+(COUNTIF('INSTANCE C1'!$G$7:$G$50,'GO TRANSPORT'!A16))+(COUNTIF('INSTANCE C2'!$G$7:$G$50,'GO TRANSPORT'!A16))+(COUNTIF(INTERNES!$G$7:$G$50,'GO TRANSPORT'!A16))+(COUNTIF('EN PANNE'!$G$7:$G$50,'GO TRANSPORT'!A16))+(COUNTIF(TJM!$G$7:$G$50,'GO TRANSPORT'!A16))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EXPRESS'!$G$7:$G$50,'GO TRANSPORT'!G16))+(COUNTIF('2 ZT'!$G$7:$G$50,'GO TRANSPORT'!G16))+(COUNTIF('GO TRANSPORT'!$G$7:$G$50,'GO TRANSPORT'!G16))+(COUNTIF('HMZ - KAIS'!$G$7:$G$50,'GO TRANSPORT'!G16))+(COUNTIF('IB TRANSPORT'!$G$7:$G$50,'GO TRANSPORT'!G16))+(COUNTIF(JSL!$G$7:$G$50,'GO TRANSPORT'!G16))+(COUNTIF(KIFAITOUT!$G$7:$G$50,'GO TRANSPORT'!G16))+(COUNTIF('LUXE DRIVE'!$G$7:$G$50,'GO TRANSPORT'!G16))+(COUNTIF(SSN!$G$7:$G$50,'GO TRANSPORT'!G16))+(COUNTIF('W3'!$G$7:$G$50,'GO TRANSPORT'!G16))+(COUNTIF('ATHIS MONS'!$G$7:$G$50,'GO TRANSPORT'!G16))+(COUNTIF('L HAY LES ROSES'!$G$7:$G$50,'GO TRANSPORT'!G16))+(COUNTIF(RUNGIS!$G$7:$G$50,'GO TRANSPORT'!G16))+(COUNTIF(SCEAUX!$G$7:$G$50,'GO TRANSPORT'!G16))+(COUNTIF('INSTANCE C1'!$G$7:$G$50,'GO TRANSPORT'!G16))+(COUNTIF('INSTANCE C2'!$G$7:$G$50,'GO TRANSPORT'!G16))+(COUNTIF(INTERNES!$G$7:$G$50,'GO TRANSPORT'!G16))+(COUNTIF('EN PANNE'!$G$7:$G$50,'GO TRANSPORT'!G16))+(COUNTIF(TJM!$G$7:$G$50,'GO TRANSPORT'!G16))-I16</f>
        <v>0</v>
      </c>
      <c r="I16" s="23">
        <f>(COUNTIF('2S EXPRESS'!$A$7:$A$50,'GO TRANSPORT'!G16))+(COUNTIF('2 ZT'!$A$7:$A$50,'GO TRANSPORT'!G16))+(COUNTIF('GO TRANSPORT'!$A$7:$A$50,'GO TRANSPORT'!G16))+(COUNTIF('HMZ - KAIS'!$A$7:$A$50,'GO TRANSPORT'!G16))+(COUNTIF('IB TRANSPORT'!$A$7:$A$50,'GO TRANSPORT'!G16))+(COUNTIF(JSL!$A$7:$A$50,'GO TRANSPORT'!G16))+(COUNTIF(KIFAITOUT!$A$7:$A$50,'GO TRANSPORT'!G16))+(COUNTIF('LUXE DRIVE'!$A$7:$A$50,'GO TRANSPORT'!G16))+(COUNTIF(SSN!$A$7:$A$50,'GO TRANSPORT'!G16))+(COUNTIF('W3'!$A$7:$A$50,'GO TRANSPORT'!G16))+(COUNTIF('ATHIS MONS'!$A$7:$A$50,'GO TRANSPORT'!G16))+(COUNTIF('L HAY LES ROSES'!$A$7:$A$50,'GO TRANSPORT'!G16))+(COUNTIF(RUNGIS!$A$7:$A$50,'GO TRANSPORT'!G16))+(COUNTIF(SCEAUX!$A$7:$A$50,'GO TRANSPORT'!G16))+(COUNTIF('INSTANCE C1'!$A$7:$A$50,'GO TRANSPORT'!G16))+(COUNTIF('INSTANCE C2'!$A$7:$A$50,'GO TRANSPORT'!G16))+(COUNTIF(INTERNES!$A$7:$A$50,'GO TRANSPORT'!G16))+(COUNTIF('EN PANNE'!$A$7:$A$50,'GO TRANSPORT'!G16))+(COUNTIF(TJM!$A$7:$A$50,'GO TRANSPORT'!G16))</f>
        <v>0</v>
      </c>
      <c r="J16" s="28">
        <f t="shared" si="4"/>
        <v>0</v>
      </c>
      <c r="K16" s="2"/>
      <c r="L16" s="47"/>
      <c r="Q16" s="66" t="s">
        <v>32</v>
      </c>
      <c r="S16" s="60">
        <f t="shared" si="1"/>
        <v>0</v>
      </c>
      <c r="T16" s="67">
        <f t="shared" si="2"/>
        <v>0</v>
      </c>
    </row>
    <row r="17" spans="1:20" ht="24.95" customHeight="1" x14ac:dyDescent="0.2">
      <c r="A17" s="20"/>
      <c r="B17" s="23">
        <f>(COUNTIF('2S EXPRESS'!$A$7:$A$50,'GO TRANSPORT'!A17))+(COUNTIF('2 ZT'!$A$7:$A$50,'GO TRANSPORT'!A17))+(COUNTIF('GO TRANSPORT'!$A$7:$A$50,'GO TRANSPORT'!A17))+(COUNTIF('HMZ - KAIS'!$A$7:$A$50,'GO TRANSPORT'!A17))+(COUNTIF('IB TRANSPORT'!$A$7:$A$50,'GO TRANSPORT'!A17))+(COUNTIF(JSL!$A$7:$A$50,'GO TRANSPORT'!A17))+(COUNTIF(KIFAITOUT!$A$7:$A$50,'GO TRANSPORT'!A17))+(COUNTIF('LUXE DRIVE'!$A$7:$A$50,'GO TRANSPORT'!A17))+(COUNTIF(SSN!$A$7:$A$50,'GO TRANSPORT'!A17))+(COUNTIF('W3'!$A$7:$A$50,'GO TRANSPORT'!A17))+(COUNTIF('ATHIS MONS'!$A$7:$A$50,'GO TRANSPORT'!A17))+(COUNTIF('L HAY LES ROSES'!$A$7:$A$50,'GO TRANSPORT'!A17))+(COUNTIF(RUNGIS!$A$7:$A$50,'GO TRANSPORT'!A17))+(COUNTIF(SCEAUX!$A$7:$A$50,'GO TRANSPORT'!A17))+(COUNTIF('INSTANCE C1'!$A$7:$A$50,'GO TRANSPORT'!A17))+(COUNTIF('INSTANCE C2'!$A$7:$A$50,'GO TRANSPORT'!A17))+(COUNTIF(INTERNES!$A$7:$A$50,'GO TRANSPORT'!A17))+(COUNTIF('EN PANNE'!$A$7:$A$50,'GO TRANSPORT'!A17))+(COUNTIF(TJM!$A$7:$A$50,'GO TRANSPORT'!A17))-C17</f>
        <v>0</v>
      </c>
      <c r="C17" s="23">
        <f>(COUNTIF('2S EXPRESS'!$G$7:$G$50,'GO TRANSPORT'!A17))+(COUNTIF('2 ZT'!$G$7:$G$50,'GO TRANSPORT'!A17))+(COUNTIF('GO TRANSPORT'!$G$7:$G$50,'GO TRANSPORT'!A17))+(COUNTIF('GO TRANSPORT'!$G$7:$G$50,'GO TRANSPORT'!A17))+(COUNTIF('IB TRANSPORT'!$G$7:$G$50,'GO TRANSPORT'!A17))+(COUNTIF(JSL!$G$7:$G$50,'GO TRANSPORT'!A17))+(COUNTIF(KIFAITOUT!$G$7:$G$50,'GO TRANSPORT'!A17))+(COUNTIF('LUXE DRIVE'!$G$7:$G$50,'GO TRANSPORT'!A17))+(COUNTIF(SSN!$G$7:$G$50,'GO TRANSPORT'!A17))+(COUNTIF('W3'!$G$7:$G$50,'GO TRANSPORT'!A17))+(COUNTIF('ATHIS MONS'!$G$7:$G$50,'GO TRANSPORT'!A17))+(COUNTIF('L HAY LES ROSES'!$G$7:$G$50,'GO TRANSPORT'!A17))+(COUNTIF(RUNGIS!$G$7:$G$50,'GO TRANSPORT'!A17))+(COUNTIF(SCEAUX!$G$7:$G$50,'GO TRANSPORT'!A17))+(COUNTIF('INSTANCE C1'!$G$7:$G$50,'GO TRANSPORT'!A17))+(COUNTIF('INSTANCE C2'!$G$7:$G$50,'GO TRANSPORT'!A17))+(COUNTIF(INTERNES!$G$7:$G$50,'GO TRANSPORT'!A17))+(COUNTIF('EN PANNE'!$G$7:$G$50,'GO TRANSPORT'!A17))+(COUNTIF(TJM!$G$7:$G$50,'GO TRANSPORT'!A17))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EXPRESS'!$G$7:$G$50,'GO TRANSPORT'!G17))+(COUNTIF('2 ZT'!$G$7:$G$50,'GO TRANSPORT'!G17))+(COUNTIF('GO TRANSPORT'!$G$7:$G$50,'GO TRANSPORT'!G17))+(COUNTIF('HMZ - KAIS'!$G$7:$G$50,'GO TRANSPORT'!G17))+(COUNTIF('IB TRANSPORT'!$G$7:$G$50,'GO TRANSPORT'!G17))+(COUNTIF(JSL!$G$7:$G$50,'GO TRANSPORT'!G17))+(COUNTIF(KIFAITOUT!$G$7:$G$50,'GO TRANSPORT'!G17))+(COUNTIF('LUXE DRIVE'!$G$7:$G$50,'GO TRANSPORT'!G17))+(COUNTIF(SSN!$G$7:$G$50,'GO TRANSPORT'!G17))+(COUNTIF('W3'!$G$7:$G$50,'GO TRANSPORT'!G17))+(COUNTIF('ATHIS MONS'!$G$7:$G$50,'GO TRANSPORT'!G17))+(COUNTIF('L HAY LES ROSES'!$G$7:$G$50,'GO TRANSPORT'!G17))+(COUNTIF(RUNGIS!$G$7:$G$50,'GO TRANSPORT'!G17))+(COUNTIF(SCEAUX!$G$7:$G$50,'GO TRANSPORT'!G17))+(COUNTIF('INSTANCE C1'!$G$7:$G$50,'GO TRANSPORT'!G17))+(COUNTIF('INSTANCE C2'!$G$7:$G$50,'GO TRANSPORT'!G17))+(COUNTIF(INTERNES!$G$7:$G$50,'GO TRANSPORT'!G17))+(COUNTIF('EN PANNE'!$G$7:$G$50,'GO TRANSPORT'!G17))+(COUNTIF(TJM!$G$7:$G$50,'GO TRANSPORT'!G17))-I17</f>
        <v>0</v>
      </c>
      <c r="I17" s="23">
        <f>(COUNTIF('2S EXPRESS'!$A$7:$A$50,'GO TRANSPORT'!G17))+(COUNTIF('2 ZT'!$A$7:$A$50,'GO TRANSPORT'!G17))+(COUNTIF('GO TRANSPORT'!$A$7:$A$50,'GO TRANSPORT'!G17))+(COUNTIF('HMZ - KAIS'!$A$7:$A$50,'GO TRANSPORT'!G17))+(COUNTIF('IB TRANSPORT'!$A$7:$A$50,'GO TRANSPORT'!G17))+(COUNTIF(JSL!$A$7:$A$50,'GO TRANSPORT'!G17))+(COUNTIF(KIFAITOUT!$A$7:$A$50,'GO TRANSPORT'!G17))+(COUNTIF('LUXE DRIVE'!$A$7:$A$50,'GO TRANSPORT'!G17))+(COUNTIF(SSN!$A$7:$A$50,'GO TRANSPORT'!G17))+(COUNTIF('W3'!$A$7:$A$50,'GO TRANSPORT'!G17))+(COUNTIF('ATHIS MONS'!$A$7:$A$50,'GO TRANSPORT'!G17))+(COUNTIF('L HAY LES ROSES'!$A$7:$A$50,'GO TRANSPORT'!G17))+(COUNTIF(RUNGIS!$A$7:$A$50,'GO TRANSPORT'!G17))+(COUNTIF(SCEAUX!$A$7:$A$50,'GO TRANSPORT'!G17))+(COUNTIF('INSTANCE C1'!$A$7:$A$50,'GO TRANSPORT'!G17))+(COUNTIF('INSTANCE C2'!$A$7:$A$50,'GO TRANSPORT'!G17))+(COUNTIF(INTERNES!$A$7:$A$50,'GO TRANSPORT'!G17))+(COUNTIF('EN PANNE'!$A$7:$A$50,'GO TRANSPORT'!G17))+(COUNTIF(TJM!$A$7:$A$50,'GO TRANSPORT'!G17))</f>
        <v>0</v>
      </c>
      <c r="J17" s="28">
        <f t="shared" si="4"/>
        <v>0</v>
      </c>
      <c r="K17" s="2"/>
      <c r="L17" s="47"/>
      <c r="Q17" s="66" t="s">
        <v>33</v>
      </c>
      <c r="S17" s="60">
        <f t="shared" si="1"/>
        <v>0</v>
      </c>
      <c r="T17" s="67">
        <f t="shared" si="2"/>
        <v>0</v>
      </c>
    </row>
    <row r="18" spans="1:20" ht="24.95" customHeight="1" x14ac:dyDescent="0.2">
      <c r="A18" s="20"/>
      <c r="B18" s="23">
        <f>(COUNTIF('2S EXPRESS'!$A$7:$A$50,'GO TRANSPORT'!A18))+(COUNTIF('2 ZT'!$A$7:$A$50,'GO TRANSPORT'!A18))+(COUNTIF('GO TRANSPORT'!$A$7:$A$50,'GO TRANSPORT'!A18))+(COUNTIF('HMZ - KAIS'!$A$7:$A$50,'GO TRANSPORT'!A18))+(COUNTIF('IB TRANSPORT'!$A$7:$A$50,'GO TRANSPORT'!A18))+(COUNTIF(JSL!$A$7:$A$50,'GO TRANSPORT'!A18))+(COUNTIF(KIFAITOUT!$A$7:$A$50,'GO TRANSPORT'!A18))+(COUNTIF('LUXE DRIVE'!$A$7:$A$50,'GO TRANSPORT'!A18))+(COUNTIF(SSN!$A$7:$A$50,'GO TRANSPORT'!A18))+(COUNTIF('W3'!$A$7:$A$50,'GO TRANSPORT'!A18))+(COUNTIF('ATHIS MONS'!$A$7:$A$50,'GO TRANSPORT'!A18))+(COUNTIF('L HAY LES ROSES'!$A$7:$A$50,'GO TRANSPORT'!A18))+(COUNTIF(RUNGIS!$A$7:$A$50,'GO TRANSPORT'!A18))+(COUNTIF(SCEAUX!$A$7:$A$50,'GO TRANSPORT'!A18))+(COUNTIF('INSTANCE C1'!$A$7:$A$50,'GO TRANSPORT'!A18))+(COUNTIF('INSTANCE C2'!$A$7:$A$50,'GO TRANSPORT'!A18))+(COUNTIF(INTERNES!$A$7:$A$50,'GO TRANSPORT'!A18))+(COUNTIF('EN PANNE'!$A$7:$A$50,'GO TRANSPORT'!A18))+(COUNTIF(TJM!$A$7:$A$50,'GO TRANSPORT'!A18))-C18</f>
        <v>0</v>
      </c>
      <c r="C18" s="23">
        <f>(COUNTIF('2S EXPRESS'!$G$7:$G$50,'GO TRANSPORT'!A18))+(COUNTIF('2 ZT'!$G$7:$G$50,'GO TRANSPORT'!A18))+(COUNTIF('GO TRANSPORT'!$G$7:$G$50,'GO TRANSPORT'!A18))+(COUNTIF('GO TRANSPORT'!$G$7:$G$50,'GO TRANSPORT'!A18))+(COUNTIF('IB TRANSPORT'!$G$7:$G$50,'GO TRANSPORT'!A18))+(COUNTIF(JSL!$G$7:$G$50,'GO TRANSPORT'!A18))+(COUNTIF(KIFAITOUT!$G$7:$G$50,'GO TRANSPORT'!A18))+(COUNTIF('LUXE DRIVE'!$G$7:$G$50,'GO TRANSPORT'!A18))+(COUNTIF(SSN!$G$7:$G$50,'GO TRANSPORT'!A18))+(COUNTIF('W3'!$G$7:$G$50,'GO TRANSPORT'!A18))+(COUNTIF('ATHIS MONS'!$G$7:$G$50,'GO TRANSPORT'!A18))+(COUNTIF('L HAY LES ROSES'!$G$7:$G$50,'GO TRANSPORT'!A18))+(COUNTIF(RUNGIS!$G$7:$G$50,'GO TRANSPORT'!A18))+(COUNTIF(SCEAUX!$G$7:$G$50,'GO TRANSPORT'!A18))+(COUNTIF('INSTANCE C1'!$G$7:$G$50,'GO TRANSPORT'!A18))+(COUNTIF('INSTANCE C2'!$G$7:$G$50,'GO TRANSPORT'!A18))+(COUNTIF(INTERNES!$G$7:$G$50,'GO TRANSPORT'!A18))+(COUNTIF('EN PANNE'!$G$7:$G$50,'GO TRANSPORT'!A18))+(COUNTIF(TJM!$G$7:$G$50,'GO TRANSPORT'!A18))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EXPRESS'!$G$7:$G$50,'GO TRANSPORT'!G18))+(COUNTIF('2 ZT'!$G$7:$G$50,'GO TRANSPORT'!G18))+(COUNTIF('GO TRANSPORT'!$G$7:$G$50,'GO TRANSPORT'!G18))+(COUNTIF('HMZ - KAIS'!$G$7:$G$50,'GO TRANSPORT'!G18))+(COUNTIF('IB TRANSPORT'!$G$7:$G$50,'GO TRANSPORT'!G18))+(COUNTIF(JSL!$G$7:$G$50,'GO TRANSPORT'!G18))+(COUNTIF(KIFAITOUT!$G$7:$G$50,'GO TRANSPORT'!G18))+(COUNTIF('LUXE DRIVE'!$G$7:$G$50,'GO TRANSPORT'!G18))+(COUNTIF(SSN!$G$7:$G$50,'GO TRANSPORT'!G18))+(COUNTIF('W3'!$G$7:$G$50,'GO TRANSPORT'!G18))+(COUNTIF('ATHIS MONS'!$G$7:$G$50,'GO TRANSPORT'!G18))+(COUNTIF('L HAY LES ROSES'!$G$7:$G$50,'GO TRANSPORT'!G18))+(COUNTIF(RUNGIS!$G$7:$G$50,'GO TRANSPORT'!G18))+(COUNTIF(SCEAUX!$G$7:$G$50,'GO TRANSPORT'!G18))+(COUNTIF('INSTANCE C1'!$G$7:$G$50,'GO TRANSPORT'!G18))+(COUNTIF('INSTANCE C2'!$G$7:$G$50,'GO TRANSPORT'!G18))+(COUNTIF(INTERNES!$G$7:$G$50,'GO TRANSPORT'!G18))+(COUNTIF('EN PANNE'!$G$7:$G$50,'GO TRANSPORT'!G18))+(COUNTIF(TJM!$G$7:$G$50,'GO TRANSPORT'!G18))-I18</f>
        <v>0</v>
      </c>
      <c r="I18" s="23">
        <f>(COUNTIF('2S EXPRESS'!$A$7:$A$50,'GO TRANSPORT'!G18))+(COUNTIF('2 ZT'!$A$7:$A$50,'GO TRANSPORT'!G18))+(COUNTIF('GO TRANSPORT'!$A$7:$A$50,'GO TRANSPORT'!G18))+(COUNTIF('HMZ - KAIS'!$A$7:$A$50,'GO TRANSPORT'!G18))+(COUNTIF('IB TRANSPORT'!$A$7:$A$50,'GO TRANSPORT'!G18))+(COUNTIF(JSL!$A$7:$A$50,'GO TRANSPORT'!G18))+(COUNTIF(KIFAITOUT!$A$7:$A$50,'GO TRANSPORT'!G18))+(COUNTIF('LUXE DRIVE'!$A$7:$A$50,'GO TRANSPORT'!G18))+(COUNTIF(SSN!$A$7:$A$50,'GO TRANSPORT'!G18))+(COUNTIF('W3'!$A$7:$A$50,'GO TRANSPORT'!G18))+(COUNTIF('ATHIS MONS'!$A$7:$A$50,'GO TRANSPORT'!G18))+(COUNTIF('L HAY LES ROSES'!$A$7:$A$50,'GO TRANSPORT'!G18))+(COUNTIF(RUNGIS!$A$7:$A$50,'GO TRANSPORT'!G18))+(COUNTIF(SCEAUX!$A$7:$A$50,'GO TRANSPORT'!G18))+(COUNTIF('INSTANCE C1'!$A$7:$A$50,'GO TRANSPORT'!G18))+(COUNTIF('INSTANCE C2'!$A$7:$A$50,'GO TRANSPORT'!G18))+(COUNTIF(INTERNES!$A$7:$A$50,'GO TRANSPORT'!G18))+(COUNTIF('EN PANNE'!$A$7:$A$50,'GO TRANSPORT'!G18))+(COUNTIF(TJM!$A$7:$A$50,'GO TRANSPORT'!G18))</f>
        <v>0</v>
      </c>
      <c r="J18" s="28">
        <f t="shared" si="4"/>
        <v>0</v>
      </c>
      <c r="K18" s="2"/>
      <c r="L18" s="47"/>
      <c r="Q18" s="68"/>
      <c r="S18" s="60">
        <f t="shared" si="1"/>
        <v>0</v>
      </c>
      <c r="T18" s="67">
        <f t="shared" si="2"/>
        <v>0</v>
      </c>
    </row>
    <row r="19" spans="1:20" ht="24.95" customHeight="1" x14ac:dyDescent="0.2">
      <c r="A19" s="20"/>
      <c r="B19" s="23">
        <f>(COUNTIF('2S EXPRESS'!$A$7:$A$50,'GO TRANSPORT'!A19))+(COUNTIF('2 ZT'!$A$7:$A$50,'GO TRANSPORT'!A19))+(COUNTIF('GO TRANSPORT'!$A$7:$A$50,'GO TRANSPORT'!A19))+(COUNTIF('HMZ - KAIS'!$A$7:$A$50,'GO TRANSPORT'!A19))+(COUNTIF('IB TRANSPORT'!$A$7:$A$50,'GO TRANSPORT'!A19))+(COUNTIF(JSL!$A$7:$A$50,'GO TRANSPORT'!A19))+(COUNTIF(KIFAITOUT!$A$7:$A$50,'GO TRANSPORT'!A19))+(COUNTIF('LUXE DRIVE'!$A$7:$A$50,'GO TRANSPORT'!A19))+(COUNTIF(SSN!$A$7:$A$50,'GO TRANSPORT'!A19))+(COUNTIF('W3'!$A$7:$A$50,'GO TRANSPORT'!A19))+(COUNTIF('ATHIS MONS'!$A$7:$A$50,'GO TRANSPORT'!A19))+(COUNTIF('L HAY LES ROSES'!$A$7:$A$50,'GO TRANSPORT'!A19))+(COUNTIF(RUNGIS!$A$7:$A$50,'GO TRANSPORT'!A19))+(COUNTIF(SCEAUX!$A$7:$A$50,'GO TRANSPORT'!A19))+(COUNTIF('INSTANCE C1'!$A$7:$A$50,'GO TRANSPORT'!A19))+(COUNTIF('INSTANCE C2'!$A$7:$A$50,'GO TRANSPORT'!A19))+(COUNTIF(INTERNES!$A$7:$A$50,'GO TRANSPORT'!A19))+(COUNTIF('EN PANNE'!$A$7:$A$50,'GO TRANSPORT'!A19))+(COUNTIF(TJM!$A$7:$A$50,'GO TRANSPORT'!A19))-C19</f>
        <v>0</v>
      </c>
      <c r="C19" s="23">
        <f>(COUNTIF('2S EXPRESS'!$G$7:$G$50,'GO TRANSPORT'!A19))+(COUNTIF('2 ZT'!$G$7:$G$50,'GO TRANSPORT'!A19))+(COUNTIF('GO TRANSPORT'!$G$7:$G$50,'GO TRANSPORT'!A19))+(COUNTIF('GO TRANSPORT'!$G$7:$G$50,'GO TRANSPORT'!A19))+(COUNTIF('IB TRANSPORT'!$G$7:$G$50,'GO TRANSPORT'!A19))+(COUNTIF(JSL!$G$7:$G$50,'GO TRANSPORT'!A19))+(COUNTIF(KIFAITOUT!$G$7:$G$50,'GO TRANSPORT'!A19))+(COUNTIF('LUXE DRIVE'!$G$7:$G$50,'GO TRANSPORT'!A19))+(COUNTIF(SSN!$G$7:$G$50,'GO TRANSPORT'!A19))+(COUNTIF('W3'!$G$7:$G$50,'GO TRANSPORT'!A19))+(COUNTIF('ATHIS MONS'!$G$7:$G$50,'GO TRANSPORT'!A19))+(COUNTIF('L HAY LES ROSES'!$G$7:$G$50,'GO TRANSPORT'!A19))+(COUNTIF(RUNGIS!$G$7:$G$50,'GO TRANSPORT'!A19))+(COUNTIF(SCEAUX!$G$7:$G$50,'GO TRANSPORT'!A19))+(COUNTIF('INSTANCE C1'!$G$7:$G$50,'GO TRANSPORT'!A19))+(COUNTIF('INSTANCE C2'!$G$7:$G$50,'GO TRANSPORT'!A19))+(COUNTIF(INTERNES!$G$7:$G$50,'GO TRANSPORT'!A19))+(COUNTIF('EN PANNE'!$G$7:$G$50,'GO TRANSPORT'!A19))+(COUNTIF(TJM!$G$7:$G$50,'GO TRANSPORT'!A19))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EXPRESS'!$G$7:$G$50,'GO TRANSPORT'!G19))+(COUNTIF('2 ZT'!$G$7:$G$50,'GO TRANSPORT'!G19))+(COUNTIF('GO TRANSPORT'!$G$7:$G$50,'GO TRANSPORT'!G19))+(COUNTIF('HMZ - KAIS'!$G$7:$G$50,'GO TRANSPORT'!G19))+(COUNTIF('IB TRANSPORT'!$G$7:$G$50,'GO TRANSPORT'!G19))+(COUNTIF(JSL!$G$7:$G$50,'GO TRANSPORT'!G19))+(COUNTIF(KIFAITOUT!$G$7:$G$50,'GO TRANSPORT'!G19))+(COUNTIF('LUXE DRIVE'!$G$7:$G$50,'GO TRANSPORT'!G19))+(COUNTIF(SSN!$G$7:$G$50,'GO TRANSPORT'!G19))+(COUNTIF('W3'!$G$7:$G$50,'GO TRANSPORT'!G19))+(COUNTIF('ATHIS MONS'!$G$7:$G$50,'GO TRANSPORT'!G19))+(COUNTIF('L HAY LES ROSES'!$G$7:$G$50,'GO TRANSPORT'!G19))+(COUNTIF(RUNGIS!$G$7:$G$50,'GO TRANSPORT'!G19))+(COUNTIF(SCEAUX!$G$7:$G$50,'GO TRANSPORT'!G19))+(COUNTIF('INSTANCE C1'!$G$7:$G$50,'GO TRANSPORT'!G19))+(COUNTIF('INSTANCE C2'!$G$7:$G$50,'GO TRANSPORT'!G19))+(COUNTIF(INTERNES!$G$7:$G$50,'GO TRANSPORT'!G19))+(COUNTIF('EN PANNE'!$G$7:$G$50,'GO TRANSPORT'!G19))+(COUNTIF(TJM!$G$7:$G$50,'GO TRANSPORT'!G19))-I19</f>
        <v>0</v>
      </c>
      <c r="I19" s="23">
        <f>(COUNTIF('2S EXPRESS'!$A$7:$A$50,'GO TRANSPORT'!G19))+(COUNTIF('2 ZT'!$A$7:$A$50,'GO TRANSPORT'!G19))+(COUNTIF('GO TRANSPORT'!$A$7:$A$50,'GO TRANSPORT'!G19))+(COUNTIF('HMZ - KAIS'!$A$7:$A$50,'GO TRANSPORT'!G19))+(COUNTIF('IB TRANSPORT'!$A$7:$A$50,'GO TRANSPORT'!G19))+(COUNTIF(JSL!$A$7:$A$50,'GO TRANSPORT'!G19))+(COUNTIF(KIFAITOUT!$A$7:$A$50,'GO TRANSPORT'!G19))+(COUNTIF('LUXE DRIVE'!$A$7:$A$50,'GO TRANSPORT'!G19))+(COUNTIF(SSN!$A$7:$A$50,'GO TRANSPORT'!G19))+(COUNTIF('W3'!$A$7:$A$50,'GO TRANSPORT'!G19))+(COUNTIF('ATHIS MONS'!$A$7:$A$50,'GO TRANSPORT'!G19))+(COUNTIF('L HAY LES ROSES'!$A$7:$A$50,'GO TRANSPORT'!G19))+(COUNTIF(RUNGIS!$A$7:$A$50,'GO TRANSPORT'!G19))+(COUNTIF(SCEAUX!$A$7:$A$50,'GO TRANSPORT'!G19))+(COUNTIF('INSTANCE C1'!$A$7:$A$50,'GO TRANSPORT'!G19))+(COUNTIF('INSTANCE C2'!$A$7:$A$50,'GO TRANSPORT'!G19))+(COUNTIF(INTERNES!$A$7:$A$50,'GO TRANSPORT'!G19))+(COUNTIF('EN PANNE'!$A$7:$A$50,'GO TRANSPORT'!G19))+(COUNTIF(TJM!$A$7:$A$50,'GO TRANSPORT'!G19))</f>
        <v>0</v>
      </c>
      <c r="J19" s="28">
        <f t="shared" si="4"/>
        <v>0</v>
      </c>
      <c r="K19" s="2"/>
      <c r="L19" s="47"/>
      <c r="Q19" s="68"/>
      <c r="S19" s="60">
        <f t="shared" si="1"/>
        <v>0</v>
      </c>
      <c r="T19" s="67">
        <f t="shared" si="2"/>
        <v>0</v>
      </c>
    </row>
    <row r="20" spans="1:20" ht="24.95" customHeight="1" x14ac:dyDescent="0.2">
      <c r="A20" s="20"/>
      <c r="B20" s="23">
        <f>(COUNTIF('2S EXPRESS'!$A$7:$A$50,'GO TRANSPORT'!A20))+(COUNTIF('2 ZT'!$A$7:$A$50,'GO TRANSPORT'!A20))+(COUNTIF('GO TRANSPORT'!$A$7:$A$50,'GO TRANSPORT'!A20))+(COUNTIF('HMZ - KAIS'!$A$7:$A$50,'GO TRANSPORT'!A20))+(COUNTIF('IB TRANSPORT'!$A$7:$A$50,'GO TRANSPORT'!A20))+(COUNTIF(JSL!$A$7:$A$50,'GO TRANSPORT'!A20))+(COUNTIF(KIFAITOUT!$A$7:$A$50,'GO TRANSPORT'!A20))+(COUNTIF('LUXE DRIVE'!$A$7:$A$50,'GO TRANSPORT'!A20))+(COUNTIF(SSN!$A$7:$A$50,'GO TRANSPORT'!A20))+(COUNTIF('W3'!$A$7:$A$50,'GO TRANSPORT'!A20))+(COUNTIF('ATHIS MONS'!$A$7:$A$50,'GO TRANSPORT'!A20))+(COUNTIF('L HAY LES ROSES'!$A$7:$A$50,'GO TRANSPORT'!A20))+(COUNTIF(RUNGIS!$A$7:$A$50,'GO TRANSPORT'!A20))+(COUNTIF(SCEAUX!$A$7:$A$50,'GO TRANSPORT'!A20))+(COUNTIF('INSTANCE C1'!$A$7:$A$50,'GO TRANSPORT'!A20))+(COUNTIF('INSTANCE C2'!$A$7:$A$50,'GO TRANSPORT'!A20))+(COUNTIF(INTERNES!$A$7:$A$50,'GO TRANSPORT'!A20))+(COUNTIF('EN PANNE'!$A$7:$A$50,'GO TRANSPORT'!A20))+(COUNTIF(TJM!$A$7:$A$50,'GO TRANSPORT'!A20))-C20</f>
        <v>0</v>
      </c>
      <c r="C20" s="23">
        <f>(COUNTIF('2S EXPRESS'!$G$7:$G$50,'GO TRANSPORT'!A20))+(COUNTIF('2 ZT'!$G$7:$G$50,'GO TRANSPORT'!A20))+(COUNTIF('GO TRANSPORT'!$G$7:$G$50,'GO TRANSPORT'!A20))+(COUNTIF('GO TRANSPORT'!$G$7:$G$50,'GO TRANSPORT'!A20))+(COUNTIF('IB TRANSPORT'!$G$7:$G$50,'GO TRANSPORT'!A20))+(COUNTIF(JSL!$G$7:$G$50,'GO TRANSPORT'!A20))+(COUNTIF(KIFAITOUT!$G$7:$G$50,'GO TRANSPORT'!A20))+(COUNTIF('LUXE DRIVE'!$G$7:$G$50,'GO TRANSPORT'!A20))+(COUNTIF(SSN!$G$7:$G$50,'GO TRANSPORT'!A20))+(COUNTIF('W3'!$G$7:$G$50,'GO TRANSPORT'!A20))+(COUNTIF('ATHIS MONS'!$G$7:$G$50,'GO TRANSPORT'!A20))+(COUNTIF('L HAY LES ROSES'!$G$7:$G$50,'GO TRANSPORT'!A20))+(COUNTIF(RUNGIS!$G$7:$G$50,'GO TRANSPORT'!A20))+(COUNTIF(SCEAUX!$G$7:$G$50,'GO TRANSPORT'!A20))+(COUNTIF('INSTANCE C1'!$G$7:$G$50,'GO TRANSPORT'!A20))+(COUNTIF('INSTANCE C2'!$G$7:$G$50,'GO TRANSPORT'!A20))+(COUNTIF(INTERNES!$G$7:$G$50,'GO TRANSPORT'!A20))+(COUNTIF('EN PANNE'!$G$7:$G$50,'GO TRANSPORT'!A20))+(COUNTIF(TJM!$G$7:$G$50,'GO TRANSPORT'!A20))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EXPRESS'!$G$7:$G$50,'GO TRANSPORT'!G20))+(COUNTIF('2 ZT'!$G$7:$G$50,'GO TRANSPORT'!G20))+(COUNTIF('GO TRANSPORT'!$G$7:$G$50,'GO TRANSPORT'!G20))+(COUNTIF('HMZ - KAIS'!$G$7:$G$50,'GO TRANSPORT'!G20))+(COUNTIF('IB TRANSPORT'!$G$7:$G$50,'GO TRANSPORT'!G20))+(COUNTIF(JSL!$G$7:$G$50,'GO TRANSPORT'!G20))+(COUNTIF(KIFAITOUT!$G$7:$G$50,'GO TRANSPORT'!G20))+(COUNTIF('LUXE DRIVE'!$G$7:$G$50,'GO TRANSPORT'!G20))+(COUNTIF(SSN!$G$7:$G$50,'GO TRANSPORT'!G20))+(COUNTIF('W3'!$G$7:$G$50,'GO TRANSPORT'!G20))+(COUNTIF('ATHIS MONS'!$G$7:$G$50,'GO TRANSPORT'!G20))+(COUNTIF('L HAY LES ROSES'!$G$7:$G$50,'GO TRANSPORT'!G20))+(COUNTIF(RUNGIS!$G$7:$G$50,'GO TRANSPORT'!G20))+(COUNTIF(SCEAUX!$G$7:$G$50,'GO TRANSPORT'!G20))+(COUNTIF('INSTANCE C1'!$G$7:$G$50,'GO TRANSPORT'!G20))+(COUNTIF('INSTANCE C2'!$G$7:$G$50,'GO TRANSPORT'!G20))+(COUNTIF(INTERNES!$G$7:$G$50,'GO TRANSPORT'!G20))+(COUNTIF('EN PANNE'!$G$7:$G$50,'GO TRANSPORT'!G20))+(COUNTIF(TJM!$G$7:$G$50,'GO TRANSPORT'!G20))-I20</f>
        <v>0</v>
      </c>
      <c r="I20" s="23">
        <f>(COUNTIF('2S EXPRESS'!$A$7:$A$50,'GO TRANSPORT'!G20))+(COUNTIF('2 ZT'!$A$7:$A$50,'GO TRANSPORT'!G20))+(COUNTIF('GO TRANSPORT'!$A$7:$A$50,'GO TRANSPORT'!G20))+(COUNTIF('HMZ - KAIS'!$A$7:$A$50,'GO TRANSPORT'!G20))+(COUNTIF('IB TRANSPORT'!$A$7:$A$50,'GO TRANSPORT'!G20))+(COUNTIF(JSL!$A$7:$A$50,'GO TRANSPORT'!G20))+(COUNTIF(KIFAITOUT!$A$7:$A$50,'GO TRANSPORT'!G20))+(COUNTIF('LUXE DRIVE'!$A$7:$A$50,'GO TRANSPORT'!G20))+(COUNTIF(SSN!$A$7:$A$50,'GO TRANSPORT'!G20))+(COUNTIF('W3'!$A$7:$A$50,'GO TRANSPORT'!G20))+(COUNTIF('ATHIS MONS'!$A$7:$A$50,'GO TRANSPORT'!G20))+(COUNTIF('L HAY LES ROSES'!$A$7:$A$50,'GO TRANSPORT'!G20))+(COUNTIF(RUNGIS!$A$7:$A$50,'GO TRANSPORT'!G20))+(COUNTIF(SCEAUX!$A$7:$A$50,'GO TRANSPORT'!G20))+(COUNTIF('INSTANCE C1'!$A$7:$A$50,'GO TRANSPORT'!G20))+(COUNTIF('INSTANCE C2'!$A$7:$A$50,'GO TRANSPORT'!G20))+(COUNTIF(INTERNES!$A$7:$A$50,'GO TRANSPORT'!G20))+(COUNTIF('EN PANNE'!$A$7:$A$50,'GO TRANSPORT'!G20))+(COUNTIF(TJM!$A$7:$A$50,'GO TRANSPORT'!G20))</f>
        <v>0</v>
      </c>
      <c r="J20" s="28">
        <f t="shared" si="4"/>
        <v>0</v>
      </c>
      <c r="K20" s="2"/>
      <c r="L20" s="47"/>
      <c r="Q20" s="68"/>
      <c r="S20" s="60">
        <f t="shared" si="1"/>
        <v>0</v>
      </c>
      <c r="T20" s="67">
        <f t="shared" si="2"/>
        <v>0</v>
      </c>
    </row>
    <row r="21" spans="1:20" ht="24.95" customHeight="1" x14ac:dyDescent="0.2">
      <c r="A21" s="20"/>
      <c r="B21" s="23">
        <f>(COUNTIF('2S EXPRESS'!$A$7:$A$50,'GO TRANSPORT'!A21))+(COUNTIF('2 ZT'!$A$7:$A$50,'GO TRANSPORT'!A21))+(COUNTIF('GO TRANSPORT'!$A$7:$A$50,'GO TRANSPORT'!A21))+(COUNTIF('HMZ - KAIS'!$A$7:$A$50,'GO TRANSPORT'!A21))+(COUNTIF('IB TRANSPORT'!$A$7:$A$50,'GO TRANSPORT'!A21))+(COUNTIF(JSL!$A$7:$A$50,'GO TRANSPORT'!A21))+(COUNTIF(KIFAITOUT!$A$7:$A$50,'GO TRANSPORT'!A21))+(COUNTIF('LUXE DRIVE'!$A$7:$A$50,'GO TRANSPORT'!A21))+(COUNTIF(SSN!$A$7:$A$50,'GO TRANSPORT'!A21))+(COUNTIF('W3'!$A$7:$A$50,'GO TRANSPORT'!A21))+(COUNTIF('ATHIS MONS'!$A$7:$A$50,'GO TRANSPORT'!A21))+(COUNTIF('L HAY LES ROSES'!$A$7:$A$50,'GO TRANSPORT'!A21))+(COUNTIF(RUNGIS!$A$7:$A$50,'GO TRANSPORT'!A21))+(COUNTIF(SCEAUX!$A$7:$A$50,'GO TRANSPORT'!A21))+(COUNTIF('INSTANCE C1'!$A$7:$A$50,'GO TRANSPORT'!A21))+(COUNTIF('INSTANCE C2'!$A$7:$A$50,'GO TRANSPORT'!A21))+(COUNTIF(INTERNES!$A$7:$A$50,'GO TRANSPORT'!A21))+(COUNTIF('EN PANNE'!$A$7:$A$50,'GO TRANSPORT'!A21))+(COUNTIF(TJM!$A$7:$A$50,'GO TRANSPORT'!A21))-C21</f>
        <v>0</v>
      </c>
      <c r="C21" s="23">
        <f>(COUNTIF('2S EXPRESS'!$G$7:$G$50,'GO TRANSPORT'!A21))+(COUNTIF('2 ZT'!$G$7:$G$50,'GO TRANSPORT'!A21))+(COUNTIF('GO TRANSPORT'!$G$7:$G$50,'GO TRANSPORT'!A21))+(COUNTIF('GO TRANSPORT'!$G$7:$G$50,'GO TRANSPORT'!A21))+(COUNTIF('IB TRANSPORT'!$G$7:$G$50,'GO TRANSPORT'!A21))+(COUNTIF(JSL!$G$7:$G$50,'GO TRANSPORT'!A21))+(COUNTIF(KIFAITOUT!$G$7:$G$50,'GO TRANSPORT'!A21))+(COUNTIF('LUXE DRIVE'!$G$7:$G$50,'GO TRANSPORT'!A21))+(COUNTIF(SSN!$G$7:$G$50,'GO TRANSPORT'!A21))+(COUNTIF('W3'!$G$7:$G$50,'GO TRANSPORT'!A21))+(COUNTIF('ATHIS MONS'!$G$7:$G$50,'GO TRANSPORT'!A21))+(COUNTIF('L HAY LES ROSES'!$G$7:$G$50,'GO TRANSPORT'!A21))+(COUNTIF(RUNGIS!$G$7:$G$50,'GO TRANSPORT'!A21))+(COUNTIF(SCEAUX!$G$7:$G$50,'GO TRANSPORT'!A21))+(COUNTIF('INSTANCE C1'!$G$7:$G$50,'GO TRANSPORT'!A21))+(COUNTIF('INSTANCE C2'!$G$7:$G$50,'GO TRANSPORT'!A21))+(COUNTIF(INTERNES!$G$7:$G$50,'GO TRANSPORT'!A21))+(COUNTIF('EN PANNE'!$G$7:$G$50,'GO TRANSPORT'!A21))+(COUNTIF(TJM!$G$7:$G$50,'GO TRANSPORT'!A21))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EXPRESS'!$G$7:$G$50,'GO TRANSPORT'!G21))+(COUNTIF('2 ZT'!$G$7:$G$50,'GO TRANSPORT'!G21))+(COUNTIF('GO TRANSPORT'!$G$7:$G$50,'GO TRANSPORT'!G21))+(COUNTIF('HMZ - KAIS'!$G$7:$G$50,'GO TRANSPORT'!G21))+(COUNTIF('IB TRANSPORT'!$G$7:$G$50,'GO TRANSPORT'!G21))+(COUNTIF(JSL!$G$7:$G$50,'GO TRANSPORT'!G21))+(COUNTIF(KIFAITOUT!$G$7:$G$50,'GO TRANSPORT'!G21))+(COUNTIF('LUXE DRIVE'!$G$7:$G$50,'GO TRANSPORT'!G21))+(COUNTIF(SSN!$G$7:$G$50,'GO TRANSPORT'!G21))+(COUNTIF('W3'!$G$7:$G$50,'GO TRANSPORT'!G21))+(COUNTIF('ATHIS MONS'!$G$7:$G$50,'GO TRANSPORT'!G21))+(COUNTIF('L HAY LES ROSES'!$G$7:$G$50,'GO TRANSPORT'!G21))+(COUNTIF(RUNGIS!$G$7:$G$50,'GO TRANSPORT'!G21))+(COUNTIF(SCEAUX!$G$7:$G$50,'GO TRANSPORT'!G21))+(COUNTIF('INSTANCE C1'!$G$7:$G$50,'GO TRANSPORT'!G21))+(COUNTIF('INSTANCE C2'!$G$7:$G$50,'GO TRANSPORT'!G21))+(COUNTIF(INTERNES!$G$7:$G$50,'GO TRANSPORT'!G21))+(COUNTIF('EN PANNE'!$G$7:$G$50,'GO TRANSPORT'!G21))+(COUNTIF(TJM!$G$7:$G$50,'GO TRANSPORT'!G21))-I21</f>
        <v>0</v>
      </c>
      <c r="I21" s="23">
        <f>(COUNTIF('2S EXPRESS'!$A$7:$A$50,'GO TRANSPORT'!G21))+(COUNTIF('2 ZT'!$A$7:$A$50,'GO TRANSPORT'!G21))+(COUNTIF('GO TRANSPORT'!$A$7:$A$50,'GO TRANSPORT'!G21))+(COUNTIF('HMZ - KAIS'!$A$7:$A$50,'GO TRANSPORT'!G21))+(COUNTIF('IB TRANSPORT'!$A$7:$A$50,'GO TRANSPORT'!G21))+(COUNTIF(JSL!$A$7:$A$50,'GO TRANSPORT'!G21))+(COUNTIF(KIFAITOUT!$A$7:$A$50,'GO TRANSPORT'!G21))+(COUNTIF('LUXE DRIVE'!$A$7:$A$50,'GO TRANSPORT'!G21))+(COUNTIF(SSN!$A$7:$A$50,'GO TRANSPORT'!G21))+(COUNTIF('W3'!$A$7:$A$50,'GO TRANSPORT'!G21))+(COUNTIF('ATHIS MONS'!$A$7:$A$50,'GO TRANSPORT'!G21))+(COUNTIF('L HAY LES ROSES'!$A$7:$A$50,'GO TRANSPORT'!G21))+(COUNTIF(RUNGIS!$A$7:$A$50,'GO TRANSPORT'!G21))+(COUNTIF(SCEAUX!$A$7:$A$50,'GO TRANSPORT'!G21))+(COUNTIF('INSTANCE C1'!$A$7:$A$50,'GO TRANSPORT'!G21))+(COUNTIF('INSTANCE C2'!$A$7:$A$50,'GO TRANSPORT'!G21))+(COUNTIF(INTERNES!$A$7:$A$50,'GO TRANSPORT'!G21))+(COUNTIF('EN PANNE'!$A$7:$A$50,'GO TRANSPORT'!G21))+(COUNTIF(TJM!$A$7:$A$50,'GO TRANSPORT'!G21))</f>
        <v>0</v>
      </c>
      <c r="J21" s="28">
        <f t="shared" si="4"/>
        <v>0</v>
      </c>
      <c r="K21" s="2"/>
      <c r="L21" s="47"/>
      <c r="Q21" s="68"/>
      <c r="S21" s="60">
        <f t="shared" si="1"/>
        <v>0</v>
      </c>
      <c r="T21" s="67">
        <f t="shared" si="2"/>
        <v>0</v>
      </c>
    </row>
    <row r="22" spans="1:20" ht="24.95" customHeight="1" x14ac:dyDescent="0.2">
      <c r="A22" s="20"/>
      <c r="B22" s="23">
        <f>(COUNTIF('2S EXPRESS'!$A$7:$A$50,'GO TRANSPORT'!A22))+(COUNTIF('2 ZT'!$A$7:$A$50,'GO TRANSPORT'!A22))+(COUNTIF('GO TRANSPORT'!$A$7:$A$50,'GO TRANSPORT'!A22))+(COUNTIF('HMZ - KAIS'!$A$7:$A$50,'GO TRANSPORT'!A22))+(COUNTIF('IB TRANSPORT'!$A$7:$A$50,'GO TRANSPORT'!A22))+(COUNTIF(JSL!$A$7:$A$50,'GO TRANSPORT'!A22))+(COUNTIF(KIFAITOUT!$A$7:$A$50,'GO TRANSPORT'!A22))+(COUNTIF('LUXE DRIVE'!$A$7:$A$50,'GO TRANSPORT'!A22))+(COUNTIF(SSN!$A$7:$A$50,'GO TRANSPORT'!A22))+(COUNTIF('W3'!$A$7:$A$50,'GO TRANSPORT'!A22))+(COUNTIF('ATHIS MONS'!$A$7:$A$50,'GO TRANSPORT'!A22))+(COUNTIF('L HAY LES ROSES'!$A$7:$A$50,'GO TRANSPORT'!A22))+(COUNTIF(RUNGIS!$A$7:$A$50,'GO TRANSPORT'!A22))+(COUNTIF(SCEAUX!$A$7:$A$50,'GO TRANSPORT'!A22))+(COUNTIF('INSTANCE C1'!$A$7:$A$50,'GO TRANSPORT'!A22))+(COUNTIF('INSTANCE C2'!$A$7:$A$50,'GO TRANSPORT'!A22))+(COUNTIF(INTERNES!$A$7:$A$50,'GO TRANSPORT'!A22))+(COUNTIF('EN PANNE'!$A$7:$A$50,'GO TRANSPORT'!A22))+(COUNTIF(TJM!$A$7:$A$50,'GO TRANSPORT'!A22))-C22</f>
        <v>0</v>
      </c>
      <c r="C22" s="23">
        <f>(COUNTIF('2S EXPRESS'!$G$7:$G$50,'GO TRANSPORT'!A22))+(COUNTIF('2 ZT'!$G$7:$G$50,'GO TRANSPORT'!A22))+(COUNTIF('GO TRANSPORT'!$G$7:$G$50,'GO TRANSPORT'!A22))+(COUNTIF('GO TRANSPORT'!$G$7:$G$50,'GO TRANSPORT'!A22))+(COUNTIF('IB TRANSPORT'!$G$7:$G$50,'GO TRANSPORT'!A22))+(COUNTIF(JSL!$G$7:$G$50,'GO TRANSPORT'!A22))+(COUNTIF(KIFAITOUT!$G$7:$G$50,'GO TRANSPORT'!A22))+(COUNTIF('LUXE DRIVE'!$G$7:$G$50,'GO TRANSPORT'!A22))+(COUNTIF(SSN!$G$7:$G$50,'GO TRANSPORT'!A22))+(COUNTIF('W3'!$G$7:$G$50,'GO TRANSPORT'!A22))+(COUNTIF('ATHIS MONS'!$G$7:$G$50,'GO TRANSPORT'!A22))+(COUNTIF('L HAY LES ROSES'!$G$7:$G$50,'GO TRANSPORT'!A22))+(COUNTIF(RUNGIS!$G$7:$G$50,'GO TRANSPORT'!A22))+(COUNTIF(SCEAUX!$G$7:$G$50,'GO TRANSPORT'!A22))+(COUNTIF('INSTANCE C1'!$G$7:$G$50,'GO TRANSPORT'!A22))+(COUNTIF('INSTANCE C2'!$G$7:$G$50,'GO TRANSPORT'!A22))+(COUNTIF(INTERNES!$G$7:$G$50,'GO TRANSPORT'!A22))+(COUNTIF('EN PANNE'!$G$7:$G$50,'GO TRANSPORT'!A22))+(COUNTIF(TJM!$G$7:$G$50,'GO TRANSPORT'!A22))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EXPRESS'!$G$7:$G$50,'GO TRANSPORT'!G22))+(COUNTIF('2 ZT'!$G$7:$G$50,'GO TRANSPORT'!G22))+(COUNTIF('GO TRANSPORT'!$G$7:$G$50,'GO TRANSPORT'!G22))+(COUNTIF('HMZ - KAIS'!$G$7:$G$50,'GO TRANSPORT'!G22))+(COUNTIF('IB TRANSPORT'!$G$7:$G$50,'GO TRANSPORT'!G22))+(COUNTIF(JSL!$G$7:$G$50,'GO TRANSPORT'!G22))+(COUNTIF(KIFAITOUT!$G$7:$G$50,'GO TRANSPORT'!G22))+(COUNTIF('LUXE DRIVE'!$G$7:$G$50,'GO TRANSPORT'!G22))+(COUNTIF(SSN!$G$7:$G$50,'GO TRANSPORT'!G22))+(COUNTIF('W3'!$G$7:$G$50,'GO TRANSPORT'!G22))+(COUNTIF('ATHIS MONS'!$G$7:$G$50,'GO TRANSPORT'!G22))+(COUNTIF('L HAY LES ROSES'!$G$7:$G$50,'GO TRANSPORT'!G22))+(COUNTIF(RUNGIS!$G$7:$G$50,'GO TRANSPORT'!G22))+(COUNTIF(SCEAUX!$G$7:$G$50,'GO TRANSPORT'!G22))+(COUNTIF('INSTANCE C1'!$G$7:$G$50,'GO TRANSPORT'!G22))+(COUNTIF('INSTANCE C2'!$G$7:$G$50,'GO TRANSPORT'!G22))+(COUNTIF(INTERNES!$G$7:$G$50,'GO TRANSPORT'!G22))+(COUNTIF('EN PANNE'!$G$7:$G$50,'GO TRANSPORT'!G22))+(COUNTIF(TJM!$G$7:$G$50,'GO TRANSPORT'!G22))-I22</f>
        <v>0</v>
      </c>
      <c r="I22" s="23">
        <f>(COUNTIF('2S EXPRESS'!$A$7:$A$50,'GO TRANSPORT'!G22))+(COUNTIF('2 ZT'!$A$7:$A$50,'GO TRANSPORT'!G22))+(COUNTIF('GO TRANSPORT'!$A$7:$A$50,'GO TRANSPORT'!G22))+(COUNTIF('HMZ - KAIS'!$A$7:$A$50,'GO TRANSPORT'!G22))+(COUNTIF('IB TRANSPORT'!$A$7:$A$50,'GO TRANSPORT'!G22))+(COUNTIF(JSL!$A$7:$A$50,'GO TRANSPORT'!G22))+(COUNTIF(KIFAITOUT!$A$7:$A$50,'GO TRANSPORT'!G22))+(COUNTIF('LUXE DRIVE'!$A$7:$A$50,'GO TRANSPORT'!G22))+(COUNTIF(SSN!$A$7:$A$50,'GO TRANSPORT'!G22))+(COUNTIF('W3'!$A$7:$A$50,'GO TRANSPORT'!G22))+(COUNTIF('ATHIS MONS'!$A$7:$A$50,'GO TRANSPORT'!G22))+(COUNTIF('L HAY LES ROSES'!$A$7:$A$50,'GO TRANSPORT'!G22))+(COUNTIF(RUNGIS!$A$7:$A$50,'GO TRANSPORT'!G22))+(COUNTIF(SCEAUX!$A$7:$A$50,'GO TRANSPORT'!G22))+(COUNTIF('INSTANCE C1'!$A$7:$A$50,'GO TRANSPORT'!G22))+(COUNTIF('INSTANCE C2'!$A$7:$A$50,'GO TRANSPORT'!G22))+(COUNTIF(INTERNES!$A$7:$A$50,'GO TRANSPORT'!G22))+(COUNTIF('EN PANNE'!$A$7:$A$50,'GO TRANSPORT'!G22))+(COUNTIF(TJM!$A$7:$A$50,'GO TRANSPORT'!G22))</f>
        <v>0</v>
      </c>
      <c r="J22" s="28">
        <f t="shared" si="4"/>
        <v>0</v>
      </c>
      <c r="K22" s="2"/>
      <c r="L22" s="47"/>
      <c r="Q22" s="68"/>
      <c r="S22" s="60">
        <f t="shared" si="1"/>
        <v>0</v>
      </c>
      <c r="T22" s="67">
        <f t="shared" si="2"/>
        <v>0</v>
      </c>
    </row>
    <row r="23" spans="1:20" ht="24.95" customHeight="1" x14ac:dyDescent="0.2">
      <c r="A23" s="20"/>
      <c r="B23" s="23">
        <f>(COUNTIF('2S EXPRESS'!$A$7:$A$50,'GO TRANSPORT'!A23))+(COUNTIF('2 ZT'!$A$7:$A$50,'GO TRANSPORT'!A23))+(COUNTIF('GO TRANSPORT'!$A$7:$A$50,'GO TRANSPORT'!A23))+(COUNTIF('HMZ - KAIS'!$A$7:$A$50,'GO TRANSPORT'!A23))+(COUNTIF('IB TRANSPORT'!$A$7:$A$50,'GO TRANSPORT'!A23))+(COUNTIF(JSL!$A$7:$A$50,'GO TRANSPORT'!A23))+(COUNTIF(KIFAITOUT!$A$7:$A$50,'GO TRANSPORT'!A23))+(COUNTIF('LUXE DRIVE'!$A$7:$A$50,'GO TRANSPORT'!A23))+(COUNTIF(SSN!$A$7:$A$50,'GO TRANSPORT'!A23))+(COUNTIF('W3'!$A$7:$A$50,'GO TRANSPORT'!A23))+(COUNTIF('ATHIS MONS'!$A$7:$A$50,'GO TRANSPORT'!A23))+(COUNTIF('L HAY LES ROSES'!$A$7:$A$50,'GO TRANSPORT'!A23))+(COUNTIF(RUNGIS!$A$7:$A$50,'GO TRANSPORT'!A23))+(COUNTIF(SCEAUX!$A$7:$A$50,'GO TRANSPORT'!A23))+(COUNTIF('INSTANCE C1'!$A$7:$A$50,'GO TRANSPORT'!A23))+(COUNTIF('INSTANCE C2'!$A$7:$A$50,'GO TRANSPORT'!A23))+(COUNTIF(INTERNES!$A$7:$A$50,'GO TRANSPORT'!A23))+(COUNTIF('EN PANNE'!$A$7:$A$50,'GO TRANSPORT'!A23))+(COUNTIF(TJM!$A$7:$A$50,'GO TRANSPORT'!A23))-C23</f>
        <v>0</v>
      </c>
      <c r="C23" s="23">
        <f>(COUNTIF('2S EXPRESS'!$G$7:$G$50,'GO TRANSPORT'!A23))+(COUNTIF('2 ZT'!$G$7:$G$50,'GO TRANSPORT'!A23))+(COUNTIF('GO TRANSPORT'!$G$7:$G$50,'GO TRANSPORT'!A23))+(COUNTIF('GO TRANSPORT'!$G$7:$G$50,'GO TRANSPORT'!A23))+(COUNTIF('IB TRANSPORT'!$G$7:$G$50,'GO TRANSPORT'!A23))+(COUNTIF(JSL!$G$7:$G$50,'GO TRANSPORT'!A23))+(COUNTIF(KIFAITOUT!$G$7:$G$50,'GO TRANSPORT'!A23))+(COUNTIF('LUXE DRIVE'!$G$7:$G$50,'GO TRANSPORT'!A23))+(COUNTIF(SSN!$G$7:$G$50,'GO TRANSPORT'!A23))+(COUNTIF('W3'!$G$7:$G$50,'GO TRANSPORT'!A23))+(COUNTIF('ATHIS MONS'!$G$7:$G$50,'GO TRANSPORT'!A23))+(COUNTIF('L HAY LES ROSES'!$G$7:$G$50,'GO TRANSPORT'!A23))+(COUNTIF(RUNGIS!$G$7:$G$50,'GO TRANSPORT'!A23))+(COUNTIF(SCEAUX!$G$7:$G$50,'GO TRANSPORT'!A23))+(COUNTIF('INSTANCE C1'!$G$7:$G$50,'GO TRANSPORT'!A23))+(COUNTIF('INSTANCE C2'!$G$7:$G$50,'GO TRANSPORT'!A23))+(COUNTIF(INTERNES!$G$7:$G$50,'GO TRANSPORT'!A23))+(COUNTIF('EN PANNE'!$G$7:$G$50,'GO TRANSPORT'!A23))+(COUNTIF(TJM!$G$7:$G$50,'GO TRANSPORT'!A23))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EXPRESS'!$G$7:$G$50,'GO TRANSPORT'!G23))+(COUNTIF('2 ZT'!$G$7:$G$50,'GO TRANSPORT'!G23))+(COUNTIF('GO TRANSPORT'!$G$7:$G$50,'GO TRANSPORT'!G23))+(COUNTIF('HMZ - KAIS'!$G$7:$G$50,'GO TRANSPORT'!G23))+(COUNTIF('IB TRANSPORT'!$G$7:$G$50,'GO TRANSPORT'!G23))+(COUNTIF(JSL!$G$7:$G$50,'GO TRANSPORT'!G23))+(COUNTIF(KIFAITOUT!$G$7:$G$50,'GO TRANSPORT'!G23))+(COUNTIF('LUXE DRIVE'!$G$7:$G$50,'GO TRANSPORT'!G23))+(COUNTIF(SSN!$G$7:$G$50,'GO TRANSPORT'!G23))+(COUNTIF('W3'!$G$7:$G$50,'GO TRANSPORT'!G23))+(COUNTIF('ATHIS MONS'!$G$7:$G$50,'GO TRANSPORT'!G23))+(COUNTIF('L HAY LES ROSES'!$G$7:$G$50,'GO TRANSPORT'!G23))+(COUNTIF(RUNGIS!$G$7:$G$50,'GO TRANSPORT'!G23))+(COUNTIF(SCEAUX!$G$7:$G$50,'GO TRANSPORT'!G23))+(COUNTIF('INSTANCE C1'!$G$7:$G$50,'GO TRANSPORT'!G23))+(COUNTIF('INSTANCE C2'!$G$7:$G$50,'GO TRANSPORT'!G23))+(COUNTIF(INTERNES!$G$7:$G$50,'GO TRANSPORT'!G23))+(COUNTIF('EN PANNE'!$G$7:$G$50,'GO TRANSPORT'!G23))+(COUNTIF(TJM!$G$7:$G$50,'GO TRANSPORT'!G23))-I23</f>
        <v>0</v>
      </c>
      <c r="I23" s="23">
        <f>(COUNTIF('2S EXPRESS'!$A$7:$A$50,'GO TRANSPORT'!G23))+(COUNTIF('2 ZT'!$A$7:$A$50,'GO TRANSPORT'!G23))+(COUNTIF('GO TRANSPORT'!$A$7:$A$50,'GO TRANSPORT'!G23))+(COUNTIF('HMZ - KAIS'!$A$7:$A$50,'GO TRANSPORT'!G23))+(COUNTIF('IB TRANSPORT'!$A$7:$A$50,'GO TRANSPORT'!G23))+(COUNTIF(JSL!$A$7:$A$50,'GO TRANSPORT'!G23))+(COUNTIF(KIFAITOUT!$A$7:$A$50,'GO TRANSPORT'!G23))+(COUNTIF('LUXE DRIVE'!$A$7:$A$50,'GO TRANSPORT'!G23))+(COUNTIF(SSN!$A$7:$A$50,'GO TRANSPORT'!G23))+(COUNTIF('W3'!$A$7:$A$50,'GO TRANSPORT'!G23))+(COUNTIF('ATHIS MONS'!$A$7:$A$50,'GO TRANSPORT'!G23))+(COUNTIF('L HAY LES ROSES'!$A$7:$A$50,'GO TRANSPORT'!G23))+(COUNTIF(RUNGIS!$A$7:$A$50,'GO TRANSPORT'!G23))+(COUNTIF(SCEAUX!$A$7:$A$50,'GO TRANSPORT'!G23))+(COUNTIF('INSTANCE C1'!$A$7:$A$50,'GO TRANSPORT'!G23))+(COUNTIF('INSTANCE C2'!$A$7:$A$50,'GO TRANSPORT'!G23))+(COUNTIF(INTERNES!$A$7:$A$50,'GO TRANSPORT'!G23))+(COUNTIF('EN PANNE'!$A$7:$A$50,'GO TRANSPORT'!G23))+(COUNTIF(TJM!$A$7:$A$50,'GO TRANSPORT'!G23))</f>
        <v>0</v>
      </c>
      <c r="J23" s="28">
        <f t="shared" si="4"/>
        <v>0</v>
      </c>
      <c r="K23" s="2"/>
      <c r="L23" s="47"/>
      <c r="Q23" s="68"/>
      <c r="S23" s="60">
        <f t="shared" si="1"/>
        <v>0</v>
      </c>
      <c r="T23" s="67">
        <f t="shared" si="2"/>
        <v>0</v>
      </c>
    </row>
    <row r="24" spans="1:20" ht="24.95" customHeight="1" x14ac:dyDescent="0.2">
      <c r="A24" s="20"/>
      <c r="B24" s="23">
        <f>(COUNTIF('2S EXPRESS'!$A$7:$A$50,'GO TRANSPORT'!A24))+(COUNTIF('2 ZT'!$A$7:$A$50,'GO TRANSPORT'!A24))+(COUNTIF('GO TRANSPORT'!$A$7:$A$50,'GO TRANSPORT'!A24))+(COUNTIF('HMZ - KAIS'!$A$7:$A$50,'GO TRANSPORT'!A24))+(COUNTIF('IB TRANSPORT'!$A$7:$A$50,'GO TRANSPORT'!A24))+(COUNTIF(JSL!$A$7:$A$50,'GO TRANSPORT'!A24))+(COUNTIF(KIFAITOUT!$A$7:$A$50,'GO TRANSPORT'!A24))+(COUNTIF('LUXE DRIVE'!$A$7:$A$50,'GO TRANSPORT'!A24))+(COUNTIF(SSN!$A$7:$A$50,'GO TRANSPORT'!A24))+(COUNTIF('W3'!$A$7:$A$50,'GO TRANSPORT'!A24))+(COUNTIF('ATHIS MONS'!$A$7:$A$50,'GO TRANSPORT'!A24))+(COUNTIF('L HAY LES ROSES'!$A$7:$A$50,'GO TRANSPORT'!A24))+(COUNTIF(RUNGIS!$A$7:$A$50,'GO TRANSPORT'!A24))+(COUNTIF(SCEAUX!$A$7:$A$50,'GO TRANSPORT'!A24))+(COUNTIF('INSTANCE C1'!$A$7:$A$50,'GO TRANSPORT'!A24))+(COUNTIF('INSTANCE C2'!$A$7:$A$50,'GO TRANSPORT'!A24))+(COUNTIF(INTERNES!$A$7:$A$50,'GO TRANSPORT'!A24))+(COUNTIF('EN PANNE'!$A$7:$A$50,'GO TRANSPORT'!A24))+(COUNTIF(TJM!$A$7:$A$50,'GO TRANSPORT'!A24))-C24</f>
        <v>0</v>
      </c>
      <c r="C24" s="23">
        <f>(COUNTIF('2S EXPRESS'!$G$7:$G$50,'GO TRANSPORT'!A24))+(COUNTIF('2 ZT'!$G$7:$G$50,'GO TRANSPORT'!A24))+(COUNTIF('GO TRANSPORT'!$G$7:$G$50,'GO TRANSPORT'!A24))+(COUNTIF('GO TRANSPORT'!$G$7:$G$50,'GO TRANSPORT'!A24))+(COUNTIF('IB TRANSPORT'!$G$7:$G$50,'GO TRANSPORT'!A24))+(COUNTIF(JSL!$G$7:$G$50,'GO TRANSPORT'!A24))+(COUNTIF(KIFAITOUT!$G$7:$G$50,'GO TRANSPORT'!A24))+(COUNTIF('LUXE DRIVE'!$G$7:$G$50,'GO TRANSPORT'!A24))+(COUNTIF(SSN!$G$7:$G$50,'GO TRANSPORT'!A24))+(COUNTIF('W3'!$G$7:$G$50,'GO TRANSPORT'!A24))+(COUNTIF('ATHIS MONS'!$G$7:$G$50,'GO TRANSPORT'!A24))+(COUNTIF('L HAY LES ROSES'!$G$7:$G$50,'GO TRANSPORT'!A24))+(COUNTIF(RUNGIS!$G$7:$G$50,'GO TRANSPORT'!A24))+(COUNTIF(SCEAUX!$G$7:$G$50,'GO TRANSPORT'!A24))+(COUNTIF('INSTANCE C1'!$G$7:$G$50,'GO TRANSPORT'!A24))+(COUNTIF('INSTANCE C2'!$G$7:$G$50,'GO TRANSPORT'!A24))+(COUNTIF(INTERNES!$G$7:$G$50,'GO TRANSPORT'!A24))+(COUNTIF('EN PANNE'!$G$7:$G$50,'GO TRANSPORT'!A24))+(COUNTIF(TJM!$G$7:$G$50,'GO TRANSPORT'!A24))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EXPRESS'!$G$7:$G$50,'GO TRANSPORT'!G24))+(COUNTIF('2 ZT'!$G$7:$G$50,'GO TRANSPORT'!G24))+(COUNTIF('GO TRANSPORT'!$G$7:$G$50,'GO TRANSPORT'!G24))+(COUNTIF('HMZ - KAIS'!$G$7:$G$50,'GO TRANSPORT'!G24))+(COUNTIF('IB TRANSPORT'!$G$7:$G$50,'GO TRANSPORT'!G24))+(COUNTIF(JSL!$G$7:$G$50,'GO TRANSPORT'!G24))+(COUNTIF(KIFAITOUT!$G$7:$G$50,'GO TRANSPORT'!G24))+(COUNTIF('LUXE DRIVE'!$G$7:$G$50,'GO TRANSPORT'!G24))+(COUNTIF(SSN!$G$7:$G$50,'GO TRANSPORT'!G24))+(COUNTIF('W3'!$G$7:$G$50,'GO TRANSPORT'!G24))+(COUNTIF('ATHIS MONS'!$G$7:$G$50,'GO TRANSPORT'!G24))+(COUNTIF('L HAY LES ROSES'!$G$7:$G$50,'GO TRANSPORT'!G24))+(COUNTIF(RUNGIS!$G$7:$G$50,'GO TRANSPORT'!G24))+(COUNTIF(SCEAUX!$G$7:$G$50,'GO TRANSPORT'!G24))+(COUNTIF('INSTANCE C1'!$G$7:$G$50,'GO TRANSPORT'!G24))+(COUNTIF('INSTANCE C2'!$G$7:$G$50,'GO TRANSPORT'!G24))+(COUNTIF(INTERNES!$G$7:$G$50,'GO TRANSPORT'!G24))+(COUNTIF('EN PANNE'!$G$7:$G$50,'GO TRANSPORT'!G24))+(COUNTIF(TJM!$G$7:$G$50,'GO TRANSPORT'!G24))-I24</f>
        <v>0</v>
      </c>
      <c r="I24" s="23">
        <f>(COUNTIF('2S EXPRESS'!$A$7:$A$50,'GO TRANSPORT'!G24))+(COUNTIF('2 ZT'!$A$7:$A$50,'GO TRANSPORT'!G24))+(COUNTIF('GO TRANSPORT'!$A$7:$A$50,'GO TRANSPORT'!G24))+(COUNTIF('HMZ - KAIS'!$A$7:$A$50,'GO TRANSPORT'!G24))+(COUNTIF('IB TRANSPORT'!$A$7:$A$50,'GO TRANSPORT'!G24))+(COUNTIF(JSL!$A$7:$A$50,'GO TRANSPORT'!G24))+(COUNTIF(KIFAITOUT!$A$7:$A$50,'GO TRANSPORT'!G24))+(COUNTIF('LUXE DRIVE'!$A$7:$A$50,'GO TRANSPORT'!G24))+(COUNTIF(SSN!$A$7:$A$50,'GO TRANSPORT'!G24))+(COUNTIF('W3'!$A$7:$A$50,'GO TRANSPORT'!G24))+(COUNTIF('ATHIS MONS'!$A$7:$A$50,'GO TRANSPORT'!G24))+(COUNTIF('L HAY LES ROSES'!$A$7:$A$50,'GO TRANSPORT'!G24))+(COUNTIF(RUNGIS!$A$7:$A$50,'GO TRANSPORT'!G24))+(COUNTIF(SCEAUX!$A$7:$A$50,'GO TRANSPORT'!G24))+(COUNTIF('INSTANCE C1'!$A$7:$A$50,'GO TRANSPORT'!G24))+(COUNTIF('INSTANCE C2'!$A$7:$A$50,'GO TRANSPORT'!G24))+(COUNTIF(INTERNES!$A$7:$A$50,'GO TRANSPORT'!G24))+(COUNTIF('EN PANNE'!$A$7:$A$50,'GO TRANSPORT'!G24))+(COUNTIF(TJM!$A$7:$A$50,'GO TRANSPORT'!G24))</f>
        <v>0</v>
      </c>
      <c r="J24" s="28">
        <f t="shared" si="4"/>
        <v>0</v>
      </c>
      <c r="K24" s="2"/>
      <c r="L24" s="47"/>
      <c r="Q24" s="69"/>
      <c r="S24" s="60">
        <f t="shared" si="1"/>
        <v>0</v>
      </c>
      <c r="T24" s="67">
        <f t="shared" si="2"/>
        <v>0</v>
      </c>
    </row>
    <row r="25" spans="1:20" ht="24.95" customHeight="1" x14ac:dyDescent="0.2">
      <c r="A25" s="20"/>
      <c r="B25" s="23">
        <f>(COUNTIF('2S EXPRESS'!$A$7:$A$50,'GO TRANSPORT'!A25))+(COUNTIF('2 ZT'!$A$7:$A$50,'GO TRANSPORT'!A25))+(COUNTIF('GO TRANSPORT'!$A$7:$A$50,'GO TRANSPORT'!A25))+(COUNTIF('HMZ - KAIS'!$A$7:$A$50,'GO TRANSPORT'!A25))+(COUNTIF('IB TRANSPORT'!$A$7:$A$50,'GO TRANSPORT'!A25))+(COUNTIF(JSL!$A$7:$A$50,'GO TRANSPORT'!A25))+(COUNTIF(KIFAITOUT!$A$7:$A$50,'GO TRANSPORT'!A25))+(COUNTIF('LUXE DRIVE'!$A$7:$A$50,'GO TRANSPORT'!A25))+(COUNTIF(SSN!$A$7:$A$50,'GO TRANSPORT'!A25))+(COUNTIF('W3'!$A$7:$A$50,'GO TRANSPORT'!A25))+(COUNTIF('ATHIS MONS'!$A$7:$A$50,'GO TRANSPORT'!A25))+(COUNTIF('L HAY LES ROSES'!$A$7:$A$50,'GO TRANSPORT'!A25))+(COUNTIF(RUNGIS!$A$7:$A$50,'GO TRANSPORT'!A25))+(COUNTIF(SCEAUX!$A$7:$A$50,'GO TRANSPORT'!A25))+(COUNTIF('INSTANCE C1'!$A$7:$A$50,'GO TRANSPORT'!A25))+(COUNTIF('INSTANCE C2'!$A$7:$A$50,'GO TRANSPORT'!A25))+(COUNTIF(INTERNES!$A$7:$A$50,'GO TRANSPORT'!A25))+(COUNTIF('EN PANNE'!$A$7:$A$50,'GO TRANSPORT'!A25))+(COUNTIF(TJM!$A$7:$A$50,'GO TRANSPORT'!A25))-C25</f>
        <v>0</v>
      </c>
      <c r="C25" s="23">
        <f>(COUNTIF('2S EXPRESS'!$G$7:$G$50,'GO TRANSPORT'!A25))+(COUNTIF('2 ZT'!$G$7:$G$50,'GO TRANSPORT'!A25))+(COUNTIF('GO TRANSPORT'!$G$7:$G$50,'GO TRANSPORT'!A25))+(COUNTIF('GO TRANSPORT'!$G$7:$G$50,'GO TRANSPORT'!A25))+(COUNTIF('IB TRANSPORT'!$G$7:$G$50,'GO TRANSPORT'!A25))+(COUNTIF(JSL!$G$7:$G$50,'GO TRANSPORT'!A25))+(COUNTIF(KIFAITOUT!$G$7:$G$50,'GO TRANSPORT'!A25))+(COUNTIF('LUXE DRIVE'!$G$7:$G$50,'GO TRANSPORT'!A25))+(COUNTIF(SSN!$G$7:$G$50,'GO TRANSPORT'!A25))+(COUNTIF('W3'!$G$7:$G$50,'GO TRANSPORT'!A25))+(COUNTIF('ATHIS MONS'!$G$7:$G$50,'GO TRANSPORT'!A25))+(COUNTIF('L HAY LES ROSES'!$G$7:$G$50,'GO TRANSPORT'!A25))+(COUNTIF(RUNGIS!$G$7:$G$50,'GO TRANSPORT'!A25))+(COUNTIF(SCEAUX!$G$7:$G$50,'GO TRANSPORT'!A25))+(COUNTIF('INSTANCE C1'!$G$7:$G$50,'GO TRANSPORT'!A25))+(COUNTIF('INSTANCE C2'!$G$7:$G$50,'GO TRANSPORT'!A25))+(COUNTIF(INTERNES!$G$7:$G$50,'GO TRANSPORT'!A25))+(COUNTIF('EN PANNE'!$G$7:$G$50,'GO TRANSPORT'!A25))+(COUNTIF(TJM!$G$7:$G$50,'GO TRANSPORT'!A25))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EXPRESS'!$G$7:$G$50,'GO TRANSPORT'!G25))+(COUNTIF('2 ZT'!$G$7:$G$50,'GO TRANSPORT'!G25))+(COUNTIF('GO TRANSPORT'!$G$7:$G$50,'GO TRANSPORT'!G25))+(COUNTIF('HMZ - KAIS'!$G$7:$G$50,'GO TRANSPORT'!G25))+(COUNTIF('IB TRANSPORT'!$G$7:$G$50,'GO TRANSPORT'!G25))+(COUNTIF(JSL!$G$7:$G$50,'GO TRANSPORT'!G25))+(COUNTIF(KIFAITOUT!$G$7:$G$50,'GO TRANSPORT'!G25))+(COUNTIF('LUXE DRIVE'!$G$7:$G$50,'GO TRANSPORT'!G25))+(COUNTIF(SSN!$G$7:$G$50,'GO TRANSPORT'!G25))+(COUNTIF('W3'!$G$7:$G$50,'GO TRANSPORT'!G25))+(COUNTIF('ATHIS MONS'!$G$7:$G$50,'GO TRANSPORT'!G25))+(COUNTIF('L HAY LES ROSES'!$G$7:$G$50,'GO TRANSPORT'!G25))+(COUNTIF(RUNGIS!$G$7:$G$50,'GO TRANSPORT'!G25))+(COUNTIF(SCEAUX!$G$7:$G$50,'GO TRANSPORT'!G25))+(COUNTIF('INSTANCE C1'!$G$7:$G$50,'GO TRANSPORT'!G25))+(COUNTIF('INSTANCE C2'!$G$7:$G$50,'GO TRANSPORT'!G25))+(COUNTIF(INTERNES!$G$7:$G$50,'GO TRANSPORT'!G25))+(COUNTIF('EN PANNE'!$G$7:$G$50,'GO TRANSPORT'!G25))+(COUNTIF(TJM!$G$7:$G$50,'GO TRANSPORT'!G25))-I25</f>
        <v>0</v>
      </c>
      <c r="I25" s="23">
        <f>(COUNTIF('2S EXPRESS'!$A$7:$A$50,'GO TRANSPORT'!G25))+(COUNTIF('2 ZT'!$A$7:$A$50,'GO TRANSPORT'!G25))+(COUNTIF('GO TRANSPORT'!$A$7:$A$50,'GO TRANSPORT'!G25))+(COUNTIF('HMZ - KAIS'!$A$7:$A$50,'GO TRANSPORT'!G25))+(COUNTIF('IB TRANSPORT'!$A$7:$A$50,'GO TRANSPORT'!G25))+(COUNTIF(JSL!$A$7:$A$50,'GO TRANSPORT'!G25))+(COUNTIF(KIFAITOUT!$A$7:$A$50,'GO TRANSPORT'!G25))+(COUNTIF('LUXE DRIVE'!$A$7:$A$50,'GO TRANSPORT'!G25))+(COUNTIF(SSN!$A$7:$A$50,'GO TRANSPORT'!G25))+(COUNTIF('W3'!$A$7:$A$50,'GO TRANSPORT'!G25))+(COUNTIF('ATHIS MONS'!$A$7:$A$50,'GO TRANSPORT'!G25))+(COUNTIF('L HAY LES ROSES'!$A$7:$A$50,'GO TRANSPORT'!G25))+(COUNTIF(RUNGIS!$A$7:$A$50,'GO TRANSPORT'!G25))+(COUNTIF(SCEAUX!$A$7:$A$50,'GO TRANSPORT'!G25))+(COUNTIF('INSTANCE C1'!$A$7:$A$50,'GO TRANSPORT'!G25))+(COUNTIF('INSTANCE C2'!$A$7:$A$50,'GO TRANSPORT'!G25))+(COUNTIF(INTERNES!$A$7:$A$50,'GO TRANSPORT'!G25))+(COUNTIF('EN PANNE'!$A$7:$A$50,'GO TRANSPORT'!G25))+(COUNTIF(TJM!$A$7:$A$50,'GO TRANSPORT'!G25))</f>
        <v>0</v>
      </c>
      <c r="J25" s="28">
        <f t="shared" si="4"/>
        <v>0</v>
      </c>
      <c r="K25" s="2"/>
      <c r="L25" s="47"/>
      <c r="Q25" s="69"/>
      <c r="S25" s="60">
        <f t="shared" si="1"/>
        <v>0</v>
      </c>
      <c r="T25" s="67">
        <f t="shared" si="2"/>
        <v>0</v>
      </c>
    </row>
    <row r="26" spans="1:20" ht="24.95" customHeight="1" x14ac:dyDescent="0.2">
      <c r="A26" s="20"/>
      <c r="B26" s="23">
        <f>(COUNTIF('2S EXPRESS'!$A$7:$A$50,'GO TRANSPORT'!A26))+(COUNTIF('2 ZT'!$A$7:$A$50,'GO TRANSPORT'!A26))+(COUNTIF('GO TRANSPORT'!$A$7:$A$50,'GO TRANSPORT'!A26))+(COUNTIF('HMZ - KAIS'!$A$7:$A$50,'GO TRANSPORT'!A26))+(COUNTIF('IB TRANSPORT'!$A$7:$A$50,'GO TRANSPORT'!A26))+(COUNTIF(JSL!$A$7:$A$50,'GO TRANSPORT'!A26))+(COUNTIF(KIFAITOUT!$A$7:$A$50,'GO TRANSPORT'!A26))+(COUNTIF('LUXE DRIVE'!$A$7:$A$50,'GO TRANSPORT'!A26))+(COUNTIF(SSN!$A$7:$A$50,'GO TRANSPORT'!A26))+(COUNTIF('W3'!$A$7:$A$50,'GO TRANSPORT'!A26))+(COUNTIF('ATHIS MONS'!$A$7:$A$50,'GO TRANSPORT'!A26))+(COUNTIF('L HAY LES ROSES'!$A$7:$A$50,'GO TRANSPORT'!A26))+(COUNTIF(RUNGIS!$A$7:$A$50,'GO TRANSPORT'!A26))+(COUNTIF(SCEAUX!$A$7:$A$50,'GO TRANSPORT'!A26))+(COUNTIF('INSTANCE C1'!$A$7:$A$50,'GO TRANSPORT'!A26))+(COUNTIF('INSTANCE C2'!$A$7:$A$50,'GO TRANSPORT'!A26))+(COUNTIF(INTERNES!$A$7:$A$50,'GO TRANSPORT'!A26))+(COUNTIF('EN PANNE'!$A$7:$A$50,'GO TRANSPORT'!A26))+(COUNTIF(TJM!$A$7:$A$50,'GO TRANSPORT'!A26))-C26</f>
        <v>0</v>
      </c>
      <c r="C26" s="23">
        <f>(COUNTIF('2S EXPRESS'!$G$7:$G$50,'GO TRANSPORT'!A26))+(COUNTIF('2 ZT'!$G$7:$G$50,'GO TRANSPORT'!A26))+(COUNTIF('GO TRANSPORT'!$G$7:$G$50,'GO TRANSPORT'!A26))+(COUNTIF('GO TRANSPORT'!$G$7:$G$50,'GO TRANSPORT'!A26))+(COUNTIF('IB TRANSPORT'!$G$7:$G$50,'GO TRANSPORT'!A26))+(COUNTIF(JSL!$G$7:$G$50,'GO TRANSPORT'!A26))+(COUNTIF(KIFAITOUT!$G$7:$G$50,'GO TRANSPORT'!A26))+(COUNTIF('LUXE DRIVE'!$G$7:$G$50,'GO TRANSPORT'!A26))+(COUNTIF(SSN!$G$7:$G$50,'GO TRANSPORT'!A26))+(COUNTIF('W3'!$G$7:$G$50,'GO TRANSPORT'!A26))+(COUNTIF('ATHIS MONS'!$G$7:$G$50,'GO TRANSPORT'!A26))+(COUNTIF('L HAY LES ROSES'!$G$7:$G$50,'GO TRANSPORT'!A26))+(COUNTIF(RUNGIS!$G$7:$G$50,'GO TRANSPORT'!A26))+(COUNTIF(SCEAUX!$G$7:$G$50,'GO TRANSPORT'!A26))+(COUNTIF('INSTANCE C1'!$G$7:$G$50,'GO TRANSPORT'!A26))+(COUNTIF('INSTANCE C2'!$G$7:$G$50,'GO TRANSPORT'!A26))+(COUNTIF(INTERNES!$G$7:$G$50,'GO TRANSPORT'!A26))+(COUNTIF('EN PANNE'!$G$7:$G$50,'GO TRANSPORT'!A26))+(COUNTIF(TJM!$G$7:$G$50,'GO TRANSPORT'!A26))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EXPRESS'!$G$7:$G$50,'GO TRANSPORT'!G26))+(COUNTIF('2 ZT'!$G$7:$G$50,'GO TRANSPORT'!G26))+(COUNTIF('GO TRANSPORT'!$G$7:$G$50,'GO TRANSPORT'!G26))+(COUNTIF('HMZ - KAIS'!$G$7:$G$50,'GO TRANSPORT'!G26))+(COUNTIF('IB TRANSPORT'!$G$7:$G$50,'GO TRANSPORT'!G26))+(COUNTIF(JSL!$G$7:$G$50,'GO TRANSPORT'!G26))+(COUNTIF(KIFAITOUT!$G$7:$G$50,'GO TRANSPORT'!G26))+(COUNTIF('LUXE DRIVE'!$G$7:$G$50,'GO TRANSPORT'!G26))+(COUNTIF(SSN!$G$7:$G$50,'GO TRANSPORT'!G26))+(COUNTIF('W3'!$G$7:$G$50,'GO TRANSPORT'!G26))+(COUNTIF('ATHIS MONS'!$G$7:$G$50,'GO TRANSPORT'!G26))+(COUNTIF('L HAY LES ROSES'!$G$7:$G$50,'GO TRANSPORT'!G26))+(COUNTIF(RUNGIS!$G$7:$G$50,'GO TRANSPORT'!G26))+(COUNTIF(SCEAUX!$G$7:$G$50,'GO TRANSPORT'!G26))+(COUNTIF('INSTANCE C1'!$G$7:$G$50,'GO TRANSPORT'!G26))+(COUNTIF('INSTANCE C2'!$G$7:$G$50,'GO TRANSPORT'!G26))+(COUNTIF(INTERNES!$G$7:$G$50,'GO TRANSPORT'!G26))+(COUNTIF('EN PANNE'!$G$7:$G$50,'GO TRANSPORT'!G26))+(COUNTIF(TJM!$G$7:$G$50,'GO TRANSPORT'!G26))-I26</f>
        <v>0</v>
      </c>
      <c r="I26" s="23">
        <f>(COUNTIF('2S EXPRESS'!$A$7:$A$50,'GO TRANSPORT'!G26))+(COUNTIF('2 ZT'!$A$7:$A$50,'GO TRANSPORT'!G26))+(COUNTIF('GO TRANSPORT'!$A$7:$A$50,'GO TRANSPORT'!G26))+(COUNTIF('HMZ - KAIS'!$A$7:$A$50,'GO TRANSPORT'!G26))+(COUNTIF('IB TRANSPORT'!$A$7:$A$50,'GO TRANSPORT'!G26))+(COUNTIF(JSL!$A$7:$A$50,'GO TRANSPORT'!G26))+(COUNTIF(KIFAITOUT!$A$7:$A$50,'GO TRANSPORT'!G26))+(COUNTIF('LUXE DRIVE'!$A$7:$A$50,'GO TRANSPORT'!G26))+(COUNTIF(SSN!$A$7:$A$50,'GO TRANSPORT'!G26))+(COUNTIF('W3'!$A$7:$A$50,'GO TRANSPORT'!G26))+(COUNTIF('ATHIS MONS'!$A$7:$A$50,'GO TRANSPORT'!G26))+(COUNTIF('L HAY LES ROSES'!$A$7:$A$50,'GO TRANSPORT'!G26))+(COUNTIF(RUNGIS!$A$7:$A$50,'GO TRANSPORT'!G26))+(COUNTIF(SCEAUX!$A$7:$A$50,'GO TRANSPORT'!G26))+(COUNTIF('INSTANCE C1'!$A$7:$A$50,'GO TRANSPORT'!G26))+(COUNTIF('INSTANCE C2'!$A$7:$A$50,'GO TRANSPORT'!G26))+(COUNTIF(INTERNES!$A$7:$A$50,'GO TRANSPORT'!G26))+(COUNTIF('EN PANNE'!$A$7:$A$50,'GO TRANSPORT'!G26))+(COUNTIF(TJM!$A$7:$A$50,'GO TRANSPORT'!G26))</f>
        <v>0</v>
      </c>
      <c r="J26" s="28">
        <f t="shared" si="4"/>
        <v>0</v>
      </c>
      <c r="K26" s="2"/>
      <c r="L26" s="47"/>
      <c r="Q26" s="69"/>
      <c r="S26" s="60">
        <f t="shared" si="1"/>
        <v>0</v>
      </c>
      <c r="T26" s="67">
        <f t="shared" si="2"/>
        <v>0</v>
      </c>
    </row>
    <row r="27" spans="1:20" ht="24.95" customHeight="1" x14ac:dyDescent="0.2">
      <c r="A27" s="20"/>
      <c r="B27" s="23">
        <f>(COUNTIF('2S EXPRESS'!$A$7:$A$50,'GO TRANSPORT'!A27))+(COUNTIF('2 ZT'!$A$7:$A$50,'GO TRANSPORT'!A27))+(COUNTIF('GO TRANSPORT'!$A$7:$A$50,'GO TRANSPORT'!A27))+(COUNTIF('HMZ - KAIS'!$A$7:$A$50,'GO TRANSPORT'!A27))+(COUNTIF('IB TRANSPORT'!$A$7:$A$50,'GO TRANSPORT'!A27))+(COUNTIF(JSL!$A$7:$A$50,'GO TRANSPORT'!A27))+(COUNTIF(KIFAITOUT!$A$7:$A$50,'GO TRANSPORT'!A27))+(COUNTIF('LUXE DRIVE'!$A$7:$A$50,'GO TRANSPORT'!A27))+(COUNTIF(SSN!$A$7:$A$50,'GO TRANSPORT'!A27))+(COUNTIF('W3'!$A$7:$A$50,'GO TRANSPORT'!A27))+(COUNTIF('ATHIS MONS'!$A$7:$A$50,'GO TRANSPORT'!A27))+(COUNTIF('L HAY LES ROSES'!$A$7:$A$50,'GO TRANSPORT'!A27))+(COUNTIF(RUNGIS!$A$7:$A$50,'GO TRANSPORT'!A27))+(COUNTIF(SCEAUX!$A$7:$A$50,'GO TRANSPORT'!A27))+(COUNTIF('INSTANCE C1'!$A$7:$A$50,'GO TRANSPORT'!A27))+(COUNTIF('INSTANCE C2'!$A$7:$A$50,'GO TRANSPORT'!A27))+(COUNTIF(INTERNES!$A$7:$A$50,'GO TRANSPORT'!A27))+(COUNTIF('EN PANNE'!$A$7:$A$50,'GO TRANSPORT'!A27))+(COUNTIF(TJM!$A$7:$A$50,'GO TRANSPORT'!A27))-C27</f>
        <v>0</v>
      </c>
      <c r="C27" s="23">
        <f>(COUNTIF('2S EXPRESS'!$G$7:$G$50,'GO TRANSPORT'!A27))+(COUNTIF('2 ZT'!$G$7:$G$50,'GO TRANSPORT'!A27))+(COUNTIF('GO TRANSPORT'!$G$7:$G$50,'GO TRANSPORT'!A27))+(COUNTIF('GO TRANSPORT'!$G$7:$G$50,'GO TRANSPORT'!A27))+(COUNTIF('IB TRANSPORT'!$G$7:$G$50,'GO TRANSPORT'!A27))+(COUNTIF(JSL!$G$7:$G$50,'GO TRANSPORT'!A27))+(COUNTIF(KIFAITOUT!$G$7:$G$50,'GO TRANSPORT'!A27))+(COUNTIF('LUXE DRIVE'!$G$7:$G$50,'GO TRANSPORT'!A27))+(COUNTIF(SSN!$G$7:$G$50,'GO TRANSPORT'!A27))+(COUNTIF('W3'!$G$7:$G$50,'GO TRANSPORT'!A27))+(COUNTIF('ATHIS MONS'!$G$7:$G$50,'GO TRANSPORT'!A27))+(COUNTIF('L HAY LES ROSES'!$G$7:$G$50,'GO TRANSPORT'!A27))+(COUNTIF(RUNGIS!$G$7:$G$50,'GO TRANSPORT'!A27))+(COUNTIF(SCEAUX!$G$7:$G$50,'GO TRANSPORT'!A27))+(COUNTIF('INSTANCE C1'!$G$7:$G$50,'GO TRANSPORT'!A27))+(COUNTIF('INSTANCE C2'!$G$7:$G$50,'GO TRANSPORT'!A27))+(COUNTIF(INTERNES!$G$7:$G$50,'GO TRANSPORT'!A27))+(COUNTIF('EN PANNE'!$G$7:$G$50,'GO TRANSPORT'!A27))+(COUNTIF(TJM!$G$7:$G$50,'GO TRANSPORT'!A27))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EXPRESS'!$G$7:$G$50,'GO TRANSPORT'!G27))+(COUNTIF('2 ZT'!$G$7:$G$50,'GO TRANSPORT'!G27))+(COUNTIF('GO TRANSPORT'!$G$7:$G$50,'GO TRANSPORT'!G27))+(COUNTIF('HMZ - KAIS'!$G$7:$G$50,'GO TRANSPORT'!G27))+(COUNTIF('IB TRANSPORT'!$G$7:$G$50,'GO TRANSPORT'!G27))+(COUNTIF(JSL!$G$7:$G$50,'GO TRANSPORT'!G27))+(COUNTIF(KIFAITOUT!$G$7:$G$50,'GO TRANSPORT'!G27))+(COUNTIF('LUXE DRIVE'!$G$7:$G$50,'GO TRANSPORT'!G27))+(COUNTIF(SSN!$G$7:$G$50,'GO TRANSPORT'!G27))+(COUNTIF('W3'!$G$7:$G$50,'GO TRANSPORT'!G27))+(COUNTIF('ATHIS MONS'!$G$7:$G$50,'GO TRANSPORT'!G27))+(COUNTIF('L HAY LES ROSES'!$G$7:$G$50,'GO TRANSPORT'!G27))+(COUNTIF(RUNGIS!$G$7:$G$50,'GO TRANSPORT'!G27))+(COUNTIF(SCEAUX!$G$7:$G$50,'GO TRANSPORT'!G27))+(COUNTIF('INSTANCE C1'!$G$7:$G$50,'GO TRANSPORT'!G27))+(COUNTIF('INSTANCE C2'!$G$7:$G$50,'GO TRANSPORT'!G27))+(COUNTIF(INTERNES!$G$7:$G$50,'GO TRANSPORT'!G27))+(COUNTIF('EN PANNE'!$G$7:$G$50,'GO TRANSPORT'!G27))+(COUNTIF(TJM!$G$7:$G$50,'GO TRANSPORT'!G27))-I27</f>
        <v>0</v>
      </c>
      <c r="I27" s="23">
        <f>(COUNTIF('2S EXPRESS'!$A$7:$A$50,'GO TRANSPORT'!G27))+(COUNTIF('2 ZT'!$A$7:$A$50,'GO TRANSPORT'!G27))+(COUNTIF('GO TRANSPORT'!$A$7:$A$50,'GO TRANSPORT'!G27))+(COUNTIF('HMZ - KAIS'!$A$7:$A$50,'GO TRANSPORT'!G27))+(COUNTIF('IB TRANSPORT'!$A$7:$A$50,'GO TRANSPORT'!G27))+(COUNTIF(JSL!$A$7:$A$50,'GO TRANSPORT'!G27))+(COUNTIF(KIFAITOUT!$A$7:$A$50,'GO TRANSPORT'!G27))+(COUNTIF('LUXE DRIVE'!$A$7:$A$50,'GO TRANSPORT'!G27))+(COUNTIF(SSN!$A$7:$A$50,'GO TRANSPORT'!G27))+(COUNTIF('W3'!$A$7:$A$50,'GO TRANSPORT'!G27))+(COUNTIF('ATHIS MONS'!$A$7:$A$50,'GO TRANSPORT'!G27))+(COUNTIF('L HAY LES ROSES'!$A$7:$A$50,'GO TRANSPORT'!G27))+(COUNTIF(RUNGIS!$A$7:$A$50,'GO TRANSPORT'!G27))+(COUNTIF(SCEAUX!$A$7:$A$50,'GO TRANSPORT'!G27))+(COUNTIF('INSTANCE C1'!$A$7:$A$50,'GO TRANSPORT'!G27))+(COUNTIF('INSTANCE C2'!$A$7:$A$50,'GO TRANSPORT'!G27))+(COUNTIF(INTERNES!$A$7:$A$50,'GO TRANSPORT'!G27))+(COUNTIF('EN PANNE'!$A$7:$A$50,'GO TRANSPORT'!G27))+(COUNTIF(TJM!$A$7:$A$50,'GO TRANSPORT'!G27))</f>
        <v>0</v>
      </c>
      <c r="J27" s="28">
        <f t="shared" si="4"/>
        <v>0</v>
      </c>
      <c r="K27" s="2"/>
      <c r="L27" s="47"/>
      <c r="Q27" s="69"/>
      <c r="S27" s="60">
        <f t="shared" si="1"/>
        <v>0</v>
      </c>
      <c r="T27" s="67">
        <f t="shared" si="2"/>
        <v>0</v>
      </c>
    </row>
    <row r="28" spans="1:20" ht="24.95" customHeight="1" x14ac:dyDescent="0.2">
      <c r="A28" s="20"/>
      <c r="B28" s="23">
        <f>(COUNTIF('2S EXPRESS'!$A$7:$A$50,'GO TRANSPORT'!A28))+(COUNTIF('2 ZT'!$A$7:$A$50,'GO TRANSPORT'!A28))+(COUNTIF('GO TRANSPORT'!$A$7:$A$50,'GO TRANSPORT'!A28))+(COUNTIF('HMZ - KAIS'!$A$7:$A$50,'GO TRANSPORT'!A28))+(COUNTIF('IB TRANSPORT'!$A$7:$A$50,'GO TRANSPORT'!A28))+(COUNTIF(JSL!$A$7:$A$50,'GO TRANSPORT'!A28))+(COUNTIF(KIFAITOUT!$A$7:$A$50,'GO TRANSPORT'!A28))+(COUNTIF('LUXE DRIVE'!$A$7:$A$50,'GO TRANSPORT'!A28))+(COUNTIF(SSN!$A$7:$A$50,'GO TRANSPORT'!A28))+(COUNTIF('W3'!$A$7:$A$50,'GO TRANSPORT'!A28))+(COUNTIF('ATHIS MONS'!$A$7:$A$50,'GO TRANSPORT'!A28))+(COUNTIF('L HAY LES ROSES'!$A$7:$A$50,'GO TRANSPORT'!A28))+(COUNTIF(RUNGIS!$A$7:$A$50,'GO TRANSPORT'!A28))+(COUNTIF(SCEAUX!$A$7:$A$50,'GO TRANSPORT'!A28))+(COUNTIF('INSTANCE C1'!$A$7:$A$50,'GO TRANSPORT'!A28))+(COUNTIF('INSTANCE C2'!$A$7:$A$50,'GO TRANSPORT'!A28))+(COUNTIF(INTERNES!$A$7:$A$50,'GO TRANSPORT'!A28))+(COUNTIF('EN PANNE'!$A$7:$A$50,'GO TRANSPORT'!A28))+(COUNTIF(TJM!$A$7:$A$50,'GO TRANSPORT'!A28))-C28</f>
        <v>0</v>
      </c>
      <c r="C28" s="23">
        <f>(COUNTIF('2S EXPRESS'!$G$7:$G$50,'GO TRANSPORT'!A28))+(COUNTIF('2 ZT'!$G$7:$G$50,'GO TRANSPORT'!A28))+(COUNTIF('GO TRANSPORT'!$G$7:$G$50,'GO TRANSPORT'!A28))+(COUNTIF('GO TRANSPORT'!$G$7:$G$50,'GO TRANSPORT'!A28))+(COUNTIF('IB TRANSPORT'!$G$7:$G$50,'GO TRANSPORT'!A28))+(COUNTIF(JSL!$G$7:$G$50,'GO TRANSPORT'!A28))+(COUNTIF(KIFAITOUT!$G$7:$G$50,'GO TRANSPORT'!A28))+(COUNTIF('LUXE DRIVE'!$G$7:$G$50,'GO TRANSPORT'!A28))+(COUNTIF(SSN!$G$7:$G$50,'GO TRANSPORT'!A28))+(COUNTIF('W3'!$G$7:$G$50,'GO TRANSPORT'!A28))+(COUNTIF('ATHIS MONS'!$G$7:$G$50,'GO TRANSPORT'!A28))+(COUNTIF('L HAY LES ROSES'!$G$7:$G$50,'GO TRANSPORT'!A28))+(COUNTIF(RUNGIS!$G$7:$G$50,'GO TRANSPORT'!A28))+(COUNTIF(SCEAUX!$G$7:$G$50,'GO TRANSPORT'!A28))+(COUNTIF('INSTANCE C1'!$G$7:$G$50,'GO TRANSPORT'!A28))+(COUNTIF('INSTANCE C2'!$G$7:$G$50,'GO TRANSPORT'!A28))+(COUNTIF(INTERNES!$G$7:$G$50,'GO TRANSPORT'!A28))+(COUNTIF('EN PANNE'!$G$7:$G$50,'GO TRANSPORT'!A28))+(COUNTIF(TJM!$G$7:$G$50,'GO TRANSPORT'!A28))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EXPRESS'!$G$7:$G$50,'GO TRANSPORT'!G28))+(COUNTIF('2 ZT'!$G$7:$G$50,'GO TRANSPORT'!G28))+(COUNTIF('GO TRANSPORT'!$G$7:$G$50,'GO TRANSPORT'!G28))+(COUNTIF('HMZ - KAIS'!$G$7:$G$50,'GO TRANSPORT'!G28))+(COUNTIF('IB TRANSPORT'!$G$7:$G$50,'GO TRANSPORT'!G28))+(COUNTIF(JSL!$G$7:$G$50,'GO TRANSPORT'!G28))+(COUNTIF(KIFAITOUT!$G$7:$G$50,'GO TRANSPORT'!G28))+(COUNTIF('LUXE DRIVE'!$G$7:$G$50,'GO TRANSPORT'!G28))+(COUNTIF(SSN!$G$7:$G$50,'GO TRANSPORT'!G28))+(COUNTIF('W3'!$G$7:$G$50,'GO TRANSPORT'!G28))+(COUNTIF('ATHIS MONS'!$G$7:$G$50,'GO TRANSPORT'!G28))+(COUNTIF('L HAY LES ROSES'!$G$7:$G$50,'GO TRANSPORT'!G28))+(COUNTIF(RUNGIS!$G$7:$G$50,'GO TRANSPORT'!G28))+(COUNTIF(SCEAUX!$G$7:$G$50,'GO TRANSPORT'!G28))+(COUNTIF('INSTANCE C1'!$G$7:$G$50,'GO TRANSPORT'!G28))+(COUNTIF('INSTANCE C2'!$G$7:$G$50,'GO TRANSPORT'!G28))+(COUNTIF(INTERNES!$G$7:$G$50,'GO TRANSPORT'!G28))+(COUNTIF('EN PANNE'!$G$7:$G$50,'GO TRANSPORT'!G28))+(COUNTIF(TJM!$G$7:$G$50,'GO TRANSPORT'!G28))-I28</f>
        <v>0</v>
      </c>
      <c r="I28" s="23">
        <f>(COUNTIF('2S EXPRESS'!$A$7:$A$50,'GO TRANSPORT'!G28))+(COUNTIF('2 ZT'!$A$7:$A$50,'GO TRANSPORT'!G28))+(COUNTIF('GO TRANSPORT'!$A$7:$A$50,'GO TRANSPORT'!G28))+(COUNTIF('HMZ - KAIS'!$A$7:$A$50,'GO TRANSPORT'!G28))+(COUNTIF('IB TRANSPORT'!$A$7:$A$50,'GO TRANSPORT'!G28))+(COUNTIF(JSL!$A$7:$A$50,'GO TRANSPORT'!G28))+(COUNTIF(KIFAITOUT!$A$7:$A$50,'GO TRANSPORT'!G28))+(COUNTIF('LUXE DRIVE'!$A$7:$A$50,'GO TRANSPORT'!G28))+(COUNTIF(SSN!$A$7:$A$50,'GO TRANSPORT'!G28))+(COUNTIF('W3'!$A$7:$A$50,'GO TRANSPORT'!G28))+(COUNTIF('ATHIS MONS'!$A$7:$A$50,'GO TRANSPORT'!G28))+(COUNTIF('L HAY LES ROSES'!$A$7:$A$50,'GO TRANSPORT'!G28))+(COUNTIF(RUNGIS!$A$7:$A$50,'GO TRANSPORT'!G28))+(COUNTIF(SCEAUX!$A$7:$A$50,'GO TRANSPORT'!G28))+(COUNTIF('INSTANCE C1'!$A$7:$A$50,'GO TRANSPORT'!G28))+(COUNTIF('INSTANCE C2'!$A$7:$A$50,'GO TRANSPORT'!G28))+(COUNTIF(INTERNES!$A$7:$A$50,'GO TRANSPORT'!G28))+(COUNTIF('EN PANNE'!$A$7:$A$50,'GO TRANSPORT'!G28))+(COUNTIF(TJM!$A$7:$A$50,'GO TRANSPORT'!G28))</f>
        <v>0</v>
      </c>
      <c r="J28" s="28">
        <f t="shared" si="4"/>
        <v>0</v>
      </c>
      <c r="K28" s="2"/>
      <c r="L28" s="47"/>
      <c r="Q28" s="69"/>
      <c r="S28" s="60">
        <f t="shared" si="1"/>
        <v>0</v>
      </c>
      <c r="T28" s="67">
        <f t="shared" si="2"/>
        <v>0</v>
      </c>
    </row>
    <row r="29" spans="1:20" ht="24.95" customHeight="1" x14ac:dyDescent="0.2">
      <c r="A29" s="20"/>
      <c r="B29" s="23">
        <f>(COUNTIF('2S EXPRESS'!$A$7:$A$50,'GO TRANSPORT'!A29))+(COUNTIF('2 ZT'!$A$7:$A$50,'GO TRANSPORT'!A29))+(COUNTIF('GO TRANSPORT'!$A$7:$A$50,'GO TRANSPORT'!A29))+(COUNTIF('HMZ - KAIS'!$A$7:$A$50,'GO TRANSPORT'!A29))+(COUNTIF('IB TRANSPORT'!$A$7:$A$50,'GO TRANSPORT'!A29))+(COUNTIF(JSL!$A$7:$A$50,'GO TRANSPORT'!A29))+(COUNTIF(KIFAITOUT!$A$7:$A$50,'GO TRANSPORT'!A29))+(COUNTIF('LUXE DRIVE'!$A$7:$A$50,'GO TRANSPORT'!A29))+(COUNTIF(SSN!$A$7:$A$50,'GO TRANSPORT'!A29))+(COUNTIF('W3'!$A$7:$A$50,'GO TRANSPORT'!A29))+(COUNTIF('ATHIS MONS'!$A$7:$A$50,'GO TRANSPORT'!A29))+(COUNTIF('L HAY LES ROSES'!$A$7:$A$50,'GO TRANSPORT'!A29))+(COUNTIF(RUNGIS!$A$7:$A$50,'GO TRANSPORT'!A29))+(COUNTIF(SCEAUX!$A$7:$A$50,'GO TRANSPORT'!A29))+(COUNTIF('INSTANCE C1'!$A$7:$A$50,'GO TRANSPORT'!A29))+(COUNTIF('INSTANCE C2'!$A$7:$A$50,'GO TRANSPORT'!A29))+(COUNTIF(INTERNES!$A$7:$A$50,'GO TRANSPORT'!A29))+(COUNTIF('EN PANNE'!$A$7:$A$50,'GO TRANSPORT'!A29))+(COUNTIF(TJM!$A$7:$A$50,'GO TRANSPORT'!A29))-C29</f>
        <v>0</v>
      </c>
      <c r="C29" s="23">
        <f>(COUNTIF('2S EXPRESS'!$G$7:$G$50,'GO TRANSPORT'!A29))+(COUNTIF('2 ZT'!$G$7:$G$50,'GO TRANSPORT'!A29))+(COUNTIF('GO TRANSPORT'!$G$7:$G$50,'GO TRANSPORT'!A29))+(COUNTIF('GO TRANSPORT'!$G$7:$G$50,'GO TRANSPORT'!A29))+(COUNTIF('IB TRANSPORT'!$G$7:$G$50,'GO TRANSPORT'!A29))+(COUNTIF(JSL!$G$7:$G$50,'GO TRANSPORT'!A29))+(COUNTIF(KIFAITOUT!$G$7:$G$50,'GO TRANSPORT'!A29))+(COUNTIF('LUXE DRIVE'!$G$7:$G$50,'GO TRANSPORT'!A29))+(COUNTIF(SSN!$G$7:$G$50,'GO TRANSPORT'!A29))+(COUNTIF('W3'!$G$7:$G$50,'GO TRANSPORT'!A29))+(COUNTIF('ATHIS MONS'!$G$7:$G$50,'GO TRANSPORT'!A29))+(COUNTIF('L HAY LES ROSES'!$G$7:$G$50,'GO TRANSPORT'!A29))+(COUNTIF(RUNGIS!$G$7:$G$50,'GO TRANSPORT'!A29))+(COUNTIF(SCEAUX!$G$7:$G$50,'GO TRANSPORT'!A29))+(COUNTIF('INSTANCE C1'!$G$7:$G$50,'GO TRANSPORT'!A29))+(COUNTIF('INSTANCE C2'!$G$7:$G$50,'GO TRANSPORT'!A29))+(COUNTIF(INTERNES!$G$7:$G$50,'GO TRANSPORT'!A29))+(COUNTIF('EN PANNE'!$G$7:$G$50,'GO TRANSPORT'!A29))+(COUNTIF(TJM!$G$7:$G$50,'GO TRANSPORT'!A29))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EXPRESS'!$G$7:$G$50,'GO TRANSPORT'!G29))+(COUNTIF('2 ZT'!$G$7:$G$50,'GO TRANSPORT'!G29))+(COUNTIF('GO TRANSPORT'!$G$7:$G$50,'GO TRANSPORT'!G29))+(COUNTIF('HMZ - KAIS'!$G$7:$G$50,'GO TRANSPORT'!G29))+(COUNTIF('IB TRANSPORT'!$G$7:$G$50,'GO TRANSPORT'!G29))+(COUNTIF(JSL!$G$7:$G$50,'GO TRANSPORT'!G29))+(COUNTIF(KIFAITOUT!$G$7:$G$50,'GO TRANSPORT'!G29))+(COUNTIF('LUXE DRIVE'!$G$7:$G$50,'GO TRANSPORT'!G29))+(COUNTIF(SSN!$G$7:$G$50,'GO TRANSPORT'!G29))+(COUNTIF('W3'!$G$7:$G$50,'GO TRANSPORT'!G29))+(COUNTIF('ATHIS MONS'!$G$7:$G$50,'GO TRANSPORT'!G29))+(COUNTIF('L HAY LES ROSES'!$G$7:$G$50,'GO TRANSPORT'!G29))+(COUNTIF(RUNGIS!$G$7:$G$50,'GO TRANSPORT'!G29))+(COUNTIF(SCEAUX!$G$7:$G$50,'GO TRANSPORT'!G29))+(COUNTIF('INSTANCE C1'!$G$7:$G$50,'GO TRANSPORT'!G29))+(COUNTIF('INSTANCE C2'!$G$7:$G$50,'GO TRANSPORT'!G29))+(COUNTIF(INTERNES!$G$7:$G$50,'GO TRANSPORT'!G29))+(COUNTIF('EN PANNE'!$G$7:$G$50,'GO TRANSPORT'!G29))+(COUNTIF(TJM!$G$7:$G$50,'GO TRANSPORT'!G29))-I29</f>
        <v>0</v>
      </c>
      <c r="I29" s="23">
        <f>(COUNTIF('2S EXPRESS'!$A$7:$A$50,'GO TRANSPORT'!G29))+(COUNTIF('2 ZT'!$A$7:$A$50,'GO TRANSPORT'!G29))+(COUNTIF('GO TRANSPORT'!$A$7:$A$50,'GO TRANSPORT'!G29))+(COUNTIF('HMZ - KAIS'!$A$7:$A$50,'GO TRANSPORT'!G29))+(COUNTIF('IB TRANSPORT'!$A$7:$A$50,'GO TRANSPORT'!G29))+(COUNTIF(JSL!$A$7:$A$50,'GO TRANSPORT'!G29))+(COUNTIF(KIFAITOUT!$A$7:$A$50,'GO TRANSPORT'!G29))+(COUNTIF('LUXE DRIVE'!$A$7:$A$50,'GO TRANSPORT'!G29))+(COUNTIF(SSN!$A$7:$A$50,'GO TRANSPORT'!G29))+(COUNTIF('W3'!$A$7:$A$50,'GO TRANSPORT'!G29))+(COUNTIF('ATHIS MONS'!$A$7:$A$50,'GO TRANSPORT'!G29))+(COUNTIF('L HAY LES ROSES'!$A$7:$A$50,'GO TRANSPORT'!G29))+(COUNTIF(RUNGIS!$A$7:$A$50,'GO TRANSPORT'!G29))+(COUNTIF(SCEAUX!$A$7:$A$50,'GO TRANSPORT'!G29))+(COUNTIF('INSTANCE C1'!$A$7:$A$50,'GO TRANSPORT'!G29))+(COUNTIF('INSTANCE C2'!$A$7:$A$50,'GO TRANSPORT'!G29))+(COUNTIF(INTERNES!$A$7:$A$50,'GO TRANSPORT'!G29))+(COUNTIF('EN PANNE'!$A$7:$A$50,'GO TRANSPORT'!G29))+(COUNTIF(TJM!$A$7:$A$50,'GO TRANSPORT'!G29))</f>
        <v>0</v>
      </c>
      <c r="J29" s="28">
        <f t="shared" si="4"/>
        <v>0</v>
      </c>
      <c r="K29" s="2"/>
      <c r="L29" s="47"/>
      <c r="Q29" s="69"/>
      <c r="S29" s="60">
        <f t="shared" si="1"/>
        <v>0</v>
      </c>
      <c r="T29" s="67">
        <f t="shared" si="2"/>
        <v>0</v>
      </c>
    </row>
    <row r="30" spans="1:20" ht="24.95" customHeight="1" x14ac:dyDescent="0.2">
      <c r="A30" s="20"/>
      <c r="B30" s="23">
        <f>(COUNTIF('2S EXPRESS'!$A$7:$A$50,'GO TRANSPORT'!A30))+(COUNTIF('2 ZT'!$A$7:$A$50,'GO TRANSPORT'!A30))+(COUNTIF('GO TRANSPORT'!$A$7:$A$50,'GO TRANSPORT'!A30))+(COUNTIF('HMZ - KAIS'!$A$7:$A$50,'GO TRANSPORT'!A30))+(COUNTIF('IB TRANSPORT'!$A$7:$A$50,'GO TRANSPORT'!A30))+(COUNTIF(JSL!$A$7:$A$50,'GO TRANSPORT'!A30))+(COUNTIF(KIFAITOUT!$A$7:$A$50,'GO TRANSPORT'!A30))+(COUNTIF('LUXE DRIVE'!$A$7:$A$50,'GO TRANSPORT'!A30))+(COUNTIF(SSN!$A$7:$A$50,'GO TRANSPORT'!A30))+(COUNTIF('W3'!$A$7:$A$50,'GO TRANSPORT'!A30))+(COUNTIF('ATHIS MONS'!$A$7:$A$50,'GO TRANSPORT'!A30))+(COUNTIF('L HAY LES ROSES'!$A$7:$A$50,'GO TRANSPORT'!A30))+(COUNTIF(RUNGIS!$A$7:$A$50,'GO TRANSPORT'!A30))+(COUNTIF(SCEAUX!$A$7:$A$50,'GO TRANSPORT'!A30))+(COUNTIF('INSTANCE C1'!$A$7:$A$50,'GO TRANSPORT'!A30))+(COUNTIF('INSTANCE C2'!$A$7:$A$50,'GO TRANSPORT'!A30))+(COUNTIF(INTERNES!$A$7:$A$50,'GO TRANSPORT'!A30))+(COUNTIF('EN PANNE'!$A$7:$A$50,'GO TRANSPORT'!A30))+(COUNTIF(TJM!$A$7:$A$50,'GO TRANSPORT'!A30))-C30</f>
        <v>0</v>
      </c>
      <c r="C30" s="23">
        <f>(COUNTIF('2S EXPRESS'!$G$7:$G$50,'GO TRANSPORT'!A30))+(COUNTIF('2 ZT'!$G$7:$G$50,'GO TRANSPORT'!A30))+(COUNTIF('GO TRANSPORT'!$G$7:$G$50,'GO TRANSPORT'!A30))+(COUNTIF('GO TRANSPORT'!$G$7:$G$50,'GO TRANSPORT'!A30))+(COUNTIF('IB TRANSPORT'!$G$7:$G$50,'GO TRANSPORT'!A30))+(COUNTIF(JSL!$G$7:$G$50,'GO TRANSPORT'!A30))+(COUNTIF(KIFAITOUT!$G$7:$G$50,'GO TRANSPORT'!A30))+(COUNTIF('LUXE DRIVE'!$G$7:$G$50,'GO TRANSPORT'!A30))+(COUNTIF(SSN!$G$7:$G$50,'GO TRANSPORT'!A30))+(COUNTIF('W3'!$G$7:$G$50,'GO TRANSPORT'!A30))+(COUNTIF('ATHIS MONS'!$G$7:$G$50,'GO TRANSPORT'!A30))+(COUNTIF('L HAY LES ROSES'!$G$7:$G$50,'GO TRANSPORT'!A30))+(COUNTIF(RUNGIS!$G$7:$G$50,'GO TRANSPORT'!A30))+(COUNTIF(SCEAUX!$G$7:$G$50,'GO TRANSPORT'!A30))+(COUNTIF('INSTANCE C1'!$G$7:$G$50,'GO TRANSPORT'!A30))+(COUNTIF('INSTANCE C2'!$G$7:$G$50,'GO TRANSPORT'!A30))+(COUNTIF(INTERNES!$G$7:$G$50,'GO TRANSPORT'!A30))+(COUNTIF('EN PANNE'!$G$7:$G$50,'GO TRANSPORT'!A30))+(COUNTIF(TJM!$G$7:$G$50,'GO TRANSPORT'!A30))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EXPRESS'!$G$7:$G$50,'GO TRANSPORT'!G30))+(COUNTIF('2 ZT'!$G$7:$G$50,'GO TRANSPORT'!G30))+(COUNTIF('GO TRANSPORT'!$G$7:$G$50,'GO TRANSPORT'!G30))+(COUNTIF('HMZ - KAIS'!$G$7:$G$50,'GO TRANSPORT'!G30))+(COUNTIF('IB TRANSPORT'!$G$7:$G$50,'GO TRANSPORT'!G30))+(COUNTIF(JSL!$G$7:$G$50,'GO TRANSPORT'!G30))+(COUNTIF(KIFAITOUT!$G$7:$G$50,'GO TRANSPORT'!G30))+(COUNTIF('LUXE DRIVE'!$G$7:$G$50,'GO TRANSPORT'!G30))+(COUNTIF(SSN!$G$7:$G$50,'GO TRANSPORT'!G30))+(COUNTIF('W3'!$G$7:$G$50,'GO TRANSPORT'!G30))+(COUNTIF('ATHIS MONS'!$G$7:$G$50,'GO TRANSPORT'!G30))+(COUNTIF('L HAY LES ROSES'!$G$7:$G$50,'GO TRANSPORT'!G30))+(COUNTIF(RUNGIS!$G$7:$G$50,'GO TRANSPORT'!G30))+(COUNTIF(SCEAUX!$G$7:$G$50,'GO TRANSPORT'!G30))+(COUNTIF('INSTANCE C1'!$G$7:$G$50,'GO TRANSPORT'!G30))+(COUNTIF('INSTANCE C2'!$G$7:$G$50,'GO TRANSPORT'!G30))+(COUNTIF(INTERNES!$G$7:$G$50,'GO TRANSPORT'!G30))+(COUNTIF('EN PANNE'!$G$7:$G$50,'GO TRANSPORT'!G30))+(COUNTIF(TJM!$G$7:$G$50,'GO TRANSPORT'!G30))-I30</f>
        <v>0</v>
      </c>
      <c r="I30" s="23">
        <f>(COUNTIF('2S EXPRESS'!$A$7:$A$50,'GO TRANSPORT'!G30))+(COUNTIF('2 ZT'!$A$7:$A$50,'GO TRANSPORT'!G30))+(COUNTIF('GO TRANSPORT'!$A$7:$A$50,'GO TRANSPORT'!G30))+(COUNTIF('HMZ - KAIS'!$A$7:$A$50,'GO TRANSPORT'!G30))+(COUNTIF('IB TRANSPORT'!$A$7:$A$50,'GO TRANSPORT'!G30))+(COUNTIF(JSL!$A$7:$A$50,'GO TRANSPORT'!G30))+(COUNTIF(KIFAITOUT!$A$7:$A$50,'GO TRANSPORT'!G30))+(COUNTIF('LUXE DRIVE'!$A$7:$A$50,'GO TRANSPORT'!G30))+(COUNTIF(SSN!$A$7:$A$50,'GO TRANSPORT'!G30))+(COUNTIF('W3'!$A$7:$A$50,'GO TRANSPORT'!G30))+(COUNTIF('ATHIS MONS'!$A$7:$A$50,'GO TRANSPORT'!G30))+(COUNTIF('L HAY LES ROSES'!$A$7:$A$50,'GO TRANSPORT'!G30))+(COUNTIF(RUNGIS!$A$7:$A$50,'GO TRANSPORT'!G30))+(COUNTIF(SCEAUX!$A$7:$A$50,'GO TRANSPORT'!G30))+(COUNTIF('INSTANCE C1'!$A$7:$A$50,'GO TRANSPORT'!G30))+(COUNTIF('INSTANCE C2'!$A$7:$A$50,'GO TRANSPORT'!G30))+(COUNTIF(INTERNES!$A$7:$A$50,'GO TRANSPORT'!G30))+(COUNTIF('EN PANNE'!$A$7:$A$50,'GO TRANSPORT'!G30))+(COUNTIF(TJM!$A$7:$A$50,'GO TRANSPORT'!G30))</f>
        <v>0</v>
      </c>
      <c r="J30" s="28">
        <f t="shared" si="4"/>
        <v>0</v>
      </c>
      <c r="K30" s="2"/>
      <c r="L30" s="47"/>
      <c r="Q30" s="69"/>
      <c r="S30" s="60">
        <f t="shared" si="1"/>
        <v>0</v>
      </c>
      <c r="T30" s="67">
        <f t="shared" si="2"/>
        <v>0</v>
      </c>
    </row>
    <row r="31" spans="1:20" ht="24.95" customHeight="1" x14ac:dyDescent="0.2">
      <c r="A31" s="20"/>
      <c r="B31" s="23">
        <f>(COUNTIF('2S EXPRESS'!$A$7:$A$50,'GO TRANSPORT'!A31))+(COUNTIF('2 ZT'!$A$7:$A$50,'GO TRANSPORT'!A31))+(COUNTIF('GO TRANSPORT'!$A$7:$A$50,'GO TRANSPORT'!A31))+(COUNTIF('HMZ - KAIS'!$A$7:$A$50,'GO TRANSPORT'!A31))+(COUNTIF('IB TRANSPORT'!$A$7:$A$50,'GO TRANSPORT'!A31))+(COUNTIF(JSL!$A$7:$A$50,'GO TRANSPORT'!A31))+(COUNTIF(KIFAITOUT!$A$7:$A$50,'GO TRANSPORT'!A31))+(COUNTIF('LUXE DRIVE'!$A$7:$A$50,'GO TRANSPORT'!A31))+(COUNTIF(SSN!$A$7:$A$50,'GO TRANSPORT'!A31))+(COUNTIF('W3'!$A$7:$A$50,'GO TRANSPORT'!A31))+(COUNTIF('ATHIS MONS'!$A$7:$A$50,'GO TRANSPORT'!A31))+(COUNTIF('L HAY LES ROSES'!$A$7:$A$50,'GO TRANSPORT'!A31))+(COUNTIF(RUNGIS!$A$7:$A$50,'GO TRANSPORT'!A31))+(COUNTIF(SCEAUX!$A$7:$A$50,'GO TRANSPORT'!A31))+(COUNTIF('INSTANCE C1'!$A$7:$A$50,'GO TRANSPORT'!A31))+(COUNTIF('INSTANCE C2'!$A$7:$A$50,'GO TRANSPORT'!A31))+(COUNTIF(INTERNES!$A$7:$A$50,'GO TRANSPORT'!A31))+(COUNTIF('EN PANNE'!$A$7:$A$50,'GO TRANSPORT'!A31))+(COUNTIF(TJM!$A$7:$A$50,'GO TRANSPORT'!A31))-C31</f>
        <v>0</v>
      </c>
      <c r="C31" s="23">
        <f>(COUNTIF('2S EXPRESS'!$G$7:$G$50,'GO TRANSPORT'!A31))+(COUNTIF('2 ZT'!$G$7:$G$50,'GO TRANSPORT'!A31))+(COUNTIF('GO TRANSPORT'!$G$7:$G$50,'GO TRANSPORT'!A31))+(COUNTIF('GO TRANSPORT'!$G$7:$G$50,'GO TRANSPORT'!A31))+(COUNTIF('IB TRANSPORT'!$G$7:$G$50,'GO TRANSPORT'!A31))+(COUNTIF(JSL!$G$7:$G$50,'GO TRANSPORT'!A31))+(COUNTIF(KIFAITOUT!$G$7:$G$50,'GO TRANSPORT'!A31))+(COUNTIF('LUXE DRIVE'!$G$7:$G$50,'GO TRANSPORT'!A31))+(COUNTIF(SSN!$G$7:$G$50,'GO TRANSPORT'!A31))+(COUNTIF('W3'!$G$7:$G$50,'GO TRANSPORT'!A31))+(COUNTIF('ATHIS MONS'!$G$7:$G$50,'GO TRANSPORT'!A31))+(COUNTIF('L HAY LES ROSES'!$G$7:$G$50,'GO TRANSPORT'!A31))+(COUNTIF(RUNGIS!$G$7:$G$50,'GO TRANSPORT'!A31))+(COUNTIF(SCEAUX!$G$7:$G$50,'GO TRANSPORT'!A31))+(COUNTIF('INSTANCE C1'!$G$7:$G$50,'GO TRANSPORT'!A31))+(COUNTIF('INSTANCE C2'!$G$7:$G$50,'GO TRANSPORT'!A31))+(COUNTIF(INTERNES!$G$7:$G$50,'GO TRANSPORT'!A31))+(COUNTIF('EN PANNE'!$G$7:$G$50,'GO TRANSPORT'!A31))+(COUNTIF(TJM!$G$7:$G$50,'GO TRANSPORT'!A31))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EXPRESS'!$G$7:$G$50,'GO TRANSPORT'!G31))+(COUNTIF('2 ZT'!$G$7:$G$50,'GO TRANSPORT'!G31))+(COUNTIF('GO TRANSPORT'!$G$7:$G$50,'GO TRANSPORT'!G31))+(COUNTIF('HMZ - KAIS'!$G$7:$G$50,'GO TRANSPORT'!G31))+(COUNTIF('IB TRANSPORT'!$G$7:$G$50,'GO TRANSPORT'!G31))+(COUNTIF(JSL!$G$7:$G$50,'GO TRANSPORT'!G31))+(COUNTIF(KIFAITOUT!$G$7:$G$50,'GO TRANSPORT'!G31))+(COUNTIF('LUXE DRIVE'!$G$7:$G$50,'GO TRANSPORT'!G31))+(COUNTIF(SSN!$G$7:$G$50,'GO TRANSPORT'!G31))+(COUNTIF('W3'!$G$7:$G$50,'GO TRANSPORT'!G31))+(COUNTIF('ATHIS MONS'!$G$7:$G$50,'GO TRANSPORT'!G31))+(COUNTIF('L HAY LES ROSES'!$G$7:$G$50,'GO TRANSPORT'!G31))+(COUNTIF(RUNGIS!$G$7:$G$50,'GO TRANSPORT'!G31))+(COUNTIF(SCEAUX!$G$7:$G$50,'GO TRANSPORT'!G31))+(COUNTIF('INSTANCE C1'!$G$7:$G$50,'GO TRANSPORT'!G31))+(COUNTIF('INSTANCE C2'!$G$7:$G$50,'GO TRANSPORT'!G31))+(COUNTIF(INTERNES!$G$7:$G$50,'GO TRANSPORT'!G31))+(COUNTIF('EN PANNE'!$G$7:$G$50,'GO TRANSPORT'!G31))+(COUNTIF(TJM!$G$7:$G$50,'GO TRANSPORT'!G31))-I31</f>
        <v>0</v>
      </c>
      <c r="I31" s="23">
        <f>(COUNTIF('2S EXPRESS'!$A$7:$A$50,'GO TRANSPORT'!G31))+(COUNTIF('2 ZT'!$A$7:$A$50,'GO TRANSPORT'!G31))+(COUNTIF('GO TRANSPORT'!$A$7:$A$50,'GO TRANSPORT'!G31))+(COUNTIF('HMZ - KAIS'!$A$7:$A$50,'GO TRANSPORT'!G31))+(COUNTIF('IB TRANSPORT'!$A$7:$A$50,'GO TRANSPORT'!G31))+(COUNTIF(JSL!$A$7:$A$50,'GO TRANSPORT'!G31))+(COUNTIF(KIFAITOUT!$A$7:$A$50,'GO TRANSPORT'!G31))+(COUNTIF('LUXE DRIVE'!$A$7:$A$50,'GO TRANSPORT'!G31))+(COUNTIF(SSN!$A$7:$A$50,'GO TRANSPORT'!G31))+(COUNTIF('W3'!$A$7:$A$50,'GO TRANSPORT'!G31))+(COUNTIF('ATHIS MONS'!$A$7:$A$50,'GO TRANSPORT'!G31))+(COUNTIF('L HAY LES ROSES'!$A$7:$A$50,'GO TRANSPORT'!G31))+(COUNTIF(RUNGIS!$A$7:$A$50,'GO TRANSPORT'!G31))+(COUNTIF(SCEAUX!$A$7:$A$50,'GO TRANSPORT'!G31))+(COUNTIF('INSTANCE C1'!$A$7:$A$50,'GO TRANSPORT'!G31))+(COUNTIF('INSTANCE C2'!$A$7:$A$50,'GO TRANSPORT'!G31))+(COUNTIF(INTERNES!$A$7:$A$50,'GO TRANSPORT'!G31))+(COUNTIF('EN PANNE'!$A$7:$A$50,'GO TRANSPORT'!G31))+(COUNTIF(TJM!$A$7:$A$50,'GO TRANSPORT'!G31))</f>
        <v>0</v>
      </c>
      <c r="J31" s="28">
        <f t="shared" si="4"/>
        <v>0</v>
      </c>
      <c r="K31" s="2"/>
      <c r="L31" s="47"/>
      <c r="Q31" s="69"/>
      <c r="S31" s="60">
        <f t="shared" si="1"/>
        <v>0</v>
      </c>
      <c r="T31" s="67">
        <f t="shared" si="2"/>
        <v>0</v>
      </c>
    </row>
    <row r="32" spans="1:20" ht="24.95" customHeight="1" x14ac:dyDescent="0.2">
      <c r="A32" s="20"/>
      <c r="B32" s="23">
        <f>(COUNTIF('2S EXPRESS'!$A$7:$A$50,'GO TRANSPORT'!A32))+(COUNTIF('2 ZT'!$A$7:$A$50,'GO TRANSPORT'!A32))+(COUNTIF('GO TRANSPORT'!$A$7:$A$50,'GO TRANSPORT'!A32))+(COUNTIF('HMZ - KAIS'!$A$7:$A$50,'GO TRANSPORT'!A32))+(COUNTIF('IB TRANSPORT'!$A$7:$A$50,'GO TRANSPORT'!A32))+(COUNTIF(JSL!$A$7:$A$50,'GO TRANSPORT'!A32))+(COUNTIF(KIFAITOUT!$A$7:$A$50,'GO TRANSPORT'!A32))+(COUNTIF('LUXE DRIVE'!$A$7:$A$50,'GO TRANSPORT'!A32))+(COUNTIF(SSN!$A$7:$A$50,'GO TRANSPORT'!A32))+(COUNTIF('W3'!$A$7:$A$50,'GO TRANSPORT'!A32))+(COUNTIF('ATHIS MONS'!$A$7:$A$50,'GO TRANSPORT'!A32))+(COUNTIF('L HAY LES ROSES'!$A$7:$A$50,'GO TRANSPORT'!A32))+(COUNTIF(RUNGIS!$A$7:$A$50,'GO TRANSPORT'!A32))+(COUNTIF(SCEAUX!$A$7:$A$50,'GO TRANSPORT'!A32))+(COUNTIF('INSTANCE C1'!$A$7:$A$50,'GO TRANSPORT'!A32))+(COUNTIF('INSTANCE C2'!$A$7:$A$50,'GO TRANSPORT'!A32))+(COUNTIF(INTERNES!$A$7:$A$50,'GO TRANSPORT'!A32))+(COUNTIF('EN PANNE'!$A$7:$A$50,'GO TRANSPORT'!A32))+(COUNTIF(TJM!$A$7:$A$50,'GO TRANSPORT'!A32))-C32</f>
        <v>0</v>
      </c>
      <c r="C32" s="23">
        <f>(COUNTIF('2S EXPRESS'!$G$7:$G$50,'GO TRANSPORT'!A32))+(COUNTIF('2 ZT'!$G$7:$G$50,'GO TRANSPORT'!A32))+(COUNTIF('GO TRANSPORT'!$G$7:$G$50,'GO TRANSPORT'!A32))+(COUNTIF('GO TRANSPORT'!$G$7:$G$50,'GO TRANSPORT'!A32))+(COUNTIF('IB TRANSPORT'!$G$7:$G$50,'GO TRANSPORT'!A32))+(COUNTIF(JSL!$G$7:$G$50,'GO TRANSPORT'!A32))+(COUNTIF(KIFAITOUT!$G$7:$G$50,'GO TRANSPORT'!A32))+(COUNTIF('LUXE DRIVE'!$G$7:$G$50,'GO TRANSPORT'!A32))+(COUNTIF(SSN!$G$7:$G$50,'GO TRANSPORT'!A32))+(COUNTIF('W3'!$G$7:$G$50,'GO TRANSPORT'!A32))+(COUNTIF('ATHIS MONS'!$G$7:$G$50,'GO TRANSPORT'!A32))+(COUNTIF('L HAY LES ROSES'!$G$7:$G$50,'GO TRANSPORT'!A32))+(COUNTIF(RUNGIS!$G$7:$G$50,'GO TRANSPORT'!A32))+(COUNTIF(SCEAUX!$G$7:$G$50,'GO TRANSPORT'!A32))+(COUNTIF('INSTANCE C1'!$G$7:$G$50,'GO TRANSPORT'!A32))+(COUNTIF('INSTANCE C2'!$G$7:$G$50,'GO TRANSPORT'!A32))+(COUNTIF(INTERNES!$G$7:$G$50,'GO TRANSPORT'!A32))+(COUNTIF('EN PANNE'!$G$7:$G$50,'GO TRANSPORT'!A32))+(COUNTIF(TJM!$G$7:$G$50,'GO TRANSPORT'!A32))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EXPRESS'!$G$7:$G$50,'GO TRANSPORT'!G32))+(COUNTIF('2 ZT'!$G$7:$G$50,'GO TRANSPORT'!G32))+(COUNTIF('GO TRANSPORT'!$G$7:$G$50,'GO TRANSPORT'!G32))+(COUNTIF('HMZ - KAIS'!$G$7:$G$50,'GO TRANSPORT'!G32))+(COUNTIF('IB TRANSPORT'!$G$7:$G$50,'GO TRANSPORT'!G32))+(COUNTIF(JSL!$G$7:$G$50,'GO TRANSPORT'!G32))+(COUNTIF(KIFAITOUT!$G$7:$G$50,'GO TRANSPORT'!G32))+(COUNTIF('LUXE DRIVE'!$G$7:$G$50,'GO TRANSPORT'!G32))+(COUNTIF(SSN!$G$7:$G$50,'GO TRANSPORT'!G32))+(COUNTIF('W3'!$G$7:$G$50,'GO TRANSPORT'!G32))+(COUNTIF('ATHIS MONS'!$G$7:$G$50,'GO TRANSPORT'!G32))+(COUNTIF('L HAY LES ROSES'!$G$7:$G$50,'GO TRANSPORT'!G32))+(COUNTIF(RUNGIS!$G$7:$G$50,'GO TRANSPORT'!G32))+(COUNTIF(SCEAUX!$G$7:$G$50,'GO TRANSPORT'!G32))+(COUNTIF('INSTANCE C1'!$G$7:$G$50,'GO TRANSPORT'!G32))+(COUNTIF('INSTANCE C2'!$G$7:$G$50,'GO TRANSPORT'!G32))+(COUNTIF(INTERNES!$G$7:$G$50,'GO TRANSPORT'!G32))+(COUNTIF('EN PANNE'!$G$7:$G$50,'GO TRANSPORT'!G32))+(COUNTIF(TJM!$G$7:$G$50,'GO TRANSPORT'!G32))-I32</f>
        <v>0</v>
      </c>
      <c r="I32" s="23">
        <f>(COUNTIF('2S EXPRESS'!$A$7:$A$50,'GO TRANSPORT'!G32))+(COUNTIF('2 ZT'!$A$7:$A$50,'GO TRANSPORT'!G32))+(COUNTIF('GO TRANSPORT'!$A$7:$A$50,'GO TRANSPORT'!G32))+(COUNTIF('HMZ - KAIS'!$A$7:$A$50,'GO TRANSPORT'!G32))+(COUNTIF('IB TRANSPORT'!$A$7:$A$50,'GO TRANSPORT'!G32))+(COUNTIF(JSL!$A$7:$A$50,'GO TRANSPORT'!G32))+(COUNTIF(KIFAITOUT!$A$7:$A$50,'GO TRANSPORT'!G32))+(COUNTIF('LUXE DRIVE'!$A$7:$A$50,'GO TRANSPORT'!G32))+(COUNTIF(SSN!$A$7:$A$50,'GO TRANSPORT'!G32))+(COUNTIF('W3'!$A$7:$A$50,'GO TRANSPORT'!G32))+(COUNTIF('ATHIS MONS'!$A$7:$A$50,'GO TRANSPORT'!G32))+(COUNTIF('L HAY LES ROSES'!$A$7:$A$50,'GO TRANSPORT'!G32))+(COUNTIF(RUNGIS!$A$7:$A$50,'GO TRANSPORT'!G32))+(COUNTIF(SCEAUX!$A$7:$A$50,'GO TRANSPORT'!G32))+(COUNTIF('INSTANCE C1'!$A$7:$A$50,'GO TRANSPORT'!G32))+(COUNTIF('INSTANCE C2'!$A$7:$A$50,'GO TRANSPORT'!G32))+(COUNTIF(INTERNES!$A$7:$A$50,'GO TRANSPORT'!G32))+(COUNTIF('EN PANNE'!$A$7:$A$50,'GO TRANSPORT'!G32))+(COUNTIF(TJM!$A$7:$A$50,'GO TRANSPORT'!G32))</f>
        <v>0</v>
      </c>
      <c r="J32" s="28">
        <f t="shared" si="4"/>
        <v>0</v>
      </c>
      <c r="K32" s="2"/>
      <c r="L32" s="47"/>
      <c r="Q32" s="70"/>
      <c r="S32" s="60">
        <f t="shared" si="1"/>
        <v>0</v>
      </c>
      <c r="T32" s="67">
        <f t="shared" si="2"/>
        <v>0</v>
      </c>
    </row>
    <row r="33" spans="1:20" ht="24.95" customHeight="1" x14ac:dyDescent="0.2">
      <c r="A33" s="20"/>
      <c r="B33" s="23">
        <f>(COUNTIF('2S EXPRESS'!$A$7:$A$50,'GO TRANSPORT'!A33))+(COUNTIF('2 ZT'!$A$7:$A$50,'GO TRANSPORT'!A33))+(COUNTIF('GO TRANSPORT'!$A$7:$A$50,'GO TRANSPORT'!A33))+(COUNTIF('HMZ - KAIS'!$A$7:$A$50,'GO TRANSPORT'!A33))+(COUNTIF('IB TRANSPORT'!$A$7:$A$50,'GO TRANSPORT'!A33))+(COUNTIF(JSL!$A$7:$A$50,'GO TRANSPORT'!A33))+(COUNTIF(KIFAITOUT!$A$7:$A$50,'GO TRANSPORT'!A33))+(COUNTIF('LUXE DRIVE'!$A$7:$A$50,'GO TRANSPORT'!A33))+(COUNTIF(SSN!$A$7:$A$50,'GO TRANSPORT'!A33))+(COUNTIF('W3'!$A$7:$A$50,'GO TRANSPORT'!A33))+(COUNTIF('ATHIS MONS'!$A$7:$A$50,'GO TRANSPORT'!A33))+(COUNTIF('L HAY LES ROSES'!$A$7:$A$50,'GO TRANSPORT'!A33))+(COUNTIF(RUNGIS!$A$7:$A$50,'GO TRANSPORT'!A33))+(COUNTIF(SCEAUX!$A$7:$A$50,'GO TRANSPORT'!A33))+(COUNTIF('INSTANCE C1'!$A$7:$A$50,'GO TRANSPORT'!A33))+(COUNTIF('INSTANCE C2'!$A$7:$A$50,'GO TRANSPORT'!A33))+(COUNTIF(INTERNES!$A$7:$A$50,'GO TRANSPORT'!A33))+(COUNTIF('EN PANNE'!$A$7:$A$50,'GO TRANSPORT'!A33))+(COUNTIF(TJM!$A$7:$A$50,'GO TRANSPORT'!A33))-C33</f>
        <v>0</v>
      </c>
      <c r="C33" s="23">
        <f>(COUNTIF('2S EXPRESS'!$G$7:$G$50,'GO TRANSPORT'!A33))+(COUNTIF('2 ZT'!$G$7:$G$50,'GO TRANSPORT'!A33))+(COUNTIF('GO TRANSPORT'!$G$7:$G$50,'GO TRANSPORT'!A33))+(COUNTIF('GO TRANSPORT'!$G$7:$G$50,'GO TRANSPORT'!A33))+(COUNTIF('IB TRANSPORT'!$G$7:$G$50,'GO TRANSPORT'!A33))+(COUNTIF(JSL!$G$7:$G$50,'GO TRANSPORT'!A33))+(COUNTIF(KIFAITOUT!$G$7:$G$50,'GO TRANSPORT'!A33))+(COUNTIF('LUXE DRIVE'!$G$7:$G$50,'GO TRANSPORT'!A33))+(COUNTIF(SSN!$G$7:$G$50,'GO TRANSPORT'!A33))+(COUNTIF('W3'!$G$7:$G$50,'GO TRANSPORT'!A33))+(COUNTIF('ATHIS MONS'!$G$7:$G$50,'GO TRANSPORT'!A33))+(COUNTIF('L HAY LES ROSES'!$G$7:$G$50,'GO TRANSPORT'!A33))+(COUNTIF(RUNGIS!$G$7:$G$50,'GO TRANSPORT'!A33))+(COUNTIF(SCEAUX!$G$7:$G$50,'GO TRANSPORT'!A33))+(COUNTIF('INSTANCE C1'!$G$7:$G$50,'GO TRANSPORT'!A33))+(COUNTIF('INSTANCE C2'!$G$7:$G$50,'GO TRANSPORT'!A33))+(COUNTIF(INTERNES!$G$7:$G$50,'GO TRANSPORT'!A33))+(COUNTIF('EN PANNE'!$G$7:$G$50,'GO TRANSPORT'!A33))+(COUNTIF(TJM!$G$7:$G$50,'GO TRANSPORT'!A33))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EXPRESS'!$G$7:$G$50,'GO TRANSPORT'!G33))+(COUNTIF('2 ZT'!$G$7:$G$50,'GO TRANSPORT'!G33))+(COUNTIF('GO TRANSPORT'!$G$7:$G$50,'GO TRANSPORT'!G33))+(COUNTIF('HMZ - KAIS'!$G$7:$G$50,'GO TRANSPORT'!G33))+(COUNTIF('IB TRANSPORT'!$G$7:$G$50,'GO TRANSPORT'!G33))+(COUNTIF(JSL!$G$7:$G$50,'GO TRANSPORT'!G33))+(COUNTIF(KIFAITOUT!$G$7:$G$50,'GO TRANSPORT'!G33))+(COUNTIF('LUXE DRIVE'!$G$7:$G$50,'GO TRANSPORT'!G33))+(COUNTIF(SSN!$G$7:$G$50,'GO TRANSPORT'!G33))+(COUNTIF('W3'!$G$7:$G$50,'GO TRANSPORT'!G33))+(COUNTIF('ATHIS MONS'!$G$7:$G$50,'GO TRANSPORT'!G33))+(COUNTIF('L HAY LES ROSES'!$G$7:$G$50,'GO TRANSPORT'!G33))+(COUNTIF(RUNGIS!$G$7:$G$50,'GO TRANSPORT'!G33))+(COUNTIF(SCEAUX!$G$7:$G$50,'GO TRANSPORT'!G33))+(COUNTIF('INSTANCE C1'!$G$7:$G$50,'GO TRANSPORT'!G33))+(COUNTIF('INSTANCE C2'!$G$7:$G$50,'GO TRANSPORT'!G33))+(COUNTIF(INTERNES!$G$7:$G$50,'GO TRANSPORT'!G33))+(COUNTIF('EN PANNE'!$G$7:$G$50,'GO TRANSPORT'!G33))+(COUNTIF(TJM!$G$7:$G$50,'GO TRANSPORT'!G33))-I33</f>
        <v>0</v>
      </c>
      <c r="I33" s="23">
        <f>(COUNTIF('2S EXPRESS'!$A$7:$A$50,'GO TRANSPORT'!G33))+(COUNTIF('2 ZT'!$A$7:$A$50,'GO TRANSPORT'!G33))+(COUNTIF('GO TRANSPORT'!$A$7:$A$50,'GO TRANSPORT'!G33))+(COUNTIF('HMZ - KAIS'!$A$7:$A$50,'GO TRANSPORT'!G33))+(COUNTIF('IB TRANSPORT'!$A$7:$A$50,'GO TRANSPORT'!G33))+(COUNTIF(JSL!$A$7:$A$50,'GO TRANSPORT'!G33))+(COUNTIF(KIFAITOUT!$A$7:$A$50,'GO TRANSPORT'!G33))+(COUNTIF('LUXE DRIVE'!$A$7:$A$50,'GO TRANSPORT'!G33))+(COUNTIF(SSN!$A$7:$A$50,'GO TRANSPORT'!G33))+(COUNTIF('W3'!$A$7:$A$50,'GO TRANSPORT'!G33))+(COUNTIF('ATHIS MONS'!$A$7:$A$50,'GO TRANSPORT'!G33))+(COUNTIF('L HAY LES ROSES'!$A$7:$A$50,'GO TRANSPORT'!G33))+(COUNTIF(RUNGIS!$A$7:$A$50,'GO TRANSPORT'!G33))+(COUNTIF(SCEAUX!$A$7:$A$50,'GO TRANSPORT'!G33))+(COUNTIF('INSTANCE C1'!$A$7:$A$50,'GO TRANSPORT'!G33))+(COUNTIF('INSTANCE C2'!$A$7:$A$50,'GO TRANSPORT'!G33))+(COUNTIF(INTERNES!$A$7:$A$50,'GO TRANSPORT'!G33))+(COUNTIF('EN PANNE'!$A$7:$A$50,'GO TRANSPORT'!G33))+(COUNTIF(TJM!$A$7:$A$50,'GO TRANSPORT'!G33))</f>
        <v>0</v>
      </c>
      <c r="J33" s="28">
        <f t="shared" si="4"/>
        <v>0</v>
      </c>
      <c r="K33" s="2"/>
      <c r="L33" s="47"/>
      <c r="Q33" s="70"/>
      <c r="S33" s="60">
        <f t="shared" si="1"/>
        <v>0</v>
      </c>
      <c r="T33" s="67">
        <f t="shared" si="2"/>
        <v>0</v>
      </c>
    </row>
    <row r="34" spans="1:20" ht="24.95" customHeight="1" x14ac:dyDescent="0.2">
      <c r="A34" s="20"/>
      <c r="B34" s="23">
        <f>(COUNTIF('2S EXPRESS'!$A$7:$A$50,'GO TRANSPORT'!A34))+(COUNTIF('2 ZT'!$A$7:$A$50,'GO TRANSPORT'!A34))+(COUNTIF('GO TRANSPORT'!$A$7:$A$50,'GO TRANSPORT'!A34))+(COUNTIF('HMZ - KAIS'!$A$7:$A$50,'GO TRANSPORT'!A34))+(COUNTIF('IB TRANSPORT'!$A$7:$A$50,'GO TRANSPORT'!A34))+(COUNTIF(JSL!$A$7:$A$50,'GO TRANSPORT'!A34))+(COUNTIF(KIFAITOUT!$A$7:$A$50,'GO TRANSPORT'!A34))+(COUNTIF('LUXE DRIVE'!$A$7:$A$50,'GO TRANSPORT'!A34))+(COUNTIF(SSN!$A$7:$A$50,'GO TRANSPORT'!A34))+(COUNTIF('W3'!$A$7:$A$50,'GO TRANSPORT'!A34))+(COUNTIF('ATHIS MONS'!$A$7:$A$50,'GO TRANSPORT'!A34))+(COUNTIF('L HAY LES ROSES'!$A$7:$A$50,'GO TRANSPORT'!A34))+(COUNTIF(RUNGIS!$A$7:$A$50,'GO TRANSPORT'!A34))+(COUNTIF(SCEAUX!$A$7:$A$50,'GO TRANSPORT'!A34))+(COUNTIF('INSTANCE C1'!$A$7:$A$50,'GO TRANSPORT'!A34))+(COUNTIF('INSTANCE C2'!$A$7:$A$50,'GO TRANSPORT'!A34))+(COUNTIF(INTERNES!$A$7:$A$50,'GO TRANSPORT'!A34))+(COUNTIF('EN PANNE'!$A$7:$A$50,'GO TRANSPORT'!A34))+(COUNTIF(TJM!$A$7:$A$50,'GO TRANSPORT'!A34))-C34</f>
        <v>0</v>
      </c>
      <c r="C34" s="23">
        <f>(COUNTIF('2S EXPRESS'!$G$7:$G$50,'GO TRANSPORT'!A34))+(COUNTIF('2 ZT'!$G$7:$G$50,'GO TRANSPORT'!A34))+(COUNTIF('GO TRANSPORT'!$G$7:$G$50,'GO TRANSPORT'!A34))+(COUNTIF('GO TRANSPORT'!$G$7:$G$50,'GO TRANSPORT'!A34))+(COUNTIF('IB TRANSPORT'!$G$7:$G$50,'GO TRANSPORT'!A34))+(COUNTIF(JSL!$G$7:$G$50,'GO TRANSPORT'!A34))+(COUNTIF(KIFAITOUT!$G$7:$G$50,'GO TRANSPORT'!A34))+(COUNTIF('LUXE DRIVE'!$G$7:$G$50,'GO TRANSPORT'!A34))+(COUNTIF(SSN!$G$7:$G$50,'GO TRANSPORT'!A34))+(COUNTIF('W3'!$G$7:$G$50,'GO TRANSPORT'!A34))+(COUNTIF('ATHIS MONS'!$G$7:$G$50,'GO TRANSPORT'!A34))+(COUNTIF('L HAY LES ROSES'!$G$7:$G$50,'GO TRANSPORT'!A34))+(COUNTIF(RUNGIS!$G$7:$G$50,'GO TRANSPORT'!A34))+(COUNTIF(SCEAUX!$G$7:$G$50,'GO TRANSPORT'!A34))+(COUNTIF('INSTANCE C1'!$G$7:$G$50,'GO TRANSPORT'!A34))+(COUNTIF('INSTANCE C2'!$G$7:$G$50,'GO TRANSPORT'!A34))+(COUNTIF(INTERNES!$G$7:$G$50,'GO TRANSPORT'!A34))+(COUNTIF('EN PANNE'!$G$7:$G$50,'GO TRANSPORT'!A34))+(COUNTIF(TJM!$G$7:$G$50,'GO TRANSPORT'!A34))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EXPRESS'!$G$7:$G$50,'GO TRANSPORT'!G34))+(COUNTIF('2 ZT'!$G$7:$G$50,'GO TRANSPORT'!G34))+(COUNTIF('GO TRANSPORT'!$G$7:$G$50,'GO TRANSPORT'!G34))+(COUNTIF('HMZ - KAIS'!$G$7:$G$50,'GO TRANSPORT'!G34))+(COUNTIF('IB TRANSPORT'!$G$7:$G$50,'GO TRANSPORT'!G34))+(COUNTIF(JSL!$G$7:$G$50,'GO TRANSPORT'!G34))+(COUNTIF(KIFAITOUT!$G$7:$G$50,'GO TRANSPORT'!G34))+(COUNTIF('LUXE DRIVE'!$G$7:$G$50,'GO TRANSPORT'!G34))+(COUNTIF(SSN!$G$7:$G$50,'GO TRANSPORT'!G34))+(COUNTIF('W3'!$G$7:$G$50,'GO TRANSPORT'!G34))+(COUNTIF('ATHIS MONS'!$G$7:$G$50,'GO TRANSPORT'!G34))+(COUNTIF('L HAY LES ROSES'!$G$7:$G$50,'GO TRANSPORT'!G34))+(COUNTIF(RUNGIS!$G$7:$G$50,'GO TRANSPORT'!G34))+(COUNTIF(SCEAUX!$G$7:$G$50,'GO TRANSPORT'!G34))+(COUNTIF('INSTANCE C1'!$G$7:$G$50,'GO TRANSPORT'!G34))+(COUNTIF('INSTANCE C2'!$G$7:$G$50,'GO TRANSPORT'!G34))+(COUNTIF(INTERNES!$G$7:$G$50,'GO TRANSPORT'!G34))+(COUNTIF('EN PANNE'!$G$7:$G$50,'GO TRANSPORT'!G34))+(COUNTIF(TJM!$G$7:$G$50,'GO TRANSPORT'!G34))-I34</f>
        <v>0</v>
      </c>
      <c r="I34" s="23">
        <f>(COUNTIF('2S EXPRESS'!$A$7:$A$50,'GO TRANSPORT'!G34))+(COUNTIF('2 ZT'!$A$7:$A$50,'GO TRANSPORT'!G34))+(COUNTIF('GO TRANSPORT'!$A$7:$A$50,'GO TRANSPORT'!G34))+(COUNTIF('HMZ - KAIS'!$A$7:$A$50,'GO TRANSPORT'!G34))+(COUNTIF('IB TRANSPORT'!$A$7:$A$50,'GO TRANSPORT'!G34))+(COUNTIF(JSL!$A$7:$A$50,'GO TRANSPORT'!G34))+(COUNTIF(KIFAITOUT!$A$7:$A$50,'GO TRANSPORT'!G34))+(COUNTIF('LUXE DRIVE'!$A$7:$A$50,'GO TRANSPORT'!G34))+(COUNTIF(SSN!$A$7:$A$50,'GO TRANSPORT'!G34))+(COUNTIF('W3'!$A$7:$A$50,'GO TRANSPORT'!G34))+(COUNTIF('ATHIS MONS'!$A$7:$A$50,'GO TRANSPORT'!G34))+(COUNTIF('L HAY LES ROSES'!$A$7:$A$50,'GO TRANSPORT'!G34))+(COUNTIF(RUNGIS!$A$7:$A$50,'GO TRANSPORT'!G34))+(COUNTIF(SCEAUX!$A$7:$A$50,'GO TRANSPORT'!G34))+(COUNTIF('INSTANCE C1'!$A$7:$A$50,'GO TRANSPORT'!G34))+(COUNTIF('INSTANCE C2'!$A$7:$A$50,'GO TRANSPORT'!G34))+(COUNTIF(INTERNES!$A$7:$A$50,'GO TRANSPORT'!G34))+(COUNTIF('EN PANNE'!$A$7:$A$50,'GO TRANSPORT'!G34))+(COUNTIF(TJM!$A$7:$A$50,'GO TRANSPORT'!G34))</f>
        <v>0</v>
      </c>
      <c r="J34" s="28">
        <f t="shared" si="4"/>
        <v>0</v>
      </c>
      <c r="K34" s="2"/>
      <c r="L34" s="47"/>
      <c r="Q34" s="70"/>
      <c r="S34" s="60">
        <f t="shared" si="1"/>
        <v>0</v>
      </c>
      <c r="T34" s="67">
        <f t="shared" si="2"/>
        <v>0</v>
      </c>
    </row>
    <row r="35" spans="1:20" ht="24.95" customHeight="1" x14ac:dyDescent="0.2">
      <c r="A35" s="20"/>
      <c r="B35" s="23">
        <f>(COUNTIF('2S EXPRESS'!$A$7:$A$50,'GO TRANSPORT'!A35))+(COUNTIF('2 ZT'!$A$7:$A$50,'GO TRANSPORT'!A35))+(COUNTIF('GO TRANSPORT'!$A$7:$A$50,'GO TRANSPORT'!A35))+(COUNTIF('HMZ - KAIS'!$A$7:$A$50,'GO TRANSPORT'!A35))+(COUNTIF('IB TRANSPORT'!$A$7:$A$50,'GO TRANSPORT'!A35))+(COUNTIF(JSL!$A$7:$A$50,'GO TRANSPORT'!A35))+(COUNTIF(KIFAITOUT!$A$7:$A$50,'GO TRANSPORT'!A35))+(COUNTIF('LUXE DRIVE'!$A$7:$A$50,'GO TRANSPORT'!A35))+(COUNTIF(SSN!$A$7:$A$50,'GO TRANSPORT'!A35))+(COUNTIF('W3'!$A$7:$A$50,'GO TRANSPORT'!A35))+(COUNTIF('ATHIS MONS'!$A$7:$A$50,'GO TRANSPORT'!A35))+(COUNTIF('L HAY LES ROSES'!$A$7:$A$50,'GO TRANSPORT'!A35))+(COUNTIF(RUNGIS!$A$7:$A$50,'GO TRANSPORT'!A35))+(COUNTIF(SCEAUX!$A$7:$A$50,'GO TRANSPORT'!A35))+(COUNTIF('INSTANCE C1'!$A$7:$A$50,'GO TRANSPORT'!A35))+(COUNTIF('INSTANCE C2'!$A$7:$A$50,'GO TRANSPORT'!A35))+(COUNTIF(INTERNES!$A$7:$A$50,'GO TRANSPORT'!A35))+(COUNTIF('EN PANNE'!$A$7:$A$50,'GO TRANSPORT'!A35))+(COUNTIF(TJM!$A$7:$A$50,'GO TRANSPORT'!A35))-C35</f>
        <v>0</v>
      </c>
      <c r="C35" s="23">
        <f>(COUNTIF('2S EXPRESS'!$G$7:$G$50,'GO TRANSPORT'!A35))+(COUNTIF('2 ZT'!$G$7:$G$50,'GO TRANSPORT'!A35))+(COUNTIF('GO TRANSPORT'!$G$7:$G$50,'GO TRANSPORT'!A35))+(COUNTIF('GO TRANSPORT'!$G$7:$G$50,'GO TRANSPORT'!A35))+(COUNTIF('IB TRANSPORT'!$G$7:$G$50,'GO TRANSPORT'!A35))+(COUNTIF(JSL!$G$7:$G$50,'GO TRANSPORT'!A35))+(COUNTIF(KIFAITOUT!$G$7:$G$50,'GO TRANSPORT'!A35))+(COUNTIF('LUXE DRIVE'!$G$7:$G$50,'GO TRANSPORT'!A35))+(COUNTIF(SSN!$G$7:$G$50,'GO TRANSPORT'!A35))+(COUNTIF('W3'!$G$7:$G$50,'GO TRANSPORT'!A35))+(COUNTIF('ATHIS MONS'!$G$7:$G$50,'GO TRANSPORT'!A35))+(COUNTIF('L HAY LES ROSES'!$G$7:$G$50,'GO TRANSPORT'!A35))+(COUNTIF(RUNGIS!$G$7:$G$50,'GO TRANSPORT'!A35))+(COUNTIF(SCEAUX!$G$7:$G$50,'GO TRANSPORT'!A35))+(COUNTIF('INSTANCE C1'!$G$7:$G$50,'GO TRANSPORT'!A35))+(COUNTIF('INSTANCE C2'!$G$7:$G$50,'GO TRANSPORT'!A35))+(COUNTIF(INTERNES!$G$7:$G$50,'GO TRANSPORT'!A35))+(COUNTIF('EN PANNE'!$G$7:$G$50,'GO TRANSPORT'!A35))+(COUNTIF(TJM!$G$7:$G$50,'GO TRANSPORT'!A35))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EXPRESS'!$G$7:$G$50,'GO TRANSPORT'!G35))+(COUNTIF('2 ZT'!$G$7:$G$50,'GO TRANSPORT'!G35))+(COUNTIF('GO TRANSPORT'!$G$7:$G$50,'GO TRANSPORT'!G35))+(COUNTIF('HMZ - KAIS'!$G$7:$G$50,'GO TRANSPORT'!G35))+(COUNTIF('IB TRANSPORT'!$G$7:$G$50,'GO TRANSPORT'!G35))+(COUNTIF(JSL!$G$7:$G$50,'GO TRANSPORT'!G35))+(COUNTIF(KIFAITOUT!$G$7:$G$50,'GO TRANSPORT'!G35))+(COUNTIF('LUXE DRIVE'!$G$7:$G$50,'GO TRANSPORT'!G35))+(COUNTIF(SSN!$G$7:$G$50,'GO TRANSPORT'!G35))+(COUNTIF('W3'!$G$7:$G$50,'GO TRANSPORT'!G35))+(COUNTIF('ATHIS MONS'!$G$7:$G$50,'GO TRANSPORT'!G35))+(COUNTIF('L HAY LES ROSES'!$G$7:$G$50,'GO TRANSPORT'!G35))+(COUNTIF(RUNGIS!$G$7:$G$50,'GO TRANSPORT'!G35))+(COUNTIF(SCEAUX!$G$7:$G$50,'GO TRANSPORT'!G35))+(COUNTIF('INSTANCE C1'!$G$7:$G$50,'GO TRANSPORT'!G35))+(COUNTIF('INSTANCE C2'!$G$7:$G$50,'GO TRANSPORT'!G35))+(COUNTIF(INTERNES!$G$7:$G$50,'GO TRANSPORT'!G35))+(COUNTIF('EN PANNE'!$G$7:$G$50,'GO TRANSPORT'!G35))+(COUNTIF(TJM!$G$7:$G$50,'GO TRANSPORT'!G35))-I35</f>
        <v>0</v>
      </c>
      <c r="I35" s="23">
        <f>(COUNTIF('2S EXPRESS'!$A$7:$A$50,'GO TRANSPORT'!G35))+(COUNTIF('2 ZT'!$A$7:$A$50,'GO TRANSPORT'!G35))+(COUNTIF('GO TRANSPORT'!$A$7:$A$50,'GO TRANSPORT'!G35))+(COUNTIF('HMZ - KAIS'!$A$7:$A$50,'GO TRANSPORT'!G35))+(COUNTIF('IB TRANSPORT'!$A$7:$A$50,'GO TRANSPORT'!G35))+(COUNTIF(JSL!$A$7:$A$50,'GO TRANSPORT'!G35))+(COUNTIF(KIFAITOUT!$A$7:$A$50,'GO TRANSPORT'!G35))+(COUNTIF('LUXE DRIVE'!$A$7:$A$50,'GO TRANSPORT'!G35))+(COUNTIF(SSN!$A$7:$A$50,'GO TRANSPORT'!G35))+(COUNTIF('W3'!$A$7:$A$50,'GO TRANSPORT'!G35))+(COUNTIF('ATHIS MONS'!$A$7:$A$50,'GO TRANSPORT'!G35))+(COUNTIF('L HAY LES ROSES'!$A$7:$A$50,'GO TRANSPORT'!G35))+(COUNTIF(RUNGIS!$A$7:$A$50,'GO TRANSPORT'!G35))+(COUNTIF(SCEAUX!$A$7:$A$50,'GO TRANSPORT'!G35))+(COUNTIF('INSTANCE C1'!$A$7:$A$50,'GO TRANSPORT'!G35))+(COUNTIF('INSTANCE C2'!$A$7:$A$50,'GO TRANSPORT'!G35))+(COUNTIF(INTERNES!$A$7:$A$50,'GO TRANSPORT'!G35))+(COUNTIF('EN PANNE'!$A$7:$A$50,'GO TRANSPORT'!G35))+(COUNTIF(TJM!$A$7:$A$50,'GO TRANSPORT'!G35))</f>
        <v>0</v>
      </c>
      <c r="J35" s="28">
        <f t="shared" si="4"/>
        <v>0</v>
      </c>
      <c r="K35" s="2"/>
      <c r="L35" s="47"/>
      <c r="Q35" s="70"/>
      <c r="S35" s="60">
        <f t="shared" si="1"/>
        <v>0</v>
      </c>
      <c r="T35" s="67">
        <f t="shared" si="2"/>
        <v>0</v>
      </c>
    </row>
    <row r="36" spans="1:20" ht="24.95" customHeight="1" x14ac:dyDescent="0.2">
      <c r="A36" s="20"/>
      <c r="B36" s="23">
        <f>(COUNTIF('2S EXPRESS'!$A$7:$A$50,'GO TRANSPORT'!A36))+(COUNTIF('2 ZT'!$A$7:$A$50,'GO TRANSPORT'!A36))+(COUNTIF('GO TRANSPORT'!$A$7:$A$50,'GO TRANSPORT'!A36))+(COUNTIF('HMZ - KAIS'!$A$7:$A$50,'GO TRANSPORT'!A36))+(COUNTIF('IB TRANSPORT'!$A$7:$A$50,'GO TRANSPORT'!A36))+(COUNTIF(JSL!$A$7:$A$50,'GO TRANSPORT'!A36))+(COUNTIF(KIFAITOUT!$A$7:$A$50,'GO TRANSPORT'!A36))+(COUNTIF('LUXE DRIVE'!$A$7:$A$50,'GO TRANSPORT'!A36))+(COUNTIF(SSN!$A$7:$A$50,'GO TRANSPORT'!A36))+(COUNTIF('W3'!$A$7:$A$50,'GO TRANSPORT'!A36))+(COUNTIF('ATHIS MONS'!$A$7:$A$50,'GO TRANSPORT'!A36))+(COUNTIF('L HAY LES ROSES'!$A$7:$A$50,'GO TRANSPORT'!A36))+(COUNTIF(RUNGIS!$A$7:$A$50,'GO TRANSPORT'!A36))+(COUNTIF(SCEAUX!$A$7:$A$50,'GO TRANSPORT'!A36))+(COUNTIF('INSTANCE C1'!$A$7:$A$50,'GO TRANSPORT'!A36))+(COUNTIF('INSTANCE C2'!$A$7:$A$50,'GO TRANSPORT'!A36))+(COUNTIF(INTERNES!$A$7:$A$50,'GO TRANSPORT'!A36))+(COUNTIF('EN PANNE'!$A$7:$A$50,'GO TRANSPORT'!A36))+(COUNTIF(TJM!$A$7:$A$50,'GO TRANSPORT'!A36))-C36</f>
        <v>0</v>
      </c>
      <c r="C36" s="23">
        <f>(COUNTIF('2S EXPRESS'!$G$7:$G$50,'GO TRANSPORT'!A36))+(COUNTIF('2 ZT'!$G$7:$G$50,'GO TRANSPORT'!A36))+(COUNTIF('GO TRANSPORT'!$G$7:$G$50,'GO TRANSPORT'!A36))+(COUNTIF('GO TRANSPORT'!$G$7:$G$50,'GO TRANSPORT'!A36))+(COUNTIF('IB TRANSPORT'!$G$7:$G$50,'GO TRANSPORT'!A36))+(COUNTIF(JSL!$G$7:$G$50,'GO TRANSPORT'!A36))+(COUNTIF(KIFAITOUT!$G$7:$G$50,'GO TRANSPORT'!A36))+(COUNTIF('LUXE DRIVE'!$G$7:$G$50,'GO TRANSPORT'!A36))+(COUNTIF(SSN!$G$7:$G$50,'GO TRANSPORT'!A36))+(COUNTIF('W3'!$G$7:$G$50,'GO TRANSPORT'!A36))+(COUNTIF('ATHIS MONS'!$G$7:$G$50,'GO TRANSPORT'!A36))+(COUNTIF('L HAY LES ROSES'!$G$7:$G$50,'GO TRANSPORT'!A36))+(COUNTIF(RUNGIS!$G$7:$G$50,'GO TRANSPORT'!A36))+(COUNTIF(SCEAUX!$G$7:$G$50,'GO TRANSPORT'!A36))+(COUNTIF('INSTANCE C1'!$G$7:$G$50,'GO TRANSPORT'!A36))+(COUNTIF('INSTANCE C2'!$G$7:$G$50,'GO TRANSPORT'!A36))+(COUNTIF(INTERNES!$G$7:$G$50,'GO TRANSPORT'!A36))+(COUNTIF('EN PANNE'!$G$7:$G$50,'GO TRANSPORT'!A36))+(COUNTIF(TJM!$G$7:$G$50,'GO TRANSPORT'!A36))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EXPRESS'!$G$7:$G$50,'GO TRANSPORT'!G36))+(COUNTIF('2 ZT'!$G$7:$G$50,'GO TRANSPORT'!G36))+(COUNTIF('GO TRANSPORT'!$G$7:$G$50,'GO TRANSPORT'!G36))+(COUNTIF('HMZ - KAIS'!$G$7:$G$50,'GO TRANSPORT'!G36))+(COUNTIF('IB TRANSPORT'!$G$7:$G$50,'GO TRANSPORT'!G36))+(COUNTIF(JSL!$G$7:$G$50,'GO TRANSPORT'!G36))+(COUNTIF(KIFAITOUT!$G$7:$G$50,'GO TRANSPORT'!G36))+(COUNTIF('LUXE DRIVE'!$G$7:$G$50,'GO TRANSPORT'!G36))+(COUNTIF(SSN!$G$7:$G$50,'GO TRANSPORT'!G36))+(COUNTIF('W3'!$G$7:$G$50,'GO TRANSPORT'!G36))+(COUNTIF('ATHIS MONS'!$G$7:$G$50,'GO TRANSPORT'!G36))+(COUNTIF('L HAY LES ROSES'!$G$7:$G$50,'GO TRANSPORT'!G36))+(COUNTIF(RUNGIS!$G$7:$G$50,'GO TRANSPORT'!G36))+(COUNTIF(SCEAUX!$G$7:$G$50,'GO TRANSPORT'!G36))+(COUNTIF('INSTANCE C1'!$G$7:$G$50,'GO TRANSPORT'!G36))+(COUNTIF('INSTANCE C2'!$G$7:$G$50,'GO TRANSPORT'!G36))+(COUNTIF(INTERNES!$G$7:$G$50,'GO TRANSPORT'!G36))+(COUNTIF('EN PANNE'!$G$7:$G$50,'GO TRANSPORT'!G36))+(COUNTIF(TJM!$G$7:$G$50,'GO TRANSPORT'!G36))-I36</f>
        <v>0</v>
      </c>
      <c r="I36" s="23">
        <f>(COUNTIF('2S EXPRESS'!$A$7:$A$50,'GO TRANSPORT'!G36))+(COUNTIF('2 ZT'!$A$7:$A$50,'GO TRANSPORT'!G36))+(COUNTIF('GO TRANSPORT'!$A$7:$A$50,'GO TRANSPORT'!G36))+(COUNTIF('HMZ - KAIS'!$A$7:$A$50,'GO TRANSPORT'!G36))+(COUNTIF('IB TRANSPORT'!$A$7:$A$50,'GO TRANSPORT'!G36))+(COUNTIF(JSL!$A$7:$A$50,'GO TRANSPORT'!G36))+(COUNTIF(KIFAITOUT!$A$7:$A$50,'GO TRANSPORT'!G36))+(COUNTIF('LUXE DRIVE'!$A$7:$A$50,'GO TRANSPORT'!G36))+(COUNTIF(SSN!$A$7:$A$50,'GO TRANSPORT'!G36))+(COUNTIF('W3'!$A$7:$A$50,'GO TRANSPORT'!G36))+(COUNTIF('ATHIS MONS'!$A$7:$A$50,'GO TRANSPORT'!G36))+(COUNTIF('L HAY LES ROSES'!$A$7:$A$50,'GO TRANSPORT'!G36))+(COUNTIF(RUNGIS!$A$7:$A$50,'GO TRANSPORT'!G36))+(COUNTIF(SCEAUX!$A$7:$A$50,'GO TRANSPORT'!G36))+(COUNTIF('INSTANCE C1'!$A$7:$A$50,'GO TRANSPORT'!G36))+(COUNTIF('INSTANCE C2'!$A$7:$A$50,'GO TRANSPORT'!G36))+(COUNTIF(INTERNES!$A$7:$A$50,'GO TRANSPORT'!G36))+(COUNTIF('EN PANNE'!$A$7:$A$50,'GO TRANSPORT'!G36))+(COUNTIF(TJM!$A$7:$A$50,'GO TRANSPORT'!G36))</f>
        <v>0</v>
      </c>
      <c r="J36" s="28">
        <f t="shared" si="4"/>
        <v>0</v>
      </c>
      <c r="K36" s="2"/>
      <c r="L36" s="47"/>
      <c r="Q36" s="69"/>
      <c r="S36" s="60">
        <f t="shared" si="1"/>
        <v>0</v>
      </c>
      <c r="T36" s="67">
        <f t="shared" si="2"/>
        <v>0</v>
      </c>
    </row>
    <row r="37" spans="1:20" ht="24.95" customHeight="1" x14ac:dyDescent="0.2">
      <c r="A37" s="20"/>
      <c r="B37" s="23">
        <f>(COUNTIF('2S EXPRESS'!$A$7:$A$50,'GO TRANSPORT'!A37))+(COUNTIF('2 ZT'!$A$7:$A$50,'GO TRANSPORT'!A37))+(COUNTIF('GO TRANSPORT'!$A$7:$A$50,'GO TRANSPORT'!A37))+(COUNTIF('HMZ - KAIS'!$A$7:$A$50,'GO TRANSPORT'!A37))+(COUNTIF('IB TRANSPORT'!$A$7:$A$50,'GO TRANSPORT'!A37))+(COUNTIF(JSL!$A$7:$A$50,'GO TRANSPORT'!A37))+(COUNTIF(KIFAITOUT!$A$7:$A$50,'GO TRANSPORT'!A37))+(COUNTIF('LUXE DRIVE'!$A$7:$A$50,'GO TRANSPORT'!A37))+(COUNTIF(SSN!$A$7:$A$50,'GO TRANSPORT'!A37))+(COUNTIF('W3'!$A$7:$A$50,'GO TRANSPORT'!A37))+(COUNTIF('ATHIS MONS'!$A$7:$A$50,'GO TRANSPORT'!A37))+(COUNTIF('L HAY LES ROSES'!$A$7:$A$50,'GO TRANSPORT'!A37))+(COUNTIF(RUNGIS!$A$7:$A$50,'GO TRANSPORT'!A37))+(COUNTIF(SCEAUX!$A$7:$A$50,'GO TRANSPORT'!A37))+(COUNTIF('INSTANCE C1'!$A$7:$A$50,'GO TRANSPORT'!A37))+(COUNTIF('INSTANCE C2'!$A$7:$A$50,'GO TRANSPORT'!A37))+(COUNTIF(INTERNES!$A$7:$A$50,'GO TRANSPORT'!A37))+(COUNTIF('EN PANNE'!$A$7:$A$50,'GO TRANSPORT'!A37))+(COUNTIF(TJM!$A$7:$A$50,'GO TRANSPORT'!A37))-C37</f>
        <v>0</v>
      </c>
      <c r="C37" s="23">
        <f>(COUNTIF('2S EXPRESS'!$G$7:$G$50,'GO TRANSPORT'!A37))+(COUNTIF('2 ZT'!$G$7:$G$50,'GO TRANSPORT'!A37))+(COUNTIF('GO TRANSPORT'!$G$7:$G$50,'GO TRANSPORT'!A37))+(COUNTIF('GO TRANSPORT'!$G$7:$G$50,'GO TRANSPORT'!A37))+(COUNTIF('IB TRANSPORT'!$G$7:$G$50,'GO TRANSPORT'!A37))+(COUNTIF(JSL!$G$7:$G$50,'GO TRANSPORT'!A37))+(COUNTIF(KIFAITOUT!$G$7:$G$50,'GO TRANSPORT'!A37))+(COUNTIF('LUXE DRIVE'!$G$7:$G$50,'GO TRANSPORT'!A37))+(COUNTIF(SSN!$G$7:$G$50,'GO TRANSPORT'!A37))+(COUNTIF('W3'!$G$7:$G$50,'GO TRANSPORT'!A37))+(COUNTIF('ATHIS MONS'!$G$7:$G$50,'GO TRANSPORT'!A37))+(COUNTIF('L HAY LES ROSES'!$G$7:$G$50,'GO TRANSPORT'!A37))+(COUNTIF(RUNGIS!$G$7:$G$50,'GO TRANSPORT'!A37))+(COUNTIF(SCEAUX!$G$7:$G$50,'GO TRANSPORT'!A37))+(COUNTIF('INSTANCE C1'!$G$7:$G$50,'GO TRANSPORT'!A37))+(COUNTIF('INSTANCE C2'!$G$7:$G$50,'GO TRANSPORT'!A37))+(COUNTIF(INTERNES!$G$7:$G$50,'GO TRANSPORT'!A37))+(COUNTIF('EN PANNE'!$G$7:$G$50,'GO TRANSPORT'!A37))+(COUNTIF(TJM!$G$7:$G$50,'GO TRANSPORT'!A37))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EXPRESS'!$G$7:$G$50,'GO TRANSPORT'!G37))+(COUNTIF('2 ZT'!$G$7:$G$50,'GO TRANSPORT'!G37))+(COUNTIF('GO TRANSPORT'!$G$7:$G$50,'GO TRANSPORT'!G37))+(COUNTIF('HMZ - KAIS'!$G$7:$G$50,'GO TRANSPORT'!G37))+(COUNTIF('IB TRANSPORT'!$G$7:$G$50,'GO TRANSPORT'!G37))+(COUNTIF(JSL!$G$7:$G$50,'GO TRANSPORT'!G37))+(COUNTIF(KIFAITOUT!$G$7:$G$50,'GO TRANSPORT'!G37))+(COUNTIF('LUXE DRIVE'!$G$7:$G$50,'GO TRANSPORT'!G37))+(COUNTIF(SSN!$G$7:$G$50,'GO TRANSPORT'!G37))+(COUNTIF('W3'!$G$7:$G$50,'GO TRANSPORT'!G37))+(COUNTIF('ATHIS MONS'!$G$7:$G$50,'GO TRANSPORT'!G37))+(COUNTIF('L HAY LES ROSES'!$G$7:$G$50,'GO TRANSPORT'!G37))+(COUNTIF(RUNGIS!$G$7:$G$50,'GO TRANSPORT'!G37))+(COUNTIF(SCEAUX!$G$7:$G$50,'GO TRANSPORT'!G37))+(COUNTIF('INSTANCE C1'!$G$7:$G$50,'GO TRANSPORT'!G37))+(COUNTIF('INSTANCE C2'!$G$7:$G$50,'GO TRANSPORT'!G37))+(COUNTIF(INTERNES!$G$7:$G$50,'GO TRANSPORT'!G37))+(COUNTIF('EN PANNE'!$G$7:$G$50,'GO TRANSPORT'!G37))+(COUNTIF(TJM!$G$7:$G$50,'GO TRANSPORT'!G37))-I37</f>
        <v>0</v>
      </c>
      <c r="I37" s="23">
        <f>(COUNTIF('2S EXPRESS'!$A$7:$A$50,'GO TRANSPORT'!G37))+(COUNTIF('2 ZT'!$A$7:$A$50,'GO TRANSPORT'!G37))+(COUNTIF('GO TRANSPORT'!$A$7:$A$50,'GO TRANSPORT'!G37))+(COUNTIF('HMZ - KAIS'!$A$7:$A$50,'GO TRANSPORT'!G37))+(COUNTIF('IB TRANSPORT'!$A$7:$A$50,'GO TRANSPORT'!G37))+(COUNTIF(JSL!$A$7:$A$50,'GO TRANSPORT'!G37))+(COUNTIF(KIFAITOUT!$A$7:$A$50,'GO TRANSPORT'!G37))+(COUNTIF('LUXE DRIVE'!$A$7:$A$50,'GO TRANSPORT'!G37))+(COUNTIF(SSN!$A$7:$A$50,'GO TRANSPORT'!G37))+(COUNTIF('W3'!$A$7:$A$50,'GO TRANSPORT'!G37))+(COUNTIF('ATHIS MONS'!$A$7:$A$50,'GO TRANSPORT'!G37))+(COUNTIF('L HAY LES ROSES'!$A$7:$A$50,'GO TRANSPORT'!G37))+(COUNTIF(RUNGIS!$A$7:$A$50,'GO TRANSPORT'!G37))+(COUNTIF(SCEAUX!$A$7:$A$50,'GO TRANSPORT'!G37))+(COUNTIF('INSTANCE C1'!$A$7:$A$50,'GO TRANSPORT'!G37))+(COUNTIF('INSTANCE C2'!$A$7:$A$50,'GO TRANSPORT'!G37))+(COUNTIF(INTERNES!$A$7:$A$50,'GO TRANSPORT'!G37))+(COUNTIF('EN PANNE'!$A$7:$A$50,'GO TRANSPORT'!G37))+(COUNTIF(TJM!$A$7:$A$50,'GO TRANSPORT'!G37))</f>
        <v>0</v>
      </c>
      <c r="J37" s="28">
        <f t="shared" si="4"/>
        <v>0</v>
      </c>
      <c r="K37" s="2"/>
      <c r="L37" s="47"/>
      <c r="Q37" s="69"/>
      <c r="S37" s="60">
        <f t="shared" si="1"/>
        <v>0</v>
      </c>
      <c r="T37" s="67">
        <f t="shared" si="2"/>
        <v>0</v>
      </c>
    </row>
    <row r="38" spans="1:20" ht="24.95" customHeight="1" x14ac:dyDescent="0.2">
      <c r="A38" s="20"/>
      <c r="B38" s="23">
        <f>(COUNTIF('2S EXPRESS'!$A$7:$A$50,'GO TRANSPORT'!A38))+(COUNTIF('2 ZT'!$A$7:$A$50,'GO TRANSPORT'!A38))+(COUNTIF('GO TRANSPORT'!$A$7:$A$50,'GO TRANSPORT'!A38))+(COUNTIF('HMZ - KAIS'!$A$7:$A$50,'GO TRANSPORT'!A38))+(COUNTIF('IB TRANSPORT'!$A$7:$A$50,'GO TRANSPORT'!A38))+(COUNTIF(JSL!$A$7:$A$50,'GO TRANSPORT'!A38))+(COUNTIF(KIFAITOUT!$A$7:$A$50,'GO TRANSPORT'!A38))+(COUNTIF('LUXE DRIVE'!$A$7:$A$50,'GO TRANSPORT'!A38))+(COUNTIF(SSN!$A$7:$A$50,'GO TRANSPORT'!A38))+(COUNTIF('W3'!$A$7:$A$50,'GO TRANSPORT'!A38))+(COUNTIF('ATHIS MONS'!$A$7:$A$50,'GO TRANSPORT'!A38))+(COUNTIF('L HAY LES ROSES'!$A$7:$A$50,'GO TRANSPORT'!A38))+(COUNTIF(RUNGIS!$A$7:$A$50,'GO TRANSPORT'!A38))+(COUNTIF(SCEAUX!$A$7:$A$50,'GO TRANSPORT'!A38))+(COUNTIF('INSTANCE C1'!$A$7:$A$50,'GO TRANSPORT'!A38))+(COUNTIF('INSTANCE C2'!$A$7:$A$50,'GO TRANSPORT'!A38))+(COUNTIF(INTERNES!$A$7:$A$50,'GO TRANSPORT'!A38))+(COUNTIF('EN PANNE'!$A$7:$A$50,'GO TRANSPORT'!A38))+(COUNTIF(TJM!$A$7:$A$50,'GO TRANSPORT'!A38))-C38</f>
        <v>0</v>
      </c>
      <c r="C38" s="23">
        <f>(COUNTIF('2S EXPRESS'!$G$7:$G$50,'GO TRANSPORT'!A38))+(COUNTIF('2 ZT'!$G$7:$G$50,'GO TRANSPORT'!A38))+(COUNTIF('GO TRANSPORT'!$G$7:$G$50,'GO TRANSPORT'!A38))+(COUNTIF('GO TRANSPORT'!$G$7:$G$50,'GO TRANSPORT'!A38))+(COUNTIF('IB TRANSPORT'!$G$7:$G$50,'GO TRANSPORT'!A38))+(COUNTIF(JSL!$G$7:$G$50,'GO TRANSPORT'!A38))+(COUNTIF(KIFAITOUT!$G$7:$G$50,'GO TRANSPORT'!A38))+(COUNTIF('LUXE DRIVE'!$G$7:$G$50,'GO TRANSPORT'!A38))+(COUNTIF(SSN!$G$7:$G$50,'GO TRANSPORT'!A38))+(COUNTIF('W3'!$G$7:$G$50,'GO TRANSPORT'!A38))+(COUNTIF('ATHIS MONS'!$G$7:$G$50,'GO TRANSPORT'!A38))+(COUNTIF('L HAY LES ROSES'!$G$7:$G$50,'GO TRANSPORT'!A38))+(COUNTIF(RUNGIS!$G$7:$G$50,'GO TRANSPORT'!A38))+(COUNTIF(SCEAUX!$G$7:$G$50,'GO TRANSPORT'!A38))+(COUNTIF('INSTANCE C1'!$G$7:$G$50,'GO TRANSPORT'!A38))+(COUNTIF('INSTANCE C2'!$G$7:$G$50,'GO TRANSPORT'!A38))+(COUNTIF(INTERNES!$G$7:$G$50,'GO TRANSPORT'!A38))+(COUNTIF('EN PANNE'!$G$7:$G$50,'GO TRANSPORT'!A38))+(COUNTIF(TJM!$G$7:$G$50,'GO TRANSPORT'!A38))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EXPRESS'!$G$7:$G$50,'GO TRANSPORT'!G38))+(COUNTIF('2 ZT'!$G$7:$G$50,'GO TRANSPORT'!G38))+(COUNTIF('GO TRANSPORT'!$G$7:$G$50,'GO TRANSPORT'!G38))+(COUNTIF('HMZ - KAIS'!$G$7:$G$50,'GO TRANSPORT'!G38))+(COUNTIF('IB TRANSPORT'!$G$7:$G$50,'GO TRANSPORT'!G38))+(COUNTIF(JSL!$G$7:$G$50,'GO TRANSPORT'!G38))+(COUNTIF(KIFAITOUT!$G$7:$G$50,'GO TRANSPORT'!G38))+(COUNTIF('LUXE DRIVE'!$G$7:$G$50,'GO TRANSPORT'!G38))+(COUNTIF(SSN!$G$7:$G$50,'GO TRANSPORT'!G38))+(COUNTIF('W3'!$G$7:$G$50,'GO TRANSPORT'!G38))+(COUNTIF('ATHIS MONS'!$G$7:$G$50,'GO TRANSPORT'!G38))+(COUNTIF('L HAY LES ROSES'!$G$7:$G$50,'GO TRANSPORT'!G38))+(COUNTIF(RUNGIS!$G$7:$G$50,'GO TRANSPORT'!G38))+(COUNTIF(SCEAUX!$G$7:$G$50,'GO TRANSPORT'!G38))+(COUNTIF('INSTANCE C1'!$G$7:$G$50,'GO TRANSPORT'!G38))+(COUNTIF('INSTANCE C2'!$G$7:$G$50,'GO TRANSPORT'!G38))+(COUNTIF(INTERNES!$G$7:$G$50,'GO TRANSPORT'!G38))+(COUNTIF('EN PANNE'!$G$7:$G$50,'GO TRANSPORT'!G38))+(COUNTIF(TJM!$G$7:$G$50,'GO TRANSPORT'!G38))-I38</f>
        <v>0</v>
      </c>
      <c r="I38" s="23">
        <f>(COUNTIF('2S EXPRESS'!$A$7:$A$50,'GO TRANSPORT'!G38))+(COUNTIF('2 ZT'!$A$7:$A$50,'GO TRANSPORT'!G38))+(COUNTIF('GO TRANSPORT'!$A$7:$A$50,'GO TRANSPORT'!G38))+(COUNTIF('HMZ - KAIS'!$A$7:$A$50,'GO TRANSPORT'!G38))+(COUNTIF('IB TRANSPORT'!$A$7:$A$50,'GO TRANSPORT'!G38))+(COUNTIF(JSL!$A$7:$A$50,'GO TRANSPORT'!G38))+(COUNTIF(KIFAITOUT!$A$7:$A$50,'GO TRANSPORT'!G38))+(COUNTIF('LUXE DRIVE'!$A$7:$A$50,'GO TRANSPORT'!G38))+(COUNTIF(SSN!$A$7:$A$50,'GO TRANSPORT'!G38))+(COUNTIF('W3'!$A$7:$A$50,'GO TRANSPORT'!G38))+(COUNTIF('ATHIS MONS'!$A$7:$A$50,'GO TRANSPORT'!G38))+(COUNTIF('L HAY LES ROSES'!$A$7:$A$50,'GO TRANSPORT'!G38))+(COUNTIF(RUNGIS!$A$7:$A$50,'GO TRANSPORT'!G38))+(COUNTIF(SCEAUX!$A$7:$A$50,'GO TRANSPORT'!G38))+(COUNTIF('INSTANCE C1'!$A$7:$A$50,'GO TRANSPORT'!G38))+(COUNTIF('INSTANCE C2'!$A$7:$A$50,'GO TRANSPORT'!G38))+(COUNTIF(INTERNES!$A$7:$A$50,'GO TRANSPORT'!G38))+(COUNTIF('EN PANNE'!$A$7:$A$50,'GO TRANSPORT'!G38))+(COUNTIF(TJM!$A$7:$A$50,'GO TRANSPORT'!G38))</f>
        <v>0</v>
      </c>
      <c r="J38" s="28">
        <f t="shared" si="4"/>
        <v>0</v>
      </c>
      <c r="K38" s="2"/>
      <c r="L38" s="47"/>
      <c r="Q38" s="69"/>
      <c r="S38" s="60">
        <f t="shared" si="1"/>
        <v>0</v>
      </c>
      <c r="T38" s="67">
        <f t="shared" si="2"/>
        <v>0</v>
      </c>
    </row>
    <row r="39" spans="1:20" ht="24.95" customHeight="1" x14ac:dyDescent="0.2">
      <c r="A39" s="20"/>
      <c r="B39" s="23">
        <f>(COUNTIF('2S EXPRESS'!$A$7:$A$50,'GO TRANSPORT'!A39))+(COUNTIF('2 ZT'!$A$7:$A$50,'GO TRANSPORT'!A39))+(COUNTIF('GO TRANSPORT'!$A$7:$A$50,'GO TRANSPORT'!A39))+(COUNTIF('HMZ - KAIS'!$A$7:$A$50,'GO TRANSPORT'!A39))+(COUNTIF('IB TRANSPORT'!$A$7:$A$50,'GO TRANSPORT'!A39))+(COUNTIF(JSL!$A$7:$A$50,'GO TRANSPORT'!A39))+(COUNTIF(KIFAITOUT!$A$7:$A$50,'GO TRANSPORT'!A39))+(COUNTIF('LUXE DRIVE'!$A$7:$A$50,'GO TRANSPORT'!A39))+(COUNTIF(SSN!$A$7:$A$50,'GO TRANSPORT'!A39))+(COUNTIF('W3'!$A$7:$A$50,'GO TRANSPORT'!A39))+(COUNTIF('ATHIS MONS'!$A$7:$A$50,'GO TRANSPORT'!A39))+(COUNTIF('L HAY LES ROSES'!$A$7:$A$50,'GO TRANSPORT'!A39))+(COUNTIF(RUNGIS!$A$7:$A$50,'GO TRANSPORT'!A39))+(COUNTIF(SCEAUX!$A$7:$A$50,'GO TRANSPORT'!A39))+(COUNTIF('INSTANCE C1'!$A$7:$A$50,'GO TRANSPORT'!A39))+(COUNTIF('INSTANCE C2'!$A$7:$A$50,'GO TRANSPORT'!A39))+(COUNTIF(INTERNES!$A$7:$A$50,'GO TRANSPORT'!A39))+(COUNTIF('EN PANNE'!$A$7:$A$50,'GO TRANSPORT'!A39))+(COUNTIF(TJM!$A$7:$A$50,'GO TRANSPORT'!A39))-C39</f>
        <v>0</v>
      </c>
      <c r="C39" s="23">
        <f>(COUNTIF('2S EXPRESS'!$G$7:$G$50,'GO TRANSPORT'!A39))+(COUNTIF('2 ZT'!$G$7:$G$50,'GO TRANSPORT'!A39))+(COUNTIF('GO TRANSPORT'!$G$7:$G$50,'GO TRANSPORT'!A39))+(COUNTIF('GO TRANSPORT'!$G$7:$G$50,'GO TRANSPORT'!A39))+(COUNTIF('IB TRANSPORT'!$G$7:$G$50,'GO TRANSPORT'!A39))+(COUNTIF(JSL!$G$7:$G$50,'GO TRANSPORT'!A39))+(COUNTIF(KIFAITOUT!$G$7:$G$50,'GO TRANSPORT'!A39))+(COUNTIF('LUXE DRIVE'!$G$7:$G$50,'GO TRANSPORT'!A39))+(COUNTIF(SSN!$G$7:$G$50,'GO TRANSPORT'!A39))+(COUNTIF('W3'!$G$7:$G$50,'GO TRANSPORT'!A39))+(COUNTIF('ATHIS MONS'!$G$7:$G$50,'GO TRANSPORT'!A39))+(COUNTIF('L HAY LES ROSES'!$G$7:$G$50,'GO TRANSPORT'!A39))+(COUNTIF(RUNGIS!$G$7:$G$50,'GO TRANSPORT'!A39))+(COUNTIF(SCEAUX!$G$7:$G$50,'GO TRANSPORT'!A39))+(COUNTIF('INSTANCE C1'!$G$7:$G$50,'GO TRANSPORT'!A39))+(COUNTIF('INSTANCE C2'!$G$7:$G$50,'GO TRANSPORT'!A39))+(COUNTIF(INTERNES!$G$7:$G$50,'GO TRANSPORT'!A39))+(COUNTIF('EN PANNE'!$G$7:$G$50,'GO TRANSPORT'!A39))+(COUNTIF(TJM!$G$7:$G$50,'GO TRANSPORT'!A39))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EXPRESS'!$G$7:$G$50,'GO TRANSPORT'!G39))+(COUNTIF('2 ZT'!$G$7:$G$50,'GO TRANSPORT'!G39))+(COUNTIF('GO TRANSPORT'!$G$7:$G$50,'GO TRANSPORT'!G39))+(COUNTIF('HMZ - KAIS'!$G$7:$G$50,'GO TRANSPORT'!G39))+(COUNTIF('IB TRANSPORT'!$G$7:$G$50,'GO TRANSPORT'!G39))+(COUNTIF(JSL!$G$7:$G$50,'GO TRANSPORT'!G39))+(COUNTIF(KIFAITOUT!$G$7:$G$50,'GO TRANSPORT'!G39))+(COUNTIF('LUXE DRIVE'!$G$7:$G$50,'GO TRANSPORT'!G39))+(COUNTIF(SSN!$G$7:$G$50,'GO TRANSPORT'!G39))+(COUNTIF('W3'!$G$7:$G$50,'GO TRANSPORT'!G39))+(COUNTIF('ATHIS MONS'!$G$7:$G$50,'GO TRANSPORT'!G39))+(COUNTIF('L HAY LES ROSES'!$G$7:$G$50,'GO TRANSPORT'!G39))+(COUNTIF(RUNGIS!$G$7:$G$50,'GO TRANSPORT'!G39))+(COUNTIF(SCEAUX!$G$7:$G$50,'GO TRANSPORT'!G39))+(COUNTIF('INSTANCE C1'!$G$7:$G$50,'GO TRANSPORT'!G39))+(COUNTIF('INSTANCE C2'!$G$7:$G$50,'GO TRANSPORT'!G39))+(COUNTIF(INTERNES!$G$7:$G$50,'GO TRANSPORT'!G39))+(COUNTIF('EN PANNE'!$G$7:$G$50,'GO TRANSPORT'!G39))+(COUNTIF(TJM!$G$7:$G$50,'GO TRANSPORT'!G39))-I39</f>
        <v>0</v>
      </c>
      <c r="I39" s="23">
        <f>(COUNTIF('2S EXPRESS'!$A$7:$A$50,'GO TRANSPORT'!G39))+(COUNTIF('2 ZT'!$A$7:$A$50,'GO TRANSPORT'!G39))+(COUNTIF('GO TRANSPORT'!$A$7:$A$50,'GO TRANSPORT'!G39))+(COUNTIF('HMZ - KAIS'!$A$7:$A$50,'GO TRANSPORT'!G39))+(COUNTIF('IB TRANSPORT'!$A$7:$A$50,'GO TRANSPORT'!G39))+(COUNTIF(JSL!$A$7:$A$50,'GO TRANSPORT'!G39))+(COUNTIF(KIFAITOUT!$A$7:$A$50,'GO TRANSPORT'!G39))+(COUNTIF('LUXE DRIVE'!$A$7:$A$50,'GO TRANSPORT'!G39))+(COUNTIF(SSN!$A$7:$A$50,'GO TRANSPORT'!G39))+(COUNTIF('W3'!$A$7:$A$50,'GO TRANSPORT'!G39))+(COUNTIF('ATHIS MONS'!$A$7:$A$50,'GO TRANSPORT'!G39))+(COUNTIF('L HAY LES ROSES'!$A$7:$A$50,'GO TRANSPORT'!G39))+(COUNTIF(RUNGIS!$A$7:$A$50,'GO TRANSPORT'!G39))+(COUNTIF(SCEAUX!$A$7:$A$50,'GO TRANSPORT'!G39))+(COUNTIF('INSTANCE C1'!$A$7:$A$50,'GO TRANSPORT'!G39))+(COUNTIF('INSTANCE C2'!$A$7:$A$50,'GO TRANSPORT'!G39))+(COUNTIF(INTERNES!$A$7:$A$50,'GO TRANSPORT'!G39))+(COUNTIF('EN PANNE'!$A$7:$A$50,'GO TRANSPORT'!G39))+(COUNTIF(TJM!$A$7:$A$50,'GO TRANSPORT'!G39))</f>
        <v>0</v>
      </c>
      <c r="J39" s="28">
        <f t="shared" si="4"/>
        <v>0</v>
      </c>
      <c r="K39" s="2"/>
      <c r="L39" s="47"/>
      <c r="Q39" s="69"/>
      <c r="S39" s="60">
        <f t="shared" si="1"/>
        <v>0</v>
      </c>
      <c r="T39" s="67">
        <f t="shared" si="2"/>
        <v>0</v>
      </c>
    </row>
    <row r="40" spans="1:20" ht="24.95" customHeight="1" x14ac:dyDescent="0.2">
      <c r="A40" s="20"/>
      <c r="B40" s="23">
        <f>(COUNTIF('2S EXPRESS'!$A$7:$A$50,'GO TRANSPORT'!A40))+(COUNTIF('2 ZT'!$A$7:$A$50,'GO TRANSPORT'!A40))+(COUNTIF('GO TRANSPORT'!$A$7:$A$50,'GO TRANSPORT'!A40))+(COUNTIF('HMZ - KAIS'!$A$7:$A$50,'GO TRANSPORT'!A40))+(COUNTIF('IB TRANSPORT'!$A$7:$A$50,'GO TRANSPORT'!A40))+(COUNTIF(JSL!$A$7:$A$50,'GO TRANSPORT'!A40))+(COUNTIF(KIFAITOUT!$A$7:$A$50,'GO TRANSPORT'!A40))+(COUNTIF('LUXE DRIVE'!$A$7:$A$50,'GO TRANSPORT'!A40))+(COUNTIF(SSN!$A$7:$A$50,'GO TRANSPORT'!A40))+(COUNTIF('W3'!$A$7:$A$50,'GO TRANSPORT'!A40))+(COUNTIF('ATHIS MONS'!$A$7:$A$50,'GO TRANSPORT'!A40))+(COUNTIF('L HAY LES ROSES'!$A$7:$A$50,'GO TRANSPORT'!A40))+(COUNTIF(RUNGIS!$A$7:$A$50,'GO TRANSPORT'!A40))+(COUNTIF(SCEAUX!$A$7:$A$50,'GO TRANSPORT'!A40))+(COUNTIF('INSTANCE C1'!$A$7:$A$50,'GO TRANSPORT'!A40))+(COUNTIF('INSTANCE C2'!$A$7:$A$50,'GO TRANSPORT'!A40))+(COUNTIF(INTERNES!$A$7:$A$50,'GO TRANSPORT'!A40))+(COUNTIF('EN PANNE'!$A$7:$A$50,'GO TRANSPORT'!A40))+(COUNTIF(TJM!$A$7:$A$50,'GO TRANSPORT'!A40))-C40</f>
        <v>0</v>
      </c>
      <c r="C40" s="23">
        <f>(COUNTIF('2S EXPRESS'!$G$7:$G$50,'GO TRANSPORT'!A40))+(COUNTIF('2 ZT'!$G$7:$G$50,'GO TRANSPORT'!A40))+(COUNTIF('GO TRANSPORT'!$G$7:$G$50,'GO TRANSPORT'!A40))+(COUNTIF('GO TRANSPORT'!$G$7:$G$50,'GO TRANSPORT'!A40))+(COUNTIF('IB TRANSPORT'!$G$7:$G$50,'GO TRANSPORT'!A40))+(COUNTIF(JSL!$G$7:$G$50,'GO TRANSPORT'!A40))+(COUNTIF(KIFAITOUT!$G$7:$G$50,'GO TRANSPORT'!A40))+(COUNTIF('LUXE DRIVE'!$G$7:$G$50,'GO TRANSPORT'!A40))+(COUNTIF(SSN!$G$7:$G$50,'GO TRANSPORT'!A40))+(COUNTIF('W3'!$G$7:$G$50,'GO TRANSPORT'!A40))+(COUNTIF('ATHIS MONS'!$G$7:$G$50,'GO TRANSPORT'!A40))+(COUNTIF('L HAY LES ROSES'!$G$7:$G$50,'GO TRANSPORT'!A40))+(COUNTIF(RUNGIS!$G$7:$G$50,'GO TRANSPORT'!A40))+(COUNTIF(SCEAUX!$G$7:$G$50,'GO TRANSPORT'!A40))+(COUNTIF('INSTANCE C1'!$G$7:$G$50,'GO TRANSPORT'!A40))+(COUNTIF('INSTANCE C2'!$G$7:$G$50,'GO TRANSPORT'!A40))+(COUNTIF(INTERNES!$G$7:$G$50,'GO TRANSPORT'!A40))+(COUNTIF('EN PANNE'!$G$7:$G$50,'GO TRANSPORT'!A40))+(COUNTIF(TJM!$G$7:$G$50,'GO TRANSPORT'!A40))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EXPRESS'!$G$7:$G$50,'GO TRANSPORT'!G40))+(COUNTIF('2 ZT'!$G$7:$G$50,'GO TRANSPORT'!G40))+(COUNTIF('GO TRANSPORT'!$G$7:$G$50,'GO TRANSPORT'!G40))+(COUNTIF('HMZ - KAIS'!$G$7:$G$50,'GO TRANSPORT'!G40))+(COUNTIF('IB TRANSPORT'!$G$7:$G$50,'GO TRANSPORT'!G40))+(COUNTIF(JSL!$G$7:$G$50,'GO TRANSPORT'!G40))+(COUNTIF(KIFAITOUT!$G$7:$G$50,'GO TRANSPORT'!G40))+(COUNTIF('LUXE DRIVE'!$G$7:$G$50,'GO TRANSPORT'!G40))+(COUNTIF(SSN!$G$7:$G$50,'GO TRANSPORT'!G40))+(COUNTIF('W3'!$G$7:$G$50,'GO TRANSPORT'!G40))+(COUNTIF('ATHIS MONS'!$G$7:$G$50,'GO TRANSPORT'!G40))+(COUNTIF('L HAY LES ROSES'!$G$7:$G$50,'GO TRANSPORT'!G40))+(COUNTIF(RUNGIS!$G$7:$G$50,'GO TRANSPORT'!G40))+(COUNTIF(SCEAUX!$G$7:$G$50,'GO TRANSPORT'!G40))+(COUNTIF('INSTANCE C1'!$G$7:$G$50,'GO TRANSPORT'!G40))+(COUNTIF('INSTANCE C2'!$G$7:$G$50,'GO TRANSPORT'!G40))+(COUNTIF(INTERNES!$G$7:$G$50,'GO TRANSPORT'!G40))+(COUNTIF('EN PANNE'!$G$7:$G$50,'GO TRANSPORT'!G40))+(COUNTIF(TJM!$G$7:$G$50,'GO TRANSPORT'!G40))-I40</f>
        <v>0</v>
      </c>
      <c r="I40" s="23">
        <f>(COUNTIF('2S EXPRESS'!$A$7:$A$50,'GO TRANSPORT'!G40))+(COUNTIF('2 ZT'!$A$7:$A$50,'GO TRANSPORT'!G40))+(COUNTIF('GO TRANSPORT'!$A$7:$A$50,'GO TRANSPORT'!G40))+(COUNTIF('HMZ - KAIS'!$A$7:$A$50,'GO TRANSPORT'!G40))+(COUNTIF('IB TRANSPORT'!$A$7:$A$50,'GO TRANSPORT'!G40))+(COUNTIF(JSL!$A$7:$A$50,'GO TRANSPORT'!G40))+(COUNTIF(KIFAITOUT!$A$7:$A$50,'GO TRANSPORT'!G40))+(COUNTIF('LUXE DRIVE'!$A$7:$A$50,'GO TRANSPORT'!G40))+(COUNTIF(SSN!$A$7:$A$50,'GO TRANSPORT'!G40))+(COUNTIF('W3'!$A$7:$A$50,'GO TRANSPORT'!G40))+(COUNTIF('ATHIS MONS'!$A$7:$A$50,'GO TRANSPORT'!G40))+(COUNTIF('L HAY LES ROSES'!$A$7:$A$50,'GO TRANSPORT'!G40))+(COUNTIF(RUNGIS!$A$7:$A$50,'GO TRANSPORT'!G40))+(COUNTIF(SCEAUX!$A$7:$A$50,'GO TRANSPORT'!G40))+(COUNTIF('INSTANCE C1'!$A$7:$A$50,'GO TRANSPORT'!G40))+(COUNTIF('INSTANCE C2'!$A$7:$A$50,'GO TRANSPORT'!G40))+(COUNTIF(INTERNES!$A$7:$A$50,'GO TRANSPORT'!G40))+(COUNTIF('EN PANNE'!$A$7:$A$50,'GO TRANSPORT'!G40))+(COUNTIF(TJM!$A$7:$A$50,'GO TRANSPORT'!G40))</f>
        <v>0</v>
      </c>
      <c r="J40" s="28">
        <f t="shared" si="4"/>
        <v>0</v>
      </c>
      <c r="K40" s="2"/>
      <c r="L40" s="47"/>
      <c r="Q40" s="69"/>
      <c r="S40" s="60">
        <f t="shared" si="1"/>
        <v>0</v>
      </c>
      <c r="T40" s="67">
        <f t="shared" si="2"/>
        <v>0</v>
      </c>
    </row>
    <row r="41" spans="1:20" ht="24.95" customHeight="1" x14ac:dyDescent="0.2">
      <c r="A41" s="20"/>
      <c r="B41" s="23">
        <f>(COUNTIF('2S EXPRESS'!$A$7:$A$50,'GO TRANSPORT'!A41))+(COUNTIF('2 ZT'!$A$7:$A$50,'GO TRANSPORT'!A41))+(COUNTIF('GO TRANSPORT'!$A$7:$A$50,'GO TRANSPORT'!A41))+(COUNTIF('HMZ - KAIS'!$A$7:$A$50,'GO TRANSPORT'!A41))+(COUNTIF('IB TRANSPORT'!$A$7:$A$50,'GO TRANSPORT'!A41))+(COUNTIF(JSL!$A$7:$A$50,'GO TRANSPORT'!A41))+(COUNTIF(KIFAITOUT!$A$7:$A$50,'GO TRANSPORT'!A41))+(COUNTIF('LUXE DRIVE'!$A$7:$A$50,'GO TRANSPORT'!A41))+(COUNTIF(SSN!$A$7:$A$50,'GO TRANSPORT'!A41))+(COUNTIF('W3'!$A$7:$A$50,'GO TRANSPORT'!A41))+(COUNTIF('ATHIS MONS'!$A$7:$A$50,'GO TRANSPORT'!A41))+(COUNTIF('L HAY LES ROSES'!$A$7:$A$50,'GO TRANSPORT'!A41))+(COUNTIF(RUNGIS!$A$7:$A$50,'GO TRANSPORT'!A41))+(COUNTIF(SCEAUX!$A$7:$A$50,'GO TRANSPORT'!A41))+(COUNTIF('INSTANCE C1'!$A$7:$A$50,'GO TRANSPORT'!A41))+(COUNTIF('INSTANCE C2'!$A$7:$A$50,'GO TRANSPORT'!A41))+(COUNTIF(INTERNES!$A$7:$A$50,'GO TRANSPORT'!A41))+(COUNTIF('EN PANNE'!$A$7:$A$50,'GO TRANSPORT'!A41))+(COUNTIF(TJM!$A$7:$A$50,'GO TRANSPORT'!A41))-C41</f>
        <v>0</v>
      </c>
      <c r="C41" s="23">
        <f>(COUNTIF('2S EXPRESS'!$G$7:$G$50,'GO TRANSPORT'!A41))+(COUNTIF('2 ZT'!$G$7:$G$50,'GO TRANSPORT'!A41))+(COUNTIF('GO TRANSPORT'!$G$7:$G$50,'GO TRANSPORT'!A41))+(COUNTIF('GO TRANSPORT'!$G$7:$G$50,'GO TRANSPORT'!A41))+(COUNTIF('IB TRANSPORT'!$G$7:$G$50,'GO TRANSPORT'!A41))+(COUNTIF(JSL!$G$7:$G$50,'GO TRANSPORT'!A41))+(COUNTIF(KIFAITOUT!$G$7:$G$50,'GO TRANSPORT'!A41))+(COUNTIF('LUXE DRIVE'!$G$7:$G$50,'GO TRANSPORT'!A41))+(COUNTIF(SSN!$G$7:$G$50,'GO TRANSPORT'!A41))+(COUNTIF('W3'!$G$7:$G$50,'GO TRANSPORT'!A41))+(COUNTIF('ATHIS MONS'!$G$7:$G$50,'GO TRANSPORT'!A41))+(COUNTIF('L HAY LES ROSES'!$G$7:$G$50,'GO TRANSPORT'!A41))+(COUNTIF(RUNGIS!$G$7:$G$50,'GO TRANSPORT'!A41))+(COUNTIF(SCEAUX!$G$7:$G$50,'GO TRANSPORT'!A41))+(COUNTIF('INSTANCE C1'!$G$7:$G$50,'GO TRANSPORT'!A41))+(COUNTIF('INSTANCE C2'!$G$7:$G$50,'GO TRANSPORT'!A41))+(COUNTIF(INTERNES!$G$7:$G$50,'GO TRANSPORT'!A41))+(COUNTIF('EN PANNE'!$G$7:$G$50,'GO TRANSPORT'!A41))+(COUNTIF(TJM!$G$7:$G$50,'GO TRANSPORT'!A41))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EXPRESS'!$G$7:$G$50,'GO TRANSPORT'!G41))+(COUNTIF('2 ZT'!$G$7:$G$50,'GO TRANSPORT'!G41))+(COUNTIF('GO TRANSPORT'!$G$7:$G$50,'GO TRANSPORT'!G41))+(COUNTIF('HMZ - KAIS'!$G$7:$G$50,'GO TRANSPORT'!G41))+(COUNTIF('IB TRANSPORT'!$G$7:$G$50,'GO TRANSPORT'!G41))+(COUNTIF(JSL!$G$7:$G$50,'GO TRANSPORT'!G41))+(COUNTIF(KIFAITOUT!$G$7:$G$50,'GO TRANSPORT'!G41))+(COUNTIF('LUXE DRIVE'!$G$7:$G$50,'GO TRANSPORT'!G41))+(COUNTIF(SSN!$G$7:$G$50,'GO TRANSPORT'!G41))+(COUNTIF('W3'!$G$7:$G$50,'GO TRANSPORT'!G41))+(COUNTIF('ATHIS MONS'!$G$7:$G$50,'GO TRANSPORT'!G41))+(COUNTIF('L HAY LES ROSES'!$G$7:$G$50,'GO TRANSPORT'!G41))+(COUNTIF(RUNGIS!$G$7:$G$50,'GO TRANSPORT'!G41))+(COUNTIF(SCEAUX!$G$7:$G$50,'GO TRANSPORT'!G41))+(COUNTIF('INSTANCE C1'!$G$7:$G$50,'GO TRANSPORT'!G41))+(COUNTIF('INSTANCE C2'!$G$7:$G$50,'GO TRANSPORT'!G41))+(COUNTIF(INTERNES!$G$7:$G$50,'GO TRANSPORT'!G41))+(COUNTIF('EN PANNE'!$G$7:$G$50,'GO TRANSPORT'!G41))+(COUNTIF(TJM!$G$7:$G$50,'GO TRANSPORT'!G41))-I41</f>
        <v>0</v>
      </c>
      <c r="I41" s="23">
        <f>(COUNTIF('2S EXPRESS'!$A$7:$A$50,'GO TRANSPORT'!G41))+(COUNTIF('2 ZT'!$A$7:$A$50,'GO TRANSPORT'!G41))+(COUNTIF('GO TRANSPORT'!$A$7:$A$50,'GO TRANSPORT'!G41))+(COUNTIF('HMZ - KAIS'!$A$7:$A$50,'GO TRANSPORT'!G41))+(COUNTIF('IB TRANSPORT'!$A$7:$A$50,'GO TRANSPORT'!G41))+(COUNTIF(JSL!$A$7:$A$50,'GO TRANSPORT'!G41))+(COUNTIF(KIFAITOUT!$A$7:$A$50,'GO TRANSPORT'!G41))+(COUNTIF('LUXE DRIVE'!$A$7:$A$50,'GO TRANSPORT'!G41))+(COUNTIF(SSN!$A$7:$A$50,'GO TRANSPORT'!G41))+(COUNTIF('W3'!$A$7:$A$50,'GO TRANSPORT'!G41))+(COUNTIF('ATHIS MONS'!$A$7:$A$50,'GO TRANSPORT'!G41))+(COUNTIF('L HAY LES ROSES'!$A$7:$A$50,'GO TRANSPORT'!G41))+(COUNTIF(RUNGIS!$A$7:$A$50,'GO TRANSPORT'!G41))+(COUNTIF(SCEAUX!$A$7:$A$50,'GO TRANSPORT'!G41))+(COUNTIF('INSTANCE C1'!$A$7:$A$50,'GO TRANSPORT'!G41))+(COUNTIF('INSTANCE C2'!$A$7:$A$50,'GO TRANSPORT'!G41))+(COUNTIF(INTERNES!$A$7:$A$50,'GO TRANSPORT'!G41))+(COUNTIF('EN PANNE'!$A$7:$A$50,'GO TRANSPORT'!G41))+(COUNTIF(TJM!$A$7:$A$50,'GO TRANSPORT'!G41))</f>
        <v>0</v>
      </c>
      <c r="J41" s="28">
        <f t="shared" si="4"/>
        <v>0</v>
      </c>
      <c r="K41" s="2"/>
      <c r="L41" s="47"/>
      <c r="Q41" s="69"/>
      <c r="S41" s="60">
        <f t="shared" si="1"/>
        <v>0</v>
      </c>
      <c r="T41" s="67">
        <f t="shared" si="2"/>
        <v>0</v>
      </c>
    </row>
    <row r="42" spans="1:20" ht="24.95" customHeight="1" x14ac:dyDescent="0.2">
      <c r="A42" s="20"/>
      <c r="B42" s="23">
        <f>(COUNTIF('2S EXPRESS'!$A$7:$A$50,'GO TRANSPORT'!A42))+(COUNTIF('2 ZT'!$A$7:$A$50,'GO TRANSPORT'!A42))+(COUNTIF('GO TRANSPORT'!$A$7:$A$50,'GO TRANSPORT'!A42))+(COUNTIF('HMZ - KAIS'!$A$7:$A$50,'GO TRANSPORT'!A42))+(COUNTIF('IB TRANSPORT'!$A$7:$A$50,'GO TRANSPORT'!A42))+(COUNTIF(JSL!$A$7:$A$50,'GO TRANSPORT'!A42))+(COUNTIF(KIFAITOUT!$A$7:$A$50,'GO TRANSPORT'!A42))+(COUNTIF('LUXE DRIVE'!$A$7:$A$50,'GO TRANSPORT'!A42))+(COUNTIF(SSN!$A$7:$A$50,'GO TRANSPORT'!A42))+(COUNTIF('W3'!$A$7:$A$50,'GO TRANSPORT'!A42))+(COUNTIF('ATHIS MONS'!$A$7:$A$50,'GO TRANSPORT'!A42))+(COUNTIF('L HAY LES ROSES'!$A$7:$A$50,'GO TRANSPORT'!A42))+(COUNTIF(RUNGIS!$A$7:$A$50,'GO TRANSPORT'!A42))+(COUNTIF(SCEAUX!$A$7:$A$50,'GO TRANSPORT'!A42))+(COUNTIF('INSTANCE C1'!$A$7:$A$50,'GO TRANSPORT'!A42))+(COUNTIF('INSTANCE C2'!$A$7:$A$50,'GO TRANSPORT'!A42))+(COUNTIF(INTERNES!$A$7:$A$50,'GO TRANSPORT'!A42))+(COUNTIF('EN PANNE'!$A$7:$A$50,'GO TRANSPORT'!A42))+(COUNTIF(TJM!$A$7:$A$50,'GO TRANSPORT'!A42))-C42</f>
        <v>0</v>
      </c>
      <c r="C42" s="23">
        <f>(COUNTIF('2S EXPRESS'!$G$7:$G$50,'GO TRANSPORT'!A42))+(COUNTIF('2 ZT'!$G$7:$G$50,'GO TRANSPORT'!A42))+(COUNTIF('GO TRANSPORT'!$G$7:$G$50,'GO TRANSPORT'!A42))+(COUNTIF('GO TRANSPORT'!$G$7:$G$50,'GO TRANSPORT'!A42))+(COUNTIF('IB TRANSPORT'!$G$7:$G$50,'GO TRANSPORT'!A42))+(COUNTIF(JSL!$G$7:$G$50,'GO TRANSPORT'!A42))+(COUNTIF(KIFAITOUT!$G$7:$G$50,'GO TRANSPORT'!A42))+(COUNTIF('LUXE DRIVE'!$G$7:$G$50,'GO TRANSPORT'!A42))+(COUNTIF(SSN!$G$7:$G$50,'GO TRANSPORT'!A42))+(COUNTIF('W3'!$G$7:$G$50,'GO TRANSPORT'!A42))+(COUNTIF('ATHIS MONS'!$G$7:$G$50,'GO TRANSPORT'!A42))+(COUNTIF('L HAY LES ROSES'!$G$7:$G$50,'GO TRANSPORT'!A42))+(COUNTIF(RUNGIS!$G$7:$G$50,'GO TRANSPORT'!A42))+(COUNTIF(SCEAUX!$G$7:$G$50,'GO TRANSPORT'!A42))+(COUNTIF('INSTANCE C1'!$G$7:$G$50,'GO TRANSPORT'!A42))+(COUNTIF('INSTANCE C2'!$G$7:$G$50,'GO TRANSPORT'!A42))+(COUNTIF(INTERNES!$G$7:$G$50,'GO TRANSPORT'!A42))+(COUNTIF('EN PANNE'!$G$7:$G$50,'GO TRANSPORT'!A42))+(COUNTIF(TJM!$G$7:$G$50,'GO TRANSPORT'!A42))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EXPRESS'!$G$7:$G$50,'GO TRANSPORT'!G42))+(COUNTIF('2 ZT'!$G$7:$G$50,'GO TRANSPORT'!G42))+(COUNTIF('GO TRANSPORT'!$G$7:$G$50,'GO TRANSPORT'!G42))+(COUNTIF('HMZ - KAIS'!$G$7:$G$50,'GO TRANSPORT'!G42))+(COUNTIF('IB TRANSPORT'!$G$7:$G$50,'GO TRANSPORT'!G42))+(COUNTIF(JSL!$G$7:$G$50,'GO TRANSPORT'!G42))+(COUNTIF(KIFAITOUT!$G$7:$G$50,'GO TRANSPORT'!G42))+(COUNTIF('LUXE DRIVE'!$G$7:$G$50,'GO TRANSPORT'!G42))+(COUNTIF(SSN!$G$7:$G$50,'GO TRANSPORT'!G42))+(COUNTIF('W3'!$G$7:$G$50,'GO TRANSPORT'!G42))+(COUNTIF('ATHIS MONS'!$G$7:$G$50,'GO TRANSPORT'!G42))+(COUNTIF('L HAY LES ROSES'!$G$7:$G$50,'GO TRANSPORT'!G42))+(COUNTIF(RUNGIS!$G$7:$G$50,'GO TRANSPORT'!G42))+(COUNTIF(SCEAUX!$G$7:$G$50,'GO TRANSPORT'!G42))+(COUNTIF('INSTANCE C1'!$G$7:$G$50,'GO TRANSPORT'!G42))+(COUNTIF('INSTANCE C2'!$G$7:$G$50,'GO TRANSPORT'!G42))+(COUNTIF(INTERNES!$G$7:$G$50,'GO TRANSPORT'!G42))+(COUNTIF('EN PANNE'!$G$7:$G$50,'GO TRANSPORT'!G42))+(COUNTIF(TJM!$G$7:$G$50,'GO TRANSPORT'!G42))-I42</f>
        <v>0</v>
      </c>
      <c r="I42" s="23">
        <f>(COUNTIF('2S EXPRESS'!$A$7:$A$50,'GO TRANSPORT'!G42))+(COUNTIF('2 ZT'!$A$7:$A$50,'GO TRANSPORT'!G42))+(COUNTIF('GO TRANSPORT'!$A$7:$A$50,'GO TRANSPORT'!G42))+(COUNTIF('HMZ - KAIS'!$A$7:$A$50,'GO TRANSPORT'!G42))+(COUNTIF('IB TRANSPORT'!$A$7:$A$50,'GO TRANSPORT'!G42))+(COUNTIF(JSL!$A$7:$A$50,'GO TRANSPORT'!G42))+(COUNTIF(KIFAITOUT!$A$7:$A$50,'GO TRANSPORT'!G42))+(COUNTIF('LUXE DRIVE'!$A$7:$A$50,'GO TRANSPORT'!G42))+(COUNTIF(SSN!$A$7:$A$50,'GO TRANSPORT'!G42))+(COUNTIF('W3'!$A$7:$A$50,'GO TRANSPORT'!G42))+(COUNTIF('ATHIS MONS'!$A$7:$A$50,'GO TRANSPORT'!G42))+(COUNTIF('L HAY LES ROSES'!$A$7:$A$50,'GO TRANSPORT'!G42))+(COUNTIF(RUNGIS!$A$7:$A$50,'GO TRANSPORT'!G42))+(COUNTIF(SCEAUX!$A$7:$A$50,'GO TRANSPORT'!G42))+(COUNTIF('INSTANCE C1'!$A$7:$A$50,'GO TRANSPORT'!G42))+(COUNTIF('INSTANCE C2'!$A$7:$A$50,'GO TRANSPORT'!G42))+(COUNTIF(INTERNES!$A$7:$A$50,'GO TRANSPORT'!G42))+(COUNTIF('EN PANNE'!$A$7:$A$50,'GO TRANSPORT'!G42))+(COUNTIF(TJM!$A$7:$A$50,'GO TRANSPORT'!G42))</f>
        <v>0</v>
      </c>
      <c r="J42" s="28">
        <f t="shared" si="4"/>
        <v>0</v>
      </c>
      <c r="K42" s="2"/>
      <c r="L42" s="47"/>
      <c r="Q42" s="69"/>
      <c r="S42" s="60">
        <f t="shared" si="1"/>
        <v>0</v>
      </c>
      <c r="T42" s="67">
        <f t="shared" si="2"/>
        <v>0</v>
      </c>
    </row>
    <row r="43" spans="1:20" ht="24.95" customHeight="1" x14ac:dyDescent="0.2">
      <c r="A43" s="20"/>
      <c r="B43" s="23">
        <f>(COUNTIF('2S EXPRESS'!$A$7:$A$50,'GO TRANSPORT'!A43))+(COUNTIF('2 ZT'!$A$7:$A$50,'GO TRANSPORT'!A43))+(COUNTIF('GO TRANSPORT'!$A$7:$A$50,'GO TRANSPORT'!A43))+(COUNTIF('HMZ - KAIS'!$A$7:$A$50,'GO TRANSPORT'!A43))+(COUNTIF('IB TRANSPORT'!$A$7:$A$50,'GO TRANSPORT'!A43))+(COUNTIF(JSL!$A$7:$A$50,'GO TRANSPORT'!A43))+(COUNTIF(KIFAITOUT!$A$7:$A$50,'GO TRANSPORT'!A43))+(COUNTIF('LUXE DRIVE'!$A$7:$A$50,'GO TRANSPORT'!A43))+(COUNTIF(SSN!$A$7:$A$50,'GO TRANSPORT'!A43))+(COUNTIF('W3'!$A$7:$A$50,'GO TRANSPORT'!A43))+(COUNTIF('ATHIS MONS'!$A$7:$A$50,'GO TRANSPORT'!A43))+(COUNTIF('L HAY LES ROSES'!$A$7:$A$50,'GO TRANSPORT'!A43))+(COUNTIF(RUNGIS!$A$7:$A$50,'GO TRANSPORT'!A43))+(COUNTIF(SCEAUX!$A$7:$A$50,'GO TRANSPORT'!A43))+(COUNTIF('INSTANCE C1'!$A$7:$A$50,'GO TRANSPORT'!A43))+(COUNTIF('INSTANCE C2'!$A$7:$A$50,'GO TRANSPORT'!A43))+(COUNTIF(INTERNES!$A$7:$A$50,'GO TRANSPORT'!A43))+(COUNTIF('EN PANNE'!$A$7:$A$50,'GO TRANSPORT'!A43))+(COUNTIF(TJM!$A$7:$A$50,'GO TRANSPORT'!A43))-C43</f>
        <v>0</v>
      </c>
      <c r="C43" s="23">
        <f>(COUNTIF('2S EXPRESS'!$G$7:$G$50,'GO TRANSPORT'!A43))+(COUNTIF('2 ZT'!$G$7:$G$50,'GO TRANSPORT'!A43))+(COUNTIF('GO TRANSPORT'!$G$7:$G$50,'GO TRANSPORT'!A43))+(COUNTIF('GO TRANSPORT'!$G$7:$G$50,'GO TRANSPORT'!A43))+(COUNTIF('IB TRANSPORT'!$G$7:$G$50,'GO TRANSPORT'!A43))+(COUNTIF(JSL!$G$7:$G$50,'GO TRANSPORT'!A43))+(COUNTIF(KIFAITOUT!$G$7:$G$50,'GO TRANSPORT'!A43))+(COUNTIF('LUXE DRIVE'!$G$7:$G$50,'GO TRANSPORT'!A43))+(COUNTIF(SSN!$G$7:$G$50,'GO TRANSPORT'!A43))+(COUNTIF('W3'!$G$7:$G$50,'GO TRANSPORT'!A43))+(COUNTIF('ATHIS MONS'!$G$7:$G$50,'GO TRANSPORT'!A43))+(COUNTIF('L HAY LES ROSES'!$G$7:$G$50,'GO TRANSPORT'!A43))+(COUNTIF(RUNGIS!$G$7:$G$50,'GO TRANSPORT'!A43))+(COUNTIF(SCEAUX!$G$7:$G$50,'GO TRANSPORT'!A43))+(COUNTIF('INSTANCE C1'!$G$7:$G$50,'GO TRANSPORT'!A43))+(COUNTIF('INSTANCE C2'!$G$7:$G$50,'GO TRANSPORT'!A43))+(COUNTIF(INTERNES!$G$7:$G$50,'GO TRANSPORT'!A43))+(COUNTIF('EN PANNE'!$G$7:$G$50,'GO TRANSPORT'!A43))+(COUNTIF(TJM!$G$7:$G$50,'GO TRANSPORT'!A43))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EXPRESS'!$G$7:$G$50,'GO TRANSPORT'!G43))+(COUNTIF('2 ZT'!$G$7:$G$50,'GO TRANSPORT'!G43))+(COUNTIF('GO TRANSPORT'!$G$7:$G$50,'GO TRANSPORT'!G43))+(COUNTIF('HMZ - KAIS'!$G$7:$G$50,'GO TRANSPORT'!G43))+(COUNTIF('IB TRANSPORT'!$G$7:$G$50,'GO TRANSPORT'!G43))+(COUNTIF(JSL!$G$7:$G$50,'GO TRANSPORT'!G43))+(COUNTIF(KIFAITOUT!$G$7:$G$50,'GO TRANSPORT'!G43))+(COUNTIF('LUXE DRIVE'!$G$7:$G$50,'GO TRANSPORT'!G43))+(COUNTIF(SSN!$G$7:$G$50,'GO TRANSPORT'!G43))+(COUNTIF('W3'!$G$7:$G$50,'GO TRANSPORT'!G43))+(COUNTIF('ATHIS MONS'!$G$7:$G$50,'GO TRANSPORT'!G43))+(COUNTIF('L HAY LES ROSES'!$G$7:$G$50,'GO TRANSPORT'!G43))+(COUNTIF(RUNGIS!$G$7:$G$50,'GO TRANSPORT'!G43))+(COUNTIF(SCEAUX!$G$7:$G$50,'GO TRANSPORT'!G43))+(COUNTIF('INSTANCE C1'!$G$7:$G$50,'GO TRANSPORT'!G43))+(COUNTIF('INSTANCE C2'!$G$7:$G$50,'GO TRANSPORT'!G43))+(COUNTIF(INTERNES!$G$7:$G$50,'GO TRANSPORT'!G43))+(COUNTIF('EN PANNE'!$G$7:$G$50,'GO TRANSPORT'!G43))+(COUNTIF(TJM!$G$7:$G$50,'GO TRANSPORT'!G43))-I43</f>
        <v>0</v>
      </c>
      <c r="I43" s="23">
        <f>(COUNTIF('2S EXPRESS'!$A$7:$A$50,'GO TRANSPORT'!G43))+(COUNTIF('2 ZT'!$A$7:$A$50,'GO TRANSPORT'!G43))+(COUNTIF('GO TRANSPORT'!$A$7:$A$50,'GO TRANSPORT'!G43))+(COUNTIF('HMZ - KAIS'!$A$7:$A$50,'GO TRANSPORT'!G43))+(COUNTIF('IB TRANSPORT'!$A$7:$A$50,'GO TRANSPORT'!G43))+(COUNTIF(JSL!$A$7:$A$50,'GO TRANSPORT'!G43))+(COUNTIF(KIFAITOUT!$A$7:$A$50,'GO TRANSPORT'!G43))+(COUNTIF('LUXE DRIVE'!$A$7:$A$50,'GO TRANSPORT'!G43))+(COUNTIF(SSN!$A$7:$A$50,'GO TRANSPORT'!G43))+(COUNTIF('W3'!$A$7:$A$50,'GO TRANSPORT'!G43))+(COUNTIF('ATHIS MONS'!$A$7:$A$50,'GO TRANSPORT'!G43))+(COUNTIF('L HAY LES ROSES'!$A$7:$A$50,'GO TRANSPORT'!G43))+(COUNTIF(RUNGIS!$A$7:$A$50,'GO TRANSPORT'!G43))+(COUNTIF(SCEAUX!$A$7:$A$50,'GO TRANSPORT'!G43))+(COUNTIF('INSTANCE C1'!$A$7:$A$50,'GO TRANSPORT'!G43))+(COUNTIF('INSTANCE C2'!$A$7:$A$50,'GO TRANSPORT'!G43))+(COUNTIF(INTERNES!$A$7:$A$50,'GO TRANSPORT'!G43))+(COUNTIF('EN PANNE'!$A$7:$A$50,'GO TRANSPORT'!G43))+(COUNTIF(TJM!$A$7:$A$50,'GO TRANSPORT'!G43))</f>
        <v>0</v>
      </c>
      <c r="J43" s="28">
        <f t="shared" si="4"/>
        <v>0</v>
      </c>
      <c r="K43" s="2"/>
      <c r="L43" s="47"/>
      <c r="Q43" s="69"/>
      <c r="S43" s="60">
        <f t="shared" si="1"/>
        <v>0</v>
      </c>
      <c r="T43" s="67">
        <f t="shared" si="2"/>
        <v>0</v>
      </c>
    </row>
    <row r="44" spans="1:20" ht="24.95" customHeight="1" x14ac:dyDescent="0.2">
      <c r="A44" s="20"/>
      <c r="B44" s="23">
        <f>(COUNTIF('2S EXPRESS'!$A$7:$A$50,'GO TRANSPORT'!A44))+(COUNTIF('2 ZT'!$A$7:$A$50,'GO TRANSPORT'!A44))+(COUNTIF('GO TRANSPORT'!$A$7:$A$50,'GO TRANSPORT'!A44))+(COUNTIF('HMZ - KAIS'!$A$7:$A$50,'GO TRANSPORT'!A44))+(COUNTIF('IB TRANSPORT'!$A$7:$A$50,'GO TRANSPORT'!A44))+(COUNTIF(JSL!$A$7:$A$50,'GO TRANSPORT'!A44))+(COUNTIF(KIFAITOUT!$A$7:$A$50,'GO TRANSPORT'!A44))+(COUNTIF('LUXE DRIVE'!$A$7:$A$50,'GO TRANSPORT'!A44))+(COUNTIF(SSN!$A$7:$A$50,'GO TRANSPORT'!A44))+(COUNTIF('W3'!$A$7:$A$50,'GO TRANSPORT'!A44))+(COUNTIF('ATHIS MONS'!$A$7:$A$50,'GO TRANSPORT'!A44))+(COUNTIF('L HAY LES ROSES'!$A$7:$A$50,'GO TRANSPORT'!A44))+(COUNTIF(RUNGIS!$A$7:$A$50,'GO TRANSPORT'!A44))+(COUNTIF(SCEAUX!$A$7:$A$50,'GO TRANSPORT'!A44))+(COUNTIF('INSTANCE C1'!$A$7:$A$50,'GO TRANSPORT'!A44))+(COUNTIF('INSTANCE C2'!$A$7:$A$50,'GO TRANSPORT'!A44))+(COUNTIF(INTERNES!$A$7:$A$50,'GO TRANSPORT'!A44))+(COUNTIF('EN PANNE'!$A$7:$A$50,'GO TRANSPORT'!A44))+(COUNTIF(TJM!$A$7:$A$50,'GO TRANSPORT'!A44))-C44</f>
        <v>0</v>
      </c>
      <c r="C44" s="23">
        <f>(COUNTIF('2S EXPRESS'!$G$7:$G$50,'GO TRANSPORT'!A44))+(COUNTIF('2 ZT'!$G$7:$G$50,'GO TRANSPORT'!A44))+(COUNTIF('GO TRANSPORT'!$G$7:$G$50,'GO TRANSPORT'!A44))+(COUNTIF('GO TRANSPORT'!$G$7:$G$50,'GO TRANSPORT'!A44))+(COUNTIF('IB TRANSPORT'!$G$7:$G$50,'GO TRANSPORT'!A44))+(COUNTIF(JSL!$G$7:$G$50,'GO TRANSPORT'!A44))+(COUNTIF(KIFAITOUT!$G$7:$G$50,'GO TRANSPORT'!A44))+(COUNTIF('LUXE DRIVE'!$G$7:$G$50,'GO TRANSPORT'!A44))+(COUNTIF(SSN!$G$7:$G$50,'GO TRANSPORT'!A44))+(COUNTIF('W3'!$G$7:$G$50,'GO TRANSPORT'!A44))+(COUNTIF('ATHIS MONS'!$G$7:$G$50,'GO TRANSPORT'!A44))+(COUNTIF('L HAY LES ROSES'!$G$7:$G$50,'GO TRANSPORT'!A44))+(COUNTIF(RUNGIS!$G$7:$G$50,'GO TRANSPORT'!A44))+(COUNTIF(SCEAUX!$G$7:$G$50,'GO TRANSPORT'!A44))+(COUNTIF('INSTANCE C1'!$G$7:$G$50,'GO TRANSPORT'!A44))+(COUNTIF('INSTANCE C2'!$G$7:$G$50,'GO TRANSPORT'!A44))+(COUNTIF(INTERNES!$G$7:$G$50,'GO TRANSPORT'!A44))+(COUNTIF('EN PANNE'!$G$7:$G$50,'GO TRANSPORT'!A44))+(COUNTIF(TJM!$G$7:$G$50,'GO TRANSPORT'!A44))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EXPRESS'!$G$7:$G$50,'GO TRANSPORT'!G44))+(COUNTIF('2 ZT'!$G$7:$G$50,'GO TRANSPORT'!G44))+(COUNTIF('GO TRANSPORT'!$G$7:$G$50,'GO TRANSPORT'!G44))+(COUNTIF('HMZ - KAIS'!$G$7:$G$50,'GO TRANSPORT'!G44))+(COUNTIF('IB TRANSPORT'!$G$7:$G$50,'GO TRANSPORT'!G44))+(COUNTIF(JSL!$G$7:$G$50,'GO TRANSPORT'!G44))+(COUNTIF(KIFAITOUT!$G$7:$G$50,'GO TRANSPORT'!G44))+(COUNTIF('LUXE DRIVE'!$G$7:$G$50,'GO TRANSPORT'!G44))+(COUNTIF(SSN!$G$7:$G$50,'GO TRANSPORT'!G44))+(COUNTIF('W3'!$G$7:$G$50,'GO TRANSPORT'!G44))+(COUNTIF('ATHIS MONS'!$G$7:$G$50,'GO TRANSPORT'!G44))+(COUNTIF('L HAY LES ROSES'!$G$7:$G$50,'GO TRANSPORT'!G44))+(COUNTIF(RUNGIS!$G$7:$G$50,'GO TRANSPORT'!G44))+(COUNTIF(SCEAUX!$G$7:$G$50,'GO TRANSPORT'!G44))+(COUNTIF('INSTANCE C1'!$G$7:$G$50,'GO TRANSPORT'!G44))+(COUNTIF('INSTANCE C2'!$G$7:$G$50,'GO TRANSPORT'!G44))+(COUNTIF(INTERNES!$G$7:$G$50,'GO TRANSPORT'!G44))+(COUNTIF('EN PANNE'!$G$7:$G$50,'GO TRANSPORT'!G44))+(COUNTIF(TJM!$G$7:$G$50,'GO TRANSPORT'!G44))-I44</f>
        <v>0</v>
      </c>
      <c r="I44" s="23">
        <f>(COUNTIF('2S EXPRESS'!$A$7:$A$50,'GO TRANSPORT'!G44))+(COUNTIF('2 ZT'!$A$7:$A$50,'GO TRANSPORT'!G44))+(COUNTIF('GO TRANSPORT'!$A$7:$A$50,'GO TRANSPORT'!G44))+(COUNTIF('HMZ - KAIS'!$A$7:$A$50,'GO TRANSPORT'!G44))+(COUNTIF('IB TRANSPORT'!$A$7:$A$50,'GO TRANSPORT'!G44))+(COUNTIF(JSL!$A$7:$A$50,'GO TRANSPORT'!G44))+(COUNTIF(KIFAITOUT!$A$7:$A$50,'GO TRANSPORT'!G44))+(COUNTIF('LUXE DRIVE'!$A$7:$A$50,'GO TRANSPORT'!G44))+(COUNTIF(SSN!$A$7:$A$50,'GO TRANSPORT'!G44))+(COUNTIF('W3'!$A$7:$A$50,'GO TRANSPORT'!G44))+(COUNTIF('ATHIS MONS'!$A$7:$A$50,'GO TRANSPORT'!G44))+(COUNTIF('L HAY LES ROSES'!$A$7:$A$50,'GO TRANSPORT'!G44))+(COUNTIF(RUNGIS!$A$7:$A$50,'GO TRANSPORT'!G44))+(COUNTIF(SCEAUX!$A$7:$A$50,'GO TRANSPORT'!G44))+(COUNTIF('INSTANCE C1'!$A$7:$A$50,'GO TRANSPORT'!G44))+(COUNTIF('INSTANCE C2'!$A$7:$A$50,'GO TRANSPORT'!G44))+(COUNTIF(INTERNES!$A$7:$A$50,'GO TRANSPORT'!G44))+(COUNTIF('EN PANNE'!$A$7:$A$50,'GO TRANSPORT'!G44))+(COUNTIF(TJM!$A$7:$A$50,'GO TRANSPORT'!G44))</f>
        <v>0</v>
      </c>
      <c r="J44" s="28">
        <f t="shared" si="4"/>
        <v>0</v>
      </c>
      <c r="K44" s="2"/>
      <c r="L44" s="47"/>
      <c r="Q44" s="69"/>
      <c r="S44" s="60">
        <f t="shared" si="1"/>
        <v>0</v>
      </c>
      <c r="T44" s="67">
        <f t="shared" si="2"/>
        <v>0</v>
      </c>
    </row>
    <row r="45" spans="1:20" ht="24.95" customHeight="1" x14ac:dyDescent="0.2">
      <c r="A45" s="20"/>
      <c r="B45" s="23">
        <f>(COUNTIF('2S EXPRESS'!$A$7:$A$50,'GO TRANSPORT'!A45))+(COUNTIF('2 ZT'!$A$7:$A$50,'GO TRANSPORT'!A45))+(COUNTIF('GO TRANSPORT'!$A$7:$A$50,'GO TRANSPORT'!A45))+(COUNTIF('HMZ - KAIS'!$A$7:$A$50,'GO TRANSPORT'!A45))+(COUNTIF('IB TRANSPORT'!$A$7:$A$50,'GO TRANSPORT'!A45))+(COUNTIF(JSL!$A$7:$A$50,'GO TRANSPORT'!A45))+(COUNTIF(KIFAITOUT!$A$7:$A$50,'GO TRANSPORT'!A45))+(COUNTIF('LUXE DRIVE'!$A$7:$A$50,'GO TRANSPORT'!A45))+(COUNTIF(SSN!$A$7:$A$50,'GO TRANSPORT'!A45))+(COUNTIF('W3'!$A$7:$A$50,'GO TRANSPORT'!A45))+(COUNTIF('ATHIS MONS'!$A$7:$A$50,'GO TRANSPORT'!A45))+(COUNTIF('L HAY LES ROSES'!$A$7:$A$50,'GO TRANSPORT'!A45))+(COUNTIF(RUNGIS!$A$7:$A$50,'GO TRANSPORT'!A45))+(COUNTIF(SCEAUX!$A$7:$A$50,'GO TRANSPORT'!A45))+(COUNTIF('INSTANCE C1'!$A$7:$A$50,'GO TRANSPORT'!A45))+(COUNTIF('INSTANCE C2'!$A$7:$A$50,'GO TRANSPORT'!A45))+(COUNTIF(INTERNES!$A$7:$A$50,'GO TRANSPORT'!A45))+(COUNTIF('EN PANNE'!$A$7:$A$50,'GO TRANSPORT'!A45))+(COUNTIF(TJM!$A$7:$A$50,'GO TRANSPORT'!A45))-C45</f>
        <v>0</v>
      </c>
      <c r="C45" s="23">
        <f>(COUNTIF('2S EXPRESS'!$G$7:$G$50,'GO TRANSPORT'!A45))+(COUNTIF('2 ZT'!$G$7:$G$50,'GO TRANSPORT'!A45))+(COUNTIF('GO TRANSPORT'!$G$7:$G$50,'GO TRANSPORT'!A45))+(COUNTIF('GO TRANSPORT'!$G$7:$G$50,'GO TRANSPORT'!A45))+(COUNTIF('IB TRANSPORT'!$G$7:$G$50,'GO TRANSPORT'!A45))+(COUNTIF(JSL!$G$7:$G$50,'GO TRANSPORT'!A45))+(COUNTIF(KIFAITOUT!$G$7:$G$50,'GO TRANSPORT'!A45))+(COUNTIF('LUXE DRIVE'!$G$7:$G$50,'GO TRANSPORT'!A45))+(COUNTIF(SSN!$G$7:$G$50,'GO TRANSPORT'!A45))+(COUNTIF('W3'!$G$7:$G$50,'GO TRANSPORT'!A45))+(COUNTIF('ATHIS MONS'!$G$7:$G$50,'GO TRANSPORT'!A45))+(COUNTIF('L HAY LES ROSES'!$G$7:$G$50,'GO TRANSPORT'!A45))+(COUNTIF(RUNGIS!$G$7:$G$50,'GO TRANSPORT'!A45))+(COUNTIF(SCEAUX!$G$7:$G$50,'GO TRANSPORT'!A45))+(COUNTIF('INSTANCE C1'!$G$7:$G$50,'GO TRANSPORT'!A45))+(COUNTIF('INSTANCE C2'!$G$7:$G$50,'GO TRANSPORT'!A45))+(COUNTIF(INTERNES!$G$7:$G$50,'GO TRANSPORT'!A45))+(COUNTIF('EN PANNE'!$G$7:$G$50,'GO TRANSPORT'!A45))+(COUNTIF(TJM!$G$7:$G$50,'GO TRANSPORT'!A45))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EXPRESS'!$G$7:$G$50,'GO TRANSPORT'!G45))+(COUNTIF('2 ZT'!$G$7:$G$50,'GO TRANSPORT'!G45))+(COUNTIF('GO TRANSPORT'!$G$7:$G$50,'GO TRANSPORT'!G45))+(COUNTIF('HMZ - KAIS'!$G$7:$G$50,'GO TRANSPORT'!G45))+(COUNTIF('IB TRANSPORT'!$G$7:$G$50,'GO TRANSPORT'!G45))+(COUNTIF(JSL!$G$7:$G$50,'GO TRANSPORT'!G45))+(COUNTIF(KIFAITOUT!$G$7:$G$50,'GO TRANSPORT'!G45))+(COUNTIF('LUXE DRIVE'!$G$7:$G$50,'GO TRANSPORT'!G45))+(COUNTIF(SSN!$G$7:$G$50,'GO TRANSPORT'!G45))+(COUNTIF('W3'!$G$7:$G$50,'GO TRANSPORT'!G45))+(COUNTIF('ATHIS MONS'!$G$7:$G$50,'GO TRANSPORT'!G45))+(COUNTIF('L HAY LES ROSES'!$G$7:$G$50,'GO TRANSPORT'!G45))+(COUNTIF(RUNGIS!$G$7:$G$50,'GO TRANSPORT'!G45))+(COUNTIF(SCEAUX!$G$7:$G$50,'GO TRANSPORT'!G45))+(COUNTIF('INSTANCE C1'!$G$7:$G$50,'GO TRANSPORT'!G45))+(COUNTIF('INSTANCE C2'!$G$7:$G$50,'GO TRANSPORT'!G45))+(COUNTIF(INTERNES!$G$7:$G$50,'GO TRANSPORT'!G45))+(COUNTIF('EN PANNE'!$G$7:$G$50,'GO TRANSPORT'!G45))+(COUNTIF(TJM!$G$7:$G$50,'GO TRANSPORT'!G45))-I45</f>
        <v>0</v>
      </c>
      <c r="I45" s="23">
        <f>(COUNTIF('2S EXPRESS'!$A$7:$A$50,'GO TRANSPORT'!G45))+(COUNTIF('2 ZT'!$A$7:$A$50,'GO TRANSPORT'!G45))+(COUNTIF('GO TRANSPORT'!$A$7:$A$50,'GO TRANSPORT'!G45))+(COUNTIF('HMZ - KAIS'!$A$7:$A$50,'GO TRANSPORT'!G45))+(COUNTIF('IB TRANSPORT'!$A$7:$A$50,'GO TRANSPORT'!G45))+(COUNTIF(JSL!$A$7:$A$50,'GO TRANSPORT'!G45))+(COUNTIF(KIFAITOUT!$A$7:$A$50,'GO TRANSPORT'!G45))+(COUNTIF('LUXE DRIVE'!$A$7:$A$50,'GO TRANSPORT'!G45))+(COUNTIF(SSN!$A$7:$A$50,'GO TRANSPORT'!G45))+(COUNTIF('W3'!$A$7:$A$50,'GO TRANSPORT'!G45))+(COUNTIF('ATHIS MONS'!$A$7:$A$50,'GO TRANSPORT'!G45))+(COUNTIF('L HAY LES ROSES'!$A$7:$A$50,'GO TRANSPORT'!G45))+(COUNTIF(RUNGIS!$A$7:$A$50,'GO TRANSPORT'!G45))+(COUNTIF(SCEAUX!$A$7:$A$50,'GO TRANSPORT'!G45))+(COUNTIF('INSTANCE C1'!$A$7:$A$50,'GO TRANSPORT'!G45))+(COUNTIF('INSTANCE C2'!$A$7:$A$50,'GO TRANSPORT'!G45))+(COUNTIF(INTERNES!$A$7:$A$50,'GO TRANSPORT'!G45))+(COUNTIF('EN PANNE'!$A$7:$A$50,'GO TRANSPORT'!G45))+(COUNTIF(TJM!$A$7:$A$50,'GO TRANSPORT'!G45))</f>
        <v>0</v>
      </c>
      <c r="J45" s="28">
        <f t="shared" si="4"/>
        <v>0</v>
      </c>
      <c r="K45" s="2"/>
      <c r="L45" s="47"/>
      <c r="Q45" s="69"/>
      <c r="S45" s="60">
        <f t="shared" si="1"/>
        <v>0</v>
      </c>
      <c r="T45" s="67">
        <f t="shared" si="2"/>
        <v>0</v>
      </c>
    </row>
    <row r="46" spans="1:20" ht="24.95" customHeight="1" x14ac:dyDescent="0.2">
      <c r="A46" s="20"/>
      <c r="B46" s="23">
        <f>(COUNTIF('2S EXPRESS'!$A$7:$A$50,'GO TRANSPORT'!A46))+(COUNTIF('2 ZT'!$A$7:$A$50,'GO TRANSPORT'!A46))+(COUNTIF('GO TRANSPORT'!$A$7:$A$50,'GO TRANSPORT'!A46))+(COUNTIF('HMZ - KAIS'!$A$7:$A$50,'GO TRANSPORT'!A46))+(COUNTIF('IB TRANSPORT'!$A$7:$A$50,'GO TRANSPORT'!A46))+(COUNTIF(JSL!$A$7:$A$50,'GO TRANSPORT'!A46))+(COUNTIF(KIFAITOUT!$A$7:$A$50,'GO TRANSPORT'!A46))+(COUNTIF('LUXE DRIVE'!$A$7:$A$50,'GO TRANSPORT'!A46))+(COUNTIF(SSN!$A$7:$A$50,'GO TRANSPORT'!A46))+(COUNTIF('W3'!$A$7:$A$50,'GO TRANSPORT'!A46))+(COUNTIF('ATHIS MONS'!$A$7:$A$50,'GO TRANSPORT'!A46))+(COUNTIF('L HAY LES ROSES'!$A$7:$A$50,'GO TRANSPORT'!A46))+(COUNTIF(RUNGIS!$A$7:$A$50,'GO TRANSPORT'!A46))+(COUNTIF(SCEAUX!$A$7:$A$50,'GO TRANSPORT'!A46))+(COUNTIF('INSTANCE C1'!$A$7:$A$50,'GO TRANSPORT'!A46))+(COUNTIF('INSTANCE C2'!$A$7:$A$50,'GO TRANSPORT'!A46))+(COUNTIF(INTERNES!$A$7:$A$50,'GO TRANSPORT'!A46))+(COUNTIF('EN PANNE'!$A$7:$A$50,'GO TRANSPORT'!A46))+(COUNTIF(TJM!$A$7:$A$50,'GO TRANSPORT'!A46))-C46</f>
        <v>0</v>
      </c>
      <c r="C46" s="23">
        <f>(COUNTIF('2S EXPRESS'!$G$7:$G$50,'GO TRANSPORT'!A46))+(COUNTIF('2 ZT'!$G$7:$G$50,'GO TRANSPORT'!A46))+(COUNTIF('GO TRANSPORT'!$G$7:$G$50,'GO TRANSPORT'!A46))+(COUNTIF('GO TRANSPORT'!$G$7:$G$50,'GO TRANSPORT'!A46))+(COUNTIF('IB TRANSPORT'!$G$7:$G$50,'GO TRANSPORT'!A46))+(COUNTIF(JSL!$G$7:$G$50,'GO TRANSPORT'!A46))+(COUNTIF(KIFAITOUT!$G$7:$G$50,'GO TRANSPORT'!A46))+(COUNTIF('LUXE DRIVE'!$G$7:$G$50,'GO TRANSPORT'!A46))+(COUNTIF(SSN!$G$7:$G$50,'GO TRANSPORT'!A46))+(COUNTIF('W3'!$G$7:$G$50,'GO TRANSPORT'!A46))+(COUNTIF('ATHIS MONS'!$G$7:$G$50,'GO TRANSPORT'!A46))+(COUNTIF('L HAY LES ROSES'!$G$7:$G$50,'GO TRANSPORT'!A46))+(COUNTIF(RUNGIS!$G$7:$G$50,'GO TRANSPORT'!A46))+(COUNTIF(SCEAUX!$G$7:$G$50,'GO TRANSPORT'!A46))+(COUNTIF('INSTANCE C1'!$G$7:$G$50,'GO TRANSPORT'!A46))+(COUNTIF('INSTANCE C2'!$G$7:$G$50,'GO TRANSPORT'!A46))+(COUNTIF(INTERNES!$G$7:$G$50,'GO TRANSPORT'!A46))+(COUNTIF('EN PANNE'!$G$7:$G$50,'GO TRANSPORT'!A46))+(COUNTIF(TJM!$G$7:$G$50,'GO TRANSPORT'!A46))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EXPRESS'!$G$7:$G$50,'GO TRANSPORT'!G46))+(COUNTIF('2 ZT'!$G$7:$G$50,'GO TRANSPORT'!G46))+(COUNTIF('GO TRANSPORT'!$G$7:$G$50,'GO TRANSPORT'!G46))+(COUNTIF('HMZ - KAIS'!$G$7:$G$50,'GO TRANSPORT'!G46))+(COUNTIF('IB TRANSPORT'!$G$7:$G$50,'GO TRANSPORT'!G46))+(COUNTIF(JSL!$G$7:$G$50,'GO TRANSPORT'!G46))+(COUNTIF(KIFAITOUT!$G$7:$G$50,'GO TRANSPORT'!G46))+(COUNTIF('LUXE DRIVE'!$G$7:$G$50,'GO TRANSPORT'!G46))+(COUNTIF(SSN!$G$7:$G$50,'GO TRANSPORT'!G46))+(COUNTIF('W3'!$G$7:$G$50,'GO TRANSPORT'!G46))+(COUNTIF('ATHIS MONS'!$G$7:$G$50,'GO TRANSPORT'!G46))+(COUNTIF('L HAY LES ROSES'!$G$7:$G$50,'GO TRANSPORT'!G46))+(COUNTIF(RUNGIS!$G$7:$G$50,'GO TRANSPORT'!G46))+(COUNTIF(SCEAUX!$G$7:$G$50,'GO TRANSPORT'!G46))+(COUNTIF('INSTANCE C1'!$G$7:$G$50,'GO TRANSPORT'!G46))+(COUNTIF('INSTANCE C2'!$G$7:$G$50,'GO TRANSPORT'!G46))+(COUNTIF(INTERNES!$G$7:$G$50,'GO TRANSPORT'!G46))+(COUNTIF('EN PANNE'!$G$7:$G$50,'GO TRANSPORT'!G46))+(COUNTIF(TJM!$G$7:$G$50,'GO TRANSPORT'!G46))-I46</f>
        <v>0</v>
      </c>
      <c r="I46" s="23">
        <f>(COUNTIF('2S EXPRESS'!$A$7:$A$50,'GO TRANSPORT'!G46))+(COUNTIF('2 ZT'!$A$7:$A$50,'GO TRANSPORT'!G46))+(COUNTIF('GO TRANSPORT'!$A$7:$A$50,'GO TRANSPORT'!G46))+(COUNTIF('HMZ - KAIS'!$A$7:$A$50,'GO TRANSPORT'!G46))+(COUNTIF('IB TRANSPORT'!$A$7:$A$50,'GO TRANSPORT'!G46))+(COUNTIF(JSL!$A$7:$A$50,'GO TRANSPORT'!G46))+(COUNTIF(KIFAITOUT!$A$7:$A$50,'GO TRANSPORT'!G46))+(COUNTIF('LUXE DRIVE'!$A$7:$A$50,'GO TRANSPORT'!G46))+(COUNTIF(SSN!$A$7:$A$50,'GO TRANSPORT'!G46))+(COUNTIF('W3'!$A$7:$A$50,'GO TRANSPORT'!G46))+(COUNTIF('ATHIS MONS'!$A$7:$A$50,'GO TRANSPORT'!G46))+(COUNTIF('L HAY LES ROSES'!$A$7:$A$50,'GO TRANSPORT'!G46))+(COUNTIF(RUNGIS!$A$7:$A$50,'GO TRANSPORT'!G46))+(COUNTIF(SCEAUX!$A$7:$A$50,'GO TRANSPORT'!G46))+(COUNTIF('INSTANCE C1'!$A$7:$A$50,'GO TRANSPORT'!G46))+(COUNTIF('INSTANCE C2'!$A$7:$A$50,'GO TRANSPORT'!G46))+(COUNTIF(INTERNES!$A$7:$A$50,'GO TRANSPORT'!G46))+(COUNTIF('EN PANNE'!$A$7:$A$50,'GO TRANSPORT'!G46))+(COUNTIF(TJM!$A$7:$A$50,'GO TRANSPORT'!G46))</f>
        <v>0</v>
      </c>
      <c r="J46" s="28">
        <f t="shared" si="4"/>
        <v>0</v>
      </c>
      <c r="K46" s="2"/>
      <c r="L46" s="47"/>
      <c r="Q46" s="69"/>
      <c r="S46" s="60">
        <f t="shared" si="1"/>
        <v>0</v>
      </c>
      <c r="T46" s="67">
        <f t="shared" si="2"/>
        <v>0</v>
      </c>
    </row>
    <row r="47" spans="1:20" ht="24.95" customHeight="1" x14ac:dyDescent="0.2">
      <c r="A47" s="20"/>
      <c r="B47" s="23">
        <f>(COUNTIF('2S EXPRESS'!$A$7:$A$50,'GO TRANSPORT'!A47))+(COUNTIF('2 ZT'!$A$7:$A$50,'GO TRANSPORT'!A47))+(COUNTIF('GO TRANSPORT'!$A$7:$A$50,'GO TRANSPORT'!A47))+(COUNTIF('HMZ - KAIS'!$A$7:$A$50,'GO TRANSPORT'!A47))+(COUNTIF('IB TRANSPORT'!$A$7:$A$50,'GO TRANSPORT'!A47))+(COUNTIF(JSL!$A$7:$A$50,'GO TRANSPORT'!A47))+(COUNTIF(KIFAITOUT!$A$7:$A$50,'GO TRANSPORT'!A47))+(COUNTIF('LUXE DRIVE'!$A$7:$A$50,'GO TRANSPORT'!A47))+(COUNTIF(SSN!$A$7:$A$50,'GO TRANSPORT'!A47))+(COUNTIF('W3'!$A$7:$A$50,'GO TRANSPORT'!A47))+(COUNTIF('ATHIS MONS'!$A$7:$A$50,'GO TRANSPORT'!A47))+(COUNTIF('L HAY LES ROSES'!$A$7:$A$50,'GO TRANSPORT'!A47))+(COUNTIF(RUNGIS!$A$7:$A$50,'GO TRANSPORT'!A47))+(COUNTIF(SCEAUX!$A$7:$A$50,'GO TRANSPORT'!A47))+(COUNTIF('INSTANCE C1'!$A$7:$A$50,'GO TRANSPORT'!A47))+(COUNTIF('INSTANCE C2'!$A$7:$A$50,'GO TRANSPORT'!A47))+(COUNTIF(INTERNES!$A$7:$A$50,'GO TRANSPORT'!A47))+(COUNTIF('EN PANNE'!$A$7:$A$50,'GO TRANSPORT'!A47))+(COUNTIF(TJM!$A$7:$A$50,'GO TRANSPORT'!A47))-C47</f>
        <v>0</v>
      </c>
      <c r="C47" s="23">
        <f>(COUNTIF('2S EXPRESS'!$G$7:$G$50,'GO TRANSPORT'!A47))+(COUNTIF('2 ZT'!$G$7:$G$50,'GO TRANSPORT'!A47))+(COUNTIF('GO TRANSPORT'!$G$7:$G$50,'GO TRANSPORT'!A47))+(COUNTIF('GO TRANSPORT'!$G$7:$G$50,'GO TRANSPORT'!A47))+(COUNTIF('IB TRANSPORT'!$G$7:$G$50,'GO TRANSPORT'!A47))+(COUNTIF(JSL!$G$7:$G$50,'GO TRANSPORT'!A47))+(COUNTIF(KIFAITOUT!$G$7:$G$50,'GO TRANSPORT'!A47))+(COUNTIF('LUXE DRIVE'!$G$7:$G$50,'GO TRANSPORT'!A47))+(COUNTIF(SSN!$G$7:$G$50,'GO TRANSPORT'!A47))+(COUNTIF('W3'!$G$7:$G$50,'GO TRANSPORT'!A47))+(COUNTIF('ATHIS MONS'!$G$7:$G$50,'GO TRANSPORT'!A47))+(COUNTIF('L HAY LES ROSES'!$G$7:$G$50,'GO TRANSPORT'!A47))+(COUNTIF(RUNGIS!$G$7:$G$50,'GO TRANSPORT'!A47))+(COUNTIF(SCEAUX!$G$7:$G$50,'GO TRANSPORT'!A47))+(COUNTIF('INSTANCE C1'!$G$7:$G$50,'GO TRANSPORT'!A47))+(COUNTIF('INSTANCE C2'!$G$7:$G$50,'GO TRANSPORT'!A47))+(COUNTIF(INTERNES!$G$7:$G$50,'GO TRANSPORT'!A47))+(COUNTIF('EN PANNE'!$G$7:$G$50,'GO TRANSPORT'!A47))+(COUNTIF(TJM!$G$7:$G$50,'GO TRANSPORT'!A47))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EXPRESS'!$G$7:$G$50,'GO TRANSPORT'!G47))+(COUNTIF('2 ZT'!$G$7:$G$50,'GO TRANSPORT'!G47))+(COUNTIF('GO TRANSPORT'!$G$7:$G$50,'GO TRANSPORT'!G47))+(COUNTIF('HMZ - KAIS'!$G$7:$G$50,'GO TRANSPORT'!G47))+(COUNTIF('IB TRANSPORT'!$G$7:$G$50,'GO TRANSPORT'!G47))+(COUNTIF(JSL!$G$7:$G$50,'GO TRANSPORT'!G47))+(COUNTIF(KIFAITOUT!$G$7:$G$50,'GO TRANSPORT'!G47))+(COUNTIF('LUXE DRIVE'!$G$7:$G$50,'GO TRANSPORT'!G47))+(COUNTIF(SSN!$G$7:$G$50,'GO TRANSPORT'!G47))+(COUNTIF('W3'!$G$7:$G$50,'GO TRANSPORT'!G47))+(COUNTIF('ATHIS MONS'!$G$7:$G$50,'GO TRANSPORT'!G47))+(COUNTIF('L HAY LES ROSES'!$G$7:$G$50,'GO TRANSPORT'!G47))+(COUNTIF(RUNGIS!$G$7:$G$50,'GO TRANSPORT'!G47))+(COUNTIF(SCEAUX!$G$7:$G$50,'GO TRANSPORT'!G47))+(COUNTIF('INSTANCE C1'!$G$7:$G$50,'GO TRANSPORT'!G47))+(COUNTIF('INSTANCE C2'!$G$7:$G$50,'GO TRANSPORT'!G47))+(COUNTIF(INTERNES!$G$7:$G$50,'GO TRANSPORT'!G47))+(COUNTIF('EN PANNE'!$G$7:$G$50,'GO TRANSPORT'!G47))+(COUNTIF(TJM!$G$7:$G$50,'GO TRANSPORT'!G47))-I47</f>
        <v>0</v>
      </c>
      <c r="I47" s="23">
        <f>(COUNTIF('2S EXPRESS'!$A$7:$A$50,'GO TRANSPORT'!G47))+(COUNTIF('2 ZT'!$A$7:$A$50,'GO TRANSPORT'!G47))+(COUNTIF('GO TRANSPORT'!$A$7:$A$50,'GO TRANSPORT'!G47))+(COUNTIF('HMZ - KAIS'!$A$7:$A$50,'GO TRANSPORT'!G47))+(COUNTIF('IB TRANSPORT'!$A$7:$A$50,'GO TRANSPORT'!G47))+(COUNTIF(JSL!$A$7:$A$50,'GO TRANSPORT'!G47))+(COUNTIF(KIFAITOUT!$A$7:$A$50,'GO TRANSPORT'!G47))+(COUNTIF('LUXE DRIVE'!$A$7:$A$50,'GO TRANSPORT'!G47))+(COUNTIF(SSN!$A$7:$A$50,'GO TRANSPORT'!G47))+(COUNTIF('W3'!$A$7:$A$50,'GO TRANSPORT'!G47))+(COUNTIF('ATHIS MONS'!$A$7:$A$50,'GO TRANSPORT'!G47))+(COUNTIF('L HAY LES ROSES'!$A$7:$A$50,'GO TRANSPORT'!G47))+(COUNTIF(RUNGIS!$A$7:$A$50,'GO TRANSPORT'!G47))+(COUNTIF(SCEAUX!$A$7:$A$50,'GO TRANSPORT'!G47))+(COUNTIF('INSTANCE C1'!$A$7:$A$50,'GO TRANSPORT'!G47))+(COUNTIF('INSTANCE C2'!$A$7:$A$50,'GO TRANSPORT'!G47))+(COUNTIF(INTERNES!$A$7:$A$50,'GO TRANSPORT'!G47))+(COUNTIF('EN PANNE'!$A$7:$A$50,'GO TRANSPORT'!G47))+(COUNTIF(TJM!$A$7:$A$50,'GO TRANSPORT'!G47))</f>
        <v>0</v>
      </c>
      <c r="J47" s="28">
        <f t="shared" si="4"/>
        <v>0</v>
      </c>
      <c r="K47" s="2"/>
      <c r="L47" s="47"/>
      <c r="Q47" s="69"/>
      <c r="S47" s="60">
        <f t="shared" si="1"/>
        <v>0</v>
      </c>
      <c r="T47" s="67">
        <f t="shared" si="2"/>
        <v>0</v>
      </c>
    </row>
    <row r="48" spans="1:20" ht="24.95" customHeight="1" x14ac:dyDescent="0.2">
      <c r="A48" s="20"/>
      <c r="B48" s="23">
        <f>(COUNTIF('2S EXPRESS'!$A$7:$A$50,'GO TRANSPORT'!A48))+(COUNTIF('2 ZT'!$A$7:$A$50,'GO TRANSPORT'!A48))+(COUNTIF('GO TRANSPORT'!$A$7:$A$50,'GO TRANSPORT'!A48))+(COUNTIF('HMZ - KAIS'!$A$7:$A$50,'GO TRANSPORT'!A48))+(COUNTIF('IB TRANSPORT'!$A$7:$A$50,'GO TRANSPORT'!A48))+(COUNTIF(JSL!$A$7:$A$50,'GO TRANSPORT'!A48))+(COUNTIF(KIFAITOUT!$A$7:$A$50,'GO TRANSPORT'!A48))+(COUNTIF('LUXE DRIVE'!$A$7:$A$50,'GO TRANSPORT'!A48))+(COUNTIF(SSN!$A$7:$A$50,'GO TRANSPORT'!A48))+(COUNTIF('W3'!$A$7:$A$50,'GO TRANSPORT'!A48))+(COUNTIF('ATHIS MONS'!$A$7:$A$50,'GO TRANSPORT'!A48))+(COUNTIF('L HAY LES ROSES'!$A$7:$A$50,'GO TRANSPORT'!A48))+(COUNTIF(RUNGIS!$A$7:$A$50,'GO TRANSPORT'!A48))+(COUNTIF(SCEAUX!$A$7:$A$50,'GO TRANSPORT'!A48))+(COUNTIF('INSTANCE C1'!$A$7:$A$50,'GO TRANSPORT'!A48))+(COUNTIF('INSTANCE C2'!$A$7:$A$50,'GO TRANSPORT'!A48))+(COUNTIF(INTERNES!$A$7:$A$50,'GO TRANSPORT'!A48))+(COUNTIF('EN PANNE'!$A$7:$A$50,'GO TRANSPORT'!A48))+(COUNTIF(TJM!$A$7:$A$50,'GO TRANSPORT'!A48))-C48</f>
        <v>0</v>
      </c>
      <c r="C48" s="23">
        <f>(COUNTIF('2S EXPRESS'!$G$7:$G$50,'GO TRANSPORT'!A48))+(COUNTIF('2 ZT'!$G$7:$G$50,'GO TRANSPORT'!A48))+(COUNTIF('GO TRANSPORT'!$G$7:$G$50,'GO TRANSPORT'!A48))+(COUNTIF('GO TRANSPORT'!$G$7:$G$50,'GO TRANSPORT'!A48))+(COUNTIF('IB TRANSPORT'!$G$7:$G$50,'GO TRANSPORT'!A48))+(COUNTIF(JSL!$G$7:$G$50,'GO TRANSPORT'!A48))+(COUNTIF(KIFAITOUT!$G$7:$G$50,'GO TRANSPORT'!A48))+(COUNTIF('LUXE DRIVE'!$G$7:$G$50,'GO TRANSPORT'!A48))+(COUNTIF(SSN!$G$7:$G$50,'GO TRANSPORT'!A48))+(COUNTIF('W3'!$G$7:$G$50,'GO TRANSPORT'!A48))+(COUNTIF('ATHIS MONS'!$G$7:$G$50,'GO TRANSPORT'!A48))+(COUNTIF('L HAY LES ROSES'!$G$7:$G$50,'GO TRANSPORT'!A48))+(COUNTIF(RUNGIS!$G$7:$G$50,'GO TRANSPORT'!A48))+(COUNTIF(SCEAUX!$G$7:$G$50,'GO TRANSPORT'!A48))+(COUNTIF('INSTANCE C1'!$G$7:$G$50,'GO TRANSPORT'!A48))+(COUNTIF('INSTANCE C2'!$G$7:$G$50,'GO TRANSPORT'!A48))+(COUNTIF(INTERNES!$G$7:$G$50,'GO TRANSPORT'!A48))+(COUNTIF('EN PANNE'!$G$7:$G$50,'GO TRANSPORT'!A48))+(COUNTIF(TJM!$G$7:$G$50,'GO TRANSPORT'!A48))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EXPRESS'!$G$7:$G$50,'GO TRANSPORT'!G48))+(COUNTIF('2 ZT'!$G$7:$G$50,'GO TRANSPORT'!G48))+(COUNTIF('GO TRANSPORT'!$G$7:$G$50,'GO TRANSPORT'!G48))+(COUNTIF('HMZ - KAIS'!$G$7:$G$50,'GO TRANSPORT'!G48))+(COUNTIF('IB TRANSPORT'!$G$7:$G$50,'GO TRANSPORT'!G48))+(COUNTIF(JSL!$G$7:$G$50,'GO TRANSPORT'!G48))+(COUNTIF(KIFAITOUT!$G$7:$G$50,'GO TRANSPORT'!G48))+(COUNTIF('LUXE DRIVE'!$G$7:$G$50,'GO TRANSPORT'!G48))+(COUNTIF(SSN!$G$7:$G$50,'GO TRANSPORT'!G48))+(COUNTIF('W3'!$G$7:$G$50,'GO TRANSPORT'!G48))+(COUNTIF('ATHIS MONS'!$G$7:$G$50,'GO TRANSPORT'!G48))+(COUNTIF('L HAY LES ROSES'!$G$7:$G$50,'GO TRANSPORT'!G48))+(COUNTIF(RUNGIS!$G$7:$G$50,'GO TRANSPORT'!G48))+(COUNTIF(SCEAUX!$G$7:$G$50,'GO TRANSPORT'!G48))+(COUNTIF('INSTANCE C1'!$G$7:$G$50,'GO TRANSPORT'!G48))+(COUNTIF('INSTANCE C2'!$G$7:$G$50,'GO TRANSPORT'!G48))+(COUNTIF(INTERNES!$G$7:$G$50,'GO TRANSPORT'!G48))+(COUNTIF('EN PANNE'!$G$7:$G$50,'GO TRANSPORT'!G48))+(COUNTIF(TJM!$G$7:$G$50,'GO TRANSPORT'!G48))-I48</f>
        <v>0</v>
      </c>
      <c r="I48" s="23">
        <f>(COUNTIF('2S EXPRESS'!$A$7:$A$50,'GO TRANSPORT'!G48))+(COUNTIF('2 ZT'!$A$7:$A$50,'GO TRANSPORT'!G48))+(COUNTIF('GO TRANSPORT'!$A$7:$A$50,'GO TRANSPORT'!G48))+(COUNTIF('HMZ - KAIS'!$A$7:$A$50,'GO TRANSPORT'!G48))+(COUNTIF('IB TRANSPORT'!$A$7:$A$50,'GO TRANSPORT'!G48))+(COUNTIF(JSL!$A$7:$A$50,'GO TRANSPORT'!G48))+(COUNTIF(KIFAITOUT!$A$7:$A$50,'GO TRANSPORT'!G48))+(COUNTIF('LUXE DRIVE'!$A$7:$A$50,'GO TRANSPORT'!G48))+(COUNTIF(SSN!$A$7:$A$50,'GO TRANSPORT'!G48))+(COUNTIF('W3'!$A$7:$A$50,'GO TRANSPORT'!G48))+(COUNTIF('ATHIS MONS'!$A$7:$A$50,'GO TRANSPORT'!G48))+(COUNTIF('L HAY LES ROSES'!$A$7:$A$50,'GO TRANSPORT'!G48))+(COUNTIF(RUNGIS!$A$7:$A$50,'GO TRANSPORT'!G48))+(COUNTIF(SCEAUX!$A$7:$A$50,'GO TRANSPORT'!G48))+(COUNTIF('INSTANCE C1'!$A$7:$A$50,'GO TRANSPORT'!G48))+(COUNTIF('INSTANCE C2'!$A$7:$A$50,'GO TRANSPORT'!G48))+(COUNTIF(INTERNES!$A$7:$A$50,'GO TRANSPORT'!G48))+(COUNTIF('EN PANNE'!$A$7:$A$50,'GO TRANSPORT'!G48))+(COUNTIF(TJM!$A$7:$A$50,'GO TRANSPORT'!G48))</f>
        <v>0</v>
      </c>
      <c r="J48" s="28">
        <f t="shared" si="4"/>
        <v>0</v>
      </c>
      <c r="K48" s="2"/>
      <c r="L48" s="47"/>
      <c r="Q48" s="69"/>
      <c r="S48" s="60">
        <f t="shared" si="1"/>
        <v>0</v>
      </c>
      <c r="T48" s="67">
        <f t="shared" si="2"/>
        <v>0</v>
      </c>
    </row>
    <row r="49" spans="1:26" ht="24.95" customHeight="1" x14ac:dyDescent="0.2">
      <c r="A49" s="20"/>
      <c r="B49" s="23">
        <f>(COUNTIF('2S EXPRESS'!$A$7:$A$50,'GO TRANSPORT'!A49))+(COUNTIF('2 ZT'!$A$7:$A$50,'GO TRANSPORT'!A49))+(COUNTIF('GO TRANSPORT'!$A$7:$A$50,'GO TRANSPORT'!A49))+(COUNTIF('HMZ - KAIS'!$A$7:$A$50,'GO TRANSPORT'!A49))+(COUNTIF('IB TRANSPORT'!$A$7:$A$50,'GO TRANSPORT'!A49))+(COUNTIF(JSL!$A$7:$A$50,'GO TRANSPORT'!A49))+(COUNTIF(KIFAITOUT!$A$7:$A$50,'GO TRANSPORT'!A49))+(COUNTIF('LUXE DRIVE'!$A$7:$A$50,'GO TRANSPORT'!A49))+(COUNTIF(SSN!$A$7:$A$50,'GO TRANSPORT'!A49))+(COUNTIF('W3'!$A$7:$A$50,'GO TRANSPORT'!A49))+(COUNTIF('ATHIS MONS'!$A$7:$A$50,'GO TRANSPORT'!A49))+(COUNTIF('L HAY LES ROSES'!$A$7:$A$50,'GO TRANSPORT'!A49))+(COUNTIF(RUNGIS!$A$7:$A$50,'GO TRANSPORT'!A49))+(COUNTIF(SCEAUX!$A$7:$A$50,'GO TRANSPORT'!A49))+(COUNTIF('INSTANCE C1'!$A$7:$A$50,'GO TRANSPORT'!A49))+(COUNTIF('INSTANCE C2'!$A$7:$A$50,'GO TRANSPORT'!A49))+(COUNTIF(INTERNES!$A$7:$A$50,'GO TRANSPORT'!A49))+(COUNTIF('EN PANNE'!$A$7:$A$50,'GO TRANSPORT'!A49))+(COUNTIF(TJM!$A$7:$A$50,'GO TRANSPORT'!A49))-C49</f>
        <v>0</v>
      </c>
      <c r="C49" s="23">
        <f>(COUNTIF('2S EXPRESS'!$G$7:$G$50,'GO TRANSPORT'!A49))+(COUNTIF('2 ZT'!$G$7:$G$50,'GO TRANSPORT'!A49))+(COUNTIF('GO TRANSPORT'!$G$7:$G$50,'GO TRANSPORT'!A49))+(COUNTIF('GO TRANSPORT'!$G$7:$G$50,'GO TRANSPORT'!A49))+(COUNTIF('IB TRANSPORT'!$G$7:$G$50,'GO TRANSPORT'!A49))+(COUNTIF(JSL!$G$7:$G$50,'GO TRANSPORT'!A49))+(COUNTIF(KIFAITOUT!$G$7:$G$50,'GO TRANSPORT'!A49))+(COUNTIF('LUXE DRIVE'!$G$7:$G$50,'GO TRANSPORT'!A49))+(COUNTIF(SSN!$G$7:$G$50,'GO TRANSPORT'!A49))+(COUNTIF('W3'!$G$7:$G$50,'GO TRANSPORT'!A49))+(COUNTIF('ATHIS MONS'!$G$7:$G$50,'GO TRANSPORT'!A49))+(COUNTIF('L HAY LES ROSES'!$G$7:$G$50,'GO TRANSPORT'!A49))+(COUNTIF(RUNGIS!$G$7:$G$50,'GO TRANSPORT'!A49))+(COUNTIF(SCEAUX!$G$7:$G$50,'GO TRANSPORT'!A49))+(COUNTIF('INSTANCE C1'!$G$7:$G$50,'GO TRANSPORT'!A49))+(COUNTIF('INSTANCE C2'!$G$7:$G$50,'GO TRANSPORT'!A49))+(COUNTIF(INTERNES!$G$7:$G$50,'GO TRANSPORT'!A49))+(COUNTIF('EN PANNE'!$G$7:$G$50,'GO TRANSPORT'!A49))+(COUNTIF(TJM!$G$7:$G$50,'GO TRANSPORT'!A49))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EXPRESS'!$G$7:$G$50,'GO TRANSPORT'!G49))+(COUNTIF('2 ZT'!$G$7:$G$50,'GO TRANSPORT'!G49))+(COUNTIF('GO TRANSPORT'!$G$7:$G$50,'GO TRANSPORT'!G49))+(COUNTIF('HMZ - KAIS'!$G$7:$G$50,'GO TRANSPORT'!G49))+(COUNTIF('IB TRANSPORT'!$G$7:$G$50,'GO TRANSPORT'!G49))+(COUNTIF(JSL!$G$7:$G$50,'GO TRANSPORT'!G49))+(COUNTIF(KIFAITOUT!$G$7:$G$50,'GO TRANSPORT'!G49))+(COUNTIF('LUXE DRIVE'!$G$7:$G$50,'GO TRANSPORT'!G49))+(COUNTIF(SSN!$G$7:$G$50,'GO TRANSPORT'!G49))+(COUNTIF('W3'!$G$7:$G$50,'GO TRANSPORT'!G49))+(COUNTIF('ATHIS MONS'!$G$7:$G$50,'GO TRANSPORT'!G49))+(COUNTIF('L HAY LES ROSES'!$G$7:$G$50,'GO TRANSPORT'!G49))+(COUNTIF(RUNGIS!$G$7:$G$50,'GO TRANSPORT'!G49))+(COUNTIF(SCEAUX!$G$7:$G$50,'GO TRANSPORT'!G49))+(COUNTIF('INSTANCE C1'!$G$7:$G$50,'GO TRANSPORT'!G49))+(COUNTIF('INSTANCE C2'!$G$7:$G$50,'GO TRANSPORT'!G49))+(COUNTIF(INTERNES!$G$7:$G$50,'GO TRANSPORT'!G49))+(COUNTIF('EN PANNE'!$G$7:$G$50,'GO TRANSPORT'!G49))+(COUNTIF(TJM!$G$7:$G$50,'GO TRANSPORT'!G49))-I49</f>
        <v>0</v>
      </c>
      <c r="I49" s="23">
        <f>(COUNTIF('2S EXPRESS'!$A$7:$A$50,'GO TRANSPORT'!G49))+(COUNTIF('2 ZT'!$A$7:$A$50,'GO TRANSPORT'!G49))+(COUNTIF('GO TRANSPORT'!$A$7:$A$50,'GO TRANSPORT'!G49))+(COUNTIF('HMZ - KAIS'!$A$7:$A$50,'GO TRANSPORT'!G49))+(COUNTIF('IB TRANSPORT'!$A$7:$A$50,'GO TRANSPORT'!G49))+(COUNTIF(JSL!$A$7:$A$50,'GO TRANSPORT'!G49))+(COUNTIF(KIFAITOUT!$A$7:$A$50,'GO TRANSPORT'!G49))+(COUNTIF('LUXE DRIVE'!$A$7:$A$50,'GO TRANSPORT'!G49))+(COUNTIF(SSN!$A$7:$A$50,'GO TRANSPORT'!G49))+(COUNTIF('W3'!$A$7:$A$50,'GO TRANSPORT'!G49))+(COUNTIF('ATHIS MONS'!$A$7:$A$50,'GO TRANSPORT'!G49))+(COUNTIF('L HAY LES ROSES'!$A$7:$A$50,'GO TRANSPORT'!G49))+(COUNTIF(RUNGIS!$A$7:$A$50,'GO TRANSPORT'!G49))+(COUNTIF(SCEAUX!$A$7:$A$50,'GO TRANSPORT'!G49))+(COUNTIF('INSTANCE C1'!$A$7:$A$50,'GO TRANSPORT'!G49))+(COUNTIF('INSTANCE C2'!$A$7:$A$50,'GO TRANSPORT'!G49))+(COUNTIF(INTERNES!$A$7:$A$50,'GO TRANSPORT'!G49))+(COUNTIF('EN PANNE'!$A$7:$A$50,'GO TRANSPORT'!G49))+(COUNTIF(TJM!$A$7:$A$50,'GO TRANSPORT'!G49))</f>
        <v>0</v>
      </c>
      <c r="J49" s="28">
        <f t="shared" si="4"/>
        <v>0</v>
      </c>
      <c r="K49" s="2"/>
      <c r="L49" s="47"/>
      <c r="Q49" s="69"/>
      <c r="S49" s="60">
        <f t="shared" si="1"/>
        <v>0</v>
      </c>
      <c r="T49" s="67">
        <f t="shared" si="2"/>
        <v>0</v>
      </c>
    </row>
    <row r="50" spans="1:26" ht="24.95" customHeight="1" thickBot="1" x14ac:dyDescent="0.25">
      <c r="A50" s="21"/>
      <c r="B50" s="25">
        <f>(COUNTIF('2S EXPRESS'!$A$7:$A$50,'GO TRANSPORT'!A50))+(COUNTIF('2 ZT'!$A$7:$A$50,'GO TRANSPORT'!A50))+(COUNTIF('GO TRANSPORT'!$A$7:$A$50,'GO TRANSPORT'!A50))+(COUNTIF('HMZ - KAIS'!$A$7:$A$50,'GO TRANSPORT'!A50))+(COUNTIF('IB TRANSPORT'!$A$7:$A$50,'GO TRANSPORT'!A50))+(COUNTIF(JSL!$A$7:$A$50,'GO TRANSPORT'!A50))+(COUNTIF(KIFAITOUT!$A$7:$A$50,'GO TRANSPORT'!A50))+(COUNTIF('LUXE DRIVE'!$A$7:$A$50,'GO TRANSPORT'!A50))+(COUNTIF(SSN!$A$7:$A$50,'GO TRANSPORT'!A50))+(COUNTIF('W3'!$A$7:$A$50,'GO TRANSPORT'!A50))+(COUNTIF('ATHIS MONS'!$A$7:$A$50,'GO TRANSPORT'!A50))+(COUNTIF('L HAY LES ROSES'!$A$7:$A$50,'GO TRANSPORT'!A50))+(COUNTIF(RUNGIS!$A$7:$A$50,'GO TRANSPORT'!A50))+(COUNTIF(SCEAUX!$A$7:$A$50,'GO TRANSPORT'!A50))+(COUNTIF('INSTANCE C1'!$A$7:$A$50,'GO TRANSPORT'!A50))+(COUNTIF('INSTANCE C2'!$A$7:$A$50,'GO TRANSPORT'!A50))+(COUNTIF(INTERNES!$A$7:$A$50,'GO TRANSPORT'!A50))+(COUNTIF('EN PANNE'!$A$7:$A$50,'GO TRANSPORT'!A50))+(COUNTIF(TJM!$A$7:$A$50,'GO TRANSPORT'!A50))-C50</f>
        <v>0</v>
      </c>
      <c r="C50" s="23">
        <f>(COUNTIF('2S EXPRESS'!$G$7:$G$50,'GO TRANSPORT'!A50))+(COUNTIF('2 ZT'!$G$7:$G$50,'GO TRANSPORT'!A50))+(COUNTIF('GO TRANSPORT'!$G$7:$G$50,'GO TRANSPORT'!A50))+(COUNTIF('GO TRANSPORT'!$G$7:$G$50,'GO TRANSPORT'!A50))+(COUNTIF('IB TRANSPORT'!$G$7:$G$50,'GO TRANSPORT'!A50))+(COUNTIF(JSL!$G$7:$G$50,'GO TRANSPORT'!A50))+(COUNTIF(KIFAITOUT!$G$7:$G$50,'GO TRANSPORT'!A50))+(COUNTIF('LUXE DRIVE'!$G$7:$G$50,'GO TRANSPORT'!A50))+(COUNTIF(SSN!$G$7:$G$50,'GO TRANSPORT'!A50))+(COUNTIF('W3'!$G$7:$G$50,'GO TRANSPORT'!A50))+(COUNTIF('ATHIS MONS'!$G$7:$G$50,'GO TRANSPORT'!A50))+(COUNTIF('L HAY LES ROSES'!$G$7:$G$50,'GO TRANSPORT'!A50))+(COUNTIF(RUNGIS!$G$7:$G$50,'GO TRANSPORT'!A50))+(COUNTIF(SCEAUX!$G$7:$G$50,'GO TRANSPORT'!A50))+(COUNTIF('INSTANCE C1'!$G$7:$G$50,'GO TRANSPORT'!A50))+(COUNTIF('INSTANCE C2'!$G$7:$G$50,'GO TRANSPORT'!A50))+(COUNTIF(INTERNES!$G$7:$G$50,'GO TRANSPORT'!A50))+(COUNTIF('EN PANNE'!$G$7:$G$50,'GO TRANSPORT'!A50))+(COUNTIF(TJM!$G$7:$G$50,'GO TRANSPORT'!A50))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EXPRESS'!$G$7:$G$50,'GO TRANSPORT'!G50))+(COUNTIF('2 ZT'!$G$7:$G$50,'GO TRANSPORT'!G50))+(COUNTIF('GO TRANSPORT'!$G$7:$G$50,'GO TRANSPORT'!G50))+(COUNTIF('HMZ - KAIS'!$G$7:$G$50,'GO TRANSPORT'!G50))+(COUNTIF('IB TRANSPORT'!$G$7:$G$50,'GO TRANSPORT'!G50))+(COUNTIF(JSL!$G$7:$G$50,'GO TRANSPORT'!G50))+(COUNTIF(KIFAITOUT!$G$7:$G$50,'GO TRANSPORT'!G50))+(COUNTIF('LUXE DRIVE'!$G$7:$G$50,'GO TRANSPORT'!G50))+(COUNTIF(SSN!$G$7:$G$50,'GO TRANSPORT'!G50))+(COUNTIF('W3'!$G$7:$G$50,'GO TRANSPORT'!G50))+(COUNTIF('ATHIS MONS'!$G$7:$G$50,'GO TRANSPORT'!G50))+(COUNTIF('L HAY LES ROSES'!$G$7:$G$50,'GO TRANSPORT'!G50))+(COUNTIF(RUNGIS!$G$7:$G$50,'GO TRANSPORT'!G50))+(COUNTIF(SCEAUX!$G$7:$G$50,'GO TRANSPORT'!G50))+(COUNTIF('INSTANCE C1'!$G$7:$G$50,'GO TRANSPORT'!G50))+(COUNTIF('INSTANCE C2'!$G$7:$G$50,'GO TRANSPORT'!G50))+(COUNTIF(INTERNES!$G$7:$G$50,'GO TRANSPORT'!G50))+(COUNTIF('EN PANNE'!$G$7:$G$50,'GO TRANSPORT'!G50))+(COUNTIF(TJM!$G$7:$G$50,'GO TRANSPORT'!G50))-I50</f>
        <v>0</v>
      </c>
      <c r="I50" s="23">
        <f>(COUNTIF('2S EXPRESS'!$A$7:$A$50,'GO TRANSPORT'!G50))+(COUNTIF('2 ZT'!$A$7:$A$50,'GO TRANSPORT'!G50))+(COUNTIF('GO TRANSPORT'!$A$7:$A$50,'GO TRANSPORT'!G50))+(COUNTIF('HMZ - KAIS'!$A$7:$A$50,'GO TRANSPORT'!G50))+(COUNTIF('IB TRANSPORT'!$A$7:$A$50,'GO TRANSPORT'!G50))+(COUNTIF(JSL!$A$7:$A$50,'GO TRANSPORT'!G50))+(COUNTIF(KIFAITOUT!$A$7:$A$50,'GO TRANSPORT'!G50))+(COUNTIF('LUXE DRIVE'!$A$7:$A$50,'GO TRANSPORT'!G50))+(COUNTIF(SSN!$A$7:$A$50,'GO TRANSPORT'!G50))+(COUNTIF('W3'!$A$7:$A$50,'GO TRANSPORT'!G50))+(COUNTIF('ATHIS MONS'!$A$7:$A$50,'GO TRANSPORT'!G50))+(COUNTIF('L HAY LES ROSES'!$A$7:$A$50,'GO TRANSPORT'!G50))+(COUNTIF(RUNGIS!$A$7:$A$50,'GO TRANSPORT'!G50))+(COUNTIF(SCEAUX!$A$7:$A$50,'GO TRANSPORT'!G50))+(COUNTIF('INSTANCE C1'!$A$7:$A$50,'GO TRANSPORT'!G50))+(COUNTIF('INSTANCE C2'!$A$7:$A$50,'GO TRANSPORT'!G50))+(COUNTIF(INTERNES!$A$7:$A$50,'GO TRANSPORT'!G50))+(COUNTIF('EN PANNE'!$A$7:$A$50,'GO TRANSPORT'!G50))+(COUNTIF(TJM!$A$7:$A$50,'GO TRANSPORT'!G50))</f>
        <v>0</v>
      </c>
      <c r="J50" s="29">
        <f t="shared" si="4"/>
        <v>0</v>
      </c>
      <c r="K50" s="3"/>
      <c r="L50" s="47"/>
      <c r="Q50" s="69"/>
      <c r="S50" s="60">
        <f t="shared" si="1"/>
        <v>0</v>
      </c>
      <c r="T50" s="67">
        <f t="shared" si="2"/>
        <v>0</v>
      </c>
    </row>
    <row r="51" spans="1:26" x14ac:dyDescent="0.2">
      <c r="A51" s="9"/>
      <c r="B51" s="9"/>
      <c r="C51" s="9"/>
      <c r="D51" s="9"/>
      <c r="E51" s="9"/>
      <c r="F51" s="9"/>
      <c r="G51" s="9"/>
      <c r="H51" s="9"/>
      <c r="J51" s="9"/>
      <c r="K51" s="9"/>
      <c r="L51" s="9"/>
      <c r="Q51" s="69"/>
      <c r="S51" s="50"/>
    </row>
    <row r="52" spans="1:26" x14ac:dyDescent="0.2">
      <c r="A52" s="9"/>
      <c r="B52" s="9"/>
      <c r="C52" s="9"/>
      <c r="D52" s="9"/>
      <c r="E52" s="9"/>
      <c r="F52" s="9"/>
      <c r="G52" s="9"/>
      <c r="H52" s="9"/>
      <c r="J52" s="9"/>
      <c r="K52" s="9"/>
      <c r="L52" s="9"/>
      <c r="Q52" s="69"/>
      <c r="S52" s="50"/>
    </row>
    <row r="53" spans="1:26" s="9" customFormat="1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  <c r="Q53" s="69"/>
      <c r="R53" s="56"/>
      <c r="S53" s="56"/>
      <c r="T53" s="56"/>
      <c r="U53" s="56"/>
      <c r="V53" s="56"/>
      <c r="W53" s="56"/>
      <c r="X53" s="56"/>
      <c r="Y53" s="56"/>
      <c r="Z53" s="56"/>
    </row>
    <row r="54" spans="1:26" x14ac:dyDescent="0.2">
      <c r="Q54" s="69"/>
    </row>
    <row r="55" spans="1:26" x14ac:dyDescent="0.2">
      <c r="Q55" s="69"/>
    </row>
    <row r="56" spans="1:26" x14ac:dyDescent="0.2">
      <c r="Q56" s="69"/>
    </row>
    <row r="57" spans="1:26" x14ac:dyDescent="0.2">
      <c r="Q57" s="69"/>
    </row>
    <row r="58" spans="1:26" ht="18" x14ac:dyDescent="0.2">
      <c r="M58" s="215"/>
      <c r="N58" s="215"/>
      <c r="O58" s="215"/>
      <c r="P58" s="215"/>
      <c r="R58" s="65"/>
    </row>
    <row r="59" spans="1:26" ht="18" x14ac:dyDescent="0.2">
      <c r="M59" s="215"/>
      <c r="N59" s="215"/>
      <c r="O59" s="215"/>
      <c r="P59" s="215"/>
      <c r="R59" s="65"/>
    </row>
    <row r="60" spans="1:26" ht="18" x14ac:dyDescent="0.2">
      <c r="M60" s="215"/>
      <c r="N60" s="215"/>
      <c r="O60" s="215"/>
      <c r="P60" s="215"/>
      <c r="R60" s="65"/>
    </row>
    <row r="61" spans="1:26" ht="18" x14ac:dyDescent="0.2">
      <c r="M61" s="215"/>
      <c r="N61" s="215"/>
      <c r="O61" s="215"/>
      <c r="P61" s="215"/>
      <c r="R61" s="65"/>
    </row>
    <row r="62" spans="1:26" ht="18" x14ac:dyDescent="0.2">
      <c r="M62" s="215"/>
      <c r="N62" s="215"/>
      <c r="O62" s="215"/>
      <c r="P62" s="215"/>
      <c r="R62" s="65"/>
    </row>
    <row r="63" spans="1:26" ht="18" x14ac:dyDescent="0.2">
      <c r="M63" s="215"/>
      <c r="N63" s="215"/>
      <c r="O63" s="215"/>
      <c r="P63" s="215"/>
      <c r="R63" s="65"/>
    </row>
    <row r="64" spans="1:26" ht="18" x14ac:dyDescent="0.2">
      <c r="M64" s="215"/>
      <c r="N64" s="215"/>
      <c r="O64" s="215"/>
      <c r="P64" s="215"/>
      <c r="R64" s="65"/>
    </row>
    <row r="65" spans="13:18" ht="18" x14ac:dyDescent="0.2">
      <c r="M65" s="215"/>
      <c r="N65" s="215"/>
      <c r="O65" s="215"/>
      <c r="P65" s="215"/>
      <c r="R65" s="65"/>
    </row>
    <row r="66" spans="13:18" ht="18" x14ac:dyDescent="0.2">
      <c r="M66" s="215"/>
      <c r="N66" s="215"/>
      <c r="O66" s="215"/>
      <c r="P66" s="215"/>
      <c r="R66" s="65"/>
    </row>
    <row r="67" spans="13:18" ht="18" x14ac:dyDescent="0.2">
      <c r="M67" s="215"/>
      <c r="N67" s="215"/>
      <c r="O67" s="215"/>
      <c r="P67" s="215"/>
      <c r="R67" s="65"/>
    </row>
    <row r="68" spans="13:18" ht="18" x14ac:dyDescent="0.2">
      <c r="M68" s="215"/>
      <c r="N68" s="215"/>
      <c r="O68" s="215"/>
      <c r="P68" s="215"/>
      <c r="R68" s="65"/>
    </row>
    <row r="69" spans="13:18" ht="18" x14ac:dyDescent="0.2">
      <c r="M69" s="215"/>
      <c r="N69" s="215"/>
      <c r="O69" s="215"/>
      <c r="P69" s="215"/>
      <c r="R69" s="65"/>
    </row>
    <row r="70" spans="13:18" ht="18" x14ac:dyDescent="0.2">
      <c r="M70" s="215"/>
      <c r="N70" s="215"/>
      <c r="O70" s="215"/>
      <c r="P70" s="215"/>
      <c r="R70" s="65"/>
    </row>
    <row r="71" spans="13:18" ht="18" x14ac:dyDescent="0.2">
      <c r="M71" s="215"/>
      <c r="N71" s="215"/>
      <c r="O71" s="215"/>
      <c r="P71" s="215"/>
      <c r="R71" s="65"/>
    </row>
  </sheetData>
  <mergeCells count="27">
    <mergeCell ref="M58:P58"/>
    <mergeCell ref="M12:P12"/>
    <mergeCell ref="G2:K3"/>
    <mergeCell ref="A4:E4"/>
    <mergeCell ref="G4:K4"/>
    <mergeCell ref="B2:E3"/>
    <mergeCell ref="G5:G6"/>
    <mergeCell ref="K5:K6"/>
    <mergeCell ref="M8:P8"/>
    <mergeCell ref="M9:P9"/>
    <mergeCell ref="M11:P11"/>
    <mergeCell ref="E5:E6"/>
    <mergeCell ref="F5:F6"/>
    <mergeCell ref="A5:A6"/>
    <mergeCell ref="M59:P59"/>
    <mergeCell ref="M60:P60"/>
    <mergeCell ref="M61:P61"/>
    <mergeCell ref="M62:P62"/>
    <mergeCell ref="M63:P63"/>
    <mergeCell ref="M69:P69"/>
    <mergeCell ref="M70:P70"/>
    <mergeCell ref="M71:P71"/>
    <mergeCell ref="M64:P64"/>
    <mergeCell ref="M65:P65"/>
    <mergeCell ref="M66:P66"/>
    <mergeCell ref="M67:P67"/>
    <mergeCell ref="M68:P68"/>
  </mergeCells>
  <conditionalFormatting sqref="F7:F50">
    <cfRule type="cellIs" dxfId="172" priority="11" operator="equal">
      <formula>1</formula>
    </cfRule>
  </conditionalFormatting>
  <conditionalFormatting sqref="A7:A20 A22:A50">
    <cfRule type="duplicateValues" dxfId="171" priority="9"/>
  </conditionalFormatting>
  <conditionalFormatting sqref="L7:L50 M58:M71 S7:S50">
    <cfRule type="cellIs" dxfId="170" priority="8" operator="greaterThan">
      <formula>0</formula>
    </cfRule>
  </conditionalFormatting>
  <conditionalFormatting sqref="D7">
    <cfRule type="cellIs" dxfId="169" priority="7" operator="greaterThan">
      <formula>0</formula>
    </cfRule>
  </conditionalFormatting>
  <conditionalFormatting sqref="D8:D50">
    <cfRule type="cellIs" dxfId="168" priority="6" operator="greaterThan">
      <formula>0</formula>
    </cfRule>
  </conditionalFormatting>
  <conditionalFormatting sqref="G7:G50">
    <cfRule type="duplicateValues" dxfId="167" priority="5"/>
  </conditionalFormatting>
  <conditionalFormatting sqref="J7">
    <cfRule type="cellIs" dxfId="166" priority="4" operator="greaterThan">
      <formula>0</formula>
    </cfRule>
  </conditionalFormatting>
  <conditionalFormatting sqref="J8:J50">
    <cfRule type="cellIs" dxfId="165" priority="3" operator="greaterThan">
      <formula>0</formula>
    </cfRule>
  </conditionalFormatting>
  <conditionalFormatting sqref="A21">
    <cfRule type="duplicateValues" dxfId="164" priority="2"/>
  </conditionalFormatting>
  <dataValidations count="1">
    <dataValidation type="list" allowBlank="1" showInputMessage="1" showErrorMessage="1" sqref="K7:K50 E7:E50" xr:uid="{4807512E-BC97-4DAC-9BC5-D588E2C6B146}">
      <formula1>$Q$9:$Q$17</formula1>
    </dataValidation>
  </dataValidations>
  <pageMargins left="0.25" right="0.25" top="0.75" bottom="0.75" header="0.3" footer="0.3"/>
  <pageSetup paperSize="9" scale="88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6BB0F3EA-C541-4362-8D56-33BA47966753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>
    <tabColor rgb="FF92D050"/>
    <pageSetUpPr fitToPage="1"/>
  </sheetPr>
  <dimension ref="A1:Z95"/>
  <sheetViews>
    <sheetView showGridLines="0" zoomScaleNormal="100" workbookViewId="0">
      <selection activeCell="K10" sqref="K10"/>
    </sheetView>
  </sheetViews>
  <sheetFormatPr baseColWidth="10" defaultColWidth="11.42578125" defaultRowHeight="12.75" x14ac:dyDescent="0.2"/>
  <cols>
    <col min="1" max="1" width="25.7109375" style="9" customWidth="1"/>
    <col min="2" max="3" width="10.7109375" style="9" hidden="1" customWidth="1"/>
    <col min="4" max="4" width="7.7109375" style="9" customWidth="1"/>
    <col min="5" max="5" width="50.7109375" style="9" customWidth="1"/>
    <col min="6" max="6" width="13.7109375" style="9" customWidth="1"/>
    <col min="7" max="7" width="25.7109375" style="9" customWidth="1"/>
    <col min="8" max="9" width="10.7109375" style="9" hidden="1" customWidth="1"/>
    <col min="10" max="10" width="7.7109375" style="9" customWidth="1"/>
    <col min="11" max="11" width="50.7109375" style="9" customWidth="1"/>
    <col min="12" max="16" width="7.7109375" style="9" customWidth="1"/>
    <col min="17" max="17" width="22.7109375" style="9" hidden="1" customWidth="1"/>
    <col min="18" max="20" width="11.42578125" style="56" hidden="1" customWidth="1"/>
    <col min="21" max="21" width="20.140625" style="56" customWidth="1"/>
    <col min="22" max="26" width="11.42578125" style="56"/>
    <col min="27" max="16384" width="11.42578125" style="9"/>
  </cols>
  <sheetData>
    <row r="1" spans="1:26" ht="13.5" thickBot="1" x14ac:dyDescent="0.25">
      <c r="A1" s="33"/>
      <c r="B1" s="35"/>
      <c r="C1" s="35"/>
      <c r="D1" s="35"/>
      <c r="E1" s="10"/>
      <c r="F1" s="34"/>
      <c r="I1" s="10"/>
    </row>
    <row r="2" spans="1:26" s="39" customFormat="1" ht="18.95" customHeight="1" x14ac:dyDescent="0.2">
      <c r="A2" s="36"/>
      <c r="B2" s="194" t="s">
        <v>36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1"/>
      <c r="S2" s="71"/>
      <c r="T2" s="71"/>
      <c r="U2" s="71"/>
      <c r="V2" s="71"/>
      <c r="W2" s="71"/>
      <c r="X2" s="71"/>
      <c r="Y2" s="71"/>
      <c r="Z2" s="71"/>
    </row>
    <row r="3" spans="1:26" s="39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1"/>
      <c r="S3" s="71"/>
      <c r="T3" s="71"/>
      <c r="U3" s="71"/>
      <c r="V3" s="71"/>
      <c r="W3" s="71"/>
      <c r="X3" s="71"/>
      <c r="Y3" s="71"/>
      <c r="Z3" s="71"/>
    </row>
    <row r="4" spans="1:26" s="39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1"/>
      <c r="T4" s="71"/>
      <c r="U4" s="71"/>
      <c r="V4" s="71"/>
      <c r="W4" s="71"/>
      <c r="X4" s="71"/>
      <c r="Y4" s="71"/>
      <c r="Z4" s="71"/>
    </row>
    <row r="5" spans="1:26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  <c r="U5" s="50"/>
    </row>
    <row r="6" spans="1:26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  <c r="U6" s="50"/>
    </row>
    <row r="7" spans="1:26" ht="24.95" customHeight="1" thickBot="1" x14ac:dyDescent="0.25">
      <c r="A7" s="19"/>
      <c r="B7" s="23">
        <f>(COUNTIF('2S EXPRESS'!$A$7:$A$50,'HMZ - KAIS'!A7))+(COUNTIF('2 ZT'!$A$7:$A$50,'HMZ - KAIS'!A7))+(COUNTIF('GO TRANSPORT'!$A$7:$A$50,'HMZ - KAIS'!A7))+(COUNTIF('HMZ - KAIS'!$A$7:$A$50,'HMZ - KAIS'!A7))+(COUNTIF('IB TRANSPORT'!$A$7:$A$50,'HMZ - KAIS'!A7))+(COUNTIF(JSL!$A$7:$A$50,'HMZ - KAIS'!A7))+(COUNTIF(KIFAITOUT!$A$7:$A$50,'HMZ - KAIS'!A7))+(COUNTIF('LUXE DRIVE'!$A$7:$A$50,'HMZ - KAIS'!A7))+(COUNTIF(SSN!$A$7:$A$50,'HMZ - KAIS'!A7))+(COUNTIF('W3'!$A$7:$A$50,'HMZ - KAIS'!A7))+(COUNTIF('ATHIS MONS'!$A$7:$A$50,'HMZ - KAIS'!A7))+(COUNTIF('L HAY LES ROSES'!$A$7:$A$50,'HMZ - KAIS'!A7))+(COUNTIF(RUNGIS!$A$7:$A$50,'HMZ - KAIS'!A7))+(COUNTIF(SCEAUX!$A$7:$A$50,'HMZ - KAIS'!A7))+(COUNTIF('INSTANCE C1'!$A$7:$A$50,'HMZ - KAIS'!A7))+(COUNTIF('INSTANCE C2'!$A$7:$A$50,'HMZ - KAIS'!A7))+(COUNTIF(INTERNES!$A$7:$A$50,'HMZ - KAIS'!A7))+(COUNTIF('EN PANNE'!$A$7:$A$50,'HMZ - KAIS'!A7))+(COUNTIF(TJM!$A$7:$A$50,'HMZ - KAIS'!A7))-C7</f>
        <v>0</v>
      </c>
      <c r="C7" s="23">
        <f>(COUNTIF('2S EXPRESS'!$G$7:$G$50,'HMZ - KAIS'!A7))+(COUNTIF('2 ZT'!$G$7:$G$50,'HMZ - KAIS'!A7))+(COUNTIF('GO TRANSPORT'!$G$7:$G$50,'HMZ - KAIS'!A7))+(COUNTIF('HMZ - KAIS'!$G$7:$G$50,'HMZ - KAIS'!A7))+(COUNTIF('IB TRANSPORT'!$G$7:$G$50,'HMZ - KAIS'!A7))+(COUNTIF(JSL!$G$7:$G$50,'HMZ - KAIS'!A7))+(COUNTIF(KIFAITOUT!$G$7:$G$50,'HMZ - KAIS'!A7))+(COUNTIF('LUXE DRIVE'!$G$7:$G$50,'HMZ - KAIS'!A7))+(COUNTIF(SSN!$G$7:$G$50,'HMZ - KAIS'!A7))+(COUNTIF('W3'!$G$7:$G$50,'HMZ - KAIS'!A7))+(COUNTIF('ATHIS MONS'!$G$7:$G$50,'HMZ - KAIS'!A7))+(COUNTIF('L HAY LES ROSES'!$G$7:$G$50,'HMZ - KAIS'!A7))+(COUNTIF(RUNGIS!$G$7:$G$50,'HMZ - KAIS'!A7))+(COUNTIF(SCEAUX!$G$7:$G$50,'HMZ - KAIS'!A7))+(COUNTIF('INSTANCE C1'!$G$7:$G$50,'HMZ - KAIS'!A7))+(COUNTIF('INSTANCE C2'!$G$7:$G$50,'HMZ - KAIS'!A7))+(COUNTIF(INTERNES!$G$7:$G$50,'HMZ - KAIS'!A7))+(COUNTIF('EN PANNE'!$G$7:$G$50,'HMZ - KAIS'!A7))+(COUNTIF(TJM!$G$7:$G$50,'HMZ - KAIS'!A7))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EXPRESS'!$G$7:$G$50,'HMZ - KAIS'!G7))+(COUNTIF('2 ZT'!$G$7:$G$50,'HMZ - KAIS'!G7))+(COUNTIF('GO TRANSPORT'!$G$7:$G$50,'HMZ - KAIS'!G7))+(COUNTIF('HMZ - KAIS'!$G$7:$G$50,'HMZ - KAIS'!G7))+(COUNTIF('IB TRANSPORT'!$G$7:$G$50,'HMZ - KAIS'!G7))+(COUNTIF(JSL!$G$7:$G$50,'HMZ - KAIS'!G7))+(COUNTIF(KIFAITOUT!$G$7:$G$50,'HMZ - KAIS'!G7))+(COUNTIF('LUXE DRIVE'!$G$7:$G$50,'HMZ - KAIS'!G7))+(COUNTIF(SSN!$G$7:$G$50,'HMZ - KAIS'!G7))+(COUNTIF('W3'!$G$7:$G$50,'HMZ - KAIS'!G7))+(COUNTIF('ATHIS MONS'!$G$7:$G$50,'HMZ - KAIS'!G7))+(COUNTIF('L HAY LES ROSES'!$G$7:$G$50,'HMZ - KAIS'!G7))+(COUNTIF(RUNGIS!$G$7:$G$50,'HMZ - KAIS'!G7))+(COUNTIF(SCEAUX!$G$7:$G$50,'HMZ - KAIS'!G7))+(COUNTIF('INSTANCE C1'!$G$7:$G$50,'HMZ - KAIS'!G7))+(COUNTIF('INSTANCE C2'!$G$7:$G$50,'HMZ - KAIS'!G7))+(COUNTIF(INTERNES!$G$7:$G$50,'HMZ - KAIS'!G7))+(COUNTIF('EN PANNE'!$G$7:$G$50,'HMZ - KAIS'!G7))+(COUNTIF(TJM!$G$7:$G$50,'HMZ - KAIS'!G7))-I7</f>
        <v>0</v>
      </c>
      <c r="I7" s="22">
        <f>(COUNTIF('2S EXPRESS'!$A$7:$A$50,'HMZ - KAIS'!G7))+(COUNTIF('2 ZT'!$A$7:$A$50,'HMZ - KAIS'!G7))+(COUNTIF('GO TRANSPORT'!$A$7:$A$50,'HMZ - KAIS'!G7))+(COUNTIF('HMZ - KAIS'!$A$7:$A$50,'HMZ - KAIS'!G7))+(COUNTIF('IB TRANSPORT'!$A$7:$A$50,'HMZ - KAIS'!G7))+(COUNTIF(JSL!$A$7:$A$50,'HMZ - KAIS'!G7))+(COUNTIF(KIFAITOUT!$A$7:$A$50,'HMZ - KAIS'!G7))+(COUNTIF('LUXE DRIVE'!$A$7:$A$50,'HMZ - KAIS'!G7))+(COUNTIF(SSN!$A$7:$A$50,'HMZ - KAIS'!G7))+(COUNTIF('W3'!$A$7:$A$50,'HMZ - KAIS'!G7))+(COUNTIF('ATHIS MONS'!$A$7:$A$50,'HMZ - KAIS'!G7))+(COUNTIF('L HAY LES ROSES'!$A$7:$A$50,'HMZ - KAIS'!G7))+(COUNTIF(RUNGIS!$A$7:$A$50,'HMZ - KAIS'!G7))+(COUNTIF(SCEAUX!$A$7:$A$50,'HMZ - KAIS'!G7))+(COUNTIF('INSTANCE C1'!$A$7:$A$50,'HMZ - KAIS'!G7))+(COUNTIF('INSTANCE C2'!$A$7:$A$50,'HMZ - KAIS'!G7))+(COUNTIF(INTERNES!$A$7:$A$50,'HMZ - KAIS'!G7))+(COUNTIF('EN PANNE'!$A$7:$A$50,'HMZ - KAIS'!G7))+(COUNTIF(TJM!$A$7:$A$50,'HMZ - KAIS'!G7))</f>
        <v>0</v>
      </c>
      <c r="J7" s="27">
        <f>IF(H7&gt;=2,1,0)</f>
        <v>0</v>
      </c>
      <c r="K7" s="1"/>
      <c r="L7" s="47"/>
      <c r="M7" s="48"/>
      <c r="O7" s="48"/>
      <c r="P7" s="48"/>
      <c r="Q7" s="48"/>
      <c r="R7" s="50"/>
      <c r="S7" s="60">
        <f t="shared" ref="S7:S50" si="1">COUNTIF($G$7:$G$50,$A7)</f>
        <v>0</v>
      </c>
      <c r="T7" s="67">
        <f t="shared" ref="T7:T50" si="2">IF($S7=1,"",$A7)</f>
        <v>0</v>
      </c>
      <c r="U7" s="50"/>
    </row>
    <row r="8" spans="1:26" ht="24.95" customHeight="1" thickBot="1" x14ac:dyDescent="0.25">
      <c r="A8" s="20"/>
      <c r="B8" s="23">
        <f>(COUNTIF('2S EXPRESS'!$A$7:$A$50,'HMZ - KAIS'!A8))+(COUNTIF('2 ZT'!$A$7:$A$50,'HMZ - KAIS'!A8))+(COUNTIF('GO TRANSPORT'!$A$7:$A$50,'HMZ - KAIS'!A8))+(COUNTIF('HMZ - KAIS'!$A$7:$A$50,'HMZ - KAIS'!A8))+(COUNTIF('IB TRANSPORT'!$A$7:$A$50,'HMZ - KAIS'!A8))+(COUNTIF(JSL!$A$7:$A$50,'HMZ - KAIS'!A8))+(COUNTIF(KIFAITOUT!$A$7:$A$50,'HMZ - KAIS'!A8))+(COUNTIF('LUXE DRIVE'!$A$7:$A$50,'HMZ - KAIS'!A8))+(COUNTIF(SSN!$A$7:$A$50,'HMZ - KAIS'!A8))+(COUNTIF('W3'!$A$7:$A$50,'HMZ - KAIS'!A8))+(COUNTIF('ATHIS MONS'!$A$7:$A$50,'HMZ - KAIS'!A8))+(COUNTIF('L HAY LES ROSES'!$A$7:$A$50,'HMZ - KAIS'!A8))+(COUNTIF(RUNGIS!$A$7:$A$50,'HMZ - KAIS'!A8))+(COUNTIF(SCEAUX!$A$7:$A$50,'HMZ - KAIS'!A8))+(COUNTIF('INSTANCE C1'!$A$7:$A$50,'HMZ - KAIS'!A8))+(COUNTIF('INSTANCE C2'!$A$7:$A$50,'HMZ - KAIS'!A8))+(COUNTIF(INTERNES!$A$7:$A$50,'HMZ - KAIS'!A8))+(COUNTIF('EN PANNE'!$A$7:$A$50,'HMZ - KAIS'!A8))+(COUNTIF(TJM!$A$7:$A$50,'HMZ - KAIS'!A8))-C8</f>
        <v>0</v>
      </c>
      <c r="C8" s="23">
        <f>(COUNTIF('2S EXPRESS'!$G$7:$G$50,'HMZ - KAIS'!A8))+(COUNTIF('2 ZT'!$G$7:$G$50,'HMZ - KAIS'!A8))+(COUNTIF('GO TRANSPORT'!$G$7:$G$50,'HMZ - KAIS'!A8))+(COUNTIF('HMZ - KAIS'!$G$7:$G$50,'HMZ - KAIS'!A8))+(COUNTIF('IB TRANSPORT'!$G$7:$G$50,'HMZ - KAIS'!A8))+(COUNTIF(JSL!$G$7:$G$50,'HMZ - KAIS'!A8))+(COUNTIF(KIFAITOUT!$G$7:$G$50,'HMZ - KAIS'!A8))+(COUNTIF('LUXE DRIVE'!$G$7:$G$50,'HMZ - KAIS'!A8))+(COUNTIF(SSN!$G$7:$G$50,'HMZ - KAIS'!A8))+(COUNTIF('W3'!$G$7:$G$50,'HMZ - KAIS'!A8))+(COUNTIF('ATHIS MONS'!$G$7:$G$50,'HMZ - KAIS'!A8))+(COUNTIF('L HAY LES ROSES'!$G$7:$G$50,'HMZ - KAIS'!A8))+(COUNTIF(RUNGIS!$G$7:$G$50,'HMZ - KAIS'!A8))+(COUNTIF(SCEAUX!$G$7:$G$50,'HMZ - KAIS'!A8))+(COUNTIF('INSTANCE C1'!$G$7:$G$50,'HMZ - KAIS'!A8))+(COUNTIF('INSTANCE C2'!$G$7:$G$50,'HMZ - KAIS'!A8))+(COUNTIF(INTERNES!$G$7:$G$50,'HMZ - KAIS'!A8))+(COUNTIF('EN PANNE'!$G$7:$G$50,'HMZ - KAIS'!A8))+(COUNTIF(TJM!$G$7:$G$50,'HMZ - KAIS'!A8))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EXPRESS'!$G$7:$G$50,'HMZ - KAIS'!G8))+(COUNTIF('2 ZT'!$G$7:$G$50,'HMZ - KAIS'!G8))+(COUNTIF('GO TRANSPORT'!$G$7:$G$50,'HMZ - KAIS'!G8))+(COUNTIF('HMZ - KAIS'!$G$7:$G$50,'HMZ - KAIS'!G8))+(COUNTIF('IB TRANSPORT'!$G$7:$G$50,'HMZ - KAIS'!G8))+(COUNTIF(JSL!$G$7:$G$50,'HMZ - KAIS'!G8))+(COUNTIF(KIFAITOUT!$G$7:$G$50,'HMZ - KAIS'!G8))+(COUNTIF('LUXE DRIVE'!$G$7:$G$50,'HMZ - KAIS'!G8))+(COUNTIF(SSN!$G$7:$G$50,'HMZ - KAIS'!G8))+(COUNTIF('W3'!$G$7:$G$50,'HMZ - KAIS'!G8))+(COUNTIF('ATHIS MONS'!$G$7:$G$50,'HMZ - KAIS'!G8))+(COUNTIF('L HAY LES ROSES'!$G$7:$G$50,'HMZ - KAIS'!G8))+(COUNTIF(RUNGIS!$G$7:$G$50,'HMZ - KAIS'!G8))+(COUNTIF(SCEAUX!$G$7:$G$50,'HMZ - KAIS'!G8))+(COUNTIF('INSTANCE C1'!$G$7:$G$50,'HMZ - KAIS'!G8))+(COUNTIF('INSTANCE C2'!$G$7:$G$50,'HMZ - KAIS'!G8))+(COUNTIF(INTERNES!$G$7:$G$50,'HMZ - KAIS'!G8))+(COUNTIF('EN PANNE'!$G$7:$G$50,'HMZ - KAIS'!G8))+(COUNTIF(TJM!$G$7:$G$50,'HMZ - KAIS'!G8))-I8</f>
        <v>0</v>
      </c>
      <c r="I8" s="23">
        <f>(COUNTIF('2S EXPRESS'!$A$7:$A$50,'HMZ - KAIS'!G8))+(COUNTIF('2 ZT'!$A$7:$A$50,'HMZ - KAIS'!G8))+(COUNTIF('GO TRANSPORT'!$A$7:$A$50,'HMZ - KAIS'!G8))+(COUNTIF('HMZ - KAIS'!$A$7:$A$50,'HMZ - KAIS'!G8))+(COUNTIF('IB TRANSPORT'!$A$7:$A$50,'HMZ - KAIS'!G8))+(COUNTIF(JSL!$A$7:$A$50,'HMZ - KAIS'!G8))+(COUNTIF(KIFAITOUT!$A$7:$A$50,'HMZ - KAIS'!G8))+(COUNTIF('LUXE DRIVE'!$A$7:$A$50,'HMZ - KAIS'!G8))+(COUNTIF(SSN!$A$7:$A$50,'HMZ - KAIS'!G8))+(COUNTIF('W3'!$A$7:$A$50,'HMZ - KAIS'!G8))+(COUNTIF('ATHIS MONS'!$A$7:$A$50,'HMZ - KAIS'!G8))+(COUNTIF('L HAY LES ROSES'!$A$7:$A$50,'HMZ - KAIS'!G8))+(COUNTIF(RUNGIS!$A$7:$A$50,'HMZ - KAIS'!G8))+(COUNTIF(SCEAUX!$A$7:$A$50,'HMZ - KAIS'!G8))+(COUNTIF('INSTANCE C1'!$A$7:$A$50,'HMZ - KAIS'!G8))+(COUNTIF('INSTANCE C2'!$A$7:$A$50,'HMZ - KAIS'!G8))+(COUNTIF(INTERNES!$A$7:$A$50,'HMZ - KAIS'!G8))+(COUNTIF('EN PANNE'!$A$7:$A$50,'HMZ - KAIS'!G8))+(COUNTIF(TJM!$A$7:$A$50,'HMZ - KAIS'!G8))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50"/>
      <c r="S8" s="60">
        <f t="shared" si="1"/>
        <v>0</v>
      </c>
      <c r="T8" s="67">
        <f t="shared" si="2"/>
        <v>0</v>
      </c>
      <c r="U8" s="50"/>
    </row>
    <row r="9" spans="1:26" ht="24.95" customHeight="1" thickBot="1" x14ac:dyDescent="0.25">
      <c r="A9" s="20"/>
      <c r="B9" s="23">
        <f>(COUNTIF('2S EXPRESS'!$A$7:$A$50,'HMZ - KAIS'!A9))+(COUNTIF('2 ZT'!$A$7:$A$50,'HMZ - KAIS'!A9))+(COUNTIF('GO TRANSPORT'!$A$7:$A$50,'HMZ - KAIS'!A9))+(COUNTIF('HMZ - KAIS'!$A$7:$A$50,'HMZ - KAIS'!A9))+(COUNTIF('IB TRANSPORT'!$A$7:$A$50,'HMZ - KAIS'!A9))+(COUNTIF(JSL!$A$7:$A$50,'HMZ - KAIS'!A9))+(COUNTIF(KIFAITOUT!$A$7:$A$50,'HMZ - KAIS'!A9))+(COUNTIF('LUXE DRIVE'!$A$7:$A$50,'HMZ - KAIS'!A9))+(COUNTIF(SSN!$A$7:$A$50,'HMZ - KAIS'!A9))+(COUNTIF('W3'!$A$7:$A$50,'HMZ - KAIS'!A9))+(COUNTIF('ATHIS MONS'!$A$7:$A$50,'HMZ - KAIS'!A9))+(COUNTIF('L HAY LES ROSES'!$A$7:$A$50,'HMZ - KAIS'!A9))+(COUNTIF(RUNGIS!$A$7:$A$50,'HMZ - KAIS'!A9))+(COUNTIF(SCEAUX!$A$7:$A$50,'HMZ - KAIS'!A9))+(COUNTIF('INSTANCE C1'!$A$7:$A$50,'HMZ - KAIS'!A9))+(COUNTIF('INSTANCE C2'!$A$7:$A$50,'HMZ - KAIS'!A9))+(COUNTIF(INTERNES!$A$7:$A$50,'HMZ - KAIS'!A9))+(COUNTIF('EN PANNE'!$A$7:$A$50,'HMZ - KAIS'!A9))+(COUNTIF(TJM!$A$7:$A$50,'HMZ - KAIS'!A9))-C9</f>
        <v>0</v>
      </c>
      <c r="C9" s="23">
        <f>(COUNTIF('2S EXPRESS'!$G$7:$G$50,'HMZ - KAIS'!A9))+(COUNTIF('2 ZT'!$G$7:$G$50,'HMZ - KAIS'!A9))+(COUNTIF('GO TRANSPORT'!$G$7:$G$50,'HMZ - KAIS'!A9))+(COUNTIF('HMZ - KAIS'!$G$7:$G$50,'HMZ - KAIS'!A9))+(COUNTIF('IB TRANSPORT'!$G$7:$G$50,'HMZ - KAIS'!A9))+(COUNTIF(JSL!$G$7:$G$50,'HMZ - KAIS'!A9))+(COUNTIF(KIFAITOUT!$G$7:$G$50,'HMZ - KAIS'!A9))+(COUNTIF('LUXE DRIVE'!$G$7:$G$50,'HMZ - KAIS'!A9))+(COUNTIF(SSN!$G$7:$G$50,'HMZ - KAIS'!A9))+(COUNTIF('W3'!$G$7:$G$50,'HMZ - KAIS'!A9))+(COUNTIF('ATHIS MONS'!$G$7:$G$50,'HMZ - KAIS'!A9))+(COUNTIF('L HAY LES ROSES'!$G$7:$G$50,'HMZ - KAIS'!A9))+(COUNTIF(RUNGIS!$G$7:$G$50,'HMZ - KAIS'!A9))+(COUNTIF(SCEAUX!$G$7:$G$50,'HMZ - KAIS'!A9))+(COUNTIF('INSTANCE C1'!$G$7:$G$50,'HMZ - KAIS'!A9))+(COUNTIF('INSTANCE C2'!$G$7:$G$50,'HMZ - KAIS'!A9))+(COUNTIF(INTERNES!$G$7:$G$50,'HMZ - KAIS'!A9))+(COUNTIF('EN PANNE'!$G$7:$G$50,'HMZ - KAIS'!A9))+(COUNTIF(TJM!$G$7:$G$50,'HMZ - KAIS'!A9))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EXPRESS'!$G$7:$G$50,'HMZ - KAIS'!G9))+(COUNTIF('2 ZT'!$G$7:$G$50,'HMZ - KAIS'!G9))+(COUNTIF('GO TRANSPORT'!$G$7:$G$50,'HMZ - KAIS'!G9))+(COUNTIF('HMZ - KAIS'!$G$7:$G$50,'HMZ - KAIS'!G9))+(COUNTIF('IB TRANSPORT'!$G$7:$G$50,'HMZ - KAIS'!G9))+(COUNTIF(JSL!$G$7:$G$50,'HMZ - KAIS'!G9))+(COUNTIF(KIFAITOUT!$G$7:$G$50,'HMZ - KAIS'!G9))+(COUNTIF('LUXE DRIVE'!$G$7:$G$50,'HMZ - KAIS'!G9))+(COUNTIF(SSN!$G$7:$G$50,'HMZ - KAIS'!G9))+(COUNTIF('W3'!$G$7:$G$50,'HMZ - KAIS'!G9))+(COUNTIF('ATHIS MONS'!$G$7:$G$50,'HMZ - KAIS'!G9))+(COUNTIF('L HAY LES ROSES'!$G$7:$G$50,'HMZ - KAIS'!G9))+(COUNTIF(RUNGIS!$G$7:$G$50,'HMZ - KAIS'!G9))+(COUNTIF(SCEAUX!$G$7:$G$50,'HMZ - KAIS'!G9))+(COUNTIF('INSTANCE C1'!$G$7:$G$50,'HMZ - KAIS'!G9))+(COUNTIF('INSTANCE C2'!$G$7:$G$50,'HMZ - KAIS'!G9))+(COUNTIF(INTERNES!$G$7:$G$50,'HMZ - KAIS'!G9))+(COUNTIF('EN PANNE'!$G$7:$G$50,'HMZ - KAIS'!G9))+(COUNTIF(TJM!$G$7:$G$50,'HMZ - KAIS'!G9))-I9</f>
        <v>0</v>
      </c>
      <c r="I9" s="23">
        <f>(COUNTIF('2S EXPRESS'!$A$7:$A$50,'HMZ - KAIS'!G9))+(COUNTIF('2 ZT'!$A$7:$A$50,'HMZ - KAIS'!G9))+(COUNTIF('GO TRANSPORT'!$A$7:$A$50,'HMZ - KAIS'!G9))+(COUNTIF('HMZ - KAIS'!$A$7:$A$50,'HMZ - KAIS'!G9))+(COUNTIF('IB TRANSPORT'!$A$7:$A$50,'HMZ - KAIS'!G9))+(COUNTIF(JSL!$A$7:$A$50,'HMZ - KAIS'!G9))+(COUNTIF(KIFAITOUT!$A$7:$A$50,'HMZ - KAIS'!G9))+(COUNTIF('LUXE DRIVE'!$A$7:$A$50,'HMZ - KAIS'!G9))+(COUNTIF(SSN!$A$7:$A$50,'HMZ - KAIS'!G9))+(COUNTIF('W3'!$A$7:$A$50,'HMZ - KAIS'!G9))+(COUNTIF('ATHIS MONS'!$A$7:$A$50,'HMZ - KAIS'!G9))+(COUNTIF('L HAY LES ROSES'!$A$7:$A$50,'HMZ - KAIS'!G9))+(COUNTIF(RUNGIS!$A$7:$A$50,'HMZ - KAIS'!G9))+(COUNTIF(SCEAUX!$A$7:$A$50,'HMZ - KAIS'!G9))+(COUNTIF('INSTANCE C1'!$A$7:$A$50,'HMZ - KAIS'!G9))+(COUNTIF('INSTANCE C2'!$A$7:$A$50,'HMZ - KAIS'!G9))+(COUNTIF(INTERNES!$A$7:$A$50,'HMZ - KAIS'!G9))+(COUNTIF('EN PANNE'!$A$7:$A$50,'HMZ - KAIS'!G9))+(COUNTIF(TJM!$A$7:$A$50,'HMZ - KAIS'!G9))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50"/>
      <c r="S9" s="60">
        <f t="shared" si="1"/>
        <v>0</v>
      </c>
      <c r="T9" s="67">
        <f t="shared" si="2"/>
        <v>0</v>
      </c>
      <c r="U9" s="50"/>
    </row>
    <row r="10" spans="1:26" ht="24.95" customHeight="1" thickBot="1" x14ac:dyDescent="0.25">
      <c r="A10" s="20"/>
      <c r="B10" s="23">
        <f>(COUNTIF('2S EXPRESS'!$A$7:$A$50,'HMZ - KAIS'!A10))+(COUNTIF('2 ZT'!$A$7:$A$50,'HMZ - KAIS'!A10))+(COUNTIF('GO TRANSPORT'!$A$7:$A$50,'HMZ - KAIS'!A10))+(COUNTIF('HMZ - KAIS'!$A$7:$A$50,'HMZ - KAIS'!A10))+(COUNTIF('IB TRANSPORT'!$A$7:$A$50,'HMZ - KAIS'!A10))+(COUNTIF(JSL!$A$7:$A$50,'HMZ - KAIS'!A10))+(COUNTIF(KIFAITOUT!$A$7:$A$50,'HMZ - KAIS'!A10))+(COUNTIF('LUXE DRIVE'!$A$7:$A$50,'HMZ - KAIS'!A10))+(COUNTIF(SSN!$A$7:$A$50,'HMZ - KAIS'!A10))+(COUNTIF('W3'!$A$7:$A$50,'HMZ - KAIS'!A10))+(COUNTIF('ATHIS MONS'!$A$7:$A$50,'HMZ - KAIS'!A10))+(COUNTIF('L HAY LES ROSES'!$A$7:$A$50,'HMZ - KAIS'!A10))+(COUNTIF(RUNGIS!$A$7:$A$50,'HMZ - KAIS'!A10))+(COUNTIF(SCEAUX!$A$7:$A$50,'HMZ - KAIS'!A10))+(COUNTIF('INSTANCE C1'!$A$7:$A$50,'HMZ - KAIS'!A10))+(COUNTIF('INSTANCE C2'!$A$7:$A$50,'HMZ - KAIS'!A10))+(COUNTIF(INTERNES!$A$7:$A$50,'HMZ - KAIS'!A10))+(COUNTIF('EN PANNE'!$A$7:$A$50,'HMZ - KAIS'!A10))+(COUNTIF(TJM!$A$7:$A$50,'HMZ - KAIS'!A10))-C10</f>
        <v>0</v>
      </c>
      <c r="C10" s="23">
        <f>(COUNTIF('2S EXPRESS'!$G$7:$G$50,'HMZ - KAIS'!A10))+(COUNTIF('2 ZT'!$G$7:$G$50,'HMZ - KAIS'!A10))+(COUNTIF('GO TRANSPORT'!$G$7:$G$50,'HMZ - KAIS'!A10))+(COUNTIF('HMZ - KAIS'!$G$7:$G$50,'HMZ - KAIS'!A10))+(COUNTIF('IB TRANSPORT'!$G$7:$G$50,'HMZ - KAIS'!A10))+(COUNTIF(JSL!$G$7:$G$50,'HMZ - KAIS'!A10))+(COUNTIF(KIFAITOUT!$G$7:$G$50,'HMZ - KAIS'!A10))+(COUNTIF('LUXE DRIVE'!$G$7:$G$50,'HMZ - KAIS'!A10))+(COUNTIF(SSN!$G$7:$G$50,'HMZ - KAIS'!A10))+(COUNTIF('W3'!$G$7:$G$50,'HMZ - KAIS'!A10))+(COUNTIF('ATHIS MONS'!$G$7:$G$50,'HMZ - KAIS'!A10))+(COUNTIF('L HAY LES ROSES'!$G$7:$G$50,'HMZ - KAIS'!A10))+(COUNTIF(RUNGIS!$G$7:$G$50,'HMZ - KAIS'!A10))+(COUNTIF(SCEAUX!$G$7:$G$50,'HMZ - KAIS'!A10))+(COUNTIF('INSTANCE C1'!$G$7:$G$50,'HMZ - KAIS'!A10))+(COUNTIF('INSTANCE C2'!$G$7:$G$50,'HMZ - KAIS'!A10))+(COUNTIF(INTERNES!$G$7:$G$50,'HMZ - KAIS'!A10))+(COUNTIF('EN PANNE'!$G$7:$G$50,'HMZ - KAIS'!A10))+(COUNTIF(TJM!$G$7:$G$50,'HMZ - KAIS'!A10))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EXPRESS'!$G$7:$G$50,'HMZ - KAIS'!G10))+(COUNTIF('2 ZT'!$G$7:$G$50,'HMZ - KAIS'!G10))+(COUNTIF('GO TRANSPORT'!$G$7:$G$50,'HMZ - KAIS'!G10))+(COUNTIF('HMZ - KAIS'!$G$7:$G$50,'HMZ - KAIS'!G10))+(COUNTIF('IB TRANSPORT'!$G$7:$G$50,'HMZ - KAIS'!G10))+(COUNTIF(JSL!$G$7:$G$50,'HMZ - KAIS'!G10))+(COUNTIF(KIFAITOUT!$G$7:$G$50,'HMZ - KAIS'!G10))+(COUNTIF('LUXE DRIVE'!$G$7:$G$50,'HMZ - KAIS'!G10))+(COUNTIF(SSN!$G$7:$G$50,'HMZ - KAIS'!G10))+(COUNTIF('W3'!$G$7:$G$50,'HMZ - KAIS'!G10))+(COUNTIF('ATHIS MONS'!$G$7:$G$50,'HMZ - KAIS'!G10))+(COUNTIF('L HAY LES ROSES'!$G$7:$G$50,'HMZ - KAIS'!G10))+(COUNTIF(RUNGIS!$G$7:$G$50,'HMZ - KAIS'!G10))+(COUNTIF(SCEAUX!$G$7:$G$50,'HMZ - KAIS'!G10))+(COUNTIF('INSTANCE C1'!$G$7:$G$50,'HMZ - KAIS'!G10))+(COUNTIF('INSTANCE C2'!$G$7:$G$50,'HMZ - KAIS'!G10))+(COUNTIF(INTERNES!$G$7:$G$50,'HMZ - KAIS'!G10))+(COUNTIF('EN PANNE'!$G$7:$G$50,'HMZ - KAIS'!G10))+(COUNTIF(TJM!$G$7:$G$50,'HMZ - KAIS'!G10))-I10</f>
        <v>0</v>
      </c>
      <c r="I10" s="23">
        <f>(COUNTIF('2S EXPRESS'!$A$7:$A$50,'HMZ - KAIS'!G10))+(COUNTIF('2 ZT'!$A$7:$A$50,'HMZ - KAIS'!G10))+(COUNTIF('GO TRANSPORT'!$A$7:$A$50,'HMZ - KAIS'!G10))+(COUNTIF('HMZ - KAIS'!$A$7:$A$50,'HMZ - KAIS'!G10))+(COUNTIF('IB TRANSPORT'!$A$7:$A$50,'HMZ - KAIS'!G10))+(COUNTIF(JSL!$A$7:$A$50,'HMZ - KAIS'!G10))+(COUNTIF(KIFAITOUT!$A$7:$A$50,'HMZ - KAIS'!G10))+(COUNTIF('LUXE DRIVE'!$A$7:$A$50,'HMZ - KAIS'!G10))+(COUNTIF(SSN!$A$7:$A$50,'HMZ - KAIS'!G10))+(COUNTIF('W3'!$A$7:$A$50,'HMZ - KAIS'!G10))+(COUNTIF('ATHIS MONS'!$A$7:$A$50,'HMZ - KAIS'!G10))+(COUNTIF('L HAY LES ROSES'!$A$7:$A$50,'HMZ - KAIS'!G10))+(COUNTIF(RUNGIS!$A$7:$A$50,'HMZ - KAIS'!G10))+(COUNTIF(SCEAUX!$A$7:$A$50,'HMZ - KAIS'!G10))+(COUNTIF('INSTANCE C1'!$A$7:$A$50,'HMZ - KAIS'!G10))+(COUNTIF('INSTANCE C2'!$A$7:$A$50,'HMZ - KAIS'!G10))+(COUNTIF(INTERNES!$A$7:$A$50,'HMZ - KAIS'!G10))+(COUNTIF('EN PANNE'!$A$7:$A$50,'HMZ - KAIS'!G10))+(COUNTIF(TJM!$A$7:$A$50,'HMZ - KAIS'!G10))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R10" s="50"/>
      <c r="S10" s="60">
        <f t="shared" si="1"/>
        <v>0</v>
      </c>
      <c r="T10" s="67">
        <f t="shared" si="2"/>
        <v>0</v>
      </c>
      <c r="U10" s="50"/>
    </row>
    <row r="11" spans="1:26" ht="24.95" customHeight="1" thickBot="1" x14ac:dyDescent="0.25">
      <c r="A11" s="20"/>
      <c r="B11" s="23">
        <f>(COUNTIF('2S EXPRESS'!$A$7:$A$50,'HMZ - KAIS'!A11))+(COUNTIF('2 ZT'!$A$7:$A$50,'HMZ - KAIS'!A11))+(COUNTIF('GO TRANSPORT'!$A$7:$A$50,'HMZ - KAIS'!A11))+(COUNTIF('HMZ - KAIS'!$A$7:$A$50,'HMZ - KAIS'!A11))+(COUNTIF('IB TRANSPORT'!$A$7:$A$50,'HMZ - KAIS'!A11))+(COUNTIF(JSL!$A$7:$A$50,'HMZ - KAIS'!A11))+(COUNTIF(KIFAITOUT!$A$7:$A$50,'HMZ - KAIS'!A11))+(COUNTIF('LUXE DRIVE'!$A$7:$A$50,'HMZ - KAIS'!A11))+(COUNTIF(SSN!$A$7:$A$50,'HMZ - KAIS'!A11))+(COUNTIF('W3'!$A$7:$A$50,'HMZ - KAIS'!A11))+(COUNTIF('ATHIS MONS'!$A$7:$A$50,'HMZ - KAIS'!A11))+(COUNTIF('L HAY LES ROSES'!$A$7:$A$50,'HMZ - KAIS'!A11))+(COUNTIF(RUNGIS!$A$7:$A$50,'HMZ - KAIS'!A11))+(COUNTIF(SCEAUX!$A$7:$A$50,'HMZ - KAIS'!A11))+(COUNTIF('INSTANCE C1'!$A$7:$A$50,'HMZ - KAIS'!A11))+(COUNTIF('INSTANCE C2'!$A$7:$A$50,'HMZ - KAIS'!A11))+(COUNTIF(INTERNES!$A$7:$A$50,'HMZ - KAIS'!A11))+(COUNTIF('EN PANNE'!$A$7:$A$50,'HMZ - KAIS'!A11))+(COUNTIF(TJM!$A$7:$A$50,'HMZ - KAIS'!A11))-C11</f>
        <v>0</v>
      </c>
      <c r="C11" s="23">
        <f>(COUNTIF('2S EXPRESS'!$G$7:$G$50,'HMZ - KAIS'!A11))+(COUNTIF('2 ZT'!$G$7:$G$50,'HMZ - KAIS'!A11))+(COUNTIF('GO TRANSPORT'!$G$7:$G$50,'HMZ - KAIS'!A11))+(COUNTIF('HMZ - KAIS'!$G$7:$G$50,'HMZ - KAIS'!A11))+(COUNTIF('IB TRANSPORT'!$G$7:$G$50,'HMZ - KAIS'!A11))+(COUNTIF(JSL!$G$7:$G$50,'HMZ - KAIS'!A11))+(COUNTIF(KIFAITOUT!$G$7:$G$50,'HMZ - KAIS'!A11))+(COUNTIF('LUXE DRIVE'!$G$7:$G$50,'HMZ - KAIS'!A11))+(COUNTIF(SSN!$G$7:$G$50,'HMZ - KAIS'!A11))+(COUNTIF('W3'!$G$7:$G$50,'HMZ - KAIS'!A11))+(COUNTIF('ATHIS MONS'!$G$7:$G$50,'HMZ - KAIS'!A11))+(COUNTIF('L HAY LES ROSES'!$G$7:$G$50,'HMZ - KAIS'!A11))+(COUNTIF(RUNGIS!$G$7:$G$50,'HMZ - KAIS'!A11))+(COUNTIF(SCEAUX!$G$7:$G$50,'HMZ - KAIS'!A11))+(COUNTIF('INSTANCE C1'!$G$7:$G$50,'HMZ - KAIS'!A11))+(COUNTIF('INSTANCE C2'!$G$7:$G$50,'HMZ - KAIS'!A11))+(COUNTIF(INTERNES!$G$7:$G$50,'HMZ - KAIS'!A11))+(COUNTIF('EN PANNE'!$G$7:$G$50,'HMZ - KAIS'!A11))+(COUNTIF(TJM!$G$7:$G$50,'HMZ - KAIS'!A11))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EXPRESS'!$G$7:$G$50,'HMZ - KAIS'!G11))+(COUNTIF('2 ZT'!$G$7:$G$50,'HMZ - KAIS'!G11))+(COUNTIF('GO TRANSPORT'!$G$7:$G$50,'HMZ - KAIS'!G11))+(COUNTIF('HMZ - KAIS'!$G$7:$G$50,'HMZ - KAIS'!G11))+(COUNTIF('IB TRANSPORT'!$G$7:$G$50,'HMZ - KAIS'!G11))+(COUNTIF(JSL!$G$7:$G$50,'HMZ - KAIS'!G11))+(COUNTIF(KIFAITOUT!$G$7:$G$50,'HMZ - KAIS'!G11))+(COUNTIF('LUXE DRIVE'!$G$7:$G$50,'HMZ - KAIS'!G11))+(COUNTIF(SSN!$G$7:$G$50,'HMZ - KAIS'!G11))+(COUNTIF('W3'!$G$7:$G$50,'HMZ - KAIS'!G11))+(COUNTIF('ATHIS MONS'!$G$7:$G$50,'HMZ - KAIS'!G11))+(COUNTIF('L HAY LES ROSES'!$G$7:$G$50,'HMZ - KAIS'!G11))+(COUNTIF(RUNGIS!$G$7:$G$50,'HMZ - KAIS'!G11))+(COUNTIF(SCEAUX!$G$7:$G$50,'HMZ - KAIS'!G11))+(COUNTIF('INSTANCE C1'!$G$7:$G$50,'HMZ - KAIS'!G11))+(COUNTIF('INSTANCE C2'!$G$7:$G$50,'HMZ - KAIS'!G11))+(COUNTIF(INTERNES!$G$7:$G$50,'HMZ - KAIS'!G11))+(COUNTIF('EN PANNE'!$G$7:$G$50,'HMZ - KAIS'!G11))+(COUNTIF(TJM!$G$7:$G$50,'HMZ - KAIS'!G11))-I11</f>
        <v>0</v>
      </c>
      <c r="I11" s="23">
        <f>(COUNTIF('2S EXPRESS'!$A$7:$A$50,'HMZ - KAIS'!G11))+(COUNTIF('2 ZT'!$A$7:$A$50,'HMZ - KAIS'!G11))+(COUNTIF('GO TRANSPORT'!$A$7:$A$50,'HMZ - KAIS'!G11))+(COUNTIF('HMZ - KAIS'!$A$7:$A$50,'HMZ - KAIS'!G11))+(COUNTIF('IB TRANSPORT'!$A$7:$A$50,'HMZ - KAIS'!G11))+(COUNTIF(JSL!$A$7:$A$50,'HMZ - KAIS'!G11))+(COUNTIF(KIFAITOUT!$A$7:$A$50,'HMZ - KAIS'!G11))+(COUNTIF('LUXE DRIVE'!$A$7:$A$50,'HMZ - KAIS'!G11))+(COUNTIF(SSN!$A$7:$A$50,'HMZ - KAIS'!G11))+(COUNTIF('W3'!$A$7:$A$50,'HMZ - KAIS'!G11))+(COUNTIF('ATHIS MONS'!$A$7:$A$50,'HMZ - KAIS'!G11))+(COUNTIF('L HAY LES ROSES'!$A$7:$A$50,'HMZ - KAIS'!G11))+(COUNTIF(RUNGIS!$A$7:$A$50,'HMZ - KAIS'!G11))+(COUNTIF(SCEAUX!$A$7:$A$50,'HMZ - KAIS'!G11))+(COUNTIF('INSTANCE C1'!$A$7:$A$50,'HMZ - KAIS'!G11))+(COUNTIF('INSTANCE C2'!$A$7:$A$50,'HMZ - KAIS'!G11))+(COUNTIF(INTERNES!$A$7:$A$50,'HMZ - KAIS'!G11))+(COUNTIF('EN PANNE'!$A$7:$A$50,'HMZ - KAIS'!G11))+(COUNTIF(TJM!$A$7:$A$50,'HMZ - KAIS'!G11))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R11" s="50"/>
      <c r="S11" s="60">
        <f t="shared" si="1"/>
        <v>0</v>
      </c>
      <c r="T11" s="67">
        <f t="shared" si="2"/>
        <v>0</v>
      </c>
      <c r="U11" s="50"/>
    </row>
    <row r="12" spans="1:26" ht="24.95" customHeight="1" thickBot="1" x14ac:dyDescent="0.25">
      <c r="A12" s="20"/>
      <c r="B12" s="23">
        <f>(COUNTIF('2S EXPRESS'!$A$7:$A$50,'HMZ - KAIS'!A12))+(COUNTIF('2 ZT'!$A$7:$A$50,'HMZ - KAIS'!A12))+(COUNTIF('GO TRANSPORT'!$A$7:$A$50,'HMZ - KAIS'!A12))+(COUNTIF('HMZ - KAIS'!$A$7:$A$50,'HMZ - KAIS'!A12))+(COUNTIF('IB TRANSPORT'!$A$7:$A$50,'HMZ - KAIS'!A12))+(COUNTIF(JSL!$A$7:$A$50,'HMZ - KAIS'!A12))+(COUNTIF(KIFAITOUT!$A$7:$A$50,'HMZ - KAIS'!A12))+(COUNTIF('LUXE DRIVE'!$A$7:$A$50,'HMZ - KAIS'!A12))+(COUNTIF(SSN!$A$7:$A$50,'HMZ - KAIS'!A12))+(COUNTIF('W3'!$A$7:$A$50,'HMZ - KAIS'!A12))+(COUNTIF('ATHIS MONS'!$A$7:$A$50,'HMZ - KAIS'!A12))+(COUNTIF('L HAY LES ROSES'!$A$7:$A$50,'HMZ - KAIS'!A12))+(COUNTIF(RUNGIS!$A$7:$A$50,'HMZ - KAIS'!A12))+(COUNTIF(SCEAUX!$A$7:$A$50,'HMZ - KAIS'!A12))+(COUNTIF('INSTANCE C1'!$A$7:$A$50,'HMZ - KAIS'!A12))+(COUNTIF('INSTANCE C2'!$A$7:$A$50,'HMZ - KAIS'!A12))+(COUNTIF(INTERNES!$A$7:$A$50,'HMZ - KAIS'!A12))+(COUNTIF('EN PANNE'!$A$7:$A$50,'HMZ - KAIS'!A12))+(COUNTIF(TJM!$A$7:$A$50,'HMZ - KAIS'!A12))-C12</f>
        <v>0</v>
      </c>
      <c r="C12" s="23">
        <f>(COUNTIF('2S EXPRESS'!$G$7:$G$50,'HMZ - KAIS'!A12))+(COUNTIF('2 ZT'!$G$7:$G$50,'HMZ - KAIS'!A12))+(COUNTIF('GO TRANSPORT'!$G$7:$G$50,'HMZ - KAIS'!A12))+(COUNTIF('HMZ - KAIS'!$G$7:$G$50,'HMZ - KAIS'!A12))+(COUNTIF('IB TRANSPORT'!$G$7:$G$50,'HMZ - KAIS'!A12))+(COUNTIF(JSL!$G$7:$G$50,'HMZ - KAIS'!A12))+(COUNTIF(KIFAITOUT!$G$7:$G$50,'HMZ - KAIS'!A12))+(COUNTIF('LUXE DRIVE'!$G$7:$G$50,'HMZ - KAIS'!A12))+(COUNTIF(SSN!$G$7:$G$50,'HMZ - KAIS'!A12))+(COUNTIF('W3'!$G$7:$G$50,'HMZ - KAIS'!A12))+(COUNTIF('ATHIS MONS'!$G$7:$G$50,'HMZ - KAIS'!A12))+(COUNTIF('L HAY LES ROSES'!$G$7:$G$50,'HMZ - KAIS'!A12))+(COUNTIF(RUNGIS!$G$7:$G$50,'HMZ - KAIS'!A12))+(COUNTIF(SCEAUX!$G$7:$G$50,'HMZ - KAIS'!A12))+(COUNTIF('INSTANCE C1'!$G$7:$G$50,'HMZ - KAIS'!A12))+(COUNTIF('INSTANCE C2'!$G$7:$G$50,'HMZ - KAIS'!A12))+(COUNTIF(INTERNES!$G$7:$G$50,'HMZ - KAIS'!A12))+(COUNTIF('EN PANNE'!$G$7:$G$50,'HMZ - KAIS'!A12))+(COUNTIF(TJM!$G$7:$G$50,'HMZ - KAIS'!A12))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EXPRESS'!$G$7:$G$50,'HMZ - KAIS'!G12))+(COUNTIF('2 ZT'!$G$7:$G$50,'HMZ - KAIS'!G12))+(COUNTIF('GO TRANSPORT'!$G$7:$G$50,'HMZ - KAIS'!G12))+(COUNTIF('HMZ - KAIS'!$G$7:$G$50,'HMZ - KAIS'!G12))+(COUNTIF('IB TRANSPORT'!$G$7:$G$50,'HMZ - KAIS'!G12))+(COUNTIF(JSL!$G$7:$G$50,'HMZ - KAIS'!G12))+(COUNTIF(KIFAITOUT!$G$7:$G$50,'HMZ - KAIS'!G12))+(COUNTIF('LUXE DRIVE'!$G$7:$G$50,'HMZ - KAIS'!G12))+(COUNTIF(SSN!$G$7:$G$50,'HMZ - KAIS'!G12))+(COUNTIF('W3'!$G$7:$G$50,'HMZ - KAIS'!G12))+(COUNTIF('ATHIS MONS'!$G$7:$G$50,'HMZ - KAIS'!G12))+(COUNTIF('L HAY LES ROSES'!$G$7:$G$50,'HMZ - KAIS'!G12))+(COUNTIF(RUNGIS!$G$7:$G$50,'HMZ - KAIS'!G12))+(COUNTIF(SCEAUX!$G$7:$G$50,'HMZ - KAIS'!G12))+(COUNTIF('INSTANCE C1'!$G$7:$G$50,'HMZ - KAIS'!G12))+(COUNTIF('INSTANCE C2'!$G$7:$G$50,'HMZ - KAIS'!G12))+(COUNTIF(INTERNES!$G$7:$G$50,'HMZ - KAIS'!G12))+(COUNTIF('EN PANNE'!$G$7:$G$50,'HMZ - KAIS'!G12))+(COUNTIF(TJM!$G$7:$G$50,'HMZ - KAIS'!G12))-I12</f>
        <v>0</v>
      </c>
      <c r="I12" s="23">
        <f>(COUNTIF('2S EXPRESS'!$A$7:$A$50,'HMZ - KAIS'!G12))+(COUNTIF('2 ZT'!$A$7:$A$50,'HMZ - KAIS'!G12))+(COUNTIF('GO TRANSPORT'!$A$7:$A$50,'HMZ - KAIS'!G12))+(COUNTIF('HMZ - KAIS'!$A$7:$A$50,'HMZ - KAIS'!G12))+(COUNTIF('IB TRANSPORT'!$A$7:$A$50,'HMZ - KAIS'!G12))+(COUNTIF(JSL!$A$7:$A$50,'HMZ - KAIS'!G12))+(COUNTIF(KIFAITOUT!$A$7:$A$50,'HMZ - KAIS'!G12))+(COUNTIF('LUXE DRIVE'!$A$7:$A$50,'HMZ - KAIS'!G12))+(COUNTIF(SSN!$A$7:$A$50,'HMZ - KAIS'!G12))+(COUNTIF('W3'!$A$7:$A$50,'HMZ - KAIS'!G12))+(COUNTIF('ATHIS MONS'!$A$7:$A$50,'HMZ - KAIS'!G12))+(COUNTIF('L HAY LES ROSES'!$A$7:$A$50,'HMZ - KAIS'!G12))+(COUNTIF(RUNGIS!$A$7:$A$50,'HMZ - KAIS'!G12))+(COUNTIF(SCEAUX!$A$7:$A$50,'HMZ - KAIS'!G12))+(COUNTIF('INSTANCE C1'!$A$7:$A$50,'HMZ - KAIS'!G12))+(COUNTIF('INSTANCE C2'!$A$7:$A$50,'HMZ - KAIS'!G12))+(COUNTIF(INTERNES!$A$7:$A$50,'HMZ - KAIS'!G12))+(COUNTIF('EN PANNE'!$A$7:$A$50,'HMZ - KAIS'!G12))+(COUNTIF(TJM!$A$7:$A$50,'HMZ - KAIS'!G12))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R12" s="50"/>
      <c r="S12" s="60">
        <f t="shared" si="1"/>
        <v>0</v>
      </c>
      <c r="T12" s="67">
        <f t="shared" si="2"/>
        <v>0</v>
      </c>
      <c r="U12" s="50"/>
    </row>
    <row r="13" spans="1:26" ht="24.95" customHeight="1" x14ac:dyDescent="0.2">
      <c r="A13" s="20"/>
      <c r="B13" s="23">
        <f>(COUNTIF('2S EXPRESS'!$A$7:$A$50,'HMZ - KAIS'!A13))+(COUNTIF('2 ZT'!$A$7:$A$50,'HMZ - KAIS'!A13))+(COUNTIF('GO TRANSPORT'!$A$7:$A$50,'HMZ - KAIS'!A13))+(COUNTIF('HMZ - KAIS'!$A$7:$A$50,'HMZ - KAIS'!A13))+(COUNTIF('IB TRANSPORT'!$A$7:$A$50,'HMZ - KAIS'!A13))+(COUNTIF(JSL!$A$7:$A$50,'HMZ - KAIS'!A13))+(COUNTIF(KIFAITOUT!$A$7:$A$50,'HMZ - KAIS'!A13))+(COUNTIF('LUXE DRIVE'!$A$7:$A$50,'HMZ - KAIS'!A13))+(COUNTIF(SSN!$A$7:$A$50,'HMZ - KAIS'!A13))+(COUNTIF('W3'!$A$7:$A$50,'HMZ - KAIS'!A13))+(COUNTIF('ATHIS MONS'!$A$7:$A$50,'HMZ - KAIS'!A13))+(COUNTIF('L HAY LES ROSES'!$A$7:$A$50,'HMZ - KAIS'!A13))+(COUNTIF(RUNGIS!$A$7:$A$50,'HMZ - KAIS'!A13))+(COUNTIF(SCEAUX!$A$7:$A$50,'HMZ - KAIS'!A13))+(COUNTIF('INSTANCE C1'!$A$7:$A$50,'HMZ - KAIS'!A13))+(COUNTIF('INSTANCE C2'!$A$7:$A$50,'HMZ - KAIS'!A13))+(COUNTIF(INTERNES!$A$7:$A$50,'HMZ - KAIS'!A13))+(COUNTIF('EN PANNE'!$A$7:$A$50,'HMZ - KAIS'!A13))+(COUNTIF(TJM!$A$7:$A$50,'HMZ - KAIS'!A13))-C13</f>
        <v>0</v>
      </c>
      <c r="C13" s="23">
        <f>(COUNTIF('2S EXPRESS'!$G$7:$G$50,'HMZ - KAIS'!A13))+(COUNTIF('2 ZT'!$G$7:$G$50,'HMZ - KAIS'!A13))+(COUNTIF('GO TRANSPORT'!$G$7:$G$50,'HMZ - KAIS'!A13))+(COUNTIF('HMZ - KAIS'!$G$7:$G$50,'HMZ - KAIS'!A13))+(COUNTIF('IB TRANSPORT'!$G$7:$G$50,'HMZ - KAIS'!A13))+(COUNTIF(JSL!$G$7:$G$50,'HMZ - KAIS'!A13))+(COUNTIF(KIFAITOUT!$G$7:$G$50,'HMZ - KAIS'!A13))+(COUNTIF('LUXE DRIVE'!$G$7:$G$50,'HMZ - KAIS'!A13))+(COUNTIF(SSN!$G$7:$G$50,'HMZ - KAIS'!A13))+(COUNTIF('W3'!$G$7:$G$50,'HMZ - KAIS'!A13))+(COUNTIF('ATHIS MONS'!$G$7:$G$50,'HMZ - KAIS'!A13))+(COUNTIF('L HAY LES ROSES'!$G$7:$G$50,'HMZ - KAIS'!A13))+(COUNTIF(RUNGIS!$G$7:$G$50,'HMZ - KAIS'!A13))+(COUNTIF(SCEAUX!$G$7:$G$50,'HMZ - KAIS'!A13))+(COUNTIF('INSTANCE C1'!$G$7:$G$50,'HMZ - KAIS'!A13))+(COUNTIF('INSTANCE C2'!$G$7:$G$50,'HMZ - KAIS'!A13))+(COUNTIF(INTERNES!$G$7:$G$50,'HMZ - KAIS'!A13))+(COUNTIF('EN PANNE'!$G$7:$G$50,'HMZ - KAIS'!A13))+(COUNTIF(TJM!$G$7:$G$50,'HMZ - KAIS'!A13))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EXPRESS'!$G$7:$G$50,'HMZ - KAIS'!G13))+(COUNTIF('2 ZT'!$G$7:$G$50,'HMZ - KAIS'!G13))+(COUNTIF('GO TRANSPORT'!$G$7:$G$50,'HMZ - KAIS'!G13))+(COUNTIF('HMZ - KAIS'!$G$7:$G$50,'HMZ - KAIS'!G13))+(COUNTIF('IB TRANSPORT'!$G$7:$G$50,'HMZ - KAIS'!G13))+(COUNTIF(JSL!$G$7:$G$50,'HMZ - KAIS'!G13))+(COUNTIF(KIFAITOUT!$G$7:$G$50,'HMZ - KAIS'!G13))+(COUNTIF('LUXE DRIVE'!$G$7:$G$50,'HMZ - KAIS'!G13))+(COUNTIF(SSN!$G$7:$G$50,'HMZ - KAIS'!G13))+(COUNTIF('W3'!$G$7:$G$50,'HMZ - KAIS'!G13))+(COUNTIF('ATHIS MONS'!$G$7:$G$50,'HMZ - KAIS'!G13))+(COUNTIF('L HAY LES ROSES'!$G$7:$G$50,'HMZ - KAIS'!G13))+(COUNTIF(RUNGIS!$G$7:$G$50,'HMZ - KAIS'!G13))+(COUNTIF(SCEAUX!$G$7:$G$50,'HMZ - KAIS'!G13))+(COUNTIF('INSTANCE C1'!$G$7:$G$50,'HMZ - KAIS'!G13))+(COUNTIF('INSTANCE C2'!$G$7:$G$50,'HMZ - KAIS'!G13))+(COUNTIF(INTERNES!$G$7:$G$50,'HMZ - KAIS'!G13))+(COUNTIF('EN PANNE'!$G$7:$G$50,'HMZ - KAIS'!G13))+(COUNTIF(TJM!$G$7:$G$50,'HMZ - KAIS'!G13))-I13</f>
        <v>0</v>
      </c>
      <c r="I13" s="23">
        <f>(COUNTIF('2S EXPRESS'!$A$7:$A$50,'HMZ - KAIS'!G13))+(COUNTIF('2 ZT'!$A$7:$A$50,'HMZ - KAIS'!G13))+(COUNTIF('GO TRANSPORT'!$A$7:$A$50,'HMZ - KAIS'!G13))+(COUNTIF('HMZ - KAIS'!$A$7:$A$50,'HMZ - KAIS'!G13))+(COUNTIF('IB TRANSPORT'!$A$7:$A$50,'HMZ - KAIS'!G13))+(COUNTIF(JSL!$A$7:$A$50,'HMZ - KAIS'!G13))+(COUNTIF(KIFAITOUT!$A$7:$A$50,'HMZ - KAIS'!G13))+(COUNTIF('LUXE DRIVE'!$A$7:$A$50,'HMZ - KAIS'!G13))+(COUNTIF(SSN!$A$7:$A$50,'HMZ - KAIS'!G13))+(COUNTIF('W3'!$A$7:$A$50,'HMZ - KAIS'!G13))+(COUNTIF('ATHIS MONS'!$A$7:$A$50,'HMZ - KAIS'!G13))+(COUNTIF('L HAY LES ROSES'!$A$7:$A$50,'HMZ - KAIS'!G13))+(COUNTIF(RUNGIS!$A$7:$A$50,'HMZ - KAIS'!G13))+(COUNTIF(SCEAUX!$A$7:$A$50,'HMZ - KAIS'!G13))+(COUNTIF('INSTANCE C1'!$A$7:$A$50,'HMZ - KAIS'!G13))+(COUNTIF('INSTANCE C2'!$A$7:$A$50,'HMZ - KAIS'!G13))+(COUNTIF(INTERNES!$A$7:$A$50,'HMZ - KAIS'!G13))+(COUNTIF('EN PANNE'!$A$7:$A$50,'HMZ - KAIS'!G13))+(COUNTIF(TJM!$A$7:$A$50,'HMZ - KAIS'!G13))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R13" s="50"/>
      <c r="S13" s="60">
        <f t="shared" si="1"/>
        <v>0</v>
      </c>
      <c r="T13" s="67">
        <f t="shared" si="2"/>
        <v>0</v>
      </c>
      <c r="U13" s="50"/>
    </row>
    <row r="14" spans="1:26" ht="24.95" customHeight="1" x14ac:dyDescent="0.2">
      <c r="A14" s="20"/>
      <c r="B14" s="23">
        <f>(COUNTIF('2S EXPRESS'!$A$7:$A$50,'HMZ - KAIS'!A14))+(COUNTIF('2 ZT'!$A$7:$A$50,'HMZ - KAIS'!A14))+(COUNTIF('GO TRANSPORT'!$A$7:$A$50,'HMZ - KAIS'!A14))+(COUNTIF('HMZ - KAIS'!$A$7:$A$50,'HMZ - KAIS'!A14))+(COUNTIF('IB TRANSPORT'!$A$7:$A$50,'HMZ - KAIS'!A14))+(COUNTIF(JSL!$A$7:$A$50,'HMZ - KAIS'!A14))+(COUNTIF(KIFAITOUT!$A$7:$A$50,'HMZ - KAIS'!A14))+(COUNTIF('LUXE DRIVE'!$A$7:$A$50,'HMZ - KAIS'!A14))+(COUNTIF(SSN!$A$7:$A$50,'HMZ - KAIS'!A14))+(COUNTIF('W3'!$A$7:$A$50,'HMZ - KAIS'!A14))+(COUNTIF('ATHIS MONS'!$A$7:$A$50,'HMZ - KAIS'!A14))+(COUNTIF('L HAY LES ROSES'!$A$7:$A$50,'HMZ - KAIS'!A14))+(COUNTIF(RUNGIS!$A$7:$A$50,'HMZ - KAIS'!A14))+(COUNTIF(SCEAUX!$A$7:$A$50,'HMZ - KAIS'!A14))+(COUNTIF('INSTANCE C1'!$A$7:$A$50,'HMZ - KAIS'!A14))+(COUNTIF('INSTANCE C2'!$A$7:$A$50,'HMZ - KAIS'!A14))+(COUNTIF(INTERNES!$A$7:$A$50,'HMZ - KAIS'!A14))+(COUNTIF('EN PANNE'!$A$7:$A$50,'HMZ - KAIS'!A14))+(COUNTIF(TJM!$A$7:$A$50,'HMZ - KAIS'!A14))-C14</f>
        <v>0</v>
      </c>
      <c r="C14" s="23">
        <f>(COUNTIF('2S EXPRESS'!$G$7:$G$50,'HMZ - KAIS'!A14))+(COUNTIF('2 ZT'!$G$7:$G$50,'HMZ - KAIS'!A14))+(COUNTIF('GO TRANSPORT'!$G$7:$G$50,'HMZ - KAIS'!A14))+(COUNTIF('HMZ - KAIS'!$G$7:$G$50,'HMZ - KAIS'!A14))+(COUNTIF('IB TRANSPORT'!$G$7:$G$50,'HMZ - KAIS'!A14))+(COUNTIF(JSL!$G$7:$G$50,'HMZ - KAIS'!A14))+(COUNTIF(KIFAITOUT!$G$7:$G$50,'HMZ - KAIS'!A14))+(COUNTIF('LUXE DRIVE'!$G$7:$G$50,'HMZ - KAIS'!A14))+(COUNTIF(SSN!$G$7:$G$50,'HMZ - KAIS'!A14))+(COUNTIF('W3'!$G$7:$G$50,'HMZ - KAIS'!A14))+(COUNTIF('ATHIS MONS'!$G$7:$G$50,'HMZ - KAIS'!A14))+(COUNTIF('L HAY LES ROSES'!$G$7:$G$50,'HMZ - KAIS'!A14))+(COUNTIF(RUNGIS!$G$7:$G$50,'HMZ - KAIS'!A14))+(COUNTIF(SCEAUX!$G$7:$G$50,'HMZ - KAIS'!A14))+(COUNTIF('INSTANCE C1'!$G$7:$G$50,'HMZ - KAIS'!A14))+(COUNTIF('INSTANCE C2'!$G$7:$G$50,'HMZ - KAIS'!A14))+(COUNTIF(INTERNES!$G$7:$G$50,'HMZ - KAIS'!A14))+(COUNTIF('EN PANNE'!$G$7:$G$50,'HMZ - KAIS'!A14))+(COUNTIF(TJM!$G$7:$G$50,'HMZ - KAIS'!A14))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EXPRESS'!$G$7:$G$50,'HMZ - KAIS'!G14))+(COUNTIF('2 ZT'!$G$7:$G$50,'HMZ - KAIS'!G14))+(COUNTIF('GO TRANSPORT'!$G$7:$G$50,'HMZ - KAIS'!G14))+(COUNTIF('HMZ - KAIS'!$G$7:$G$50,'HMZ - KAIS'!G14))+(COUNTIF('IB TRANSPORT'!$G$7:$G$50,'HMZ - KAIS'!G14))+(COUNTIF(JSL!$G$7:$G$50,'HMZ - KAIS'!G14))+(COUNTIF(KIFAITOUT!$G$7:$G$50,'HMZ - KAIS'!G14))+(COUNTIF('LUXE DRIVE'!$G$7:$G$50,'HMZ - KAIS'!G14))+(COUNTIF(SSN!$G$7:$G$50,'HMZ - KAIS'!G14))+(COUNTIF('W3'!$G$7:$G$50,'HMZ - KAIS'!G14))+(COUNTIF('ATHIS MONS'!$G$7:$G$50,'HMZ - KAIS'!G14))+(COUNTIF('L HAY LES ROSES'!$G$7:$G$50,'HMZ - KAIS'!G14))+(COUNTIF(RUNGIS!$G$7:$G$50,'HMZ - KAIS'!G14))+(COUNTIF(SCEAUX!$G$7:$G$50,'HMZ - KAIS'!G14))+(COUNTIF('INSTANCE C1'!$G$7:$G$50,'HMZ - KAIS'!G14))+(COUNTIF('INSTANCE C2'!$G$7:$G$50,'HMZ - KAIS'!G14))+(COUNTIF(INTERNES!$G$7:$G$50,'HMZ - KAIS'!G14))+(COUNTIF('EN PANNE'!$G$7:$G$50,'HMZ - KAIS'!G14))+(COUNTIF(TJM!$G$7:$G$50,'HMZ - KAIS'!G14))-I14</f>
        <v>0</v>
      </c>
      <c r="I14" s="23">
        <f>(COUNTIF('2S EXPRESS'!$A$7:$A$50,'HMZ - KAIS'!G14))+(COUNTIF('2 ZT'!$A$7:$A$50,'HMZ - KAIS'!G14))+(COUNTIF('GO TRANSPORT'!$A$7:$A$50,'HMZ - KAIS'!G14))+(COUNTIF('HMZ - KAIS'!$A$7:$A$50,'HMZ - KAIS'!G14))+(COUNTIF('IB TRANSPORT'!$A$7:$A$50,'HMZ - KAIS'!G14))+(COUNTIF(JSL!$A$7:$A$50,'HMZ - KAIS'!G14))+(COUNTIF(KIFAITOUT!$A$7:$A$50,'HMZ - KAIS'!G14))+(COUNTIF('LUXE DRIVE'!$A$7:$A$50,'HMZ - KAIS'!G14))+(COUNTIF(SSN!$A$7:$A$50,'HMZ - KAIS'!G14))+(COUNTIF('W3'!$A$7:$A$50,'HMZ - KAIS'!G14))+(COUNTIF('ATHIS MONS'!$A$7:$A$50,'HMZ - KAIS'!G14))+(COUNTIF('L HAY LES ROSES'!$A$7:$A$50,'HMZ - KAIS'!G14))+(COUNTIF(RUNGIS!$A$7:$A$50,'HMZ - KAIS'!G14))+(COUNTIF(SCEAUX!$A$7:$A$50,'HMZ - KAIS'!G14))+(COUNTIF('INSTANCE C1'!$A$7:$A$50,'HMZ - KAIS'!G14))+(COUNTIF('INSTANCE C2'!$A$7:$A$50,'HMZ - KAIS'!G14))+(COUNTIF(INTERNES!$A$7:$A$50,'HMZ - KAIS'!G14))+(COUNTIF('EN PANNE'!$A$7:$A$50,'HMZ - KAIS'!G14))+(COUNTIF(TJM!$A$7:$A$50,'HMZ - KAIS'!G14))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R14" s="50"/>
      <c r="S14" s="60">
        <f t="shared" si="1"/>
        <v>0</v>
      </c>
      <c r="T14" s="67">
        <f t="shared" si="2"/>
        <v>0</v>
      </c>
      <c r="U14" s="50"/>
    </row>
    <row r="15" spans="1:26" ht="24.95" customHeight="1" x14ac:dyDescent="0.2">
      <c r="A15" s="20"/>
      <c r="B15" s="23">
        <f>(COUNTIF('2S EXPRESS'!$A$7:$A$50,'HMZ - KAIS'!A15))+(COUNTIF('2 ZT'!$A$7:$A$50,'HMZ - KAIS'!A15))+(COUNTIF('GO TRANSPORT'!$A$7:$A$50,'HMZ - KAIS'!A15))+(COUNTIF('HMZ - KAIS'!$A$7:$A$50,'HMZ - KAIS'!A15))+(COUNTIF('IB TRANSPORT'!$A$7:$A$50,'HMZ - KAIS'!A15))+(COUNTIF(JSL!$A$7:$A$50,'HMZ - KAIS'!A15))+(COUNTIF(KIFAITOUT!$A$7:$A$50,'HMZ - KAIS'!A15))+(COUNTIF('LUXE DRIVE'!$A$7:$A$50,'HMZ - KAIS'!A15))+(COUNTIF(SSN!$A$7:$A$50,'HMZ - KAIS'!A15))+(COUNTIF('W3'!$A$7:$A$50,'HMZ - KAIS'!A15))+(COUNTIF('ATHIS MONS'!$A$7:$A$50,'HMZ - KAIS'!A15))+(COUNTIF('L HAY LES ROSES'!$A$7:$A$50,'HMZ - KAIS'!A15))+(COUNTIF(RUNGIS!$A$7:$A$50,'HMZ - KAIS'!A15))+(COUNTIF(SCEAUX!$A$7:$A$50,'HMZ - KAIS'!A15))+(COUNTIF('INSTANCE C1'!$A$7:$A$50,'HMZ - KAIS'!A15))+(COUNTIF('INSTANCE C2'!$A$7:$A$50,'HMZ - KAIS'!A15))+(COUNTIF(INTERNES!$A$7:$A$50,'HMZ - KAIS'!A15))+(COUNTIF('EN PANNE'!$A$7:$A$50,'HMZ - KAIS'!A15))+(COUNTIF(TJM!$A$7:$A$50,'HMZ - KAIS'!A15))-C15</f>
        <v>0</v>
      </c>
      <c r="C15" s="23">
        <f>(COUNTIF('2S EXPRESS'!$G$7:$G$50,'HMZ - KAIS'!A15))+(COUNTIF('2 ZT'!$G$7:$G$50,'HMZ - KAIS'!A15))+(COUNTIF('GO TRANSPORT'!$G$7:$G$50,'HMZ - KAIS'!A15))+(COUNTIF('HMZ - KAIS'!$G$7:$G$50,'HMZ - KAIS'!A15))+(COUNTIF('IB TRANSPORT'!$G$7:$G$50,'HMZ - KAIS'!A15))+(COUNTIF(JSL!$G$7:$G$50,'HMZ - KAIS'!A15))+(COUNTIF(KIFAITOUT!$G$7:$G$50,'HMZ - KAIS'!A15))+(COUNTIF('LUXE DRIVE'!$G$7:$G$50,'HMZ - KAIS'!A15))+(COUNTIF(SSN!$G$7:$G$50,'HMZ - KAIS'!A15))+(COUNTIF('W3'!$G$7:$G$50,'HMZ - KAIS'!A15))+(COUNTIF('ATHIS MONS'!$G$7:$G$50,'HMZ - KAIS'!A15))+(COUNTIF('L HAY LES ROSES'!$G$7:$G$50,'HMZ - KAIS'!A15))+(COUNTIF(RUNGIS!$G$7:$G$50,'HMZ - KAIS'!A15))+(COUNTIF(SCEAUX!$G$7:$G$50,'HMZ - KAIS'!A15))+(COUNTIF('INSTANCE C1'!$G$7:$G$50,'HMZ - KAIS'!A15))+(COUNTIF('INSTANCE C2'!$G$7:$G$50,'HMZ - KAIS'!A15))+(COUNTIF(INTERNES!$G$7:$G$50,'HMZ - KAIS'!A15))+(COUNTIF('EN PANNE'!$G$7:$G$50,'HMZ - KAIS'!A15))+(COUNTIF(TJM!$G$7:$G$50,'HMZ - KAIS'!A15))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EXPRESS'!$G$7:$G$50,'HMZ - KAIS'!G15))+(COUNTIF('2 ZT'!$G$7:$G$50,'HMZ - KAIS'!G15))+(COUNTIF('GO TRANSPORT'!$G$7:$G$50,'HMZ - KAIS'!G15))+(COUNTIF('HMZ - KAIS'!$G$7:$G$50,'HMZ - KAIS'!G15))+(COUNTIF('IB TRANSPORT'!$G$7:$G$50,'HMZ - KAIS'!G15))+(COUNTIF(JSL!$G$7:$G$50,'HMZ - KAIS'!G15))+(COUNTIF(KIFAITOUT!$G$7:$G$50,'HMZ - KAIS'!G15))+(COUNTIF('LUXE DRIVE'!$G$7:$G$50,'HMZ - KAIS'!G15))+(COUNTIF(SSN!$G$7:$G$50,'HMZ - KAIS'!G15))+(COUNTIF('W3'!$G$7:$G$50,'HMZ - KAIS'!G15))+(COUNTIF('ATHIS MONS'!$G$7:$G$50,'HMZ - KAIS'!G15))+(COUNTIF('L HAY LES ROSES'!$G$7:$G$50,'HMZ - KAIS'!G15))+(COUNTIF(RUNGIS!$G$7:$G$50,'HMZ - KAIS'!G15))+(COUNTIF(SCEAUX!$G$7:$G$50,'HMZ - KAIS'!G15))+(COUNTIF('INSTANCE C1'!$G$7:$G$50,'HMZ - KAIS'!G15))+(COUNTIF('INSTANCE C2'!$G$7:$G$50,'HMZ - KAIS'!G15))+(COUNTIF(INTERNES!$G$7:$G$50,'HMZ - KAIS'!G15))+(COUNTIF('EN PANNE'!$G$7:$G$50,'HMZ - KAIS'!G15))+(COUNTIF(TJM!$G$7:$G$50,'HMZ - KAIS'!G15))-I15</f>
        <v>0</v>
      </c>
      <c r="I15" s="23">
        <f>(COUNTIF('2S EXPRESS'!$A$7:$A$50,'HMZ - KAIS'!G15))+(COUNTIF('2 ZT'!$A$7:$A$50,'HMZ - KAIS'!G15))+(COUNTIF('GO TRANSPORT'!$A$7:$A$50,'HMZ - KAIS'!G15))+(COUNTIF('HMZ - KAIS'!$A$7:$A$50,'HMZ - KAIS'!G15))+(COUNTIF('IB TRANSPORT'!$A$7:$A$50,'HMZ - KAIS'!G15))+(COUNTIF(JSL!$A$7:$A$50,'HMZ - KAIS'!G15))+(COUNTIF(KIFAITOUT!$A$7:$A$50,'HMZ - KAIS'!G15))+(COUNTIF('LUXE DRIVE'!$A$7:$A$50,'HMZ - KAIS'!G15))+(COUNTIF(SSN!$A$7:$A$50,'HMZ - KAIS'!G15))+(COUNTIF('W3'!$A$7:$A$50,'HMZ - KAIS'!G15))+(COUNTIF('ATHIS MONS'!$A$7:$A$50,'HMZ - KAIS'!G15))+(COUNTIF('L HAY LES ROSES'!$A$7:$A$50,'HMZ - KAIS'!G15))+(COUNTIF(RUNGIS!$A$7:$A$50,'HMZ - KAIS'!G15))+(COUNTIF(SCEAUX!$A$7:$A$50,'HMZ - KAIS'!G15))+(COUNTIF('INSTANCE C1'!$A$7:$A$50,'HMZ - KAIS'!G15))+(COUNTIF('INSTANCE C2'!$A$7:$A$50,'HMZ - KAIS'!G15))+(COUNTIF(INTERNES!$A$7:$A$50,'HMZ - KAIS'!G15))+(COUNTIF('EN PANNE'!$A$7:$A$50,'HMZ - KAIS'!G15))+(COUNTIF(TJM!$A$7:$A$50,'HMZ - KAIS'!G15))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R15" s="50"/>
      <c r="S15" s="60">
        <f t="shared" si="1"/>
        <v>0</v>
      </c>
      <c r="T15" s="67">
        <f t="shared" si="2"/>
        <v>0</v>
      </c>
      <c r="U15" s="50"/>
    </row>
    <row r="16" spans="1:26" ht="24.95" customHeight="1" x14ac:dyDescent="0.2">
      <c r="A16" s="20"/>
      <c r="B16" s="23">
        <f>(COUNTIF('2S EXPRESS'!$A$7:$A$50,'HMZ - KAIS'!A16))+(COUNTIF('2 ZT'!$A$7:$A$50,'HMZ - KAIS'!A16))+(COUNTIF('GO TRANSPORT'!$A$7:$A$50,'HMZ - KAIS'!A16))+(COUNTIF('HMZ - KAIS'!$A$7:$A$50,'HMZ - KAIS'!A16))+(COUNTIF('IB TRANSPORT'!$A$7:$A$50,'HMZ - KAIS'!A16))+(COUNTIF(JSL!$A$7:$A$50,'HMZ - KAIS'!A16))+(COUNTIF(KIFAITOUT!$A$7:$A$50,'HMZ - KAIS'!A16))+(COUNTIF('LUXE DRIVE'!$A$7:$A$50,'HMZ - KAIS'!A16))+(COUNTIF(SSN!$A$7:$A$50,'HMZ - KAIS'!A16))+(COUNTIF('W3'!$A$7:$A$50,'HMZ - KAIS'!A16))+(COUNTIF('ATHIS MONS'!$A$7:$A$50,'HMZ - KAIS'!A16))+(COUNTIF('L HAY LES ROSES'!$A$7:$A$50,'HMZ - KAIS'!A16))+(COUNTIF(RUNGIS!$A$7:$A$50,'HMZ - KAIS'!A16))+(COUNTIF(SCEAUX!$A$7:$A$50,'HMZ - KAIS'!A16))+(COUNTIF('INSTANCE C1'!$A$7:$A$50,'HMZ - KAIS'!A16))+(COUNTIF('INSTANCE C2'!$A$7:$A$50,'HMZ - KAIS'!A16))+(COUNTIF(INTERNES!$A$7:$A$50,'HMZ - KAIS'!A16))+(COUNTIF('EN PANNE'!$A$7:$A$50,'HMZ - KAIS'!A16))+(COUNTIF(TJM!$A$7:$A$50,'HMZ - KAIS'!A16))-C16</f>
        <v>0</v>
      </c>
      <c r="C16" s="23">
        <f>(COUNTIF('2S EXPRESS'!$G$7:$G$50,'HMZ - KAIS'!A16))+(COUNTIF('2 ZT'!$G$7:$G$50,'HMZ - KAIS'!A16))+(COUNTIF('GO TRANSPORT'!$G$7:$G$50,'HMZ - KAIS'!A16))+(COUNTIF('HMZ - KAIS'!$G$7:$G$50,'HMZ - KAIS'!A16))+(COUNTIF('IB TRANSPORT'!$G$7:$G$50,'HMZ - KAIS'!A16))+(COUNTIF(JSL!$G$7:$G$50,'HMZ - KAIS'!A16))+(COUNTIF(KIFAITOUT!$G$7:$G$50,'HMZ - KAIS'!A16))+(COUNTIF('LUXE DRIVE'!$G$7:$G$50,'HMZ - KAIS'!A16))+(COUNTIF(SSN!$G$7:$G$50,'HMZ - KAIS'!A16))+(COUNTIF('W3'!$G$7:$G$50,'HMZ - KAIS'!A16))+(COUNTIF('ATHIS MONS'!$G$7:$G$50,'HMZ - KAIS'!A16))+(COUNTIF('L HAY LES ROSES'!$G$7:$G$50,'HMZ - KAIS'!A16))+(COUNTIF(RUNGIS!$G$7:$G$50,'HMZ - KAIS'!A16))+(COUNTIF(SCEAUX!$G$7:$G$50,'HMZ - KAIS'!A16))+(COUNTIF('INSTANCE C1'!$G$7:$G$50,'HMZ - KAIS'!A16))+(COUNTIF('INSTANCE C2'!$G$7:$G$50,'HMZ - KAIS'!A16))+(COUNTIF(INTERNES!$G$7:$G$50,'HMZ - KAIS'!A16))+(COUNTIF('EN PANNE'!$G$7:$G$50,'HMZ - KAIS'!A16))+(COUNTIF(TJM!$G$7:$G$50,'HMZ - KAIS'!A16))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EXPRESS'!$G$7:$G$50,'HMZ - KAIS'!G16))+(COUNTIF('2 ZT'!$G$7:$G$50,'HMZ - KAIS'!G16))+(COUNTIF('GO TRANSPORT'!$G$7:$G$50,'HMZ - KAIS'!G16))+(COUNTIF('HMZ - KAIS'!$G$7:$G$50,'HMZ - KAIS'!G16))+(COUNTIF('IB TRANSPORT'!$G$7:$G$50,'HMZ - KAIS'!G16))+(COUNTIF(JSL!$G$7:$G$50,'HMZ - KAIS'!G16))+(COUNTIF(KIFAITOUT!$G$7:$G$50,'HMZ - KAIS'!G16))+(COUNTIF('LUXE DRIVE'!$G$7:$G$50,'HMZ - KAIS'!G16))+(COUNTIF(SSN!$G$7:$G$50,'HMZ - KAIS'!G16))+(COUNTIF('W3'!$G$7:$G$50,'HMZ - KAIS'!G16))+(COUNTIF('ATHIS MONS'!$G$7:$G$50,'HMZ - KAIS'!G16))+(COUNTIF('L HAY LES ROSES'!$G$7:$G$50,'HMZ - KAIS'!G16))+(COUNTIF(RUNGIS!$G$7:$G$50,'HMZ - KAIS'!G16))+(COUNTIF(SCEAUX!$G$7:$G$50,'HMZ - KAIS'!G16))+(COUNTIF('INSTANCE C1'!$G$7:$G$50,'HMZ - KAIS'!G16))+(COUNTIF('INSTANCE C2'!$G$7:$G$50,'HMZ - KAIS'!G16))+(COUNTIF(INTERNES!$G$7:$G$50,'HMZ - KAIS'!G16))+(COUNTIF('EN PANNE'!$G$7:$G$50,'HMZ - KAIS'!G16))+(COUNTIF(TJM!$G$7:$G$50,'HMZ - KAIS'!G16))-I16</f>
        <v>0</v>
      </c>
      <c r="I16" s="23">
        <f>(COUNTIF('2S EXPRESS'!$A$7:$A$50,'HMZ - KAIS'!G16))+(COUNTIF('2 ZT'!$A$7:$A$50,'HMZ - KAIS'!G16))+(COUNTIF('GO TRANSPORT'!$A$7:$A$50,'HMZ - KAIS'!G16))+(COUNTIF('HMZ - KAIS'!$A$7:$A$50,'HMZ - KAIS'!G16))+(COUNTIF('IB TRANSPORT'!$A$7:$A$50,'HMZ - KAIS'!G16))+(COUNTIF(JSL!$A$7:$A$50,'HMZ - KAIS'!G16))+(COUNTIF(KIFAITOUT!$A$7:$A$50,'HMZ - KAIS'!G16))+(COUNTIF('LUXE DRIVE'!$A$7:$A$50,'HMZ - KAIS'!G16))+(COUNTIF(SSN!$A$7:$A$50,'HMZ - KAIS'!G16))+(COUNTIF('W3'!$A$7:$A$50,'HMZ - KAIS'!G16))+(COUNTIF('ATHIS MONS'!$A$7:$A$50,'HMZ - KAIS'!G16))+(COUNTIF('L HAY LES ROSES'!$A$7:$A$50,'HMZ - KAIS'!G16))+(COUNTIF(RUNGIS!$A$7:$A$50,'HMZ - KAIS'!G16))+(COUNTIF(SCEAUX!$A$7:$A$50,'HMZ - KAIS'!G16))+(COUNTIF('INSTANCE C1'!$A$7:$A$50,'HMZ - KAIS'!G16))+(COUNTIF('INSTANCE C2'!$A$7:$A$50,'HMZ - KAIS'!G16))+(COUNTIF(INTERNES!$A$7:$A$50,'HMZ - KAIS'!G16))+(COUNTIF('EN PANNE'!$A$7:$A$50,'HMZ - KAIS'!G16))+(COUNTIF(TJM!$A$7:$A$50,'HMZ - KAIS'!G16))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R16" s="50"/>
      <c r="S16" s="60">
        <f t="shared" si="1"/>
        <v>0</v>
      </c>
      <c r="T16" s="67">
        <f t="shared" si="2"/>
        <v>0</v>
      </c>
      <c r="U16" s="50"/>
    </row>
    <row r="17" spans="1:21" ht="24.95" customHeight="1" x14ac:dyDescent="0.2">
      <c r="A17" s="20"/>
      <c r="B17" s="23">
        <f>(COUNTIF('2S EXPRESS'!$A$7:$A$50,'HMZ - KAIS'!A17))+(COUNTIF('2 ZT'!$A$7:$A$50,'HMZ - KAIS'!A17))+(COUNTIF('GO TRANSPORT'!$A$7:$A$50,'HMZ - KAIS'!A17))+(COUNTIF('HMZ - KAIS'!$A$7:$A$50,'HMZ - KAIS'!A17))+(COUNTIF('IB TRANSPORT'!$A$7:$A$50,'HMZ - KAIS'!A17))+(COUNTIF(JSL!$A$7:$A$50,'HMZ - KAIS'!A17))+(COUNTIF(KIFAITOUT!$A$7:$A$50,'HMZ - KAIS'!A17))+(COUNTIF('LUXE DRIVE'!$A$7:$A$50,'HMZ - KAIS'!A17))+(COUNTIF(SSN!$A$7:$A$50,'HMZ - KAIS'!A17))+(COUNTIF('W3'!$A$7:$A$50,'HMZ - KAIS'!A17))+(COUNTIF('ATHIS MONS'!$A$7:$A$50,'HMZ - KAIS'!A17))+(COUNTIF('L HAY LES ROSES'!$A$7:$A$50,'HMZ - KAIS'!A17))+(COUNTIF(RUNGIS!$A$7:$A$50,'HMZ - KAIS'!A17))+(COUNTIF(SCEAUX!$A$7:$A$50,'HMZ - KAIS'!A17))+(COUNTIF('INSTANCE C1'!$A$7:$A$50,'HMZ - KAIS'!A17))+(COUNTIF('INSTANCE C2'!$A$7:$A$50,'HMZ - KAIS'!A17))+(COUNTIF(INTERNES!$A$7:$A$50,'HMZ - KAIS'!A17))+(COUNTIF('EN PANNE'!$A$7:$A$50,'HMZ - KAIS'!A17))+(COUNTIF(TJM!$A$7:$A$50,'HMZ - KAIS'!A17))-C17</f>
        <v>0</v>
      </c>
      <c r="C17" s="23">
        <f>(COUNTIF('2S EXPRESS'!$G$7:$G$50,'HMZ - KAIS'!A17))+(COUNTIF('2 ZT'!$G$7:$G$50,'HMZ - KAIS'!A17))+(COUNTIF('GO TRANSPORT'!$G$7:$G$50,'HMZ - KAIS'!A17))+(COUNTIF('HMZ - KAIS'!$G$7:$G$50,'HMZ - KAIS'!A17))+(COUNTIF('IB TRANSPORT'!$G$7:$G$50,'HMZ - KAIS'!A17))+(COUNTIF(JSL!$G$7:$G$50,'HMZ - KAIS'!A17))+(COUNTIF(KIFAITOUT!$G$7:$G$50,'HMZ - KAIS'!A17))+(COUNTIF('LUXE DRIVE'!$G$7:$G$50,'HMZ - KAIS'!A17))+(COUNTIF(SSN!$G$7:$G$50,'HMZ - KAIS'!A17))+(COUNTIF('W3'!$G$7:$G$50,'HMZ - KAIS'!A17))+(COUNTIF('ATHIS MONS'!$G$7:$G$50,'HMZ - KAIS'!A17))+(COUNTIF('L HAY LES ROSES'!$G$7:$G$50,'HMZ - KAIS'!A17))+(COUNTIF(RUNGIS!$G$7:$G$50,'HMZ - KAIS'!A17))+(COUNTIF(SCEAUX!$G$7:$G$50,'HMZ - KAIS'!A17))+(COUNTIF('INSTANCE C1'!$G$7:$G$50,'HMZ - KAIS'!A17))+(COUNTIF('INSTANCE C2'!$G$7:$G$50,'HMZ - KAIS'!A17))+(COUNTIF(INTERNES!$G$7:$G$50,'HMZ - KAIS'!A17))+(COUNTIF('EN PANNE'!$G$7:$G$50,'HMZ - KAIS'!A17))+(COUNTIF(TJM!$G$7:$G$50,'HMZ - KAIS'!A17))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EXPRESS'!$G$7:$G$50,'HMZ - KAIS'!G17))+(COUNTIF('2 ZT'!$G$7:$G$50,'HMZ - KAIS'!G17))+(COUNTIF('GO TRANSPORT'!$G$7:$G$50,'HMZ - KAIS'!G17))+(COUNTIF('HMZ - KAIS'!$G$7:$G$50,'HMZ - KAIS'!G17))+(COUNTIF('IB TRANSPORT'!$G$7:$G$50,'HMZ - KAIS'!G17))+(COUNTIF(JSL!$G$7:$G$50,'HMZ - KAIS'!G17))+(COUNTIF(KIFAITOUT!$G$7:$G$50,'HMZ - KAIS'!G17))+(COUNTIF('LUXE DRIVE'!$G$7:$G$50,'HMZ - KAIS'!G17))+(COUNTIF(SSN!$G$7:$G$50,'HMZ - KAIS'!G17))+(COUNTIF('W3'!$G$7:$G$50,'HMZ - KAIS'!G17))+(COUNTIF('ATHIS MONS'!$G$7:$G$50,'HMZ - KAIS'!G17))+(COUNTIF('L HAY LES ROSES'!$G$7:$G$50,'HMZ - KAIS'!G17))+(COUNTIF(RUNGIS!$G$7:$G$50,'HMZ - KAIS'!G17))+(COUNTIF(SCEAUX!$G$7:$G$50,'HMZ - KAIS'!G17))+(COUNTIF('INSTANCE C1'!$G$7:$G$50,'HMZ - KAIS'!G17))+(COUNTIF('INSTANCE C2'!$G$7:$G$50,'HMZ - KAIS'!G17))+(COUNTIF(INTERNES!$G$7:$G$50,'HMZ - KAIS'!G17))+(COUNTIF('EN PANNE'!$G$7:$G$50,'HMZ - KAIS'!G17))+(COUNTIF(TJM!$G$7:$G$50,'HMZ - KAIS'!G17))-I17</f>
        <v>0</v>
      </c>
      <c r="I17" s="23">
        <f>(COUNTIF('2S EXPRESS'!$A$7:$A$50,'HMZ - KAIS'!G17))+(COUNTIF('2 ZT'!$A$7:$A$50,'HMZ - KAIS'!G17))+(COUNTIF('GO TRANSPORT'!$A$7:$A$50,'HMZ - KAIS'!G17))+(COUNTIF('HMZ - KAIS'!$A$7:$A$50,'HMZ - KAIS'!G17))+(COUNTIF('IB TRANSPORT'!$A$7:$A$50,'HMZ - KAIS'!G17))+(COUNTIF(JSL!$A$7:$A$50,'HMZ - KAIS'!G17))+(COUNTIF(KIFAITOUT!$A$7:$A$50,'HMZ - KAIS'!G17))+(COUNTIF('LUXE DRIVE'!$A$7:$A$50,'HMZ - KAIS'!G17))+(COUNTIF(SSN!$A$7:$A$50,'HMZ - KAIS'!G17))+(COUNTIF('W3'!$A$7:$A$50,'HMZ - KAIS'!G17))+(COUNTIF('ATHIS MONS'!$A$7:$A$50,'HMZ - KAIS'!G17))+(COUNTIF('L HAY LES ROSES'!$A$7:$A$50,'HMZ - KAIS'!G17))+(COUNTIF(RUNGIS!$A$7:$A$50,'HMZ - KAIS'!G17))+(COUNTIF(SCEAUX!$A$7:$A$50,'HMZ - KAIS'!G17))+(COUNTIF('INSTANCE C1'!$A$7:$A$50,'HMZ - KAIS'!G17))+(COUNTIF('INSTANCE C2'!$A$7:$A$50,'HMZ - KAIS'!G17))+(COUNTIF(INTERNES!$A$7:$A$50,'HMZ - KAIS'!G17))+(COUNTIF('EN PANNE'!$A$7:$A$50,'HMZ - KAIS'!G17))+(COUNTIF(TJM!$A$7:$A$50,'HMZ - KAIS'!G17))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R17" s="50"/>
      <c r="S17" s="60">
        <f t="shared" si="1"/>
        <v>0</v>
      </c>
      <c r="T17" s="67">
        <f t="shared" si="2"/>
        <v>0</v>
      </c>
      <c r="U17" s="50"/>
    </row>
    <row r="18" spans="1:21" ht="24.95" customHeight="1" x14ac:dyDescent="0.2">
      <c r="A18" s="20"/>
      <c r="B18" s="23">
        <f>(COUNTIF('2S EXPRESS'!$A$7:$A$50,'HMZ - KAIS'!A18))+(COUNTIF('2 ZT'!$A$7:$A$50,'HMZ - KAIS'!A18))+(COUNTIF('GO TRANSPORT'!$A$7:$A$50,'HMZ - KAIS'!A18))+(COUNTIF('HMZ - KAIS'!$A$7:$A$50,'HMZ - KAIS'!A18))+(COUNTIF('IB TRANSPORT'!$A$7:$A$50,'HMZ - KAIS'!A18))+(COUNTIF(JSL!$A$7:$A$50,'HMZ - KAIS'!A18))+(COUNTIF(KIFAITOUT!$A$7:$A$50,'HMZ - KAIS'!A18))+(COUNTIF('LUXE DRIVE'!$A$7:$A$50,'HMZ - KAIS'!A18))+(COUNTIF(SSN!$A$7:$A$50,'HMZ - KAIS'!A18))+(COUNTIF('W3'!$A$7:$A$50,'HMZ - KAIS'!A18))+(COUNTIF('ATHIS MONS'!$A$7:$A$50,'HMZ - KAIS'!A18))+(COUNTIF('L HAY LES ROSES'!$A$7:$A$50,'HMZ - KAIS'!A18))+(COUNTIF(RUNGIS!$A$7:$A$50,'HMZ - KAIS'!A18))+(COUNTIF(SCEAUX!$A$7:$A$50,'HMZ - KAIS'!A18))+(COUNTIF('INSTANCE C1'!$A$7:$A$50,'HMZ - KAIS'!A18))+(COUNTIF('INSTANCE C2'!$A$7:$A$50,'HMZ - KAIS'!A18))+(COUNTIF(INTERNES!$A$7:$A$50,'HMZ - KAIS'!A18))+(COUNTIF('EN PANNE'!$A$7:$A$50,'HMZ - KAIS'!A18))+(COUNTIF(TJM!$A$7:$A$50,'HMZ - KAIS'!A18))-C18</f>
        <v>0</v>
      </c>
      <c r="C18" s="23">
        <f>(COUNTIF('2S EXPRESS'!$G$7:$G$50,'HMZ - KAIS'!A18))+(COUNTIF('2 ZT'!$G$7:$G$50,'HMZ - KAIS'!A18))+(COUNTIF('GO TRANSPORT'!$G$7:$G$50,'HMZ - KAIS'!A18))+(COUNTIF('HMZ - KAIS'!$G$7:$G$50,'HMZ - KAIS'!A18))+(COUNTIF('IB TRANSPORT'!$G$7:$G$50,'HMZ - KAIS'!A18))+(COUNTIF(JSL!$G$7:$G$50,'HMZ - KAIS'!A18))+(COUNTIF(KIFAITOUT!$G$7:$G$50,'HMZ - KAIS'!A18))+(COUNTIF('LUXE DRIVE'!$G$7:$G$50,'HMZ - KAIS'!A18))+(COUNTIF(SSN!$G$7:$G$50,'HMZ - KAIS'!A18))+(COUNTIF('W3'!$G$7:$G$50,'HMZ - KAIS'!A18))+(COUNTIF('ATHIS MONS'!$G$7:$G$50,'HMZ - KAIS'!A18))+(COUNTIF('L HAY LES ROSES'!$G$7:$G$50,'HMZ - KAIS'!A18))+(COUNTIF(RUNGIS!$G$7:$G$50,'HMZ - KAIS'!A18))+(COUNTIF(SCEAUX!$G$7:$G$50,'HMZ - KAIS'!A18))+(COUNTIF('INSTANCE C1'!$G$7:$G$50,'HMZ - KAIS'!A18))+(COUNTIF('INSTANCE C2'!$G$7:$G$50,'HMZ - KAIS'!A18))+(COUNTIF(INTERNES!$G$7:$G$50,'HMZ - KAIS'!A18))+(COUNTIF('EN PANNE'!$G$7:$G$50,'HMZ - KAIS'!A18))+(COUNTIF(TJM!$G$7:$G$50,'HMZ - KAIS'!A18))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EXPRESS'!$G$7:$G$50,'HMZ - KAIS'!G18))+(COUNTIF('2 ZT'!$G$7:$G$50,'HMZ - KAIS'!G18))+(COUNTIF('GO TRANSPORT'!$G$7:$G$50,'HMZ - KAIS'!G18))+(COUNTIF('HMZ - KAIS'!$G$7:$G$50,'HMZ - KAIS'!G18))+(COUNTIF('IB TRANSPORT'!$G$7:$G$50,'HMZ - KAIS'!G18))+(COUNTIF(JSL!$G$7:$G$50,'HMZ - KAIS'!G18))+(COUNTIF(KIFAITOUT!$G$7:$G$50,'HMZ - KAIS'!G18))+(COUNTIF('LUXE DRIVE'!$G$7:$G$50,'HMZ - KAIS'!G18))+(COUNTIF(SSN!$G$7:$G$50,'HMZ - KAIS'!G18))+(COUNTIF('W3'!$G$7:$G$50,'HMZ - KAIS'!G18))+(COUNTIF('ATHIS MONS'!$G$7:$G$50,'HMZ - KAIS'!G18))+(COUNTIF('L HAY LES ROSES'!$G$7:$G$50,'HMZ - KAIS'!G18))+(COUNTIF(RUNGIS!$G$7:$G$50,'HMZ - KAIS'!G18))+(COUNTIF(SCEAUX!$G$7:$G$50,'HMZ - KAIS'!G18))+(COUNTIF('INSTANCE C1'!$G$7:$G$50,'HMZ - KAIS'!G18))+(COUNTIF('INSTANCE C2'!$G$7:$G$50,'HMZ - KAIS'!G18))+(COUNTIF(INTERNES!$G$7:$G$50,'HMZ - KAIS'!G18))+(COUNTIF('EN PANNE'!$G$7:$G$50,'HMZ - KAIS'!G18))+(COUNTIF(TJM!$G$7:$G$50,'HMZ - KAIS'!G18))-I18</f>
        <v>0</v>
      </c>
      <c r="I18" s="23">
        <f>(COUNTIF('2S EXPRESS'!$A$7:$A$50,'HMZ - KAIS'!G18))+(COUNTIF('2 ZT'!$A$7:$A$50,'HMZ - KAIS'!G18))+(COUNTIF('GO TRANSPORT'!$A$7:$A$50,'HMZ - KAIS'!G18))+(COUNTIF('HMZ - KAIS'!$A$7:$A$50,'HMZ - KAIS'!G18))+(COUNTIF('IB TRANSPORT'!$A$7:$A$50,'HMZ - KAIS'!G18))+(COUNTIF(JSL!$A$7:$A$50,'HMZ - KAIS'!G18))+(COUNTIF(KIFAITOUT!$A$7:$A$50,'HMZ - KAIS'!G18))+(COUNTIF('LUXE DRIVE'!$A$7:$A$50,'HMZ - KAIS'!G18))+(COUNTIF(SSN!$A$7:$A$50,'HMZ - KAIS'!G18))+(COUNTIF('W3'!$A$7:$A$50,'HMZ - KAIS'!G18))+(COUNTIF('ATHIS MONS'!$A$7:$A$50,'HMZ - KAIS'!G18))+(COUNTIF('L HAY LES ROSES'!$A$7:$A$50,'HMZ - KAIS'!G18))+(COUNTIF(RUNGIS!$A$7:$A$50,'HMZ - KAIS'!G18))+(COUNTIF(SCEAUX!$A$7:$A$50,'HMZ - KAIS'!G18))+(COUNTIF('INSTANCE C1'!$A$7:$A$50,'HMZ - KAIS'!G18))+(COUNTIF('INSTANCE C2'!$A$7:$A$50,'HMZ - KAIS'!G18))+(COUNTIF(INTERNES!$A$7:$A$50,'HMZ - KAIS'!G18))+(COUNTIF('EN PANNE'!$A$7:$A$50,'HMZ - KAIS'!G18))+(COUNTIF(TJM!$A$7:$A$50,'HMZ - KAIS'!G18))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R18" s="50"/>
      <c r="S18" s="60">
        <f t="shared" si="1"/>
        <v>0</v>
      </c>
      <c r="T18" s="67">
        <f t="shared" si="2"/>
        <v>0</v>
      </c>
      <c r="U18" s="50"/>
    </row>
    <row r="19" spans="1:21" ht="24.95" customHeight="1" x14ac:dyDescent="0.2">
      <c r="A19" s="20"/>
      <c r="B19" s="23">
        <f>(COUNTIF('2S EXPRESS'!$A$7:$A$50,'HMZ - KAIS'!A19))+(COUNTIF('2 ZT'!$A$7:$A$50,'HMZ - KAIS'!A19))+(COUNTIF('GO TRANSPORT'!$A$7:$A$50,'HMZ - KAIS'!A19))+(COUNTIF('HMZ - KAIS'!$A$7:$A$50,'HMZ - KAIS'!A19))+(COUNTIF('IB TRANSPORT'!$A$7:$A$50,'HMZ - KAIS'!A19))+(COUNTIF(JSL!$A$7:$A$50,'HMZ - KAIS'!A19))+(COUNTIF(KIFAITOUT!$A$7:$A$50,'HMZ - KAIS'!A19))+(COUNTIF('LUXE DRIVE'!$A$7:$A$50,'HMZ - KAIS'!A19))+(COUNTIF(SSN!$A$7:$A$50,'HMZ - KAIS'!A19))+(COUNTIF('W3'!$A$7:$A$50,'HMZ - KAIS'!A19))+(COUNTIF('ATHIS MONS'!$A$7:$A$50,'HMZ - KAIS'!A19))+(COUNTIF('L HAY LES ROSES'!$A$7:$A$50,'HMZ - KAIS'!A19))+(COUNTIF(RUNGIS!$A$7:$A$50,'HMZ - KAIS'!A19))+(COUNTIF(SCEAUX!$A$7:$A$50,'HMZ - KAIS'!A19))+(COUNTIF('INSTANCE C1'!$A$7:$A$50,'HMZ - KAIS'!A19))+(COUNTIF('INSTANCE C2'!$A$7:$A$50,'HMZ - KAIS'!A19))+(COUNTIF(INTERNES!$A$7:$A$50,'HMZ - KAIS'!A19))+(COUNTIF('EN PANNE'!$A$7:$A$50,'HMZ - KAIS'!A19))+(COUNTIF(TJM!$A$7:$A$50,'HMZ - KAIS'!A19))-C19</f>
        <v>0</v>
      </c>
      <c r="C19" s="23">
        <f>(COUNTIF('2S EXPRESS'!$G$7:$G$50,'HMZ - KAIS'!A19))+(COUNTIF('2 ZT'!$G$7:$G$50,'HMZ - KAIS'!A19))+(COUNTIF('GO TRANSPORT'!$G$7:$G$50,'HMZ - KAIS'!A19))+(COUNTIF('HMZ - KAIS'!$G$7:$G$50,'HMZ - KAIS'!A19))+(COUNTIF('IB TRANSPORT'!$G$7:$G$50,'HMZ - KAIS'!A19))+(COUNTIF(JSL!$G$7:$G$50,'HMZ - KAIS'!A19))+(COUNTIF(KIFAITOUT!$G$7:$G$50,'HMZ - KAIS'!A19))+(COUNTIF('LUXE DRIVE'!$G$7:$G$50,'HMZ - KAIS'!A19))+(COUNTIF(SSN!$G$7:$G$50,'HMZ - KAIS'!A19))+(COUNTIF('W3'!$G$7:$G$50,'HMZ - KAIS'!A19))+(COUNTIF('ATHIS MONS'!$G$7:$G$50,'HMZ - KAIS'!A19))+(COUNTIF('L HAY LES ROSES'!$G$7:$G$50,'HMZ - KAIS'!A19))+(COUNTIF(RUNGIS!$G$7:$G$50,'HMZ - KAIS'!A19))+(COUNTIF(SCEAUX!$G$7:$G$50,'HMZ - KAIS'!A19))+(COUNTIF('INSTANCE C1'!$G$7:$G$50,'HMZ - KAIS'!A19))+(COUNTIF('INSTANCE C2'!$G$7:$G$50,'HMZ - KAIS'!A19))+(COUNTIF(INTERNES!$G$7:$G$50,'HMZ - KAIS'!A19))+(COUNTIF('EN PANNE'!$G$7:$G$50,'HMZ - KAIS'!A19))+(COUNTIF(TJM!$G$7:$G$50,'HMZ - KAIS'!A19))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EXPRESS'!$G$7:$G$50,'HMZ - KAIS'!G19))+(COUNTIF('2 ZT'!$G$7:$G$50,'HMZ - KAIS'!G19))+(COUNTIF('GO TRANSPORT'!$G$7:$G$50,'HMZ - KAIS'!G19))+(COUNTIF('HMZ - KAIS'!$G$7:$G$50,'HMZ - KAIS'!G19))+(COUNTIF('IB TRANSPORT'!$G$7:$G$50,'HMZ - KAIS'!G19))+(COUNTIF(JSL!$G$7:$G$50,'HMZ - KAIS'!G19))+(COUNTIF(KIFAITOUT!$G$7:$G$50,'HMZ - KAIS'!G19))+(COUNTIF('LUXE DRIVE'!$G$7:$G$50,'HMZ - KAIS'!G19))+(COUNTIF(SSN!$G$7:$G$50,'HMZ - KAIS'!G19))+(COUNTIF('W3'!$G$7:$G$50,'HMZ - KAIS'!G19))+(COUNTIF('ATHIS MONS'!$G$7:$G$50,'HMZ - KAIS'!G19))+(COUNTIF('L HAY LES ROSES'!$G$7:$G$50,'HMZ - KAIS'!G19))+(COUNTIF(RUNGIS!$G$7:$G$50,'HMZ - KAIS'!G19))+(COUNTIF(SCEAUX!$G$7:$G$50,'HMZ - KAIS'!G19))+(COUNTIF('INSTANCE C1'!$G$7:$G$50,'HMZ - KAIS'!G19))+(COUNTIF('INSTANCE C2'!$G$7:$G$50,'HMZ - KAIS'!G19))+(COUNTIF(INTERNES!$G$7:$G$50,'HMZ - KAIS'!G19))+(COUNTIF('EN PANNE'!$G$7:$G$50,'HMZ - KAIS'!G19))+(COUNTIF(TJM!$G$7:$G$50,'HMZ - KAIS'!G19))-I19</f>
        <v>0</v>
      </c>
      <c r="I19" s="23">
        <f>(COUNTIF('2S EXPRESS'!$A$7:$A$50,'HMZ - KAIS'!G19))+(COUNTIF('2 ZT'!$A$7:$A$50,'HMZ - KAIS'!G19))+(COUNTIF('GO TRANSPORT'!$A$7:$A$50,'HMZ - KAIS'!G19))+(COUNTIF('HMZ - KAIS'!$A$7:$A$50,'HMZ - KAIS'!G19))+(COUNTIF('IB TRANSPORT'!$A$7:$A$50,'HMZ - KAIS'!G19))+(COUNTIF(JSL!$A$7:$A$50,'HMZ - KAIS'!G19))+(COUNTIF(KIFAITOUT!$A$7:$A$50,'HMZ - KAIS'!G19))+(COUNTIF('LUXE DRIVE'!$A$7:$A$50,'HMZ - KAIS'!G19))+(COUNTIF(SSN!$A$7:$A$50,'HMZ - KAIS'!G19))+(COUNTIF('W3'!$A$7:$A$50,'HMZ - KAIS'!G19))+(COUNTIF('ATHIS MONS'!$A$7:$A$50,'HMZ - KAIS'!G19))+(COUNTIF('L HAY LES ROSES'!$A$7:$A$50,'HMZ - KAIS'!G19))+(COUNTIF(RUNGIS!$A$7:$A$50,'HMZ - KAIS'!G19))+(COUNTIF(SCEAUX!$A$7:$A$50,'HMZ - KAIS'!G19))+(COUNTIF('INSTANCE C1'!$A$7:$A$50,'HMZ - KAIS'!G19))+(COUNTIF('INSTANCE C2'!$A$7:$A$50,'HMZ - KAIS'!G19))+(COUNTIF(INTERNES!$A$7:$A$50,'HMZ - KAIS'!G19))+(COUNTIF('EN PANNE'!$A$7:$A$50,'HMZ - KAIS'!G19))+(COUNTIF(TJM!$A$7:$A$50,'HMZ - KAIS'!G19))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R19" s="50"/>
      <c r="S19" s="60">
        <f t="shared" si="1"/>
        <v>0</v>
      </c>
      <c r="T19" s="67">
        <f t="shared" si="2"/>
        <v>0</v>
      </c>
      <c r="U19" s="50"/>
    </row>
    <row r="20" spans="1:21" ht="24.95" customHeight="1" x14ac:dyDescent="0.2">
      <c r="A20" s="20"/>
      <c r="B20" s="23">
        <f>(COUNTIF('2S EXPRESS'!$A$7:$A$50,'HMZ - KAIS'!A20))+(COUNTIF('2 ZT'!$A$7:$A$50,'HMZ - KAIS'!A20))+(COUNTIF('GO TRANSPORT'!$A$7:$A$50,'HMZ - KAIS'!A20))+(COUNTIF('HMZ - KAIS'!$A$7:$A$50,'HMZ - KAIS'!A20))+(COUNTIF('IB TRANSPORT'!$A$7:$A$50,'HMZ - KAIS'!A20))+(COUNTIF(JSL!$A$7:$A$50,'HMZ - KAIS'!A20))+(COUNTIF(KIFAITOUT!$A$7:$A$50,'HMZ - KAIS'!A20))+(COUNTIF('LUXE DRIVE'!$A$7:$A$50,'HMZ - KAIS'!A20))+(COUNTIF(SSN!$A$7:$A$50,'HMZ - KAIS'!A20))+(COUNTIF('W3'!$A$7:$A$50,'HMZ - KAIS'!A20))+(COUNTIF('ATHIS MONS'!$A$7:$A$50,'HMZ - KAIS'!A20))+(COUNTIF('L HAY LES ROSES'!$A$7:$A$50,'HMZ - KAIS'!A20))+(COUNTIF(RUNGIS!$A$7:$A$50,'HMZ - KAIS'!A20))+(COUNTIF(SCEAUX!$A$7:$A$50,'HMZ - KAIS'!A20))+(COUNTIF('INSTANCE C1'!$A$7:$A$50,'HMZ - KAIS'!A20))+(COUNTIF('INSTANCE C2'!$A$7:$A$50,'HMZ - KAIS'!A20))+(COUNTIF(INTERNES!$A$7:$A$50,'HMZ - KAIS'!A20))+(COUNTIF('EN PANNE'!$A$7:$A$50,'HMZ - KAIS'!A20))+(COUNTIF(TJM!$A$7:$A$50,'HMZ - KAIS'!A20))-C20</f>
        <v>0</v>
      </c>
      <c r="C20" s="23">
        <f>(COUNTIF('2S EXPRESS'!$G$7:$G$50,'HMZ - KAIS'!A20))+(COUNTIF('2 ZT'!$G$7:$G$50,'HMZ - KAIS'!A20))+(COUNTIF('GO TRANSPORT'!$G$7:$G$50,'HMZ - KAIS'!A20))+(COUNTIF('HMZ - KAIS'!$G$7:$G$50,'HMZ - KAIS'!A20))+(COUNTIF('IB TRANSPORT'!$G$7:$G$50,'HMZ - KAIS'!A20))+(COUNTIF(JSL!$G$7:$G$50,'HMZ - KAIS'!A20))+(COUNTIF(KIFAITOUT!$G$7:$G$50,'HMZ - KAIS'!A20))+(COUNTIF('LUXE DRIVE'!$G$7:$G$50,'HMZ - KAIS'!A20))+(COUNTIF(SSN!$G$7:$G$50,'HMZ - KAIS'!A20))+(COUNTIF('W3'!$G$7:$G$50,'HMZ - KAIS'!A20))+(COUNTIF('ATHIS MONS'!$G$7:$G$50,'HMZ - KAIS'!A20))+(COUNTIF('L HAY LES ROSES'!$G$7:$G$50,'HMZ - KAIS'!A20))+(COUNTIF(RUNGIS!$G$7:$G$50,'HMZ - KAIS'!A20))+(COUNTIF(SCEAUX!$G$7:$G$50,'HMZ - KAIS'!A20))+(COUNTIF('INSTANCE C1'!$G$7:$G$50,'HMZ - KAIS'!A20))+(COUNTIF('INSTANCE C2'!$G$7:$G$50,'HMZ - KAIS'!A20))+(COUNTIF(INTERNES!$G$7:$G$50,'HMZ - KAIS'!A20))+(COUNTIF('EN PANNE'!$G$7:$G$50,'HMZ - KAIS'!A20))+(COUNTIF(TJM!$G$7:$G$50,'HMZ - KAIS'!A20))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EXPRESS'!$G$7:$G$50,'HMZ - KAIS'!G20))+(COUNTIF('2 ZT'!$G$7:$G$50,'HMZ - KAIS'!G20))+(COUNTIF('GO TRANSPORT'!$G$7:$G$50,'HMZ - KAIS'!G20))+(COUNTIF('HMZ - KAIS'!$G$7:$G$50,'HMZ - KAIS'!G20))+(COUNTIF('IB TRANSPORT'!$G$7:$G$50,'HMZ - KAIS'!G20))+(COUNTIF(JSL!$G$7:$G$50,'HMZ - KAIS'!G20))+(COUNTIF(KIFAITOUT!$G$7:$G$50,'HMZ - KAIS'!G20))+(COUNTIF('LUXE DRIVE'!$G$7:$G$50,'HMZ - KAIS'!G20))+(COUNTIF(SSN!$G$7:$G$50,'HMZ - KAIS'!G20))+(COUNTIF('W3'!$G$7:$G$50,'HMZ - KAIS'!G20))+(COUNTIF('ATHIS MONS'!$G$7:$G$50,'HMZ - KAIS'!G20))+(COUNTIF('L HAY LES ROSES'!$G$7:$G$50,'HMZ - KAIS'!G20))+(COUNTIF(RUNGIS!$G$7:$G$50,'HMZ - KAIS'!G20))+(COUNTIF(SCEAUX!$G$7:$G$50,'HMZ - KAIS'!G20))+(COUNTIF('INSTANCE C1'!$G$7:$G$50,'HMZ - KAIS'!G20))+(COUNTIF('INSTANCE C2'!$G$7:$G$50,'HMZ - KAIS'!G20))+(COUNTIF(INTERNES!$G$7:$G$50,'HMZ - KAIS'!G20))+(COUNTIF('EN PANNE'!$G$7:$G$50,'HMZ - KAIS'!G20))+(COUNTIF(TJM!$G$7:$G$50,'HMZ - KAIS'!G20))-I20</f>
        <v>0</v>
      </c>
      <c r="I20" s="23">
        <f>(COUNTIF('2S EXPRESS'!$A$7:$A$50,'HMZ - KAIS'!G20))+(COUNTIF('2 ZT'!$A$7:$A$50,'HMZ - KAIS'!G20))+(COUNTIF('GO TRANSPORT'!$A$7:$A$50,'HMZ - KAIS'!G20))+(COUNTIF('HMZ - KAIS'!$A$7:$A$50,'HMZ - KAIS'!G20))+(COUNTIF('IB TRANSPORT'!$A$7:$A$50,'HMZ - KAIS'!G20))+(COUNTIF(JSL!$A$7:$A$50,'HMZ - KAIS'!G20))+(COUNTIF(KIFAITOUT!$A$7:$A$50,'HMZ - KAIS'!G20))+(COUNTIF('LUXE DRIVE'!$A$7:$A$50,'HMZ - KAIS'!G20))+(COUNTIF(SSN!$A$7:$A$50,'HMZ - KAIS'!G20))+(COUNTIF('W3'!$A$7:$A$50,'HMZ - KAIS'!G20))+(COUNTIF('ATHIS MONS'!$A$7:$A$50,'HMZ - KAIS'!G20))+(COUNTIF('L HAY LES ROSES'!$A$7:$A$50,'HMZ - KAIS'!G20))+(COUNTIF(RUNGIS!$A$7:$A$50,'HMZ - KAIS'!G20))+(COUNTIF(SCEAUX!$A$7:$A$50,'HMZ - KAIS'!G20))+(COUNTIF('INSTANCE C1'!$A$7:$A$50,'HMZ - KAIS'!G20))+(COUNTIF('INSTANCE C2'!$A$7:$A$50,'HMZ - KAIS'!G20))+(COUNTIF(INTERNES!$A$7:$A$50,'HMZ - KAIS'!G20))+(COUNTIF('EN PANNE'!$A$7:$A$50,'HMZ - KAIS'!G20))+(COUNTIF(TJM!$A$7:$A$50,'HMZ - KAIS'!G20))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R20" s="50"/>
      <c r="S20" s="60">
        <f t="shared" si="1"/>
        <v>0</v>
      </c>
      <c r="T20" s="67">
        <f t="shared" si="2"/>
        <v>0</v>
      </c>
      <c r="U20" s="50"/>
    </row>
    <row r="21" spans="1:21" ht="24.95" customHeight="1" x14ac:dyDescent="0.2">
      <c r="A21" s="20"/>
      <c r="B21" s="23">
        <f>(COUNTIF('2S EXPRESS'!$A$7:$A$50,'HMZ - KAIS'!A21))+(COUNTIF('2 ZT'!$A$7:$A$50,'HMZ - KAIS'!A21))+(COUNTIF('GO TRANSPORT'!$A$7:$A$50,'HMZ - KAIS'!A21))+(COUNTIF('HMZ - KAIS'!$A$7:$A$50,'HMZ - KAIS'!A21))+(COUNTIF('IB TRANSPORT'!$A$7:$A$50,'HMZ - KAIS'!A21))+(COUNTIF(JSL!$A$7:$A$50,'HMZ - KAIS'!A21))+(COUNTIF(KIFAITOUT!$A$7:$A$50,'HMZ - KAIS'!A21))+(COUNTIF('LUXE DRIVE'!$A$7:$A$50,'HMZ - KAIS'!A21))+(COUNTIF(SSN!$A$7:$A$50,'HMZ - KAIS'!A21))+(COUNTIF('W3'!$A$7:$A$50,'HMZ - KAIS'!A21))+(COUNTIF('ATHIS MONS'!$A$7:$A$50,'HMZ - KAIS'!A21))+(COUNTIF('L HAY LES ROSES'!$A$7:$A$50,'HMZ - KAIS'!A21))+(COUNTIF(RUNGIS!$A$7:$A$50,'HMZ - KAIS'!A21))+(COUNTIF(SCEAUX!$A$7:$A$50,'HMZ - KAIS'!A21))+(COUNTIF('INSTANCE C1'!$A$7:$A$50,'HMZ - KAIS'!A21))+(COUNTIF('INSTANCE C2'!$A$7:$A$50,'HMZ - KAIS'!A21))+(COUNTIF(INTERNES!$A$7:$A$50,'HMZ - KAIS'!A21))+(COUNTIF('EN PANNE'!$A$7:$A$50,'HMZ - KAIS'!A21))+(COUNTIF(TJM!$A$7:$A$50,'HMZ - KAIS'!A21))-C21</f>
        <v>0</v>
      </c>
      <c r="C21" s="23">
        <f>(COUNTIF('2S EXPRESS'!$G$7:$G$50,'HMZ - KAIS'!A21))+(COUNTIF('2 ZT'!$G$7:$G$50,'HMZ - KAIS'!A21))+(COUNTIF('GO TRANSPORT'!$G$7:$G$50,'HMZ - KAIS'!A21))+(COUNTIF('HMZ - KAIS'!$G$7:$G$50,'HMZ - KAIS'!A21))+(COUNTIF('IB TRANSPORT'!$G$7:$G$50,'HMZ - KAIS'!A21))+(COUNTIF(JSL!$G$7:$G$50,'HMZ - KAIS'!A21))+(COUNTIF(KIFAITOUT!$G$7:$G$50,'HMZ - KAIS'!A21))+(COUNTIF('LUXE DRIVE'!$G$7:$G$50,'HMZ - KAIS'!A21))+(COUNTIF(SSN!$G$7:$G$50,'HMZ - KAIS'!A21))+(COUNTIF('W3'!$G$7:$G$50,'HMZ - KAIS'!A21))+(COUNTIF('ATHIS MONS'!$G$7:$G$50,'HMZ - KAIS'!A21))+(COUNTIF('L HAY LES ROSES'!$G$7:$G$50,'HMZ - KAIS'!A21))+(COUNTIF(RUNGIS!$G$7:$G$50,'HMZ - KAIS'!A21))+(COUNTIF(SCEAUX!$G$7:$G$50,'HMZ - KAIS'!A21))+(COUNTIF('INSTANCE C1'!$G$7:$G$50,'HMZ - KAIS'!A21))+(COUNTIF('INSTANCE C2'!$G$7:$G$50,'HMZ - KAIS'!A21))+(COUNTIF(INTERNES!$G$7:$G$50,'HMZ - KAIS'!A21))+(COUNTIF('EN PANNE'!$G$7:$G$50,'HMZ - KAIS'!A21))+(COUNTIF(TJM!$G$7:$G$50,'HMZ - KAIS'!A21))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EXPRESS'!$G$7:$G$50,'HMZ - KAIS'!G21))+(COUNTIF('2 ZT'!$G$7:$G$50,'HMZ - KAIS'!G21))+(COUNTIF('GO TRANSPORT'!$G$7:$G$50,'HMZ - KAIS'!G21))+(COUNTIF('HMZ - KAIS'!$G$7:$G$50,'HMZ - KAIS'!G21))+(COUNTIF('IB TRANSPORT'!$G$7:$G$50,'HMZ - KAIS'!G21))+(COUNTIF(JSL!$G$7:$G$50,'HMZ - KAIS'!G21))+(COUNTIF(KIFAITOUT!$G$7:$G$50,'HMZ - KAIS'!G21))+(COUNTIF('LUXE DRIVE'!$G$7:$G$50,'HMZ - KAIS'!G21))+(COUNTIF(SSN!$G$7:$G$50,'HMZ - KAIS'!G21))+(COUNTIF('W3'!$G$7:$G$50,'HMZ - KAIS'!G21))+(COUNTIF('ATHIS MONS'!$G$7:$G$50,'HMZ - KAIS'!G21))+(COUNTIF('L HAY LES ROSES'!$G$7:$G$50,'HMZ - KAIS'!G21))+(COUNTIF(RUNGIS!$G$7:$G$50,'HMZ - KAIS'!G21))+(COUNTIF(SCEAUX!$G$7:$G$50,'HMZ - KAIS'!G21))+(COUNTIF('INSTANCE C1'!$G$7:$G$50,'HMZ - KAIS'!G21))+(COUNTIF('INSTANCE C2'!$G$7:$G$50,'HMZ - KAIS'!G21))+(COUNTIF(INTERNES!$G$7:$G$50,'HMZ - KAIS'!G21))+(COUNTIF('EN PANNE'!$G$7:$G$50,'HMZ - KAIS'!G21))+(COUNTIF(TJM!$G$7:$G$50,'HMZ - KAIS'!G21))-I21</f>
        <v>0</v>
      </c>
      <c r="I21" s="23">
        <f>(COUNTIF('2S EXPRESS'!$A$7:$A$50,'HMZ - KAIS'!G21))+(COUNTIF('2 ZT'!$A$7:$A$50,'HMZ - KAIS'!G21))+(COUNTIF('GO TRANSPORT'!$A$7:$A$50,'HMZ - KAIS'!G21))+(COUNTIF('HMZ - KAIS'!$A$7:$A$50,'HMZ - KAIS'!G21))+(COUNTIF('IB TRANSPORT'!$A$7:$A$50,'HMZ - KAIS'!G21))+(COUNTIF(JSL!$A$7:$A$50,'HMZ - KAIS'!G21))+(COUNTIF(KIFAITOUT!$A$7:$A$50,'HMZ - KAIS'!G21))+(COUNTIF('LUXE DRIVE'!$A$7:$A$50,'HMZ - KAIS'!G21))+(COUNTIF(SSN!$A$7:$A$50,'HMZ - KAIS'!G21))+(COUNTIF('W3'!$A$7:$A$50,'HMZ - KAIS'!G21))+(COUNTIF('ATHIS MONS'!$A$7:$A$50,'HMZ - KAIS'!G21))+(COUNTIF('L HAY LES ROSES'!$A$7:$A$50,'HMZ - KAIS'!G21))+(COUNTIF(RUNGIS!$A$7:$A$50,'HMZ - KAIS'!G21))+(COUNTIF(SCEAUX!$A$7:$A$50,'HMZ - KAIS'!G21))+(COUNTIF('INSTANCE C1'!$A$7:$A$50,'HMZ - KAIS'!G21))+(COUNTIF('INSTANCE C2'!$A$7:$A$50,'HMZ - KAIS'!G21))+(COUNTIF(INTERNES!$A$7:$A$50,'HMZ - KAIS'!G21))+(COUNTIF('EN PANNE'!$A$7:$A$50,'HMZ - KAIS'!G21))+(COUNTIF(TJM!$A$7:$A$50,'HMZ - KAIS'!G21))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R21" s="50"/>
      <c r="S21" s="60">
        <f t="shared" si="1"/>
        <v>0</v>
      </c>
      <c r="T21" s="67">
        <f t="shared" si="2"/>
        <v>0</v>
      </c>
      <c r="U21" s="50"/>
    </row>
    <row r="22" spans="1:21" ht="24.95" customHeight="1" x14ac:dyDescent="0.2">
      <c r="A22" s="20"/>
      <c r="B22" s="23">
        <f>(COUNTIF('2S EXPRESS'!$A$7:$A$50,'HMZ - KAIS'!A22))+(COUNTIF('2 ZT'!$A$7:$A$50,'HMZ - KAIS'!A22))+(COUNTIF('GO TRANSPORT'!$A$7:$A$50,'HMZ - KAIS'!A22))+(COUNTIF('HMZ - KAIS'!$A$7:$A$50,'HMZ - KAIS'!A22))+(COUNTIF('IB TRANSPORT'!$A$7:$A$50,'HMZ - KAIS'!A22))+(COUNTIF(JSL!$A$7:$A$50,'HMZ - KAIS'!A22))+(COUNTIF(KIFAITOUT!$A$7:$A$50,'HMZ - KAIS'!A22))+(COUNTIF('LUXE DRIVE'!$A$7:$A$50,'HMZ - KAIS'!A22))+(COUNTIF(SSN!$A$7:$A$50,'HMZ - KAIS'!A22))+(COUNTIF('W3'!$A$7:$A$50,'HMZ - KAIS'!A22))+(COUNTIF('ATHIS MONS'!$A$7:$A$50,'HMZ - KAIS'!A22))+(COUNTIF('L HAY LES ROSES'!$A$7:$A$50,'HMZ - KAIS'!A22))+(COUNTIF(RUNGIS!$A$7:$A$50,'HMZ - KAIS'!A22))+(COUNTIF(SCEAUX!$A$7:$A$50,'HMZ - KAIS'!A22))+(COUNTIF('INSTANCE C1'!$A$7:$A$50,'HMZ - KAIS'!A22))+(COUNTIF('INSTANCE C2'!$A$7:$A$50,'HMZ - KAIS'!A22))+(COUNTIF(INTERNES!$A$7:$A$50,'HMZ - KAIS'!A22))+(COUNTIF('EN PANNE'!$A$7:$A$50,'HMZ - KAIS'!A22))+(COUNTIF(TJM!$A$7:$A$50,'HMZ - KAIS'!A22))-C22</f>
        <v>0</v>
      </c>
      <c r="C22" s="23">
        <f>(COUNTIF('2S EXPRESS'!$G$7:$G$50,'HMZ - KAIS'!A22))+(COUNTIF('2 ZT'!$G$7:$G$50,'HMZ - KAIS'!A22))+(COUNTIF('GO TRANSPORT'!$G$7:$G$50,'HMZ - KAIS'!A22))+(COUNTIF('HMZ - KAIS'!$G$7:$G$50,'HMZ - KAIS'!A22))+(COUNTIF('IB TRANSPORT'!$G$7:$G$50,'HMZ - KAIS'!A22))+(COUNTIF(JSL!$G$7:$G$50,'HMZ - KAIS'!A22))+(COUNTIF(KIFAITOUT!$G$7:$G$50,'HMZ - KAIS'!A22))+(COUNTIF('LUXE DRIVE'!$G$7:$G$50,'HMZ - KAIS'!A22))+(COUNTIF(SSN!$G$7:$G$50,'HMZ - KAIS'!A22))+(COUNTIF('W3'!$G$7:$G$50,'HMZ - KAIS'!A22))+(COUNTIF('ATHIS MONS'!$G$7:$G$50,'HMZ - KAIS'!A22))+(COUNTIF('L HAY LES ROSES'!$G$7:$G$50,'HMZ - KAIS'!A22))+(COUNTIF(RUNGIS!$G$7:$G$50,'HMZ - KAIS'!A22))+(COUNTIF(SCEAUX!$G$7:$G$50,'HMZ - KAIS'!A22))+(COUNTIF('INSTANCE C1'!$G$7:$G$50,'HMZ - KAIS'!A22))+(COUNTIF('INSTANCE C2'!$G$7:$G$50,'HMZ - KAIS'!A22))+(COUNTIF(INTERNES!$G$7:$G$50,'HMZ - KAIS'!A22))+(COUNTIF('EN PANNE'!$G$7:$G$50,'HMZ - KAIS'!A22))+(COUNTIF(TJM!$G$7:$G$50,'HMZ - KAIS'!A22))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EXPRESS'!$G$7:$G$50,'HMZ - KAIS'!G22))+(COUNTIF('2 ZT'!$G$7:$G$50,'HMZ - KAIS'!G22))+(COUNTIF('GO TRANSPORT'!$G$7:$G$50,'HMZ - KAIS'!G22))+(COUNTIF('HMZ - KAIS'!$G$7:$G$50,'HMZ - KAIS'!G22))+(COUNTIF('IB TRANSPORT'!$G$7:$G$50,'HMZ - KAIS'!G22))+(COUNTIF(JSL!$G$7:$G$50,'HMZ - KAIS'!G22))+(COUNTIF(KIFAITOUT!$G$7:$G$50,'HMZ - KAIS'!G22))+(COUNTIF('LUXE DRIVE'!$G$7:$G$50,'HMZ - KAIS'!G22))+(COUNTIF(SSN!$G$7:$G$50,'HMZ - KAIS'!G22))+(COUNTIF('W3'!$G$7:$G$50,'HMZ - KAIS'!G22))+(COUNTIF('ATHIS MONS'!$G$7:$G$50,'HMZ - KAIS'!G22))+(COUNTIF('L HAY LES ROSES'!$G$7:$G$50,'HMZ - KAIS'!G22))+(COUNTIF(RUNGIS!$G$7:$G$50,'HMZ - KAIS'!G22))+(COUNTIF(SCEAUX!$G$7:$G$50,'HMZ - KAIS'!G22))+(COUNTIF('INSTANCE C1'!$G$7:$G$50,'HMZ - KAIS'!G22))+(COUNTIF('INSTANCE C2'!$G$7:$G$50,'HMZ - KAIS'!G22))+(COUNTIF(INTERNES!$G$7:$G$50,'HMZ - KAIS'!G22))+(COUNTIF('EN PANNE'!$G$7:$G$50,'HMZ - KAIS'!G22))+(COUNTIF(TJM!$G$7:$G$50,'HMZ - KAIS'!G22))-I22</f>
        <v>0</v>
      </c>
      <c r="I22" s="23">
        <f>(COUNTIF('2S EXPRESS'!$A$7:$A$50,'HMZ - KAIS'!G22))+(COUNTIF('2 ZT'!$A$7:$A$50,'HMZ - KAIS'!G22))+(COUNTIF('GO TRANSPORT'!$A$7:$A$50,'HMZ - KAIS'!G22))+(COUNTIF('HMZ - KAIS'!$A$7:$A$50,'HMZ - KAIS'!G22))+(COUNTIF('IB TRANSPORT'!$A$7:$A$50,'HMZ - KAIS'!G22))+(COUNTIF(JSL!$A$7:$A$50,'HMZ - KAIS'!G22))+(COUNTIF(KIFAITOUT!$A$7:$A$50,'HMZ - KAIS'!G22))+(COUNTIF('LUXE DRIVE'!$A$7:$A$50,'HMZ - KAIS'!G22))+(COUNTIF(SSN!$A$7:$A$50,'HMZ - KAIS'!G22))+(COUNTIF('W3'!$A$7:$A$50,'HMZ - KAIS'!G22))+(COUNTIF('ATHIS MONS'!$A$7:$A$50,'HMZ - KAIS'!G22))+(COUNTIF('L HAY LES ROSES'!$A$7:$A$50,'HMZ - KAIS'!G22))+(COUNTIF(RUNGIS!$A$7:$A$50,'HMZ - KAIS'!G22))+(COUNTIF(SCEAUX!$A$7:$A$50,'HMZ - KAIS'!G22))+(COUNTIF('INSTANCE C1'!$A$7:$A$50,'HMZ - KAIS'!G22))+(COUNTIF('INSTANCE C2'!$A$7:$A$50,'HMZ - KAIS'!G22))+(COUNTIF(INTERNES!$A$7:$A$50,'HMZ - KAIS'!G22))+(COUNTIF('EN PANNE'!$A$7:$A$50,'HMZ - KAIS'!G22))+(COUNTIF(TJM!$A$7:$A$50,'HMZ - KAIS'!G22))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R22" s="50"/>
      <c r="S22" s="60">
        <f t="shared" si="1"/>
        <v>0</v>
      </c>
      <c r="T22" s="67">
        <f t="shared" si="2"/>
        <v>0</v>
      </c>
      <c r="U22" s="50"/>
    </row>
    <row r="23" spans="1:21" ht="24.95" customHeight="1" x14ac:dyDescent="0.2">
      <c r="A23" s="20"/>
      <c r="B23" s="23">
        <f>(COUNTIF('2S EXPRESS'!$A$7:$A$50,'HMZ - KAIS'!A23))+(COUNTIF('2 ZT'!$A$7:$A$50,'HMZ - KAIS'!A23))+(COUNTIF('GO TRANSPORT'!$A$7:$A$50,'HMZ - KAIS'!A23))+(COUNTIF('HMZ - KAIS'!$A$7:$A$50,'HMZ - KAIS'!A23))+(COUNTIF('IB TRANSPORT'!$A$7:$A$50,'HMZ - KAIS'!A23))+(COUNTIF(JSL!$A$7:$A$50,'HMZ - KAIS'!A23))+(COUNTIF(KIFAITOUT!$A$7:$A$50,'HMZ - KAIS'!A23))+(COUNTIF('LUXE DRIVE'!$A$7:$A$50,'HMZ - KAIS'!A23))+(COUNTIF(SSN!$A$7:$A$50,'HMZ - KAIS'!A23))+(COUNTIF('W3'!$A$7:$A$50,'HMZ - KAIS'!A23))+(COUNTIF('ATHIS MONS'!$A$7:$A$50,'HMZ - KAIS'!A23))+(COUNTIF('L HAY LES ROSES'!$A$7:$A$50,'HMZ - KAIS'!A23))+(COUNTIF(RUNGIS!$A$7:$A$50,'HMZ - KAIS'!A23))+(COUNTIF(SCEAUX!$A$7:$A$50,'HMZ - KAIS'!A23))+(COUNTIF('INSTANCE C1'!$A$7:$A$50,'HMZ - KAIS'!A23))+(COUNTIF('INSTANCE C2'!$A$7:$A$50,'HMZ - KAIS'!A23))+(COUNTIF(INTERNES!$A$7:$A$50,'HMZ - KAIS'!A23))+(COUNTIF('EN PANNE'!$A$7:$A$50,'HMZ - KAIS'!A23))+(COUNTIF(TJM!$A$7:$A$50,'HMZ - KAIS'!A23))-C23</f>
        <v>0</v>
      </c>
      <c r="C23" s="23">
        <f>(COUNTIF('2S EXPRESS'!$G$7:$G$50,'HMZ - KAIS'!A23))+(COUNTIF('2 ZT'!$G$7:$G$50,'HMZ - KAIS'!A23))+(COUNTIF('GO TRANSPORT'!$G$7:$G$50,'HMZ - KAIS'!A23))+(COUNTIF('HMZ - KAIS'!$G$7:$G$50,'HMZ - KAIS'!A23))+(COUNTIF('IB TRANSPORT'!$G$7:$G$50,'HMZ - KAIS'!A23))+(COUNTIF(JSL!$G$7:$G$50,'HMZ - KAIS'!A23))+(COUNTIF(KIFAITOUT!$G$7:$G$50,'HMZ - KAIS'!A23))+(COUNTIF('LUXE DRIVE'!$G$7:$G$50,'HMZ - KAIS'!A23))+(COUNTIF(SSN!$G$7:$G$50,'HMZ - KAIS'!A23))+(COUNTIF('W3'!$G$7:$G$50,'HMZ - KAIS'!A23))+(COUNTIF('ATHIS MONS'!$G$7:$G$50,'HMZ - KAIS'!A23))+(COUNTIF('L HAY LES ROSES'!$G$7:$G$50,'HMZ - KAIS'!A23))+(COUNTIF(RUNGIS!$G$7:$G$50,'HMZ - KAIS'!A23))+(COUNTIF(SCEAUX!$G$7:$G$50,'HMZ - KAIS'!A23))+(COUNTIF('INSTANCE C1'!$G$7:$G$50,'HMZ - KAIS'!A23))+(COUNTIF('INSTANCE C2'!$G$7:$G$50,'HMZ - KAIS'!A23))+(COUNTIF(INTERNES!$G$7:$G$50,'HMZ - KAIS'!A23))+(COUNTIF('EN PANNE'!$G$7:$G$50,'HMZ - KAIS'!A23))+(COUNTIF(TJM!$G$7:$G$50,'HMZ - KAIS'!A23))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EXPRESS'!$G$7:$G$50,'HMZ - KAIS'!G23))+(COUNTIF('2 ZT'!$G$7:$G$50,'HMZ - KAIS'!G23))+(COUNTIF('GO TRANSPORT'!$G$7:$G$50,'HMZ - KAIS'!G23))+(COUNTIF('HMZ - KAIS'!$G$7:$G$50,'HMZ - KAIS'!G23))+(COUNTIF('IB TRANSPORT'!$G$7:$G$50,'HMZ - KAIS'!G23))+(COUNTIF(JSL!$G$7:$G$50,'HMZ - KAIS'!G23))+(COUNTIF(KIFAITOUT!$G$7:$G$50,'HMZ - KAIS'!G23))+(COUNTIF('LUXE DRIVE'!$G$7:$G$50,'HMZ - KAIS'!G23))+(COUNTIF(SSN!$G$7:$G$50,'HMZ - KAIS'!G23))+(COUNTIF('W3'!$G$7:$G$50,'HMZ - KAIS'!G23))+(COUNTIF('ATHIS MONS'!$G$7:$G$50,'HMZ - KAIS'!G23))+(COUNTIF('L HAY LES ROSES'!$G$7:$G$50,'HMZ - KAIS'!G23))+(COUNTIF(RUNGIS!$G$7:$G$50,'HMZ - KAIS'!G23))+(COUNTIF(SCEAUX!$G$7:$G$50,'HMZ - KAIS'!G23))+(COUNTIF('INSTANCE C1'!$G$7:$G$50,'HMZ - KAIS'!G23))+(COUNTIF('INSTANCE C2'!$G$7:$G$50,'HMZ - KAIS'!G23))+(COUNTIF(INTERNES!$G$7:$G$50,'HMZ - KAIS'!G23))+(COUNTIF('EN PANNE'!$G$7:$G$50,'HMZ - KAIS'!G23))+(COUNTIF(TJM!$G$7:$G$50,'HMZ - KAIS'!G23))-I23</f>
        <v>0</v>
      </c>
      <c r="I23" s="23">
        <f>(COUNTIF('2S EXPRESS'!$A$7:$A$50,'HMZ - KAIS'!G23))+(COUNTIF('2 ZT'!$A$7:$A$50,'HMZ - KAIS'!G23))+(COUNTIF('GO TRANSPORT'!$A$7:$A$50,'HMZ - KAIS'!G23))+(COUNTIF('HMZ - KAIS'!$A$7:$A$50,'HMZ - KAIS'!G23))+(COUNTIF('IB TRANSPORT'!$A$7:$A$50,'HMZ - KAIS'!G23))+(COUNTIF(JSL!$A$7:$A$50,'HMZ - KAIS'!G23))+(COUNTIF(KIFAITOUT!$A$7:$A$50,'HMZ - KAIS'!G23))+(COUNTIF('LUXE DRIVE'!$A$7:$A$50,'HMZ - KAIS'!G23))+(COUNTIF(SSN!$A$7:$A$50,'HMZ - KAIS'!G23))+(COUNTIF('W3'!$A$7:$A$50,'HMZ - KAIS'!G23))+(COUNTIF('ATHIS MONS'!$A$7:$A$50,'HMZ - KAIS'!G23))+(COUNTIF('L HAY LES ROSES'!$A$7:$A$50,'HMZ - KAIS'!G23))+(COUNTIF(RUNGIS!$A$7:$A$50,'HMZ - KAIS'!G23))+(COUNTIF(SCEAUX!$A$7:$A$50,'HMZ - KAIS'!G23))+(COUNTIF('INSTANCE C1'!$A$7:$A$50,'HMZ - KAIS'!G23))+(COUNTIF('INSTANCE C2'!$A$7:$A$50,'HMZ - KAIS'!G23))+(COUNTIF(INTERNES!$A$7:$A$50,'HMZ - KAIS'!G23))+(COUNTIF('EN PANNE'!$A$7:$A$50,'HMZ - KAIS'!G23))+(COUNTIF(TJM!$A$7:$A$50,'HMZ - KAIS'!G23))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R23" s="50"/>
      <c r="S23" s="60">
        <f t="shared" si="1"/>
        <v>0</v>
      </c>
      <c r="T23" s="67">
        <f t="shared" si="2"/>
        <v>0</v>
      </c>
      <c r="U23" s="50"/>
    </row>
    <row r="24" spans="1:21" ht="24.95" customHeight="1" x14ac:dyDescent="0.2">
      <c r="A24" s="20"/>
      <c r="B24" s="23">
        <f>(COUNTIF('2S EXPRESS'!$A$7:$A$50,'HMZ - KAIS'!A24))+(COUNTIF('2 ZT'!$A$7:$A$50,'HMZ - KAIS'!A24))+(COUNTIF('GO TRANSPORT'!$A$7:$A$50,'HMZ - KAIS'!A24))+(COUNTIF('HMZ - KAIS'!$A$7:$A$50,'HMZ - KAIS'!A24))+(COUNTIF('IB TRANSPORT'!$A$7:$A$50,'HMZ - KAIS'!A24))+(COUNTIF(JSL!$A$7:$A$50,'HMZ - KAIS'!A24))+(COUNTIF(KIFAITOUT!$A$7:$A$50,'HMZ - KAIS'!A24))+(COUNTIF('LUXE DRIVE'!$A$7:$A$50,'HMZ - KAIS'!A24))+(COUNTIF(SSN!$A$7:$A$50,'HMZ - KAIS'!A24))+(COUNTIF('W3'!$A$7:$A$50,'HMZ - KAIS'!A24))+(COUNTIF('ATHIS MONS'!$A$7:$A$50,'HMZ - KAIS'!A24))+(COUNTIF('L HAY LES ROSES'!$A$7:$A$50,'HMZ - KAIS'!A24))+(COUNTIF(RUNGIS!$A$7:$A$50,'HMZ - KAIS'!A24))+(COUNTIF(SCEAUX!$A$7:$A$50,'HMZ - KAIS'!A24))+(COUNTIF('INSTANCE C1'!$A$7:$A$50,'HMZ - KAIS'!A24))+(COUNTIF('INSTANCE C2'!$A$7:$A$50,'HMZ - KAIS'!A24))+(COUNTIF(INTERNES!$A$7:$A$50,'HMZ - KAIS'!A24))+(COUNTIF('EN PANNE'!$A$7:$A$50,'HMZ - KAIS'!A24))+(COUNTIF(TJM!$A$7:$A$50,'HMZ - KAIS'!A24))-C24</f>
        <v>0</v>
      </c>
      <c r="C24" s="23">
        <f>(COUNTIF('2S EXPRESS'!$G$7:$G$50,'HMZ - KAIS'!A24))+(COUNTIF('2 ZT'!$G$7:$G$50,'HMZ - KAIS'!A24))+(COUNTIF('GO TRANSPORT'!$G$7:$G$50,'HMZ - KAIS'!A24))+(COUNTIF('HMZ - KAIS'!$G$7:$G$50,'HMZ - KAIS'!A24))+(COUNTIF('IB TRANSPORT'!$G$7:$G$50,'HMZ - KAIS'!A24))+(COUNTIF(JSL!$G$7:$G$50,'HMZ - KAIS'!A24))+(COUNTIF(KIFAITOUT!$G$7:$G$50,'HMZ - KAIS'!A24))+(COUNTIF('LUXE DRIVE'!$G$7:$G$50,'HMZ - KAIS'!A24))+(COUNTIF(SSN!$G$7:$G$50,'HMZ - KAIS'!A24))+(COUNTIF('W3'!$G$7:$G$50,'HMZ - KAIS'!A24))+(COUNTIF('ATHIS MONS'!$G$7:$G$50,'HMZ - KAIS'!A24))+(COUNTIF('L HAY LES ROSES'!$G$7:$G$50,'HMZ - KAIS'!A24))+(COUNTIF(RUNGIS!$G$7:$G$50,'HMZ - KAIS'!A24))+(COUNTIF(SCEAUX!$G$7:$G$50,'HMZ - KAIS'!A24))+(COUNTIF('INSTANCE C1'!$G$7:$G$50,'HMZ - KAIS'!A24))+(COUNTIF('INSTANCE C2'!$G$7:$G$50,'HMZ - KAIS'!A24))+(COUNTIF(INTERNES!$G$7:$G$50,'HMZ - KAIS'!A24))+(COUNTIF('EN PANNE'!$G$7:$G$50,'HMZ - KAIS'!A24))+(COUNTIF(TJM!$G$7:$G$50,'HMZ - KAIS'!A24))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EXPRESS'!$G$7:$G$50,'HMZ - KAIS'!G24))+(COUNTIF('2 ZT'!$G$7:$G$50,'HMZ - KAIS'!G24))+(COUNTIF('GO TRANSPORT'!$G$7:$G$50,'HMZ - KAIS'!G24))+(COUNTIF('HMZ - KAIS'!$G$7:$G$50,'HMZ - KAIS'!G24))+(COUNTIF('IB TRANSPORT'!$G$7:$G$50,'HMZ - KAIS'!G24))+(COUNTIF(JSL!$G$7:$G$50,'HMZ - KAIS'!G24))+(COUNTIF(KIFAITOUT!$G$7:$G$50,'HMZ - KAIS'!G24))+(COUNTIF('LUXE DRIVE'!$G$7:$G$50,'HMZ - KAIS'!G24))+(COUNTIF(SSN!$G$7:$G$50,'HMZ - KAIS'!G24))+(COUNTIF('W3'!$G$7:$G$50,'HMZ - KAIS'!G24))+(COUNTIF('ATHIS MONS'!$G$7:$G$50,'HMZ - KAIS'!G24))+(COUNTIF('L HAY LES ROSES'!$G$7:$G$50,'HMZ - KAIS'!G24))+(COUNTIF(RUNGIS!$G$7:$G$50,'HMZ - KAIS'!G24))+(COUNTIF(SCEAUX!$G$7:$G$50,'HMZ - KAIS'!G24))+(COUNTIF('INSTANCE C1'!$G$7:$G$50,'HMZ - KAIS'!G24))+(COUNTIF('INSTANCE C2'!$G$7:$G$50,'HMZ - KAIS'!G24))+(COUNTIF(INTERNES!$G$7:$G$50,'HMZ - KAIS'!G24))+(COUNTIF('EN PANNE'!$G$7:$G$50,'HMZ - KAIS'!G24))+(COUNTIF(TJM!$G$7:$G$50,'HMZ - KAIS'!G24))-I24</f>
        <v>0</v>
      </c>
      <c r="I24" s="23">
        <f>(COUNTIF('2S EXPRESS'!$A$7:$A$50,'HMZ - KAIS'!G24))+(COUNTIF('2 ZT'!$A$7:$A$50,'HMZ - KAIS'!G24))+(COUNTIF('GO TRANSPORT'!$A$7:$A$50,'HMZ - KAIS'!G24))+(COUNTIF('HMZ - KAIS'!$A$7:$A$50,'HMZ - KAIS'!G24))+(COUNTIF('IB TRANSPORT'!$A$7:$A$50,'HMZ - KAIS'!G24))+(COUNTIF(JSL!$A$7:$A$50,'HMZ - KAIS'!G24))+(COUNTIF(KIFAITOUT!$A$7:$A$50,'HMZ - KAIS'!G24))+(COUNTIF('LUXE DRIVE'!$A$7:$A$50,'HMZ - KAIS'!G24))+(COUNTIF(SSN!$A$7:$A$50,'HMZ - KAIS'!G24))+(COUNTIF('W3'!$A$7:$A$50,'HMZ - KAIS'!G24))+(COUNTIF('ATHIS MONS'!$A$7:$A$50,'HMZ - KAIS'!G24))+(COUNTIF('L HAY LES ROSES'!$A$7:$A$50,'HMZ - KAIS'!G24))+(COUNTIF(RUNGIS!$A$7:$A$50,'HMZ - KAIS'!G24))+(COUNTIF(SCEAUX!$A$7:$A$50,'HMZ - KAIS'!G24))+(COUNTIF('INSTANCE C1'!$A$7:$A$50,'HMZ - KAIS'!G24))+(COUNTIF('INSTANCE C2'!$A$7:$A$50,'HMZ - KAIS'!G24))+(COUNTIF(INTERNES!$A$7:$A$50,'HMZ - KAIS'!G24))+(COUNTIF('EN PANNE'!$A$7:$A$50,'HMZ - KAIS'!G24))+(COUNTIF(TJM!$A$7:$A$50,'HMZ - KAIS'!G24))</f>
        <v>0</v>
      </c>
      <c r="J24" s="28">
        <f t="shared" si="4"/>
        <v>0</v>
      </c>
      <c r="K24" s="2"/>
      <c r="L24" s="47"/>
      <c r="R24" s="50"/>
      <c r="S24" s="60">
        <f t="shared" si="1"/>
        <v>0</v>
      </c>
      <c r="T24" s="67">
        <f t="shared" si="2"/>
        <v>0</v>
      </c>
      <c r="U24" s="50"/>
    </row>
    <row r="25" spans="1:21" ht="24.95" customHeight="1" x14ac:dyDescent="0.2">
      <c r="A25" s="20"/>
      <c r="B25" s="23">
        <f>(COUNTIF('2S EXPRESS'!$A$7:$A$50,'HMZ - KAIS'!A25))+(COUNTIF('2 ZT'!$A$7:$A$50,'HMZ - KAIS'!A25))+(COUNTIF('GO TRANSPORT'!$A$7:$A$50,'HMZ - KAIS'!A25))+(COUNTIF('HMZ - KAIS'!$A$7:$A$50,'HMZ - KAIS'!A25))+(COUNTIF('IB TRANSPORT'!$A$7:$A$50,'HMZ - KAIS'!A25))+(COUNTIF(JSL!$A$7:$A$50,'HMZ - KAIS'!A25))+(COUNTIF(KIFAITOUT!$A$7:$A$50,'HMZ - KAIS'!A25))+(COUNTIF('LUXE DRIVE'!$A$7:$A$50,'HMZ - KAIS'!A25))+(COUNTIF(SSN!$A$7:$A$50,'HMZ - KAIS'!A25))+(COUNTIF('W3'!$A$7:$A$50,'HMZ - KAIS'!A25))+(COUNTIF('ATHIS MONS'!$A$7:$A$50,'HMZ - KAIS'!A25))+(COUNTIF('L HAY LES ROSES'!$A$7:$A$50,'HMZ - KAIS'!A25))+(COUNTIF(RUNGIS!$A$7:$A$50,'HMZ - KAIS'!A25))+(COUNTIF(SCEAUX!$A$7:$A$50,'HMZ - KAIS'!A25))+(COUNTIF('INSTANCE C1'!$A$7:$A$50,'HMZ - KAIS'!A25))+(COUNTIF('INSTANCE C2'!$A$7:$A$50,'HMZ - KAIS'!A25))+(COUNTIF(INTERNES!$A$7:$A$50,'HMZ - KAIS'!A25))+(COUNTIF('EN PANNE'!$A$7:$A$50,'HMZ - KAIS'!A25))+(COUNTIF(TJM!$A$7:$A$50,'HMZ - KAIS'!A25))-C25</f>
        <v>0</v>
      </c>
      <c r="C25" s="23">
        <f>(COUNTIF('2S EXPRESS'!$G$7:$G$50,'HMZ - KAIS'!A25))+(COUNTIF('2 ZT'!$G$7:$G$50,'HMZ - KAIS'!A25))+(COUNTIF('GO TRANSPORT'!$G$7:$G$50,'HMZ - KAIS'!A25))+(COUNTIF('HMZ - KAIS'!$G$7:$G$50,'HMZ - KAIS'!A25))+(COUNTIF('IB TRANSPORT'!$G$7:$G$50,'HMZ - KAIS'!A25))+(COUNTIF(JSL!$G$7:$G$50,'HMZ - KAIS'!A25))+(COUNTIF(KIFAITOUT!$G$7:$G$50,'HMZ - KAIS'!A25))+(COUNTIF('LUXE DRIVE'!$G$7:$G$50,'HMZ - KAIS'!A25))+(COUNTIF(SSN!$G$7:$G$50,'HMZ - KAIS'!A25))+(COUNTIF('W3'!$G$7:$G$50,'HMZ - KAIS'!A25))+(COUNTIF('ATHIS MONS'!$G$7:$G$50,'HMZ - KAIS'!A25))+(COUNTIF('L HAY LES ROSES'!$G$7:$G$50,'HMZ - KAIS'!A25))+(COUNTIF(RUNGIS!$G$7:$G$50,'HMZ - KAIS'!A25))+(COUNTIF(SCEAUX!$G$7:$G$50,'HMZ - KAIS'!A25))+(COUNTIF('INSTANCE C1'!$G$7:$G$50,'HMZ - KAIS'!A25))+(COUNTIF('INSTANCE C2'!$G$7:$G$50,'HMZ - KAIS'!A25))+(COUNTIF(INTERNES!$G$7:$G$50,'HMZ - KAIS'!A25))+(COUNTIF('EN PANNE'!$G$7:$G$50,'HMZ - KAIS'!A25))+(COUNTIF(TJM!$G$7:$G$50,'HMZ - KAIS'!A25))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EXPRESS'!$G$7:$G$50,'HMZ - KAIS'!G25))+(COUNTIF('2 ZT'!$G$7:$G$50,'HMZ - KAIS'!G25))+(COUNTIF('GO TRANSPORT'!$G$7:$G$50,'HMZ - KAIS'!G25))+(COUNTIF('HMZ - KAIS'!$G$7:$G$50,'HMZ - KAIS'!G25))+(COUNTIF('IB TRANSPORT'!$G$7:$G$50,'HMZ - KAIS'!G25))+(COUNTIF(JSL!$G$7:$G$50,'HMZ - KAIS'!G25))+(COUNTIF(KIFAITOUT!$G$7:$G$50,'HMZ - KAIS'!G25))+(COUNTIF('LUXE DRIVE'!$G$7:$G$50,'HMZ - KAIS'!G25))+(COUNTIF(SSN!$G$7:$G$50,'HMZ - KAIS'!G25))+(COUNTIF('W3'!$G$7:$G$50,'HMZ - KAIS'!G25))+(COUNTIF('ATHIS MONS'!$G$7:$G$50,'HMZ - KAIS'!G25))+(COUNTIF('L HAY LES ROSES'!$G$7:$G$50,'HMZ - KAIS'!G25))+(COUNTIF(RUNGIS!$G$7:$G$50,'HMZ - KAIS'!G25))+(COUNTIF(SCEAUX!$G$7:$G$50,'HMZ - KAIS'!G25))+(COUNTIF('INSTANCE C1'!$G$7:$G$50,'HMZ - KAIS'!G25))+(COUNTIF('INSTANCE C2'!$G$7:$G$50,'HMZ - KAIS'!G25))+(COUNTIF(INTERNES!$G$7:$G$50,'HMZ - KAIS'!G25))+(COUNTIF('EN PANNE'!$G$7:$G$50,'HMZ - KAIS'!G25))+(COUNTIF(TJM!$G$7:$G$50,'HMZ - KAIS'!G25))-I25</f>
        <v>0</v>
      </c>
      <c r="I25" s="23">
        <f>(COUNTIF('2S EXPRESS'!$A$7:$A$50,'HMZ - KAIS'!G25))+(COUNTIF('2 ZT'!$A$7:$A$50,'HMZ - KAIS'!G25))+(COUNTIF('GO TRANSPORT'!$A$7:$A$50,'HMZ - KAIS'!G25))+(COUNTIF('HMZ - KAIS'!$A$7:$A$50,'HMZ - KAIS'!G25))+(COUNTIF('IB TRANSPORT'!$A$7:$A$50,'HMZ - KAIS'!G25))+(COUNTIF(JSL!$A$7:$A$50,'HMZ - KAIS'!G25))+(COUNTIF(KIFAITOUT!$A$7:$A$50,'HMZ - KAIS'!G25))+(COUNTIF('LUXE DRIVE'!$A$7:$A$50,'HMZ - KAIS'!G25))+(COUNTIF(SSN!$A$7:$A$50,'HMZ - KAIS'!G25))+(COUNTIF('W3'!$A$7:$A$50,'HMZ - KAIS'!G25))+(COUNTIF('ATHIS MONS'!$A$7:$A$50,'HMZ - KAIS'!G25))+(COUNTIF('L HAY LES ROSES'!$A$7:$A$50,'HMZ - KAIS'!G25))+(COUNTIF(RUNGIS!$A$7:$A$50,'HMZ - KAIS'!G25))+(COUNTIF(SCEAUX!$A$7:$A$50,'HMZ - KAIS'!G25))+(COUNTIF('INSTANCE C1'!$A$7:$A$50,'HMZ - KAIS'!G25))+(COUNTIF('INSTANCE C2'!$A$7:$A$50,'HMZ - KAIS'!G25))+(COUNTIF(INTERNES!$A$7:$A$50,'HMZ - KAIS'!G25))+(COUNTIF('EN PANNE'!$A$7:$A$50,'HMZ - KAIS'!G25))+(COUNTIF(TJM!$A$7:$A$50,'HMZ - KAIS'!G25))</f>
        <v>0</v>
      </c>
      <c r="J25" s="28">
        <f t="shared" si="4"/>
        <v>0</v>
      </c>
      <c r="K25" s="2"/>
      <c r="L25" s="47"/>
      <c r="R25" s="50"/>
      <c r="S25" s="60">
        <f t="shared" si="1"/>
        <v>0</v>
      </c>
      <c r="T25" s="67">
        <f t="shared" si="2"/>
        <v>0</v>
      </c>
      <c r="U25" s="50"/>
    </row>
    <row r="26" spans="1:21" ht="24.95" customHeight="1" x14ac:dyDescent="0.2">
      <c r="A26" s="20"/>
      <c r="B26" s="23">
        <f>(COUNTIF('2S EXPRESS'!$A$7:$A$50,'HMZ - KAIS'!A26))+(COUNTIF('2 ZT'!$A$7:$A$50,'HMZ - KAIS'!A26))+(COUNTIF('GO TRANSPORT'!$A$7:$A$50,'HMZ - KAIS'!A26))+(COUNTIF('HMZ - KAIS'!$A$7:$A$50,'HMZ - KAIS'!A26))+(COUNTIF('IB TRANSPORT'!$A$7:$A$50,'HMZ - KAIS'!A26))+(COUNTIF(JSL!$A$7:$A$50,'HMZ - KAIS'!A26))+(COUNTIF(KIFAITOUT!$A$7:$A$50,'HMZ - KAIS'!A26))+(COUNTIF('LUXE DRIVE'!$A$7:$A$50,'HMZ - KAIS'!A26))+(COUNTIF(SSN!$A$7:$A$50,'HMZ - KAIS'!A26))+(COUNTIF('W3'!$A$7:$A$50,'HMZ - KAIS'!A26))+(COUNTIF('ATHIS MONS'!$A$7:$A$50,'HMZ - KAIS'!A26))+(COUNTIF('L HAY LES ROSES'!$A$7:$A$50,'HMZ - KAIS'!A26))+(COUNTIF(RUNGIS!$A$7:$A$50,'HMZ - KAIS'!A26))+(COUNTIF(SCEAUX!$A$7:$A$50,'HMZ - KAIS'!A26))+(COUNTIF('INSTANCE C1'!$A$7:$A$50,'HMZ - KAIS'!A26))+(COUNTIF('INSTANCE C2'!$A$7:$A$50,'HMZ - KAIS'!A26))+(COUNTIF(INTERNES!$A$7:$A$50,'HMZ - KAIS'!A26))+(COUNTIF('EN PANNE'!$A$7:$A$50,'HMZ - KAIS'!A26))+(COUNTIF(TJM!$A$7:$A$50,'HMZ - KAIS'!A26))-C26</f>
        <v>0</v>
      </c>
      <c r="C26" s="23">
        <f>(COUNTIF('2S EXPRESS'!$G$7:$G$50,'HMZ - KAIS'!A26))+(COUNTIF('2 ZT'!$G$7:$G$50,'HMZ - KAIS'!A26))+(COUNTIF('GO TRANSPORT'!$G$7:$G$50,'HMZ - KAIS'!A26))+(COUNTIF('HMZ - KAIS'!$G$7:$G$50,'HMZ - KAIS'!A26))+(COUNTIF('IB TRANSPORT'!$G$7:$G$50,'HMZ - KAIS'!A26))+(COUNTIF(JSL!$G$7:$G$50,'HMZ - KAIS'!A26))+(COUNTIF(KIFAITOUT!$G$7:$G$50,'HMZ - KAIS'!A26))+(COUNTIF('LUXE DRIVE'!$G$7:$G$50,'HMZ - KAIS'!A26))+(COUNTIF(SSN!$G$7:$G$50,'HMZ - KAIS'!A26))+(COUNTIF('W3'!$G$7:$G$50,'HMZ - KAIS'!A26))+(COUNTIF('ATHIS MONS'!$G$7:$G$50,'HMZ - KAIS'!A26))+(COUNTIF('L HAY LES ROSES'!$G$7:$G$50,'HMZ - KAIS'!A26))+(COUNTIF(RUNGIS!$G$7:$G$50,'HMZ - KAIS'!A26))+(COUNTIF(SCEAUX!$G$7:$G$50,'HMZ - KAIS'!A26))+(COUNTIF('INSTANCE C1'!$G$7:$G$50,'HMZ - KAIS'!A26))+(COUNTIF('INSTANCE C2'!$G$7:$G$50,'HMZ - KAIS'!A26))+(COUNTIF(INTERNES!$G$7:$G$50,'HMZ - KAIS'!A26))+(COUNTIF('EN PANNE'!$G$7:$G$50,'HMZ - KAIS'!A26))+(COUNTIF(TJM!$G$7:$G$50,'HMZ - KAIS'!A26))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EXPRESS'!$G$7:$G$50,'HMZ - KAIS'!G26))+(COUNTIF('2 ZT'!$G$7:$G$50,'HMZ - KAIS'!G26))+(COUNTIF('GO TRANSPORT'!$G$7:$G$50,'HMZ - KAIS'!G26))+(COUNTIF('HMZ - KAIS'!$G$7:$G$50,'HMZ - KAIS'!G26))+(COUNTIF('IB TRANSPORT'!$G$7:$G$50,'HMZ - KAIS'!G26))+(COUNTIF(JSL!$G$7:$G$50,'HMZ - KAIS'!G26))+(COUNTIF(KIFAITOUT!$G$7:$G$50,'HMZ - KAIS'!G26))+(COUNTIF('LUXE DRIVE'!$G$7:$G$50,'HMZ - KAIS'!G26))+(COUNTIF(SSN!$G$7:$G$50,'HMZ - KAIS'!G26))+(COUNTIF('W3'!$G$7:$G$50,'HMZ - KAIS'!G26))+(COUNTIF('ATHIS MONS'!$G$7:$G$50,'HMZ - KAIS'!G26))+(COUNTIF('L HAY LES ROSES'!$G$7:$G$50,'HMZ - KAIS'!G26))+(COUNTIF(RUNGIS!$G$7:$G$50,'HMZ - KAIS'!G26))+(COUNTIF(SCEAUX!$G$7:$G$50,'HMZ - KAIS'!G26))+(COUNTIF('INSTANCE C1'!$G$7:$G$50,'HMZ - KAIS'!G26))+(COUNTIF('INSTANCE C2'!$G$7:$G$50,'HMZ - KAIS'!G26))+(COUNTIF(INTERNES!$G$7:$G$50,'HMZ - KAIS'!G26))+(COUNTIF('EN PANNE'!$G$7:$G$50,'HMZ - KAIS'!G26))+(COUNTIF(TJM!$G$7:$G$50,'HMZ - KAIS'!G26))-I26</f>
        <v>0</v>
      </c>
      <c r="I26" s="23">
        <f>(COUNTIF('2S EXPRESS'!$A$7:$A$50,'HMZ - KAIS'!G26))+(COUNTIF('2 ZT'!$A$7:$A$50,'HMZ - KAIS'!G26))+(COUNTIF('GO TRANSPORT'!$A$7:$A$50,'HMZ - KAIS'!G26))+(COUNTIF('HMZ - KAIS'!$A$7:$A$50,'HMZ - KAIS'!G26))+(COUNTIF('IB TRANSPORT'!$A$7:$A$50,'HMZ - KAIS'!G26))+(COUNTIF(JSL!$A$7:$A$50,'HMZ - KAIS'!G26))+(COUNTIF(KIFAITOUT!$A$7:$A$50,'HMZ - KAIS'!G26))+(COUNTIF('LUXE DRIVE'!$A$7:$A$50,'HMZ - KAIS'!G26))+(COUNTIF(SSN!$A$7:$A$50,'HMZ - KAIS'!G26))+(COUNTIF('W3'!$A$7:$A$50,'HMZ - KAIS'!G26))+(COUNTIF('ATHIS MONS'!$A$7:$A$50,'HMZ - KAIS'!G26))+(COUNTIF('L HAY LES ROSES'!$A$7:$A$50,'HMZ - KAIS'!G26))+(COUNTIF(RUNGIS!$A$7:$A$50,'HMZ - KAIS'!G26))+(COUNTIF(SCEAUX!$A$7:$A$50,'HMZ - KAIS'!G26))+(COUNTIF('INSTANCE C1'!$A$7:$A$50,'HMZ - KAIS'!G26))+(COUNTIF('INSTANCE C2'!$A$7:$A$50,'HMZ - KAIS'!G26))+(COUNTIF(INTERNES!$A$7:$A$50,'HMZ - KAIS'!G26))+(COUNTIF('EN PANNE'!$A$7:$A$50,'HMZ - KAIS'!G26))+(COUNTIF(TJM!$A$7:$A$50,'HMZ - KAIS'!G26))</f>
        <v>0</v>
      </c>
      <c r="J26" s="28">
        <f t="shared" si="4"/>
        <v>0</v>
      </c>
      <c r="K26" s="2"/>
      <c r="L26" s="47"/>
      <c r="R26" s="50"/>
      <c r="S26" s="60">
        <f t="shared" si="1"/>
        <v>0</v>
      </c>
      <c r="T26" s="67">
        <f t="shared" si="2"/>
        <v>0</v>
      </c>
      <c r="U26" s="50"/>
    </row>
    <row r="27" spans="1:21" ht="24.95" customHeight="1" x14ac:dyDescent="0.2">
      <c r="A27" s="20"/>
      <c r="B27" s="23">
        <f>(COUNTIF('2S EXPRESS'!$A$7:$A$50,'HMZ - KAIS'!A27))+(COUNTIF('2 ZT'!$A$7:$A$50,'HMZ - KAIS'!A27))+(COUNTIF('GO TRANSPORT'!$A$7:$A$50,'HMZ - KAIS'!A27))+(COUNTIF('HMZ - KAIS'!$A$7:$A$50,'HMZ - KAIS'!A27))+(COUNTIF('IB TRANSPORT'!$A$7:$A$50,'HMZ - KAIS'!A27))+(COUNTIF(JSL!$A$7:$A$50,'HMZ - KAIS'!A27))+(COUNTIF(KIFAITOUT!$A$7:$A$50,'HMZ - KAIS'!A27))+(COUNTIF('LUXE DRIVE'!$A$7:$A$50,'HMZ - KAIS'!A27))+(COUNTIF(SSN!$A$7:$A$50,'HMZ - KAIS'!A27))+(COUNTIF('W3'!$A$7:$A$50,'HMZ - KAIS'!A27))+(COUNTIF('ATHIS MONS'!$A$7:$A$50,'HMZ - KAIS'!A27))+(COUNTIF('L HAY LES ROSES'!$A$7:$A$50,'HMZ - KAIS'!A27))+(COUNTIF(RUNGIS!$A$7:$A$50,'HMZ - KAIS'!A27))+(COUNTIF(SCEAUX!$A$7:$A$50,'HMZ - KAIS'!A27))+(COUNTIF('INSTANCE C1'!$A$7:$A$50,'HMZ - KAIS'!A27))+(COUNTIF('INSTANCE C2'!$A$7:$A$50,'HMZ - KAIS'!A27))+(COUNTIF(INTERNES!$A$7:$A$50,'HMZ - KAIS'!A27))+(COUNTIF('EN PANNE'!$A$7:$A$50,'HMZ - KAIS'!A27))+(COUNTIF(TJM!$A$7:$A$50,'HMZ - KAIS'!A27))-C27</f>
        <v>0</v>
      </c>
      <c r="C27" s="23">
        <f>(COUNTIF('2S EXPRESS'!$G$7:$G$50,'HMZ - KAIS'!A27))+(COUNTIF('2 ZT'!$G$7:$G$50,'HMZ - KAIS'!A27))+(COUNTIF('GO TRANSPORT'!$G$7:$G$50,'HMZ - KAIS'!A27))+(COUNTIF('HMZ - KAIS'!$G$7:$G$50,'HMZ - KAIS'!A27))+(COUNTIF('IB TRANSPORT'!$G$7:$G$50,'HMZ - KAIS'!A27))+(COUNTIF(JSL!$G$7:$G$50,'HMZ - KAIS'!A27))+(COUNTIF(KIFAITOUT!$G$7:$G$50,'HMZ - KAIS'!A27))+(COUNTIF('LUXE DRIVE'!$G$7:$G$50,'HMZ - KAIS'!A27))+(COUNTIF(SSN!$G$7:$G$50,'HMZ - KAIS'!A27))+(COUNTIF('W3'!$G$7:$G$50,'HMZ - KAIS'!A27))+(COUNTIF('ATHIS MONS'!$G$7:$G$50,'HMZ - KAIS'!A27))+(COUNTIF('L HAY LES ROSES'!$G$7:$G$50,'HMZ - KAIS'!A27))+(COUNTIF(RUNGIS!$G$7:$G$50,'HMZ - KAIS'!A27))+(COUNTIF(SCEAUX!$G$7:$G$50,'HMZ - KAIS'!A27))+(COUNTIF('INSTANCE C1'!$G$7:$G$50,'HMZ - KAIS'!A27))+(COUNTIF('INSTANCE C2'!$G$7:$G$50,'HMZ - KAIS'!A27))+(COUNTIF(INTERNES!$G$7:$G$50,'HMZ - KAIS'!A27))+(COUNTIF('EN PANNE'!$G$7:$G$50,'HMZ - KAIS'!A27))+(COUNTIF(TJM!$G$7:$G$50,'HMZ - KAIS'!A27))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EXPRESS'!$G$7:$G$50,'HMZ - KAIS'!G27))+(COUNTIF('2 ZT'!$G$7:$G$50,'HMZ - KAIS'!G27))+(COUNTIF('GO TRANSPORT'!$G$7:$G$50,'HMZ - KAIS'!G27))+(COUNTIF('HMZ - KAIS'!$G$7:$G$50,'HMZ - KAIS'!G27))+(COUNTIF('IB TRANSPORT'!$G$7:$G$50,'HMZ - KAIS'!G27))+(COUNTIF(JSL!$G$7:$G$50,'HMZ - KAIS'!G27))+(COUNTIF(KIFAITOUT!$G$7:$G$50,'HMZ - KAIS'!G27))+(COUNTIF('LUXE DRIVE'!$G$7:$G$50,'HMZ - KAIS'!G27))+(COUNTIF(SSN!$G$7:$G$50,'HMZ - KAIS'!G27))+(COUNTIF('W3'!$G$7:$G$50,'HMZ - KAIS'!G27))+(COUNTIF('ATHIS MONS'!$G$7:$G$50,'HMZ - KAIS'!G27))+(COUNTIF('L HAY LES ROSES'!$G$7:$G$50,'HMZ - KAIS'!G27))+(COUNTIF(RUNGIS!$G$7:$G$50,'HMZ - KAIS'!G27))+(COUNTIF(SCEAUX!$G$7:$G$50,'HMZ - KAIS'!G27))+(COUNTIF('INSTANCE C1'!$G$7:$G$50,'HMZ - KAIS'!G27))+(COUNTIF('INSTANCE C2'!$G$7:$G$50,'HMZ - KAIS'!G27))+(COUNTIF(INTERNES!$G$7:$G$50,'HMZ - KAIS'!G27))+(COUNTIF('EN PANNE'!$G$7:$G$50,'HMZ - KAIS'!G27))+(COUNTIF(TJM!$G$7:$G$50,'HMZ - KAIS'!G27))-I27</f>
        <v>0</v>
      </c>
      <c r="I27" s="23">
        <f>(COUNTIF('2S EXPRESS'!$A$7:$A$50,'HMZ - KAIS'!G27))+(COUNTIF('2 ZT'!$A$7:$A$50,'HMZ - KAIS'!G27))+(COUNTIF('GO TRANSPORT'!$A$7:$A$50,'HMZ - KAIS'!G27))+(COUNTIF('HMZ - KAIS'!$A$7:$A$50,'HMZ - KAIS'!G27))+(COUNTIF('IB TRANSPORT'!$A$7:$A$50,'HMZ - KAIS'!G27))+(COUNTIF(JSL!$A$7:$A$50,'HMZ - KAIS'!G27))+(COUNTIF(KIFAITOUT!$A$7:$A$50,'HMZ - KAIS'!G27))+(COUNTIF('LUXE DRIVE'!$A$7:$A$50,'HMZ - KAIS'!G27))+(COUNTIF(SSN!$A$7:$A$50,'HMZ - KAIS'!G27))+(COUNTIF('W3'!$A$7:$A$50,'HMZ - KAIS'!G27))+(COUNTIF('ATHIS MONS'!$A$7:$A$50,'HMZ - KAIS'!G27))+(COUNTIF('L HAY LES ROSES'!$A$7:$A$50,'HMZ - KAIS'!G27))+(COUNTIF(RUNGIS!$A$7:$A$50,'HMZ - KAIS'!G27))+(COUNTIF(SCEAUX!$A$7:$A$50,'HMZ - KAIS'!G27))+(COUNTIF('INSTANCE C1'!$A$7:$A$50,'HMZ - KAIS'!G27))+(COUNTIF('INSTANCE C2'!$A$7:$A$50,'HMZ - KAIS'!G27))+(COUNTIF(INTERNES!$A$7:$A$50,'HMZ - KAIS'!G27))+(COUNTIF('EN PANNE'!$A$7:$A$50,'HMZ - KAIS'!G27))+(COUNTIF(TJM!$A$7:$A$50,'HMZ - KAIS'!G27))</f>
        <v>0</v>
      </c>
      <c r="J27" s="28">
        <f t="shared" si="4"/>
        <v>0</v>
      </c>
      <c r="K27" s="2"/>
      <c r="L27" s="47"/>
      <c r="R27" s="50"/>
      <c r="S27" s="60">
        <f t="shared" si="1"/>
        <v>0</v>
      </c>
      <c r="T27" s="67">
        <f t="shared" si="2"/>
        <v>0</v>
      </c>
      <c r="U27" s="50"/>
    </row>
    <row r="28" spans="1:21" ht="24.95" customHeight="1" x14ac:dyDescent="0.2">
      <c r="A28" s="20"/>
      <c r="B28" s="23">
        <f>(COUNTIF('2S EXPRESS'!$A$7:$A$50,'HMZ - KAIS'!A28))+(COUNTIF('2 ZT'!$A$7:$A$50,'HMZ - KAIS'!A28))+(COUNTIF('GO TRANSPORT'!$A$7:$A$50,'HMZ - KAIS'!A28))+(COUNTIF('HMZ - KAIS'!$A$7:$A$50,'HMZ - KAIS'!A28))+(COUNTIF('IB TRANSPORT'!$A$7:$A$50,'HMZ - KAIS'!A28))+(COUNTIF(JSL!$A$7:$A$50,'HMZ - KAIS'!A28))+(COUNTIF(KIFAITOUT!$A$7:$A$50,'HMZ - KAIS'!A28))+(COUNTIF('LUXE DRIVE'!$A$7:$A$50,'HMZ - KAIS'!A28))+(COUNTIF(SSN!$A$7:$A$50,'HMZ - KAIS'!A28))+(COUNTIF('W3'!$A$7:$A$50,'HMZ - KAIS'!A28))+(COUNTIF('ATHIS MONS'!$A$7:$A$50,'HMZ - KAIS'!A28))+(COUNTIF('L HAY LES ROSES'!$A$7:$A$50,'HMZ - KAIS'!A28))+(COUNTIF(RUNGIS!$A$7:$A$50,'HMZ - KAIS'!A28))+(COUNTIF(SCEAUX!$A$7:$A$50,'HMZ - KAIS'!A28))+(COUNTIF('INSTANCE C1'!$A$7:$A$50,'HMZ - KAIS'!A28))+(COUNTIF('INSTANCE C2'!$A$7:$A$50,'HMZ - KAIS'!A28))+(COUNTIF(INTERNES!$A$7:$A$50,'HMZ - KAIS'!A28))+(COUNTIF('EN PANNE'!$A$7:$A$50,'HMZ - KAIS'!A28))+(COUNTIF(TJM!$A$7:$A$50,'HMZ - KAIS'!A28))-C28</f>
        <v>0</v>
      </c>
      <c r="C28" s="23">
        <f>(COUNTIF('2S EXPRESS'!$G$7:$G$50,'HMZ - KAIS'!A28))+(COUNTIF('2 ZT'!$G$7:$G$50,'HMZ - KAIS'!A28))+(COUNTIF('GO TRANSPORT'!$G$7:$G$50,'HMZ - KAIS'!A28))+(COUNTIF('HMZ - KAIS'!$G$7:$G$50,'HMZ - KAIS'!A28))+(COUNTIF('IB TRANSPORT'!$G$7:$G$50,'HMZ - KAIS'!A28))+(COUNTIF(JSL!$G$7:$G$50,'HMZ - KAIS'!A28))+(COUNTIF(KIFAITOUT!$G$7:$G$50,'HMZ - KAIS'!A28))+(COUNTIF('LUXE DRIVE'!$G$7:$G$50,'HMZ - KAIS'!A28))+(COUNTIF(SSN!$G$7:$G$50,'HMZ - KAIS'!A28))+(COUNTIF('W3'!$G$7:$G$50,'HMZ - KAIS'!A28))+(COUNTIF('ATHIS MONS'!$G$7:$G$50,'HMZ - KAIS'!A28))+(COUNTIF('L HAY LES ROSES'!$G$7:$G$50,'HMZ - KAIS'!A28))+(COUNTIF(RUNGIS!$G$7:$G$50,'HMZ - KAIS'!A28))+(COUNTIF(SCEAUX!$G$7:$G$50,'HMZ - KAIS'!A28))+(COUNTIF('INSTANCE C1'!$G$7:$G$50,'HMZ - KAIS'!A28))+(COUNTIF('INSTANCE C2'!$G$7:$G$50,'HMZ - KAIS'!A28))+(COUNTIF(INTERNES!$G$7:$G$50,'HMZ - KAIS'!A28))+(COUNTIF('EN PANNE'!$G$7:$G$50,'HMZ - KAIS'!A28))+(COUNTIF(TJM!$G$7:$G$50,'HMZ - KAIS'!A28))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EXPRESS'!$G$7:$G$50,'HMZ - KAIS'!G28))+(COUNTIF('2 ZT'!$G$7:$G$50,'HMZ - KAIS'!G28))+(COUNTIF('GO TRANSPORT'!$G$7:$G$50,'HMZ - KAIS'!G28))+(COUNTIF('HMZ - KAIS'!$G$7:$G$50,'HMZ - KAIS'!G28))+(COUNTIF('IB TRANSPORT'!$G$7:$G$50,'HMZ - KAIS'!G28))+(COUNTIF(JSL!$G$7:$G$50,'HMZ - KAIS'!G28))+(COUNTIF(KIFAITOUT!$G$7:$G$50,'HMZ - KAIS'!G28))+(COUNTIF('LUXE DRIVE'!$G$7:$G$50,'HMZ - KAIS'!G28))+(COUNTIF(SSN!$G$7:$G$50,'HMZ - KAIS'!G28))+(COUNTIF('W3'!$G$7:$G$50,'HMZ - KAIS'!G28))+(COUNTIF('ATHIS MONS'!$G$7:$G$50,'HMZ - KAIS'!G28))+(COUNTIF('L HAY LES ROSES'!$G$7:$G$50,'HMZ - KAIS'!G28))+(COUNTIF(RUNGIS!$G$7:$G$50,'HMZ - KAIS'!G28))+(COUNTIF(SCEAUX!$G$7:$G$50,'HMZ - KAIS'!G28))+(COUNTIF('INSTANCE C1'!$G$7:$G$50,'HMZ - KAIS'!G28))+(COUNTIF('INSTANCE C2'!$G$7:$G$50,'HMZ - KAIS'!G28))+(COUNTIF(INTERNES!$G$7:$G$50,'HMZ - KAIS'!G28))+(COUNTIF('EN PANNE'!$G$7:$G$50,'HMZ - KAIS'!G28))+(COUNTIF(TJM!$G$7:$G$50,'HMZ - KAIS'!G28))-I28</f>
        <v>0</v>
      </c>
      <c r="I28" s="23">
        <f>(COUNTIF('2S EXPRESS'!$A$7:$A$50,'HMZ - KAIS'!G28))+(COUNTIF('2 ZT'!$A$7:$A$50,'HMZ - KAIS'!G28))+(COUNTIF('GO TRANSPORT'!$A$7:$A$50,'HMZ - KAIS'!G28))+(COUNTIF('HMZ - KAIS'!$A$7:$A$50,'HMZ - KAIS'!G28))+(COUNTIF('IB TRANSPORT'!$A$7:$A$50,'HMZ - KAIS'!G28))+(COUNTIF(JSL!$A$7:$A$50,'HMZ - KAIS'!G28))+(COUNTIF(KIFAITOUT!$A$7:$A$50,'HMZ - KAIS'!G28))+(COUNTIF('LUXE DRIVE'!$A$7:$A$50,'HMZ - KAIS'!G28))+(COUNTIF(SSN!$A$7:$A$50,'HMZ - KAIS'!G28))+(COUNTIF('W3'!$A$7:$A$50,'HMZ - KAIS'!G28))+(COUNTIF('ATHIS MONS'!$A$7:$A$50,'HMZ - KAIS'!G28))+(COUNTIF('L HAY LES ROSES'!$A$7:$A$50,'HMZ - KAIS'!G28))+(COUNTIF(RUNGIS!$A$7:$A$50,'HMZ - KAIS'!G28))+(COUNTIF(SCEAUX!$A$7:$A$50,'HMZ - KAIS'!G28))+(COUNTIF('INSTANCE C1'!$A$7:$A$50,'HMZ - KAIS'!G28))+(COUNTIF('INSTANCE C2'!$A$7:$A$50,'HMZ - KAIS'!G28))+(COUNTIF(INTERNES!$A$7:$A$50,'HMZ - KAIS'!G28))+(COUNTIF('EN PANNE'!$A$7:$A$50,'HMZ - KAIS'!G28))+(COUNTIF(TJM!$A$7:$A$50,'HMZ - KAIS'!G28))</f>
        <v>0</v>
      </c>
      <c r="J28" s="28">
        <f t="shared" si="4"/>
        <v>0</v>
      </c>
      <c r="K28" s="2"/>
      <c r="L28" s="47"/>
      <c r="S28" s="60">
        <f t="shared" si="1"/>
        <v>0</v>
      </c>
      <c r="T28" s="67">
        <f t="shared" si="2"/>
        <v>0</v>
      </c>
      <c r="U28" s="50"/>
    </row>
    <row r="29" spans="1:21" ht="24.95" customHeight="1" x14ac:dyDescent="0.2">
      <c r="A29" s="20"/>
      <c r="B29" s="23">
        <f>(COUNTIF('2S EXPRESS'!$A$7:$A$50,'HMZ - KAIS'!A29))+(COUNTIF('2 ZT'!$A$7:$A$50,'HMZ - KAIS'!A29))+(COUNTIF('GO TRANSPORT'!$A$7:$A$50,'HMZ - KAIS'!A29))+(COUNTIF('HMZ - KAIS'!$A$7:$A$50,'HMZ - KAIS'!A29))+(COUNTIF('IB TRANSPORT'!$A$7:$A$50,'HMZ - KAIS'!A29))+(COUNTIF(JSL!$A$7:$A$50,'HMZ - KAIS'!A29))+(COUNTIF(KIFAITOUT!$A$7:$A$50,'HMZ - KAIS'!A29))+(COUNTIF('LUXE DRIVE'!$A$7:$A$50,'HMZ - KAIS'!A29))+(COUNTIF(SSN!$A$7:$A$50,'HMZ - KAIS'!A29))+(COUNTIF('W3'!$A$7:$A$50,'HMZ - KAIS'!A29))+(COUNTIF('ATHIS MONS'!$A$7:$A$50,'HMZ - KAIS'!A29))+(COUNTIF('L HAY LES ROSES'!$A$7:$A$50,'HMZ - KAIS'!A29))+(COUNTIF(RUNGIS!$A$7:$A$50,'HMZ - KAIS'!A29))+(COUNTIF(SCEAUX!$A$7:$A$50,'HMZ - KAIS'!A29))+(COUNTIF('INSTANCE C1'!$A$7:$A$50,'HMZ - KAIS'!A29))+(COUNTIF('INSTANCE C2'!$A$7:$A$50,'HMZ - KAIS'!A29))+(COUNTIF(INTERNES!$A$7:$A$50,'HMZ - KAIS'!A29))+(COUNTIF('EN PANNE'!$A$7:$A$50,'HMZ - KAIS'!A29))+(COUNTIF(TJM!$A$7:$A$50,'HMZ - KAIS'!A29))-C29</f>
        <v>0</v>
      </c>
      <c r="C29" s="23">
        <f>(COUNTIF('2S EXPRESS'!$G$7:$G$50,'HMZ - KAIS'!A29))+(COUNTIF('2 ZT'!$G$7:$G$50,'HMZ - KAIS'!A29))+(COUNTIF('GO TRANSPORT'!$G$7:$G$50,'HMZ - KAIS'!A29))+(COUNTIF('HMZ - KAIS'!$G$7:$G$50,'HMZ - KAIS'!A29))+(COUNTIF('IB TRANSPORT'!$G$7:$G$50,'HMZ - KAIS'!A29))+(COUNTIF(JSL!$G$7:$G$50,'HMZ - KAIS'!A29))+(COUNTIF(KIFAITOUT!$G$7:$G$50,'HMZ - KAIS'!A29))+(COUNTIF('LUXE DRIVE'!$G$7:$G$50,'HMZ - KAIS'!A29))+(COUNTIF(SSN!$G$7:$G$50,'HMZ - KAIS'!A29))+(COUNTIF('W3'!$G$7:$G$50,'HMZ - KAIS'!A29))+(COUNTIF('ATHIS MONS'!$G$7:$G$50,'HMZ - KAIS'!A29))+(COUNTIF('L HAY LES ROSES'!$G$7:$G$50,'HMZ - KAIS'!A29))+(COUNTIF(RUNGIS!$G$7:$G$50,'HMZ - KAIS'!A29))+(COUNTIF(SCEAUX!$G$7:$G$50,'HMZ - KAIS'!A29))+(COUNTIF('INSTANCE C1'!$G$7:$G$50,'HMZ - KAIS'!A29))+(COUNTIF('INSTANCE C2'!$G$7:$G$50,'HMZ - KAIS'!A29))+(COUNTIF(INTERNES!$G$7:$G$50,'HMZ - KAIS'!A29))+(COUNTIF('EN PANNE'!$G$7:$G$50,'HMZ - KAIS'!A29))+(COUNTIF(TJM!$G$7:$G$50,'HMZ - KAIS'!A29))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EXPRESS'!$G$7:$G$50,'HMZ - KAIS'!G29))+(COUNTIF('2 ZT'!$G$7:$G$50,'HMZ - KAIS'!G29))+(COUNTIF('GO TRANSPORT'!$G$7:$G$50,'HMZ - KAIS'!G29))+(COUNTIF('HMZ - KAIS'!$G$7:$G$50,'HMZ - KAIS'!G29))+(COUNTIF('IB TRANSPORT'!$G$7:$G$50,'HMZ - KAIS'!G29))+(COUNTIF(JSL!$G$7:$G$50,'HMZ - KAIS'!G29))+(COUNTIF(KIFAITOUT!$G$7:$G$50,'HMZ - KAIS'!G29))+(COUNTIF('LUXE DRIVE'!$G$7:$G$50,'HMZ - KAIS'!G29))+(COUNTIF(SSN!$G$7:$G$50,'HMZ - KAIS'!G29))+(COUNTIF('W3'!$G$7:$G$50,'HMZ - KAIS'!G29))+(COUNTIF('ATHIS MONS'!$G$7:$G$50,'HMZ - KAIS'!G29))+(COUNTIF('L HAY LES ROSES'!$G$7:$G$50,'HMZ - KAIS'!G29))+(COUNTIF(RUNGIS!$G$7:$G$50,'HMZ - KAIS'!G29))+(COUNTIF(SCEAUX!$G$7:$G$50,'HMZ - KAIS'!G29))+(COUNTIF('INSTANCE C1'!$G$7:$G$50,'HMZ - KAIS'!G29))+(COUNTIF('INSTANCE C2'!$G$7:$G$50,'HMZ - KAIS'!G29))+(COUNTIF(INTERNES!$G$7:$G$50,'HMZ - KAIS'!G29))+(COUNTIF('EN PANNE'!$G$7:$G$50,'HMZ - KAIS'!G29))+(COUNTIF(TJM!$G$7:$G$50,'HMZ - KAIS'!G29))-I29</f>
        <v>0</v>
      </c>
      <c r="I29" s="23">
        <f>(COUNTIF('2S EXPRESS'!$A$7:$A$50,'HMZ - KAIS'!G29))+(COUNTIF('2 ZT'!$A$7:$A$50,'HMZ - KAIS'!G29))+(COUNTIF('GO TRANSPORT'!$A$7:$A$50,'HMZ - KAIS'!G29))+(COUNTIF('HMZ - KAIS'!$A$7:$A$50,'HMZ - KAIS'!G29))+(COUNTIF('IB TRANSPORT'!$A$7:$A$50,'HMZ - KAIS'!G29))+(COUNTIF(JSL!$A$7:$A$50,'HMZ - KAIS'!G29))+(COUNTIF(KIFAITOUT!$A$7:$A$50,'HMZ - KAIS'!G29))+(COUNTIF('LUXE DRIVE'!$A$7:$A$50,'HMZ - KAIS'!G29))+(COUNTIF(SSN!$A$7:$A$50,'HMZ - KAIS'!G29))+(COUNTIF('W3'!$A$7:$A$50,'HMZ - KAIS'!G29))+(COUNTIF('ATHIS MONS'!$A$7:$A$50,'HMZ - KAIS'!G29))+(COUNTIF('L HAY LES ROSES'!$A$7:$A$50,'HMZ - KAIS'!G29))+(COUNTIF(RUNGIS!$A$7:$A$50,'HMZ - KAIS'!G29))+(COUNTIF(SCEAUX!$A$7:$A$50,'HMZ - KAIS'!G29))+(COUNTIF('INSTANCE C1'!$A$7:$A$50,'HMZ - KAIS'!G29))+(COUNTIF('INSTANCE C2'!$A$7:$A$50,'HMZ - KAIS'!G29))+(COUNTIF(INTERNES!$A$7:$A$50,'HMZ - KAIS'!G29))+(COUNTIF('EN PANNE'!$A$7:$A$50,'HMZ - KAIS'!G29))+(COUNTIF(TJM!$A$7:$A$50,'HMZ - KAIS'!G29))</f>
        <v>0</v>
      </c>
      <c r="J29" s="28">
        <f t="shared" si="4"/>
        <v>0</v>
      </c>
      <c r="K29" s="2"/>
      <c r="L29" s="47"/>
      <c r="S29" s="60">
        <f t="shared" si="1"/>
        <v>0</v>
      </c>
      <c r="T29" s="67">
        <f t="shared" si="2"/>
        <v>0</v>
      </c>
      <c r="U29" s="50"/>
    </row>
    <row r="30" spans="1:21" ht="24.95" customHeight="1" x14ac:dyDescent="0.2">
      <c r="A30" s="20"/>
      <c r="B30" s="23">
        <f>(COUNTIF('2S EXPRESS'!$A$7:$A$50,'HMZ - KAIS'!A30))+(COUNTIF('2 ZT'!$A$7:$A$50,'HMZ - KAIS'!A30))+(COUNTIF('GO TRANSPORT'!$A$7:$A$50,'HMZ - KAIS'!A30))+(COUNTIF('HMZ - KAIS'!$A$7:$A$50,'HMZ - KAIS'!A30))+(COUNTIF('IB TRANSPORT'!$A$7:$A$50,'HMZ - KAIS'!A30))+(COUNTIF(JSL!$A$7:$A$50,'HMZ - KAIS'!A30))+(COUNTIF(KIFAITOUT!$A$7:$A$50,'HMZ - KAIS'!A30))+(COUNTIF('LUXE DRIVE'!$A$7:$A$50,'HMZ - KAIS'!A30))+(COUNTIF(SSN!$A$7:$A$50,'HMZ - KAIS'!A30))+(COUNTIF('W3'!$A$7:$A$50,'HMZ - KAIS'!A30))+(COUNTIF('ATHIS MONS'!$A$7:$A$50,'HMZ - KAIS'!A30))+(COUNTIF('L HAY LES ROSES'!$A$7:$A$50,'HMZ - KAIS'!A30))+(COUNTIF(RUNGIS!$A$7:$A$50,'HMZ - KAIS'!A30))+(COUNTIF(SCEAUX!$A$7:$A$50,'HMZ - KAIS'!A30))+(COUNTIF('INSTANCE C1'!$A$7:$A$50,'HMZ - KAIS'!A30))+(COUNTIF('INSTANCE C2'!$A$7:$A$50,'HMZ - KAIS'!A30))+(COUNTIF(INTERNES!$A$7:$A$50,'HMZ - KAIS'!A30))+(COUNTIF('EN PANNE'!$A$7:$A$50,'HMZ - KAIS'!A30))+(COUNTIF(TJM!$A$7:$A$50,'HMZ - KAIS'!A30))-C30</f>
        <v>0</v>
      </c>
      <c r="C30" s="23">
        <f>(COUNTIF('2S EXPRESS'!$G$7:$G$50,'HMZ - KAIS'!A30))+(COUNTIF('2 ZT'!$G$7:$G$50,'HMZ - KAIS'!A30))+(COUNTIF('GO TRANSPORT'!$G$7:$G$50,'HMZ - KAIS'!A30))+(COUNTIF('HMZ - KAIS'!$G$7:$G$50,'HMZ - KAIS'!A30))+(COUNTIF('IB TRANSPORT'!$G$7:$G$50,'HMZ - KAIS'!A30))+(COUNTIF(JSL!$G$7:$G$50,'HMZ - KAIS'!A30))+(COUNTIF(KIFAITOUT!$G$7:$G$50,'HMZ - KAIS'!A30))+(COUNTIF('LUXE DRIVE'!$G$7:$G$50,'HMZ - KAIS'!A30))+(COUNTIF(SSN!$G$7:$G$50,'HMZ - KAIS'!A30))+(COUNTIF('W3'!$G$7:$G$50,'HMZ - KAIS'!A30))+(COUNTIF('ATHIS MONS'!$G$7:$G$50,'HMZ - KAIS'!A30))+(COUNTIF('L HAY LES ROSES'!$G$7:$G$50,'HMZ - KAIS'!A30))+(COUNTIF(RUNGIS!$G$7:$G$50,'HMZ - KAIS'!A30))+(COUNTIF(SCEAUX!$G$7:$G$50,'HMZ - KAIS'!A30))+(COUNTIF('INSTANCE C1'!$G$7:$G$50,'HMZ - KAIS'!A30))+(COUNTIF('INSTANCE C2'!$G$7:$G$50,'HMZ - KAIS'!A30))+(COUNTIF(INTERNES!$G$7:$G$50,'HMZ - KAIS'!A30))+(COUNTIF('EN PANNE'!$G$7:$G$50,'HMZ - KAIS'!A30))+(COUNTIF(TJM!$G$7:$G$50,'HMZ - KAIS'!A30))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EXPRESS'!$G$7:$G$50,'HMZ - KAIS'!G30))+(COUNTIF('2 ZT'!$G$7:$G$50,'HMZ - KAIS'!G30))+(COUNTIF('GO TRANSPORT'!$G$7:$G$50,'HMZ - KAIS'!G30))+(COUNTIF('HMZ - KAIS'!$G$7:$G$50,'HMZ - KAIS'!G30))+(COUNTIF('IB TRANSPORT'!$G$7:$G$50,'HMZ - KAIS'!G30))+(COUNTIF(JSL!$G$7:$G$50,'HMZ - KAIS'!G30))+(COUNTIF(KIFAITOUT!$G$7:$G$50,'HMZ - KAIS'!G30))+(COUNTIF('LUXE DRIVE'!$G$7:$G$50,'HMZ - KAIS'!G30))+(COUNTIF(SSN!$G$7:$G$50,'HMZ - KAIS'!G30))+(COUNTIF('W3'!$G$7:$G$50,'HMZ - KAIS'!G30))+(COUNTIF('ATHIS MONS'!$G$7:$G$50,'HMZ - KAIS'!G30))+(COUNTIF('L HAY LES ROSES'!$G$7:$G$50,'HMZ - KAIS'!G30))+(COUNTIF(RUNGIS!$G$7:$G$50,'HMZ - KAIS'!G30))+(COUNTIF(SCEAUX!$G$7:$G$50,'HMZ - KAIS'!G30))+(COUNTIF('INSTANCE C1'!$G$7:$G$50,'HMZ - KAIS'!G30))+(COUNTIF('INSTANCE C2'!$G$7:$G$50,'HMZ - KAIS'!G30))+(COUNTIF(INTERNES!$G$7:$G$50,'HMZ - KAIS'!G30))+(COUNTIF('EN PANNE'!$G$7:$G$50,'HMZ - KAIS'!G30))+(COUNTIF(TJM!$G$7:$G$50,'HMZ - KAIS'!G30))-I30</f>
        <v>0</v>
      </c>
      <c r="I30" s="23">
        <f>(COUNTIF('2S EXPRESS'!$A$7:$A$50,'HMZ - KAIS'!G30))+(COUNTIF('2 ZT'!$A$7:$A$50,'HMZ - KAIS'!G30))+(COUNTIF('GO TRANSPORT'!$A$7:$A$50,'HMZ - KAIS'!G30))+(COUNTIF('HMZ - KAIS'!$A$7:$A$50,'HMZ - KAIS'!G30))+(COUNTIF('IB TRANSPORT'!$A$7:$A$50,'HMZ - KAIS'!G30))+(COUNTIF(JSL!$A$7:$A$50,'HMZ - KAIS'!G30))+(COUNTIF(KIFAITOUT!$A$7:$A$50,'HMZ - KAIS'!G30))+(COUNTIF('LUXE DRIVE'!$A$7:$A$50,'HMZ - KAIS'!G30))+(COUNTIF(SSN!$A$7:$A$50,'HMZ - KAIS'!G30))+(COUNTIF('W3'!$A$7:$A$50,'HMZ - KAIS'!G30))+(COUNTIF('ATHIS MONS'!$A$7:$A$50,'HMZ - KAIS'!G30))+(COUNTIF('L HAY LES ROSES'!$A$7:$A$50,'HMZ - KAIS'!G30))+(COUNTIF(RUNGIS!$A$7:$A$50,'HMZ - KAIS'!G30))+(COUNTIF(SCEAUX!$A$7:$A$50,'HMZ - KAIS'!G30))+(COUNTIF('INSTANCE C1'!$A$7:$A$50,'HMZ - KAIS'!G30))+(COUNTIF('INSTANCE C2'!$A$7:$A$50,'HMZ - KAIS'!G30))+(COUNTIF(INTERNES!$A$7:$A$50,'HMZ - KAIS'!G30))+(COUNTIF('EN PANNE'!$A$7:$A$50,'HMZ - KAIS'!G30))+(COUNTIF(TJM!$A$7:$A$50,'HMZ - KAIS'!G30))</f>
        <v>0</v>
      </c>
      <c r="J30" s="28">
        <f t="shared" si="4"/>
        <v>0</v>
      </c>
      <c r="K30" s="2"/>
      <c r="L30" s="47"/>
      <c r="S30" s="60">
        <f t="shared" si="1"/>
        <v>0</v>
      </c>
      <c r="T30" s="67">
        <f t="shared" si="2"/>
        <v>0</v>
      </c>
      <c r="U30" s="50"/>
    </row>
    <row r="31" spans="1:21" ht="24.95" customHeight="1" x14ac:dyDescent="0.2">
      <c r="A31" s="20"/>
      <c r="B31" s="23">
        <f>(COUNTIF('2S EXPRESS'!$A$7:$A$50,'HMZ - KAIS'!A31))+(COUNTIF('2 ZT'!$A$7:$A$50,'HMZ - KAIS'!A31))+(COUNTIF('GO TRANSPORT'!$A$7:$A$50,'HMZ - KAIS'!A31))+(COUNTIF('HMZ - KAIS'!$A$7:$A$50,'HMZ - KAIS'!A31))+(COUNTIF('IB TRANSPORT'!$A$7:$A$50,'HMZ - KAIS'!A31))+(COUNTIF(JSL!$A$7:$A$50,'HMZ - KAIS'!A31))+(COUNTIF(KIFAITOUT!$A$7:$A$50,'HMZ - KAIS'!A31))+(COUNTIF('LUXE DRIVE'!$A$7:$A$50,'HMZ - KAIS'!A31))+(COUNTIF(SSN!$A$7:$A$50,'HMZ - KAIS'!A31))+(COUNTIF('W3'!$A$7:$A$50,'HMZ - KAIS'!A31))+(COUNTIF('ATHIS MONS'!$A$7:$A$50,'HMZ - KAIS'!A31))+(COUNTIF('L HAY LES ROSES'!$A$7:$A$50,'HMZ - KAIS'!A31))+(COUNTIF(RUNGIS!$A$7:$A$50,'HMZ - KAIS'!A31))+(COUNTIF(SCEAUX!$A$7:$A$50,'HMZ - KAIS'!A31))+(COUNTIF('INSTANCE C1'!$A$7:$A$50,'HMZ - KAIS'!A31))+(COUNTIF('INSTANCE C2'!$A$7:$A$50,'HMZ - KAIS'!A31))+(COUNTIF(INTERNES!$A$7:$A$50,'HMZ - KAIS'!A31))+(COUNTIF('EN PANNE'!$A$7:$A$50,'HMZ - KAIS'!A31))+(COUNTIF(TJM!$A$7:$A$50,'HMZ - KAIS'!A31))-C31</f>
        <v>0</v>
      </c>
      <c r="C31" s="23">
        <f>(COUNTIF('2S EXPRESS'!$G$7:$G$50,'HMZ - KAIS'!A31))+(COUNTIF('2 ZT'!$G$7:$G$50,'HMZ - KAIS'!A31))+(COUNTIF('GO TRANSPORT'!$G$7:$G$50,'HMZ - KAIS'!A31))+(COUNTIF('HMZ - KAIS'!$G$7:$G$50,'HMZ - KAIS'!A31))+(COUNTIF('IB TRANSPORT'!$G$7:$G$50,'HMZ - KAIS'!A31))+(COUNTIF(JSL!$G$7:$G$50,'HMZ - KAIS'!A31))+(COUNTIF(KIFAITOUT!$G$7:$G$50,'HMZ - KAIS'!A31))+(COUNTIF('LUXE DRIVE'!$G$7:$G$50,'HMZ - KAIS'!A31))+(COUNTIF(SSN!$G$7:$G$50,'HMZ - KAIS'!A31))+(COUNTIF('W3'!$G$7:$G$50,'HMZ - KAIS'!A31))+(COUNTIF('ATHIS MONS'!$G$7:$G$50,'HMZ - KAIS'!A31))+(COUNTIF('L HAY LES ROSES'!$G$7:$G$50,'HMZ - KAIS'!A31))+(COUNTIF(RUNGIS!$G$7:$G$50,'HMZ - KAIS'!A31))+(COUNTIF(SCEAUX!$G$7:$G$50,'HMZ - KAIS'!A31))+(COUNTIF('INSTANCE C1'!$G$7:$G$50,'HMZ - KAIS'!A31))+(COUNTIF('INSTANCE C2'!$G$7:$G$50,'HMZ - KAIS'!A31))+(COUNTIF(INTERNES!$G$7:$G$50,'HMZ - KAIS'!A31))+(COUNTIF('EN PANNE'!$G$7:$G$50,'HMZ - KAIS'!A31))+(COUNTIF(TJM!$G$7:$G$50,'HMZ - KAIS'!A31))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EXPRESS'!$G$7:$G$50,'HMZ - KAIS'!G31))+(COUNTIF('2 ZT'!$G$7:$G$50,'HMZ - KAIS'!G31))+(COUNTIF('GO TRANSPORT'!$G$7:$G$50,'HMZ - KAIS'!G31))+(COUNTIF('HMZ - KAIS'!$G$7:$G$50,'HMZ - KAIS'!G31))+(COUNTIF('IB TRANSPORT'!$G$7:$G$50,'HMZ - KAIS'!G31))+(COUNTIF(JSL!$G$7:$G$50,'HMZ - KAIS'!G31))+(COUNTIF(KIFAITOUT!$G$7:$G$50,'HMZ - KAIS'!G31))+(COUNTIF('LUXE DRIVE'!$G$7:$G$50,'HMZ - KAIS'!G31))+(COUNTIF(SSN!$G$7:$G$50,'HMZ - KAIS'!G31))+(COUNTIF('W3'!$G$7:$G$50,'HMZ - KAIS'!G31))+(COUNTIF('ATHIS MONS'!$G$7:$G$50,'HMZ - KAIS'!G31))+(COUNTIF('L HAY LES ROSES'!$G$7:$G$50,'HMZ - KAIS'!G31))+(COUNTIF(RUNGIS!$G$7:$G$50,'HMZ - KAIS'!G31))+(COUNTIF(SCEAUX!$G$7:$G$50,'HMZ - KAIS'!G31))+(COUNTIF('INSTANCE C1'!$G$7:$G$50,'HMZ - KAIS'!G31))+(COUNTIF('INSTANCE C2'!$G$7:$G$50,'HMZ - KAIS'!G31))+(COUNTIF(INTERNES!$G$7:$G$50,'HMZ - KAIS'!G31))+(COUNTIF('EN PANNE'!$G$7:$G$50,'HMZ - KAIS'!G31))+(COUNTIF(TJM!$G$7:$G$50,'HMZ - KAIS'!G31))-I31</f>
        <v>0</v>
      </c>
      <c r="I31" s="23">
        <f>(COUNTIF('2S EXPRESS'!$A$7:$A$50,'HMZ - KAIS'!G31))+(COUNTIF('2 ZT'!$A$7:$A$50,'HMZ - KAIS'!G31))+(COUNTIF('GO TRANSPORT'!$A$7:$A$50,'HMZ - KAIS'!G31))+(COUNTIF('HMZ - KAIS'!$A$7:$A$50,'HMZ - KAIS'!G31))+(COUNTIF('IB TRANSPORT'!$A$7:$A$50,'HMZ - KAIS'!G31))+(COUNTIF(JSL!$A$7:$A$50,'HMZ - KAIS'!G31))+(COUNTIF(KIFAITOUT!$A$7:$A$50,'HMZ - KAIS'!G31))+(COUNTIF('LUXE DRIVE'!$A$7:$A$50,'HMZ - KAIS'!G31))+(COUNTIF(SSN!$A$7:$A$50,'HMZ - KAIS'!G31))+(COUNTIF('W3'!$A$7:$A$50,'HMZ - KAIS'!G31))+(COUNTIF('ATHIS MONS'!$A$7:$A$50,'HMZ - KAIS'!G31))+(COUNTIF('L HAY LES ROSES'!$A$7:$A$50,'HMZ - KAIS'!G31))+(COUNTIF(RUNGIS!$A$7:$A$50,'HMZ - KAIS'!G31))+(COUNTIF(SCEAUX!$A$7:$A$50,'HMZ - KAIS'!G31))+(COUNTIF('INSTANCE C1'!$A$7:$A$50,'HMZ - KAIS'!G31))+(COUNTIF('INSTANCE C2'!$A$7:$A$50,'HMZ - KAIS'!G31))+(COUNTIF(INTERNES!$A$7:$A$50,'HMZ - KAIS'!G31))+(COUNTIF('EN PANNE'!$A$7:$A$50,'HMZ - KAIS'!G31))+(COUNTIF(TJM!$A$7:$A$50,'HMZ - KAIS'!G31))</f>
        <v>0</v>
      </c>
      <c r="J31" s="28">
        <f t="shared" si="4"/>
        <v>0</v>
      </c>
      <c r="K31" s="2"/>
      <c r="L31" s="47"/>
      <c r="S31" s="60">
        <f t="shared" si="1"/>
        <v>0</v>
      </c>
      <c r="T31" s="67">
        <f t="shared" si="2"/>
        <v>0</v>
      </c>
      <c r="U31" s="50"/>
    </row>
    <row r="32" spans="1:21" ht="24.95" customHeight="1" x14ac:dyDescent="0.2">
      <c r="A32" s="20"/>
      <c r="B32" s="23">
        <f>(COUNTIF('2S EXPRESS'!$A$7:$A$50,'HMZ - KAIS'!A32))+(COUNTIF('2 ZT'!$A$7:$A$50,'HMZ - KAIS'!A32))+(COUNTIF('GO TRANSPORT'!$A$7:$A$50,'HMZ - KAIS'!A32))+(COUNTIF('HMZ - KAIS'!$A$7:$A$50,'HMZ - KAIS'!A32))+(COUNTIF('IB TRANSPORT'!$A$7:$A$50,'HMZ - KAIS'!A32))+(COUNTIF(JSL!$A$7:$A$50,'HMZ - KAIS'!A32))+(COUNTIF(KIFAITOUT!$A$7:$A$50,'HMZ - KAIS'!A32))+(COUNTIF('LUXE DRIVE'!$A$7:$A$50,'HMZ - KAIS'!A32))+(COUNTIF(SSN!$A$7:$A$50,'HMZ - KAIS'!A32))+(COUNTIF('W3'!$A$7:$A$50,'HMZ - KAIS'!A32))+(COUNTIF('ATHIS MONS'!$A$7:$A$50,'HMZ - KAIS'!A32))+(COUNTIF('L HAY LES ROSES'!$A$7:$A$50,'HMZ - KAIS'!A32))+(COUNTIF(RUNGIS!$A$7:$A$50,'HMZ - KAIS'!A32))+(COUNTIF(SCEAUX!$A$7:$A$50,'HMZ - KAIS'!A32))+(COUNTIF('INSTANCE C1'!$A$7:$A$50,'HMZ - KAIS'!A32))+(COUNTIF('INSTANCE C2'!$A$7:$A$50,'HMZ - KAIS'!A32))+(COUNTIF(INTERNES!$A$7:$A$50,'HMZ - KAIS'!A32))+(COUNTIF('EN PANNE'!$A$7:$A$50,'HMZ - KAIS'!A32))+(COUNTIF(TJM!$A$7:$A$50,'HMZ - KAIS'!A32))-C32</f>
        <v>0</v>
      </c>
      <c r="C32" s="23">
        <f>(COUNTIF('2S EXPRESS'!$G$7:$G$50,'HMZ - KAIS'!A32))+(COUNTIF('2 ZT'!$G$7:$G$50,'HMZ - KAIS'!A32))+(COUNTIF('GO TRANSPORT'!$G$7:$G$50,'HMZ - KAIS'!A32))+(COUNTIF('HMZ - KAIS'!$G$7:$G$50,'HMZ - KAIS'!A32))+(COUNTIF('IB TRANSPORT'!$G$7:$G$50,'HMZ - KAIS'!A32))+(COUNTIF(JSL!$G$7:$G$50,'HMZ - KAIS'!A32))+(COUNTIF(KIFAITOUT!$G$7:$G$50,'HMZ - KAIS'!A32))+(COUNTIF('LUXE DRIVE'!$G$7:$G$50,'HMZ - KAIS'!A32))+(COUNTIF(SSN!$G$7:$G$50,'HMZ - KAIS'!A32))+(COUNTIF('W3'!$G$7:$G$50,'HMZ - KAIS'!A32))+(COUNTIF('ATHIS MONS'!$G$7:$G$50,'HMZ - KAIS'!A32))+(COUNTIF('L HAY LES ROSES'!$G$7:$G$50,'HMZ - KAIS'!A32))+(COUNTIF(RUNGIS!$G$7:$G$50,'HMZ - KAIS'!A32))+(COUNTIF(SCEAUX!$G$7:$G$50,'HMZ - KAIS'!A32))+(COUNTIF('INSTANCE C1'!$G$7:$G$50,'HMZ - KAIS'!A32))+(COUNTIF('INSTANCE C2'!$G$7:$G$50,'HMZ - KAIS'!A32))+(COUNTIF(INTERNES!$G$7:$G$50,'HMZ - KAIS'!A32))+(COUNTIF('EN PANNE'!$G$7:$G$50,'HMZ - KAIS'!A32))+(COUNTIF(TJM!$G$7:$G$50,'HMZ - KAIS'!A32))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EXPRESS'!$G$7:$G$50,'HMZ - KAIS'!G32))+(COUNTIF('2 ZT'!$G$7:$G$50,'HMZ - KAIS'!G32))+(COUNTIF('GO TRANSPORT'!$G$7:$G$50,'HMZ - KAIS'!G32))+(COUNTIF('HMZ - KAIS'!$G$7:$G$50,'HMZ - KAIS'!G32))+(COUNTIF('IB TRANSPORT'!$G$7:$G$50,'HMZ - KAIS'!G32))+(COUNTIF(JSL!$G$7:$G$50,'HMZ - KAIS'!G32))+(COUNTIF(KIFAITOUT!$G$7:$G$50,'HMZ - KAIS'!G32))+(COUNTIF('LUXE DRIVE'!$G$7:$G$50,'HMZ - KAIS'!G32))+(COUNTIF(SSN!$G$7:$G$50,'HMZ - KAIS'!G32))+(COUNTIF('W3'!$G$7:$G$50,'HMZ - KAIS'!G32))+(COUNTIF('ATHIS MONS'!$G$7:$G$50,'HMZ - KAIS'!G32))+(COUNTIF('L HAY LES ROSES'!$G$7:$G$50,'HMZ - KAIS'!G32))+(COUNTIF(RUNGIS!$G$7:$G$50,'HMZ - KAIS'!G32))+(COUNTIF(SCEAUX!$G$7:$G$50,'HMZ - KAIS'!G32))+(COUNTIF('INSTANCE C1'!$G$7:$G$50,'HMZ - KAIS'!G32))+(COUNTIF('INSTANCE C2'!$G$7:$G$50,'HMZ - KAIS'!G32))+(COUNTIF(INTERNES!$G$7:$G$50,'HMZ - KAIS'!G32))+(COUNTIF('EN PANNE'!$G$7:$G$50,'HMZ - KAIS'!G32))+(COUNTIF(TJM!$G$7:$G$50,'HMZ - KAIS'!G32))-I32</f>
        <v>0</v>
      </c>
      <c r="I32" s="23">
        <f>(COUNTIF('2S EXPRESS'!$A$7:$A$50,'HMZ - KAIS'!G32))+(COUNTIF('2 ZT'!$A$7:$A$50,'HMZ - KAIS'!G32))+(COUNTIF('GO TRANSPORT'!$A$7:$A$50,'HMZ - KAIS'!G32))+(COUNTIF('HMZ - KAIS'!$A$7:$A$50,'HMZ - KAIS'!G32))+(COUNTIF('IB TRANSPORT'!$A$7:$A$50,'HMZ - KAIS'!G32))+(COUNTIF(JSL!$A$7:$A$50,'HMZ - KAIS'!G32))+(COUNTIF(KIFAITOUT!$A$7:$A$50,'HMZ - KAIS'!G32))+(COUNTIF('LUXE DRIVE'!$A$7:$A$50,'HMZ - KAIS'!G32))+(COUNTIF(SSN!$A$7:$A$50,'HMZ - KAIS'!G32))+(COUNTIF('W3'!$A$7:$A$50,'HMZ - KAIS'!G32))+(COUNTIF('ATHIS MONS'!$A$7:$A$50,'HMZ - KAIS'!G32))+(COUNTIF('L HAY LES ROSES'!$A$7:$A$50,'HMZ - KAIS'!G32))+(COUNTIF(RUNGIS!$A$7:$A$50,'HMZ - KAIS'!G32))+(COUNTIF(SCEAUX!$A$7:$A$50,'HMZ - KAIS'!G32))+(COUNTIF('INSTANCE C1'!$A$7:$A$50,'HMZ - KAIS'!G32))+(COUNTIF('INSTANCE C2'!$A$7:$A$50,'HMZ - KAIS'!G32))+(COUNTIF(INTERNES!$A$7:$A$50,'HMZ - KAIS'!G32))+(COUNTIF('EN PANNE'!$A$7:$A$50,'HMZ - KAIS'!G32))+(COUNTIF(TJM!$A$7:$A$50,'HMZ - KAIS'!G32))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S32" s="60">
        <f t="shared" si="1"/>
        <v>0</v>
      </c>
      <c r="T32" s="67">
        <f t="shared" si="2"/>
        <v>0</v>
      </c>
      <c r="U32" s="50"/>
    </row>
    <row r="33" spans="1:21" ht="24.95" customHeight="1" x14ac:dyDescent="0.2">
      <c r="A33" s="20"/>
      <c r="B33" s="23">
        <f>(COUNTIF('2S EXPRESS'!$A$7:$A$50,'HMZ - KAIS'!A33))+(COUNTIF('2 ZT'!$A$7:$A$50,'HMZ - KAIS'!A33))+(COUNTIF('GO TRANSPORT'!$A$7:$A$50,'HMZ - KAIS'!A33))+(COUNTIF('HMZ - KAIS'!$A$7:$A$50,'HMZ - KAIS'!A33))+(COUNTIF('IB TRANSPORT'!$A$7:$A$50,'HMZ - KAIS'!A33))+(COUNTIF(JSL!$A$7:$A$50,'HMZ - KAIS'!A33))+(COUNTIF(KIFAITOUT!$A$7:$A$50,'HMZ - KAIS'!A33))+(COUNTIF('LUXE DRIVE'!$A$7:$A$50,'HMZ - KAIS'!A33))+(COUNTIF(SSN!$A$7:$A$50,'HMZ - KAIS'!A33))+(COUNTIF('W3'!$A$7:$A$50,'HMZ - KAIS'!A33))+(COUNTIF('ATHIS MONS'!$A$7:$A$50,'HMZ - KAIS'!A33))+(COUNTIF('L HAY LES ROSES'!$A$7:$A$50,'HMZ - KAIS'!A33))+(COUNTIF(RUNGIS!$A$7:$A$50,'HMZ - KAIS'!A33))+(COUNTIF(SCEAUX!$A$7:$A$50,'HMZ - KAIS'!A33))+(COUNTIF('INSTANCE C1'!$A$7:$A$50,'HMZ - KAIS'!A33))+(COUNTIF('INSTANCE C2'!$A$7:$A$50,'HMZ - KAIS'!A33))+(COUNTIF(INTERNES!$A$7:$A$50,'HMZ - KAIS'!A33))+(COUNTIF('EN PANNE'!$A$7:$A$50,'HMZ - KAIS'!A33))+(COUNTIF(TJM!$A$7:$A$50,'HMZ - KAIS'!A33))-C33</f>
        <v>0</v>
      </c>
      <c r="C33" s="23">
        <f>(COUNTIF('2S EXPRESS'!$G$7:$G$50,'HMZ - KAIS'!A33))+(COUNTIF('2 ZT'!$G$7:$G$50,'HMZ - KAIS'!A33))+(COUNTIF('GO TRANSPORT'!$G$7:$G$50,'HMZ - KAIS'!A33))+(COUNTIF('HMZ - KAIS'!$G$7:$G$50,'HMZ - KAIS'!A33))+(COUNTIF('IB TRANSPORT'!$G$7:$G$50,'HMZ - KAIS'!A33))+(COUNTIF(JSL!$G$7:$G$50,'HMZ - KAIS'!A33))+(COUNTIF(KIFAITOUT!$G$7:$G$50,'HMZ - KAIS'!A33))+(COUNTIF('LUXE DRIVE'!$G$7:$G$50,'HMZ - KAIS'!A33))+(COUNTIF(SSN!$G$7:$G$50,'HMZ - KAIS'!A33))+(COUNTIF('W3'!$G$7:$G$50,'HMZ - KAIS'!A33))+(COUNTIF('ATHIS MONS'!$G$7:$G$50,'HMZ - KAIS'!A33))+(COUNTIF('L HAY LES ROSES'!$G$7:$G$50,'HMZ - KAIS'!A33))+(COUNTIF(RUNGIS!$G$7:$G$50,'HMZ - KAIS'!A33))+(COUNTIF(SCEAUX!$G$7:$G$50,'HMZ - KAIS'!A33))+(COUNTIF('INSTANCE C1'!$G$7:$G$50,'HMZ - KAIS'!A33))+(COUNTIF('INSTANCE C2'!$G$7:$G$50,'HMZ - KAIS'!A33))+(COUNTIF(INTERNES!$G$7:$G$50,'HMZ - KAIS'!A33))+(COUNTIF('EN PANNE'!$G$7:$G$50,'HMZ - KAIS'!A33))+(COUNTIF(TJM!$G$7:$G$50,'HMZ - KAIS'!A33))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EXPRESS'!$G$7:$G$50,'HMZ - KAIS'!G33))+(COUNTIF('2 ZT'!$G$7:$G$50,'HMZ - KAIS'!G33))+(COUNTIF('GO TRANSPORT'!$G$7:$G$50,'HMZ - KAIS'!G33))+(COUNTIF('HMZ - KAIS'!$G$7:$G$50,'HMZ - KAIS'!G33))+(COUNTIF('IB TRANSPORT'!$G$7:$G$50,'HMZ - KAIS'!G33))+(COUNTIF(JSL!$G$7:$G$50,'HMZ - KAIS'!G33))+(COUNTIF(KIFAITOUT!$G$7:$G$50,'HMZ - KAIS'!G33))+(COUNTIF('LUXE DRIVE'!$G$7:$G$50,'HMZ - KAIS'!G33))+(COUNTIF(SSN!$G$7:$G$50,'HMZ - KAIS'!G33))+(COUNTIF('W3'!$G$7:$G$50,'HMZ - KAIS'!G33))+(COUNTIF('ATHIS MONS'!$G$7:$G$50,'HMZ - KAIS'!G33))+(COUNTIF('L HAY LES ROSES'!$G$7:$G$50,'HMZ - KAIS'!G33))+(COUNTIF(RUNGIS!$G$7:$G$50,'HMZ - KAIS'!G33))+(COUNTIF(SCEAUX!$G$7:$G$50,'HMZ - KAIS'!G33))+(COUNTIF('INSTANCE C1'!$G$7:$G$50,'HMZ - KAIS'!G33))+(COUNTIF('INSTANCE C2'!$G$7:$G$50,'HMZ - KAIS'!G33))+(COUNTIF(INTERNES!$G$7:$G$50,'HMZ - KAIS'!G33))+(COUNTIF('EN PANNE'!$G$7:$G$50,'HMZ - KAIS'!G33))+(COUNTIF(TJM!$G$7:$G$50,'HMZ - KAIS'!G33))-I33</f>
        <v>0</v>
      </c>
      <c r="I33" s="23">
        <f>(COUNTIF('2S EXPRESS'!$A$7:$A$50,'HMZ - KAIS'!G33))+(COUNTIF('2 ZT'!$A$7:$A$50,'HMZ - KAIS'!G33))+(COUNTIF('GO TRANSPORT'!$A$7:$A$50,'HMZ - KAIS'!G33))+(COUNTIF('HMZ - KAIS'!$A$7:$A$50,'HMZ - KAIS'!G33))+(COUNTIF('IB TRANSPORT'!$A$7:$A$50,'HMZ - KAIS'!G33))+(COUNTIF(JSL!$A$7:$A$50,'HMZ - KAIS'!G33))+(COUNTIF(KIFAITOUT!$A$7:$A$50,'HMZ - KAIS'!G33))+(COUNTIF('LUXE DRIVE'!$A$7:$A$50,'HMZ - KAIS'!G33))+(COUNTIF(SSN!$A$7:$A$50,'HMZ - KAIS'!G33))+(COUNTIF('W3'!$A$7:$A$50,'HMZ - KAIS'!G33))+(COUNTIF('ATHIS MONS'!$A$7:$A$50,'HMZ - KAIS'!G33))+(COUNTIF('L HAY LES ROSES'!$A$7:$A$50,'HMZ - KAIS'!G33))+(COUNTIF(RUNGIS!$A$7:$A$50,'HMZ - KAIS'!G33))+(COUNTIF(SCEAUX!$A$7:$A$50,'HMZ - KAIS'!G33))+(COUNTIF('INSTANCE C1'!$A$7:$A$50,'HMZ - KAIS'!G33))+(COUNTIF('INSTANCE C2'!$A$7:$A$50,'HMZ - KAIS'!G33))+(COUNTIF(INTERNES!$A$7:$A$50,'HMZ - KAIS'!G33))+(COUNTIF('EN PANNE'!$A$7:$A$50,'HMZ - KAIS'!G33))+(COUNTIF(TJM!$A$7:$A$50,'HMZ - KAIS'!G33))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S33" s="60">
        <f t="shared" si="1"/>
        <v>0</v>
      </c>
      <c r="T33" s="67">
        <f t="shared" si="2"/>
        <v>0</v>
      </c>
      <c r="U33" s="50"/>
    </row>
    <row r="34" spans="1:21" ht="24.95" customHeight="1" x14ac:dyDescent="0.2">
      <c r="A34" s="20"/>
      <c r="B34" s="23">
        <f>(COUNTIF('2S EXPRESS'!$A$7:$A$50,'HMZ - KAIS'!A34))+(COUNTIF('2 ZT'!$A$7:$A$50,'HMZ - KAIS'!A34))+(COUNTIF('GO TRANSPORT'!$A$7:$A$50,'HMZ - KAIS'!A34))+(COUNTIF('HMZ - KAIS'!$A$7:$A$50,'HMZ - KAIS'!A34))+(COUNTIF('IB TRANSPORT'!$A$7:$A$50,'HMZ - KAIS'!A34))+(COUNTIF(JSL!$A$7:$A$50,'HMZ - KAIS'!A34))+(COUNTIF(KIFAITOUT!$A$7:$A$50,'HMZ - KAIS'!A34))+(COUNTIF('LUXE DRIVE'!$A$7:$A$50,'HMZ - KAIS'!A34))+(COUNTIF(SSN!$A$7:$A$50,'HMZ - KAIS'!A34))+(COUNTIF('W3'!$A$7:$A$50,'HMZ - KAIS'!A34))+(COUNTIF('ATHIS MONS'!$A$7:$A$50,'HMZ - KAIS'!A34))+(COUNTIF('L HAY LES ROSES'!$A$7:$A$50,'HMZ - KAIS'!A34))+(COUNTIF(RUNGIS!$A$7:$A$50,'HMZ - KAIS'!A34))+(COUNTIF(SCEAUX!$A$7:$A$50,'HMZ - KAIS'!A34))+(COUNTIF('INSTANCE C1'!$A$7:$A$50,'HMZ - KAIS'!A34))+(COUNTIF('INSTANCE C2'!$A$7:$A$50,'HMZ - KAIS'!A34))+(COUNTIF(INTERNES!$A$7:$A$50,'HMZ - KAIS'!A34))+(COUNTIF('EN PANNE'!$A$7:$A$50,'HMZ - KAIS'!A34))+(COUNTIF(TJM!$A$7:$A$50,'HMZ - KAIS'!A34))-C34</f>
        <v>0</v>
      </c>
      <c r="C34" s="23">
        <f>(COUNTIF('2S EXPRESS'!$G$7:$G$50,'HMZ - KAIS'!A34))+(COUNTIF('2 ZT'!$G$7:$G$50,'HMZ - KAIS'!A34))+(COUNTIF('GO TRANSPORT'!$G$7:$G$50,'HMZ - KAIS'!A34))+(COUNTIF('HMZ - KAIS'!$G$7:$G$50,'HMZ - KAIS'!A34))+(COUNTIF('IB TRANSPORT'!$G$7:$G$50,'HMZ - KAIS'!A34))+(COUNTIF(JSL!$G$7:$G$50,'HMZ - KAIS'!A34))+(COUNTIF(KIFAITOUT!$G$7:$G$50,'HMZ - KAIS'!A34))+(COUNTIF('LUXE DRIVE'!$G$7:$G$50,'HMZ - KAIS'!A34))+(COUNTIF(SSN!$G$7:$G$50,'HMZ - KAIS'!A34))+(COUNTIF('W3'!$G$7:$G$50,'HMZ - KAIS'!A34))+(COUNTIF('ATHIS MONS'!$G$7:$G$50,'HMZ - KAIS'!A34))+(COUNTIF('L HAY LES ROSES'!$G$7:$G$50,'HMZ - KAIS'!A34))+(COUNTIF(RUNGIS!$G$7:$G$50,'HMZ - KAIS'!A34))+(COUNTIF(SCEAUX!$G$7:$G$50,'HMZ - KAIS'!A34))+(COUNTIF('INSTANCE C1'!$G$7:$G$50,'HMZ - KAIS'!A34))+(COUNTIF('INSTANCE C2'!$G$7:$G$50,'HMZ - KAIS'!A34))+(COUNTIF(INTERNES!$G$7:$G$50,'HMZ - KAIS'!A34))+(COUNTIF('EN PANNE'!$G$7:$G$50,'HMZ - KAIS'!A34))+(COUNTIF(TJM!$G$7:$G$50,'HMZ - KAIS'!A34))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EXPRESS'!$G$7:$G$50,'HMZ - KAIS'!G34))+(COUNTIF('2 ZT'!$G$7:$G$50,'HMZ - KAIS'!G34))+(COUNTIF('GO TRANSPORT'!$G$7:$G$50,'HMZ - KAIS'!G34))+(COUNTIF('HMZ - KAIS'!$G$7:$G$50,'HMZ - KAIS'!G34))+(COUNTIF('IB TRANSPORT'!$G$7:$G$50,'HMZ - KAIS'!G34))+(COUNTIF(JSL!$G$7:$G$50,'HMZ - KAIS'!G34))+(COUNTIF(KIFAITOUT!$G$7:$G$50,'HMZ - KAIS'!G34))+(COUNTIF('LUXE DRIVE'!$G$7:$G$50,'HMZ - KAIS'!G34))+(COUNTIF(SSN!$G$7:$G$50,'HMZ - KAIS'!G34))+(COUNTIF('W3'!$G$7:$G$50,'HMZ - KAIS'!G34))+(COUNTIF('ATHIS MONS'!$G$7:$G$50,'HMZ - KAIS'!G34))+(COUNTIF('L HAY LES ROSES'!$G$7:$G$50,'HMZ - KAIS'!G34))+(COUNTIF(RUNGIS!$G$7:$G$50,'HMZ - KAIS'!G34))+(COUNTIF(SCEAUX!$G$7:$G$50,'HMZ - KAIS'!G34))+(COUNTIF('INSTANCE C1'!$G$7:$G$50,'HMZ - KAIS'!G34))+(COUNTIF('INSTANCE C2'!$G$7:$G$50,'HMZ - KAIS'!G34))+(COUNTIF(INTERNES!$G$7:$G$50,'HMZ - KAIS'!G34))+(COUNTIF('EN PANNE'!$G$7:$G$50,'HMZ - KAIS'!G34))+(COUNTIF(TJM!$G$7:$G$50,'HMZ - KAIS'!G34))-I34</f>
        <v>0</v>
      </c>
      <c r="I34" s="23">
        <f>(COUNTIF('2S EXPRESS'!$A$7:$A$50,'HMZ - KAIS'!G34))+(COUNTIF('2 ZT'!$A$7:$A$50,'HMZ - KAIS'!G34))+(COUNTIF('GO TRANSPORT'!$A$7:$A$50,'HMZ - KAIS'!G34))+(COUNTIF('HMZ - KAIS'!$A$7:$A$50,'HMZ - KAIS'!G34))+(COUNTIF('IB TRANSPORT'!$A$7:$A$50,'HMZ - KAIS'!G34))+(COUNTIF(JSL!$A$7:$A$50,'HMZ - KAIS'!G34))+(COUNTIF(KIFAITOUT!$A$7:$A$50,'HMZ - KAIS'!G34))+(COUNTIF('LUXE DRIVE'!$A$7:$A$50,'HMZ - KAIS'!G34))+(COUNTIF(SSN!$A$7:$A$50,'HMZ - KAIS'!G34))+(COUNTIF('W3'!$A$7:$A$50,'HMZ - KAIS'!G34))+(COUNTIF('ATHIS MONS'!$A$7:$A$50,'HMZ - KAIS'!G34))+(COUNTIF('L HAY LES ROSES'!$A$7:$A$50,'HMZ - KAIS'!G34))+(COUNTIF(RUNGIS!$A$7:$A$50,'HMZ - KAIS'!G34))+(COUNTIF(SCEAUX!$A$7:$A$50,'HMZ - KAIS'!G34))+(COUNTIF('INSTANCE C1'!$A$7:$A$50,'HMZ - KAIS'!G34))+(COUNTIF('INSTANCE C2'!$A$7:$A$50,'HMZ - KAIS'!G34))+(COUNTIF(INTERNES!$A$7:$A$50,'HMZ - KAIS'!G34))+(COUNTIF('EN PANNE'!$A$7:$A$50,'HMZ - KAIS'!G34))+(COUNTIF(TJM!$A$7:$A$50,'HMZ - KAIS'!G34))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S34" s="60">
        <f t="shared" si="1"/>
        <v>0</v>
      </c>
      <c r="T34" s="67">
        <f t="shared" si="2"/>
        <v>0</v>
      </c>
      <c r="U34" s="50"/>
    </row>
    <row r="35" spans="1:21" ht="24.95" customHeight="1" x14ac:dyDescent="0.2">
      <c r="A35" s="20"/>
      <c r="B35" s="23">
        <f>(COUNTIF('2S EXPRESS'!$A$7:$A$50,'HMZ - KAIS'!A35))+(COUNTIF('2 ZT'!$A$7:$A$50,'HMZ - KAIS'!A35))+(COUNTIF('GO TRANSPORT'!$A$7:$A$50,'HMZ - KAIS'!A35))+(COUNTIF('HMZ - KAIS'!$A$7:$A$50,'HMZ - KAIS'!A35))+(COUNTIF('IB TRANSPORT'!$A$7:$A$50,'HMZ - KAIS'!A35))+(COUNTIF(JSL!$A$7:$A$50,'HMZ - KAIS'!A35))+(COUNTIF(KIFAITOUT!$A$7:$A$50,'HMZ - KAIS'!A35))+(COUNTIF('LUXE DRIVE'!$A$7:$A$50,'HMZ - KAIS'!A35))+(COUNTIF(SSN!$A$7:$A$50,'HMZ - KAIS'!A35))+(COUNTIF('W3'!$A$7:$A$50,'HMZ - KAIS'!A35))+(COUNTIF('ATHIS MONS'!$A$7:$A$50,'HMZ - KAIS'!A35))+(COUNTIF('L HAY LES ROSES'!$A$7:$A$50,'HMZ - KAIS'!A35))+(COUNTIF(RUNGIS!$A$7:$A$50,'HMZ - KAIS'!A35))+(COUNTIF(SCEAUX!$A$7:$A$50,'HMZ - KAIS'!A35))+(COUNTIF('INSTANCE C1'!$A$7:$A$50,'HMZ - KAIS'!A35))+(COUNTIF('INSTANCE C2'!$A$7:$A$50,'HMZ - KAIS'!A35))+(COUNTIF(INTERNES!$A$7:$A$50,'HMZ - KAIS'!A35))+(COUNTIF('EN PANNE'!$A$7:$A$50,'HMZ - KAIS'!A35))+(COUNTIF(TJM!$A$7:$A$50,'HMZ - KAIS'!A35))-C35</f>
        <v>0</v>
      </c>
      <c r="C35" s="23">
        <f>(COUNTIF('2S EXPRESS'!$G$7:$G$50,'HMZ - KAIS'!A35))+(COUNTIF('2 ZT'!$G$7:$G$50,'HMZ - KAIS'!A35))+(COUNTIF('GO TRANSPORT'!$G$7:$G$50,'HMZ - KAIS'!A35))+(COUNTIF('HMZ - KAIS'!$G$7:$G$50,'HMZ - KAIS'!A35))+(COUNTIF('IB TRANSPORT'!$G$7:$G$50,'HMZ - KAIS'!A35))+(COUNTIF(JSL!$G$7:$G$50,'HMZ - KAIS'!A35))+(COUNTIF(KIFAITOUT!$G$7:$G$50,'HMZ - KAIS'!A35))+(COUNTIF('LUXE DRIVE'!$G$7:$G$50,'HMZ - KAIS'!A35))+(COUNTIF(SSN!$G$7:$G$50,'HMZ - KAIS'!A35))+(COUNTIF('W3'!$G$7:$G$50,'HMZ - KAIS'!A35))+(COUNTIF('ATHIS MONS'!$G$7:$G$50,'HMZ - KAIS'!A35))+(COUNTIF('L HAY LES ROSES'!$G$7:$G$50,'HMZ - KAIS'!A35))+(COUNTIF(RUNGIS!$G$7:$G$50,'HMZ - KAIS'!A35))+(COUNTIF(SCEAUX!$G$7:$G$50,'HMZ - KAIS'!A35))+(COUNTIF('INSTANCE C1'!$G$7:$G$50,'HMZ - KAIS'!A35))+(COUNTIF('INSTANCE C2'!$G$7:$G$50,'HMZ - KAIS'!A35))+(COUNTIF(INTERNES!$G$7:$G$50,'HMZ - KAIS'!A35))+(COUNTIF('EN PANNE'!$G$7:$G$50,'HMZ - KAIS'!A35))+(COUNTIF(TJM!$G$7:$G$50,'HMZ - KAIS'!A35))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EXPRESS'!$G$7:$G$50,'HMZ - KAIS'!G35))+(COUNTIF('2 ZT'!$G$7:$G$50,'HMZ - KAIS'!G35))+(COUNTIF('GO TRANSPORT'!$G$7:$G$50,'HMZ - KAIS'!G35))+(COUNTIF('HMZ - KAIS'!$G$7:$G$50,'HMZ - KAIS'!G35))+(COUNTIF('IB TRANSPORT'!$G$7:$G$50,'HMZ - KAIS'!G35))+(COUNTIF(JSL!$G$7:$G$50,'HMZ - KAIS'!G35))+(COUNTIF(KIFAITOUT!$G$7:$G$50,'HMZ - KAIS'!G35))+(COUNTIF('LUXE DRIVE'!$G$7:$G$50,'HMZ - KAIS'!G35))+(COUNTIF(SSN!$G$7:$G$50,'HMZ - KAIS'!G35))+(COUNTIF('W3'!$G$7:$G$50,'HMZ - KAIS'!G35))+(COUNTIF('ATHIS MONS'!$G$7:$G$50,'HMZ - KAIS'!G35))+(COUNTIF('L HAY LES ROSES'!$G$7:$G$50,'HMZ - KAIS'!G35))+(COUNTIF(RUNGIS!$G$7:$G$50,'HMZ - KAIS'!G35))+(COUNTIF(SCEAUX!$G$7:$G$50,'HMZ - KAIS'!G35))+(COUNTIF('INSTANCE C1'!$G$7:$G$50,'HMZ - KAIS'!G35))+(COUNTIF('INSTANCE C2'!$G$7:$G$50,'HMZ - KAIS'!G35))+(COUNTIF(INTERNES!$G$7:$G$50,'HMZ - KAIS'!G35))+(COUNTIF('EN PANNE'!$G$7:$G$50,'HMZ - KAIS'!G35))+(COUNTIF(TJM!$G$7:$G$50,'HMZ - KAIS'!G35))-I35</f>
        <v>0</v>
      </c>
      <c r="I35" s="23">
        <f>(COUNTIF('2S EXPRESS'!$A$7:$A$50,'HMZ - KAIS'!G35))+(COUNTIF('2 ZT'!$A$7:$A$50,'HMZ - KAIS'!G35))+(COUNTIF('GO TRANSPORT'!$A$7:$A$50,'HMZ - KAIS'!G35))+(COUNTIF('HMZ - KAIS'!$A$7:$A$50,'HMZ - KAIS'!G35))+(COUNTIF('IB TRANSPORT'!$A$7:$A$50,'HMZ - KAIS'!G35))+(COUNTIF(JSL!$A$7:$A$50,'HMZ - KAIS'!G35))+(COUNTIF(KIFAITOUT!$A$7:$A$50,'HMZ - KAIS'!G35))+(COUNTIF('LUXE DRIVE'!$A$7:$A$50,'HMZ - KAIS'!G35))+(COUNTIF(SSN!$A$7:$A$50,'HMZ - KAIS'!G35))+(COUNTIF('W3'!$A$7:$A$50,'HMZ - KAIS'!G35))+(COUNTIF('ATHIS MONS'!$A$7:$A$50,'HMZ - KAIS'!G35))+(COUNTIF('L HAY LES ROSES'!$A$7:$A$50,'HMZ - KAIS'!G35))+(COUNTIF(RUNGIS!$A$7:$A$50,'HMZ - KAIS'!G35))+(COUNTIF(SCEAUX!$A$7:$A$50,'HMZ - KAIS'!G35))+(COUNTIF('INSTANCE C1'!$A$7:$A$50,'HMZ - KAIS'!G35))+(COUNTIF('INSTANCE C2'!$A$7:$A$50,'HMZ - KAIS'!G35))+(COUNTIF(INTERNES!$A$7:$A$50,'HMZ - KAIS'!G35))+(COUNTIF('EN PANNE'!$A$7:$A$50,'HMZ - KAIS'!G35))+(COUNTIF(TJM!$A$7:$A$50,'HMZ - KAIS'!G35))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S35" s="60">
        <f t="shared" si="1"/>
        <v>0</v>
      </c>
      <c r="T35" s="67">
        <f t="shared" si="2"/>
        <v>0</v>
      </c>
      <c r="U35" s="50"/>
    </row>
    <row r="36" spans="1:21" ht="24.95" customHeight="1" x14ac:dyDescent="0.2">
      <c r="A36" s="20"/>
      <c r="B36" s="23">
        <f>(COUNTIF('2S EXPRESS'!$A$7:$A$50,'HMZ - KAIS'!A36))+(COUNTIF('2 ZT'!$A$7:$A$50,'HMZ - KAIS'!A36))+(COUNTIF('GO TRANSPORT'!$A$7:$A$50,'HMZ - KAIS'!A36))+(COUNTIF('HMZ - KAIS'!$A$7:$A$50,'HMZ - KAIS'!A36))+(COUNTIF('IB TRANSPORT'!$A$7:$A$50,'HMZ - KAIS'!A36))+(COUNTIF(JSL!$A$7:$A$50,'HMZ - KAIS'!A36))+(COUNTIF(KIFAITOUT!$A$7:$A$50,'HMZ - KAIS'!A36))+(COUNTIF('LUXE DRIVE'!$A$7:$A$50,'HMZ - KAIS'!A36))+(COUNTIF(SSN!$A$7:$A$50,'HMZ - KAIS'!A36))+(COUNTIF('W3'!$A$7:$A$50,'HMZ - KAIS'!A36))+(COUNTIF('ATHIS MONS'!$A$7:$A$50,'HMZ - KAIS'!A36))+(COUNTIF('L HAY LES ROSES'!$A$7:$A$50,'HMZ - KAIS'!A36))+(COUNTIF(RUNGIS!$A$7:$A$50,'HMZ - KAIS'!A36))+(COUNTIF(SCEAUX!$A$7:$A$50,'HMZ - KAIS'!A36))+(COUNTIF('INSTANCE C1'!$A$7:$A$50,'HMZ - KAIS'!A36))+(COUNTIF('INSTANCE C2'!$A$7:$A$50,'HMZ - KAIS'!A36))+(COUNTIF(INTERNES!$A$7:$A$50,'HMZ - KAIS'!A36))+(COUNTIF('EN PANNE'!$A$7:$A$50,'HMZ - KAIS'!A36))+(COUNTIF(TJM!$A$7:$A$50,'HMZ - KAIS'!A36))-C36</f>
        <v>0</v>
      </c>
      <c r="C36" s="23">
        <f>(COUNTIF('2S EXPRESS'!$G$7:$G$50,'HMZ - KAIS'!A36))+(COUNTIF('2 ZT'!$G$7:$G$50,'HMZ - KAIS'!A36))+(COUNTIF('GO TRANSPORT'!$G$7:$G$50,'HMZ - KAIS'!A36))+(COUNTIF('HMZ - KAIS'!$G$7:$G$50,'HMZ - KAIS'!A36))+(COUNTIF('IB TRANSPORT'!$G$7:$G$50,'HMZ - KAIS'!A36))+(COUNTIF(JSL!$G$7:$G$50,'HMZ - KAIS'!A36))+(COUNTIF(KIFAITOUT!$G$7:$G$50,'HMZ - KAIS'!A36))+(COUNTIF('LUXE DRIVE'!$G$7:$G$50,'HMZ - KAIS'!A36))+(COUNTIF(SSN!$G$7:$G$50,'HMZ - KAIS'!A36))+(COUNTIF('W3'!$G$7:$G$50,'HMZ - KAIS'!A36))+(COUNTIF('ATHIS MONS'!$G$7:$G$50,'HMZ - KAIS'!A36))+(COUNTIF('L HAY LES ROSES'!$G$7:$G$50,'HMZ - KAIS'!A36))+(COUNTIF(RUNGIS!$G$7:$G$50,'HMZ - KAIS'!A36))+(COUNTIF(SCEAUX!$G$7:$G$50,'HMZ - KAIS'!A36))+(COUNTIF('INSTANCE C1'!$G$7:$G$50,'HMZ - KAIS'!A36))+(COUNTIF('INSTANCE C2'!$G$7:$G$50,'HMZ - KAIS'!A36))+(COUNTIF(INTERNES!$G$7:$G$50,'HMZ - KAIS'!A36))+(COUNTIF('EN PANNE'!$G$7:$G$50,'HMZ - KAIS'!A36))+(COUNTIF(TJM!$G$7:$G$50,'HMZ - KAIS'!A36))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EXPRESS'!$G$7:$G$50,'HMZ - KAIS'!G36))+(COUNTIF('2 ZT'!$G$7:$G$50,'HMZ - KAIS'!G36))+(COUNTIF('GO TRANSPORT'!$G$7:$G$50,'HMZ - KAIS'!G36))+(COUNTIF('HMZ - KAIS'!$G$7:$G$50,'HMZ - KAIS'!G36))+(COUNTIF('IB TRANSPORT'!$G$7:$G$50,'HMZ - KAIS'!G36))+(COUNTIF(JSL!$G$7:$G$50,'HMZ - KAIS'!G36))+(COUNTIF(KIFAITOUT!$G$7:$G$50,'HMZ - KAIS'!G36))+(COUNTIF('LUXE DRIVE'!$G$7:$G$50,'HMZ - KAIS'!G36))+(COUNTIF(SSN!$G$7:$G$50,'HMZ - KAIS'!G36))+(COUNTIF('W3'!$G$7:$G$50,'HMZ - KAIS'!G36))+(COUNTIF('ATHIS MONS'!$G$7:$G$50,'HMZ - KAIS'!G36))+(COUNTIF('L HAY LES ROSES'!$G$7:$G$50,'HMZ - KAIS'!G36))+(COUNTIF(RUNGIS!$G$7:$G$50,'HMZ - KAIS'!G36))+(COUNTIF(SCEAUX!$G$7:$G$50,'HMZ - KAIS'!G36))+(COUNTIF('INSTANCE C1'!$G$7:$G$50,'HMZ - KAIS'!G36))+(COUNTIF('INSTANCE C2'!$G$7:$G$50,'HMZ - KAIS'!G36))+(COUNTIF(INTERNES!$G$7:$G$50,'HMZ - KAIS'!G36))+(COUNTIF('EN PANNE'!$G$7:$G$50,'HMZ - KAIS'!G36))+(COUNTIF(TJM!$G$7:$G$50,'HMZ - KAIS'!G36))-I36</f>
        <v>0</v>
      </c>
      <c r="I36" s="23">
        <f>(COUNTIF('2S EXPRESS'!$A$7:$A$50,'HMZ - KAIS'!G36))+(COUNTIF('2 ZT'!$A$7:$A$50,'HMZ - KAIS'!G36))+(COUNTIF('GO TRANSPORT'!$A$7:$A$50,'HMZ - KAIS'!G36))+(COUNTIF('HMZ - KAIS'!$A$7:$A$50,'HMZ - KAIS'!G36))+(COUNTIF('IB TRANSPORT'!$A$7:$A$50,'HMZ - KAIS'!G36))+(COUNTIF(JSL!$A$7:$A$50,'HMZ - KAIS'!G36))+(COUNTIF(KIFAITOUT!$A$7:$A$50,'HMZ - KAIS'!G36))+(COUNTIF('LUXE DRIVE'!$A$7:$A$50,'HMZ - KAIS'!G36))+(COUNTIF(SSN!$A$7:$A$50,'HMZ - KAIS'!G36))+(COUNTIF('W3'!$A$7:$A$50,'HMZ - KAIS'!G36))+(COUNTIF('ATHIS MONS'!$A$7:$A$50,'HMZ - KAIS'!G36))+(COUNTIF('L HAY LES ROSES'!$A$7:$A$50,'HMZ - KAIS'!G36))+(COUNTIF(RUNGIS!$A$7:$A$50,'HMZ - KAIS'!G36))+(COUNTIF(SCEAUX!$A$7:$A$50,'HMZ - KAIS'!G36))+(COUNTIF('INSTANCE C1'!$A$7:$A$50,'HMZ - KAIS'!G36))+(COUNTIF('INSTANCE C2'!$A$7:$A$50,'HMZ - KAIS'!G36))+(COUNTIF(INTERNES!$A$7:$A$50,'HMZ - KAIS'!G36))+(COUNTIF('EN PANNE'!$A$7:$A$50,'HMZ - KAIS'!G36))+(COUNTIF(TJM!$A$7:$A$50,'HMZ - KAIS'!G36))</f>
        <v>0</v>
      </c>
      <c r="J36" s="28">
        <f t="shared" si="4"/>
        <v>0</v>
      </c>
      <c r="K36" s="2"/>
      <c r="L36" s="47"/>
      <c r="S36" s="60">
        <f t="shared" si="1"/>
        <v>0</v>
      </c>
      <c r="T36" s="67">
        <f t="shared" si="2"/>
        <v>0</v>
      </c>
      <c r="U36" s="50"/>
    </row>
    <row r="37" spans="1:21" ht="24.95" customHeight="1" x14ac:dyDescent="0.2">
      <c r="A37" s="20"/>
      <c r="B37" s="23">
        <f>(COUNTIF('2S EXPRESS'!$A$7:$A$50,'HMZ - KAIS'!A37))+(COUNTIF('2 ZT'!$A$7:$A$50,'HMZ - KAIS'!A37))+(COUNTIF('GO TRANSPORT'!$A$7:$A$50,'HMZ - KAIS'!A37))+(COUNTIF('HMZ - KAIS'!$A$7:$A$50,'HMZ - KAIS'!A37))+(COUNTIF('IB TRANSPORT'!$A$7:$A$50,'HMZ - KAIS'!A37))+(COUNTIF(JSL!$A$7:$A$50,'HMZ - KAIS'!A37))+(COUNTIF(KIFAITOUT!$A$7:$A$50,'HMZ - KAIS'!A37))+(COUNTIF('LUXE DRIVE'!$A$7:$A$50,'HMZ - KAIS'!A37))+(COUNTIF(SSN!$A$7:$A$50,'HMZ - KAIS'!A37))+(COUNTIF('W3'!$A$7:$A$50,'HMZ - KAIS'!A37))+(COUNTIF('ATHIS MONS'!$A$7:$A$50,'HMZ - KAIS'!A37))+(COUNTIF('L HAY LES ROSES'!$A$7:$A$50,'HMZ - KAIS'!A37))+(COUNTIF(RUNGIS!$A$7:$A$50,'HMZ - KAIS'!A37))+(COUNTIF(SCEAUX!$A$7:$A$50,'HMZ - KAIS'!A37))+(COUNTIF('INSTANCE C1'!$A$7:$A$50,'HMZ - KAIS'!A37))+(COUNTIF('INSTANCE C2'!$A$7:$A$50,'HMZ - KAIS'!A37))+(COUNTIF(INTERNES!$A$7:$A$50,'HMZ - KAIS'!A37))+(COUNTIF('EN PANNE'!$A$7:$A$50,'HMZ - KAIS'!A37))+(COUNTIF(TJM!$A$7:$A$50,'HMZ - KAIS'!A37))-C37</f>
        <v>0</v>
      </c>
      <c r="C37" s="23">
        <f>(COUNTIF('2S EXPRESS'!$G$7:$G$50,'HMZ - KAIS'!A37))+(COUNTIF('2 ZT'!$G$7:$G$50,'HMZ - KAIS'!A37))+(COUNTIF('GO TRANSPORT'!$G$7:$G$50,'HMZ - KAIS'!A37))+(COUNTIF('HMZ - KAIS'!$G$7:$G$50,'HMZ - KAIS'!A37))+(COUNTIF('IB TRANSPORT'!$G$7:$G$50,'HMZ - KAIS'!A37))+(COUNTIF(JSL!$G$7:$G$50,'HMZ - KAIS'!A37))+(COUNTIF(KIFAITOUT!$G$7:$G$50,'HMZ - KAIS'!A37))+(COUNTIF('LUXE DRIVE'!$G$7:$G$50,'HMZ - KAIS'!A37))+(COUNTIF(SSN!$G$7:$G$50,'HMZ - KAIS'!A37))+(COUNTIF('W3'!$G$7:$G$50,'HMZ - KAIS'!A37))+(COUNTIF('ATHIS MONS'!$G$7:$G$50,'HMZ - KAIS'!A37))+(COUNTIF('L HAY LES ROSES'!$G$7:$G$50,'HMZ - KAIS'!A37))+(COUNTIF(RUNGIS!$G$7:$G$50,'HMZ - KAIS'!A37))+(COUNTIF(SCEAUX!$G$7:$G$50,'HMZ - KAIS'!A37))+(COUNTIF('INSTANCE C1'!$G$7:$G$50,'HMZ - KAIS'!A37))+(COUNTIF('INSTANCE C2'!$G$7:$G$50,'HMZ - KAIS'!A37))+(COUNTIF(INTERNES!$G$7:$G$50,'HMZ - KAIS'!A37))+(COUNTIF('EN PANNE'!$G$7:$G$50,'HMZ - KAIS'!A37))+(COUNTIF(TJM!$G$7:$G$50,'HMZ - KAIS'!A37))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EXPRESS'!$G$7:$G$50,'HMZ - KAIS'!G37))+(COUNTIF('2 ZT'!$G$7:$G$50,'HMZ - KAIS'!G37))+(COUNTIF('GO TRANSPORT'!$G$7:$G$50,'HMZ - KAIS'!G37))+(COUNTIF('HMZ - KAIS'!$G$7:$G$50,'HMZ - KAIS'!G37))+(COUNTIF('IB TRANSPORT'!$G$7:$G$50,'HMZ - KAIS'!G37))+(COUNTIF(JSL!$G$7:$G$50,'HMZ - KAIS'!G37))+(COUNTIF(KIFAITOUT!$G$7:$G$50,'HMZ - KAIS'!G37))+(COUNTIF('LUXE DRIVE'!$G$7:$G$50,'HMZ - KAIS'!G37))+(COUNTIF(SSN!$G$7:$G$50,'HMZ - KAIS'!G37))+(COUNTIF('W3'!$G$7:$G$50,'HMZ - KAIS'!G37))+(COUNTIF('ATHIS MONS'!$G$7:$G$50,'HMZ - KAIS'!G37))+(COUNTIF('L HAY LES ROSES'!$G$7:$G$50,'HMZ - KAIS'!G37))+(COUNTIF(RUNGIS!$G$7:$G$50,'HMZ - KAIS'!G37))+(COUNTIF(SCEAUX!$G$7:$G$50,'HMZ - KAIS'!G37))+(COUNTIF('INSTANCE C1'!$G$7:$G$50,'HMZ - KAIS'!G37))+(COUNTIF('INSTANCE C2'!$G$7:$G$50,'HMZ - KAIS'!G37))+(COUNTIF(INTERNES!$G$7:$G$50,'HMZ - KAIS'!G37))+(COUNTIF('EN PANNE'!$G$7:$G$50,'HMZ - KAIS'!G37))+(COUNTIF(TJM!$G$7:$G$50,'HMZ - KAIS'!G37))-I37</f>
        <v>0</v>
      </c>
      <c r="I37" s="23">
        <f>(COUNTIF('2S EXPRESS'!$A$7:$A$50,'HMZ - KAIS'!G37))+(COUNTIF('2 ZT'!$A$7:$A$50,'HMZ - KAIS'!G37))+(COUNTIF('GO TRANSPORT'!$A$7:$A$50,'HMZ - KAIS'!G37))+(COUNTIF('HMZ - KAIS'!$A$7:$A$50,'HMZ - KAIS'!G37))+(COUNTIF('IB TRANSPORT'!$A$7:$A$50,'HMZ - KAIS'!G37))+(COUNTIF(JSL!$A$7:$A$50,'HMZ - KAIS'!G37))+(COUNTIF(KIFAITOUT!$A$7:$A$50,'HMZ - KAIS'!G37))+(COUNTIF('LUXE DRIVE'!$A$7:$A$50,'HMZ - KAIS'!G37))+(COUNTIF(SSN!$A$7:$A$50,'HMZ - KAIS'!G37))+(COUNTIF('W3'!$A$7:$A$50,'HMZ - KAIS'!G37))+(COUNTIF('ATHIS MONS'!$A$7:$A$50,'HMZ - KAIS'!G37))+(COUNTIF('L HAY LES ROSES'!$A$7:$A$50,'HMZ - KAIS'!G37))+(COUNTIF(RUNGIS!$A$7:$A$50,'HMZ - KAIS'!G37))+(COUNTIF(SCEAUX!$A$7:$A$50,'HMZ - KAIS'!G37))+(COUNTIF('INSTANCE C1'!$A$7:$A$50,'HMZ - KAIS'!G37))+(COUNTIF('INSTANCE C2'!$A$7:$A$50,'HMZ - KAIS'!G37))+(COUNTIF(INTERNES!$A$7:$A$50,'HMZ - KAIS'!G37))+(COUNTIF('EN PANNE'!$A$7:$A$50,'HMZ - KAIS'!G37))+(COUNTIF(TJM!$A$7:$A$50,'HMZ - KAIS'!G37))</f>
        <v>0</v>
      </c>
      <c r="J37" s="28">
        <f t="shared" si="4"/>
        <v>0</v>
      </c>
      <c r="K37" s="2"/>
      <c r="L37" s="47"/>
      <c r="S37" s="60">
        <f t="shared" si="1"/>
        <v>0</v>
      </c>
      <c r="T37" s="67">
        <f t="shared" si="2"/>
        <v>0</v>
      </c>
      <c r="U37" s="50"/>
    </row>
    <row r="38" spans="1:21" ht="24.95" customHeight="1" x14ac:dyDescent="0.2">
      <c r="A38" s="20"/>
      <c r="B38" s="23">
        <f>(COUNTIF('2S EXPRESS'!$A$7:$A$50,'HMZ - KAIS'!A38))+(COUNTIF('2 ZT'!$A$7:$A$50,'HMZ - KAIS'!A38))+(COUNTIF('GO TRANSPORT'!$A$7:$A$50,'HMZ - KAIS'!A38))+(COUNTIF('HMZ - KAIS'!$A$7:$A$50,'HMZ - KAIS'!A38))+(COUNTIF('IB TRANSPORT'!$A$7:$A$50,'HMZ - KAIS'!A38))+(COUNTIF(JSL!$A$7:$A$50,'HMZ - KAIS'!A38))+(COUNTIF(KIFAITOUT!$A$7:$A$50,'HMZ - KAIS'!A38))+(COUNTIF('LUXE DRIVE'!$A$7:$A$50,'HMZ - KAIS'!A38))+(COUNTIF(SSN!$A$7:$A$50,'HMZ - KAIS'!A38))+(COUNTIF('W3'!$A$7:$A$50,'HMZ - KAIS'!A38))+(COUNTIF('ATHIS MONS'!$A$7:$A$50,'HMZ - KAIS'!A38))+(COUNTIF('L HAY LES ROSES'!$A$7:$A$50,'HMZ - KAIS'!A38))+(COUNTIF(RUNGIS!$A$7:$A$50,'HMZ - KAIS'!A38))+(COUNTIF(SCEAUX!$A$7:$A$50,'HMZ - KAIS'!A38))+(COUNTIF('INSTANCE C1'!$A$7:$A$50,'HMZ - KAIS'!A38))+(COUNTIF('INSTANCE C2'!$A$7:$A$50,'HMZ - KAIS'!A38))+(COUNTIF(INTERNES!$A$7:$A$50,'HMZ - KAIS'!A38))+(COUNTIF('EN PANNE'!$A$7:$A$50,'HMZ - KAIS'!A38))+(COUNTIF(TJM!$A$7:$A$50,'HMZ - KAIS'!A38))-C38</f>
        <v>0</v>
      </c>
      <c r="C38" s="23">
        <f>(COUNTIF('2S EXPRESS'!$G$7:$G$50,'HMZ - KAIS'!A38))+(COUNTIF('2 ZT'!$G$7:$G$50,'HMZ - KAIS'!A38))+(COUNTIF('GO TRANSPORT'!$G$7:$G$50,'HMZ - KAIS'!A38))+(COUNTIF('HMZ - KAIS'!$G$7:$G$50,'HMZ - KAIS'!A38))+(COUNTIF('IB TRANSPORT'!$G$7:$G$50,'HMZ - KAIS'!A38))+(COUNTIF(JSL!$G$7:$G$50,'HMZ - KAIS'!A38))+(COUNTIF(KIFAITOUT!$G$7:$G$50,'HMZ - KAIS'!A38))+(COUNTIF('LUXE DRIVE'!$G$7:$G$50,'HMZ - KAIS'!A38))+(COUNTIF(SSN!$G$7:$G$50,'HMZ - KAIS'!A38))+(COUNTIF('W3'!$G$7:$G$50,'HMZ - KAIS'!A38))+(COUNTIF('ATHIS MONS'!$G$7:$G$50,'HMZ - KAIS'!A38))+(COUNTIF('L HAY LES ROSES'!$G$7:$G$50,'HMZ - KAIS'!A38))+(COUNTIF(RUNGIS!$G$7:$G$50,'HMZ - KAIS'!A38))+(COUNTIF(SCEAUX!$G$7:$G$50,'HMZ - KAIS'!A38))+(COUNTIF('INSTANCE C1'!$G$7:$G$50,'HMZ - KAIS'!A38))+(COUNTIF('INSTANCE C2'!$G$7:$G$50,'HMZ - KAIS'!A38))+(COUNTIF(INTERNES!$G$7:$G$50,'HMZ - KAIS'!A38))+(COUNTIF('EN PANNE'!$G$7:$G$50,'HMZ - KAIS'!A38))+(COUNTIF(TJM!$G$7:$G$50,'HMZ - KAIS'!A38))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EXPRESS'!$G$7:$G$50,'HMZ - KAIS'!G38))+(COUNTIF('2 ZT'!$G$7:$G$50,'HMZ - KAIS'!G38))+(COUNTIF('GO TRANSPORT'!$G$7:$G$50,'HMZ - KAIS'!G38))+(COUNTIF('HMZ - KAIS'!$G$7:$G$50,'HMZ - KAIS'!G38))+(COUNTIF('IB TRANSPORT'!$G$7:$G$50,'HMZ - KAIS'!G38))+(COUNTIF(JSL!$G$7:$G$50,'HMZ - KAIS'!G38))+(COUNTIF(KIFAITOUT!$G$7:$G$50,'HMZ - KAIS'!G38))+(COUNTIF('LUXE DRIVE'!$G$7:$G$50,'HMZ - KAIS'!G38))+(COUNTIF(SSN!$G$7:$G$50,'HMZ - KAIS'!G38))+(COUNTIF('W3'!$G$7:$G$50,'HMZ - KAIS'!G38))+(COUNTIF('ATHIS MONS'!$G$7:$G$50,'HMZ - KAIS'!G38))+(COUNTIF('L HAY LES ROSES'!$G$7:$G$50,'HMZ - KAIS'!G38))+(COUNTIF(RUNGIS!$G$7:$G$50,'HMZ - KAIS'!G38))+(COUNTIF(SCEAUX!$G$7:$G$50,'HMZ - KAIS'!G38))+(COUNTIF('INSTANCE C1'!$G$7:$G$50,'HMZ - KAIS'!G38))+(COUNTIF('INSTANCE C2'!$G$7:$G$50,'HMZ - KAIS'!G38))+(COUNTIF(INTERNES!$G$7:$G$50,'HMZ - KAIS'!G38))+(COUNTIF('EN PANNE'!$G$7:$G$50,'HMZ - KAIS'!G38))+(COUNTIF(TJM!$G$7:$G$50,'HMZ - KAIS'!G38))-I38</f>
        <v>0</v>
      </c>
      <c r="I38" s="23">
        <f>(COUNTIF('2S EXPRESS'!$A$7:$A$50,'HMZ - KAIS'!G38))+(COUNTIF('2 ZT'!$A$7:$A$50,'HMZ - KAIS'!G38))+(COUNTIF('GO TRANSPORT'!$A$7:$A$50,'HMZ - KAIS'!G38))+(COUNTIF('HMZ - KAIS'!$A$7:$A$50,'HMZ - KAIS'!G38))+(COUNTIF('IB TRANSPORT'!$A$7:$A$50,'HMZ - KAIS'!G38))+(COUNTIF(JSL!$A$7:$A$50,'HMZ - KAIS'!G38))+(COUNTIF(KIFAITOUT!$A$7:$A$50,'HMZ - KAIS'!G38))+(COUNTIF('LUXE DRIVE'!$A$7:$A$50,'HMZ - KAIS'!G38))+(COUNTIF(SSN!$A$7:$A$50,'HMZ - KAIS'!G38))+(COUNTIF('W3'!$A$7:$A$50,'HMZ - KAIS'!G38))+(COUNTIF('ATHIS MONS'!$A$7:$A$50,'HMZ - KAIS'!G38))+(COUNTIF('L HAY LES ROSES'!$A$7:$A$50,'HMZ - KAIS'!G38))+(COUNTIF(RUNGIS!$A$7:$A$50,'HMZ - KAIS'!G38))+(COUNTIF(SCEAUX!$A$7:$A$50,'HMZ - KAIS'!G38))+(COUNTIF('INSTANCE C1'!$A$7:$A$50,'HMZ - KAIS'!G38))+(COUNTIF('INSTANCE C2'!$A$7:$A$50,'HMZ - KAIS'!G38))+(COUNTIF(INTERNES!$A$7:$A$50,'HMZ - KAIS'!G38))+(COUNTIF('EN PANNE'!$A$7:$A$50,'HMZ - KAIS'!G38))+(COUNTIF(TJM!$A$7:$A$50,'HMZ - KAIS'!G38))</f>
        <v>0</v>
      </c>
      <c r="J38" s="28">
        <f t="shared" si="4"/>
        <v>0</v>
      </c>
      <c r="K38" s="2"/>
      <c r="L38" s="47"/>
      <c r="S38" s="60">
        <f t="shared" si="1"/>
        <v>0</v>
      </c>
      <c r="T38" s="67">
        <f t="shared" si="2"/>
        <v>0</v>
      </c>
      <c r="U38" s="50"/>
    </row>
    <row r="39" spans="1:21" ht="24.95" customHeight="1" x14ac:dyDescent="0.2">
      <c r="A39" s="20"/>
      <c r="B39" s="23">
        <f>(COUNTIF('2S EXPRESS'!$A$7:$A$50,'HMZ - KAIS'!A39))+(COUNTIF('2 ZT'!$A$7:$A$50,'HMZ - KAIS'!A39))+(COUNTIF('GO TRANSPORT'!$A$7:$A$50,'HMZ - KAIS'!A39))+(COUNTIF('HMZ - KAIS'!$A$7:$A$50,'HMZ - KAIS'!A39))+(COUNTIF('IB TRANSPORT'!$A$7:$A$50,'HMZ - KAIS'!A39))+(COUNTIF(JSL!$A$7:$A$50,'HMZ - KAIS'!A39))+(COUNTIF(KIFAITOUT!$A$7:$A$50,'HMZ - KAIS'!A39))+(COUNTIF('LUXE DRIVE'!$A$7:$A$50,'HMZ - KAIS'!A39))+(COUNTIF(SSN!$A$7:$A$50,'HMZ - KAIS'!A39))+(COUNTIF('W3'!$A$7:$A$50,'HMZ - KAIS'!A39))+(COUNTIF('ATHIS MONS'!$A$7:$A$50,'HMZ - KAIS'!A39))+(COUNTIF('L HAY LES ROSES'!$A$7:$A$50,'HMZ - KAIS'!A39))+(COUNTIF(RUNGIS!$A$7:$A$50,'HMZ - KAIS'!A39))+(COUNTIF(SCEAUX!$A$7:$A$50,'HMZ - KAIS'!A39))+(COUNTIF('INSTANCE C1'!$A$7:$A$50,'HMZ - KAIS'!A39))+(COUNTIF('INSTANCE C2'!$A$7:$A$50,'HMZ - KAIS'!A39))+(COUNTIF(INTERNES!$A$7:$A$50,'HMZ - KAIS'!A39))+(COUNTIF('EN PANNE'!$A$7:$A$50,'HMZ - KAIS'!A39))+(COUNTIF(TJM!$A$7:$A$50,'HMZ - KAIS'!A39))-C39</f>
        <v>0</v>
      </c>
      <c r="C39" s="23">
        <f>(COUNTIF('2S EXPRESS'!$G$7:$G$50,'HMZ - KAIS'!A39))+(COUNTIF('2 ZT'!$G$7:$G$50,'HMZ - KAIS'!A39))+(COUNTIF('GO TRANSPORT'!$G$7:$G$50,'HMZ - KAIS'!A39))+(COUNTIF('HMZ - KAIS'!$G$7:$G$50,'HMZ - KAIS'!A39))+(COUNTIF('IB TRANSPORT'!$G$7:$G$50,'HMZ - KAIS'!A39))+(COUNTIF(JSL!$G$7:$G$50,'HMZ - KAIS'!A39))+(COUNTIF(KIFAITOUT!$G$7:$G$50,'HMZ - KAIS'!A39))+(COUNTIF('LUXE DRIVE'!$G$7:$G$50,'HMZ - KAIS'!A39))+(COUNTIF(SSN!$G$7:$G$50,'HMZ - KAIS'!A39))+(COUNTIF('W3'!$G$7:$G$50,'HMZ - KAIS'!A39))+(COUNTIF('ATHIS MONS'!$G$7:$G$50,'HMZ - KAIS'!A39))+(COUNTIF('L HAY LES ROSES'!$G$7:$G$50,'HMZ - KAIS'!A39))+(COUNTIF(RUNGIS!$G$7:$G$50,'HMZ - KAIS'!A39))+(COUNTIF(SCEAUX!$G$7:$G$50,'HMZ - KAIS'!A39))+(COUNTIF('INSTANCE C1'!$G$7:$G$50,'HMZ - KAIS'!A39))+(COUNTIF('INSTANCE C2'!$G$7:$G$50,'HMZ - KAIS'!A39))+(COUNTIF(INTERNES!$G$7:$G$50,'HMZ - KAIS'!A39))+(COUNTIF('EN PANNE'!$G$7:$G$50,'HMZ - KAIS'!A39))+(COUNTIF(TJM!$G$7:$G$50,'HMZ - KAIS'!A39))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EXPRESS'!$G$7:$G$50,'HMZ - KAIS'!G39))+(COUNTIF('2 ZT'!$G$7:$G$50,'HMZ - KAIS'!G39))+(COUNTIF('GO TRANSPORT'!$G$7:$G$50,'HMZ - KAIS'!G39))+(COUNTIF('HMZ - KAIS'!$G$7:$G$50,'HMZ - KAIS'!G39))+(COUNTIF('IB TRANSPORT'!$G$7:$G$50,'HMZ - KAIS'!G39))+(COUNTIF(JSL!$G$7:$G$50,'HMZ - KAIS'!G39))+(COUNTIF(KIFAITOUT!$G$7:$G$50,'HMZ - KAIS'!G39))+(COUNTIF('LUXE DRIVE'!$G$7:$G$50,'HMZ - KAIS'!G39))+(COUNTIF(SSN!$G$7:$G$50,'HMZ - KAIS'!G39))+(COUNTIF('W3'!$G$7:$G$50,'HMZ - KAIS'!G39))+(COUNTIF('ATHIS MONS'!$G$7:$G$50,'HMZ - KAIS'!G39))+(COUNTIF('L HAY LES ROSES'!$G$7:$G$50,'HMZ - KAIS'!G39))+(COUNTIF(RUNGIS!$G$7:$G$50,'HMZ - KAIS'!G39))+(COUNTIF(SCEAUX!$G$7:$G$50,'HMZ - KAIS'!G39))+(COUNTIF('INSTANCE C1'!$G$7:$G$50,'HMZ - KAIS'!G39))+(COUNTIF('INSTANCE C2'!$G$7:$G$50,'HMZ - KAIS'!G39))+(COUNTIF(INTERNES!$G$7:$G$50,'HMZ - KAIS'!G39))+(COUNTIF('EN PANNE'!$G$7:$G$50,'HMZ - KAIS'!G39))+(COUNTIF(TJM!$G$7:$G$50,'HMZ - KAIS'!G39))-I39</f>
        <v>0</v>
      </c>
      <c r="I39" s="23">
        <f>(COUNTIF('2S EXPRESS'!$A$7:$A$50,'HMZ - KAIS'!G39))+(COUNTIF('2 ZT'!$A$7:$A$50,'HMZ - KAIS'!G39))+(COUNTIF('GO TRANSPORT'!$A$7:$A$50,'HMZ - KAIS'!G39))+(COUNTIF('HMZ - KAIS'!$A$7:$A$50,'HMZ - KAIS'!G39))+(COUNTIF('IB TRANSPORT'!$A$7:$A$50,'HMZ - KAIS'!G39))+(COUNTIF(JSL!$A$7:$A$50,'HMZ - KAIS'!G39))+(COUNTIF(KIFAITOUT!$A$7:$A$50,'HMZ - KAIS'!G39))+(COUNTIF('LUXE DRIVE'!$A$7:$A$50,'HMZ - KAIS'!G39))+(COUNTIF(SSN!$A$7:$A$50,'HMZ - KAIS'!G39))+(COUNTIF('W3'!$A$7:$A$50,'HMZ - KAIS'!G39))+(COUNTIF('ATHIS MONS'!$A$7:$A$50,'HMZ - KAIS'!G39))+(COUNTIF('L HAY LES ROSES'!$A$7:$A$50,'HMZ - KAIS'!G39))+(COUNTIF(RUNGIS!$A$7:$A$50,'HMZ - KAIS'!G39))+(COUNTIF(SCEAUX!$A$7:$A$50,'HMZ - KAIS'!G39))+(COUNTIF('INSTANCE C1'!$A$7:$A$50,'HMZ - KAIS'!G39))+(COUNTIF('INSTANCE C2'!$A$7:$A$50,'HMZ - KAIS'!G39))+(COUNTIF(INTERNES!$A$7:$A$50,'HMZ - KAIS'!G39))+(COUNTIF('EN PANNE'!$A$7:$A$50,'HMZ - KAIS'!G39))+(COUNTIF(TJM!$A$7:$A$50,'HMZ - KAIS'!G39))</f>
        <v>0</v>
      </c>
      <c r="J39" s="28">
        <f t="shared" si="4"/>
        <v>0</v>
      </c>
      <c r="K39" s="2"/>
      <c r="L39" s="47"/>
      <c r="S39" s="60">
        <f t="shared" si="1"/>
        <v>0</v>
      </c>
      <c r="T39" s="67">
        <f t="shared" si="2"/>
        <v>0</v>
      </c>
      <c r="U39" s="50"/>
    </row>
    <row r="40" spans="1:21" ht="24.95" customHeight="1" x14ac:dyDescent="0.2">
      <c r="A40" s="20"/>
      <c r="B40" s="23">
        <f>(COUNTIF('2S EXPRESS'!$A$7:$A$50,'HMZ - KAIS'!A40))+(COUNTIF('2 ZT'!$A$7:$A$50,'HMZ - KAIS'!A40))+(COUNTIF('GO TRANSPORT'!$A$7:$A$50,'HMZ - KAIS'!A40))+(COUNTIF('HMZ - KAIS'!$A$7:$A$50,'HMZ - KAIS'!A40))+(COUNTIF('IB TRANSPORT'!$A$7:$A$50,'HMZ - KAIS'!A40))+(COUNTIF(JSL!$A$7:$A$50,'HMZ - KAIS'!A40))+(COUNTIF(KIFAITOUT!$A$7:$A$50,'HMZ - KAIS'!A40))+(COUNTIF('LUXE DRIVE'!$A$7:$A$50,'HMZ - KAIS'!A40))+(COUNTIF(SSN!$A$7:$A$50,'HMZ - KAIS'!A40))+(COUNTIF('W3'!$A$7:$A$50,'HMZ - KAIS'!A40))+(COUNTIF('ATHIS MONS'!$A$7:$A$50,'HMZ - KAIS'!A40))+(COUNTIF('L HAY LES ROSES'!$A$7:$A$50,'HMZ - KAIS'!A40))+(COUNTIF(RUNGIS!$A$7:$A$50,'HMZ - KAIS'!A40))+(COUNTIF(SCEAUX!$A$7:$A$50,'HMZ - KAIS'!A40))+(COUNTIF('INSTANCE C1'!$A$7:$A$50,'HMZ - KAIS'!A40))+(COUNTIF('INSTANCE C2'!$A$7:$A$50,'HMZ - KAIS'!A40))+(COUNTIF(INTERNES!$A$7:$A$50,'HMZ - KAIS'!A40))+(COUNTIF('EN PANNE'!$A$7:$A$50,'HMZ - KAIS'!A40))+(COUNTIF(TJM!$A$7:$A$50,'HMZ - KAIS'!A40))-C40</f>
        <v>0</v>
      </c>
      <c r="C40" s="23">
        <f>(COUNTIF('2S EXPRESS'!$G$7:$G$50,'HMZ - KAIS'!A40))+(COUNTIF('2 ZT'!$G$7:$G$50,'HMZ - KAIS'!A40))+(COUNTIF('GO TRANSPORT'!$G$7:$G$50,'HMZ - KAIS'!A40))+(COUNTIF('HMZ - KAIS'!$G$7:$G$50,'HMZ - KAIS'!A40))+(COUNTIF('IB TRANSPORT'!$G$7:$G$50,'HMZ - KAIS'!A40))+(COUNTIF(JSL!$G$7:$G$50,'HMZ - KAIS'!A40))+(COUNTIF(KIFAITOUT!$G$7:$G$50,'HMZ - KAIS'!A40))+(COUNTIF('LUXE DRIVE'!$G$7:$G$50,'HMZ - KAIS'!A40))+(COUNTIF(SSN!$G$7:$G$50,'HMZ - KAIS'!A40))+(COUNTIF('W3'!$G$7:$G$50,'HMZ - KAIS'!A40))+(COUNTIF('ATHIS MONS'!$G$7:$G$50,'HMZ - KAIS'!A40))+(COUNTIF('L HAY LES ROSES'!$G$7:$G$50,'HMZ - KAIS'!A40))+(COUNTIF(RUNGIS!$G$7:$G$50,'HMZ - KAIS'!A40))+(COUNTIF(SCEAUX!$G$7:$G$50,'HMZ - KAIS'!A40))+(COUNTIF('INSTANCE C1'!$G$7:$G$50,'HMZ - KAIS'!A40))+(COUNTIF('INSTANCE C2'!$G$7:$G$50,'HMZ - KAIS'!A40))+(COUNTIF(INTERNES!$G$7:$G$50,'HMZ - KAIS'!A40))+(COUNTIF('EN PANNE'!$G$7:$G$50,'HMZ - KAIS'!A40))+(COUNTIF(TJM!$G$7:$G$50,'HMZ - KAIS'!A40))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EXPRESS'!$G$7:$G$50,'HMZ - KAIS'!G40))+(COUNTIF('2 ZT'!$G$7:$G$50,'HMZ - KAIS'!G40))+(COUNTIF('GO TRANSPORT'!$G$7:$G$50,'HMZ - KAIS'!G40))+(COUNTIF('HMZ - KAIS'!$G$7:$G$50,'HMZ - KAIS'!G40))+(COUNTIF('IB TRANSPORT'!$G$7:$G$50,'HMZ - KAIS'!G40))+(COUNTIF(JSL!$G$7:$G$50,'HMZ - KAIS'!G40))+(COUNTIF(KIFAITOUT!$G$7:$G$50,'HMZ - KAIS'!G40))+(COUNTIF('LUXE DRIVE'!$G$7:$G$50,'HMZ - KAIS'!G40))+(COUNTIF(SSN!$G$7:$G$50,'HMZ - KAIS'!G40))+(COUNTIF('W3'!$G$7:$G$50,'HMZ - KAIS'!G40))+(COUNTIF('ATHIS MONS'!$G$7:$G$50,'HMZ - KAIS'!G40))+(COUNTIF('L HAY LES ROSES'!$G$7:$G$50,'HMZ - KAIS'!G40))+(COUNTIF(RUNGIS!$G$7:$G$50,'HMZ - KAIS'!G40))+(COUNTIF(SCEAUX!$G$7:$G$50,'HMZ - KAIS'!G40))+(COUNTIF('INSTANCE C1'!$G$7:$G$50,'HMZ - KAIS'!G40))+(COUNTIF('INSTANCE C2'!$G$7:$G$50,'HMZ - KAIS'!G40))+(COUNTIF(INTERNES!$G$7:$G$50,'HMZ - KAIS'!G40))+(COUNTIF('EN PANNE'!$G$7:$G$50,'HMZ - KAIS'!G40))+(COUNTIF(TJM!$G$7:$G$50,'HMZ - KAIS'!G40))-I40</f>
        <v>0</v>
      </c>
      <c r="I40" s="23">
        <f>(COUNTIF('2S EXPRESS'!$A$7:$A$50,'HMZ - KAIS'!G40))+(COUNTIF('2 ZT'!$A$7:$A$50,'HMZ - KAIS'!G40))+(COUNTIF('GO TRANSPORT'!$A$7:$A$50,'HMZ - KAIS'!G40))+(COUNTIF('HMZ - KAIS'!$A$7:$A$50,'HMZ - KAIS'!G40))+(COUNTIF('IB TRANSPORT'!$A$7:$A$50,'HMZ - KAIS'!G40))+(COUNTIF(JSL!$A$7:$A$50,'HMZ - KAIS'!G40))+(COUNTIF(KIFAITOUT!$A$7:$A$50,'HMZ - KAIS'!G40))+(COUNTIF('LUXE DRIVE'!$A$7:$A$50,'HMZ - KAIS'!G40))+(COUNTIF(SSN!$A$7:$A$50,'HMZ - KAIS'!G40))+(COUNTIF('W3'!$A$7:$A$50,'HMZ - KAIS'!G40))+(COUNTIF('ATHIS MONS'!$A$7:$A$50,'HMZ - KAIS'!G40))+(COUNTIF('L HAY LES ROSES'!$A$7:$A$50,'HMZ - KAIS'!G40))+(COUNTIF(RUNGIS!$A$7:$A$50,'HMZ - KAIS'!G40))+(COUNTIF(SCEAUX!$A$7:$A$50,'HMZ - KAIS'!G40))+(COUNTIF('INSTANCE C1'!$A$7:$A$50,'HMZ - KAIS'!G40))+(COUNTIF('INSTANCE C2'!$A$7:$A$50,'HMZ - KAIS'!G40))+(COUNTIF(INTERNES!$A$7:$A$50,'HMZ - KAIS'!G40))+(COUNTIF('EN PANNE'!$A$7:$A$50,'HMZ - KAIS'!G40))+(COUNTIF(TJM!$A$7:$A$50,'HMZ - KAIS'!G40))</f>
        <v>0</v>
      </c>
      <c r="J40" s="28">
        <f t="shared" si="4"/>
        <v>0</v>
      </c>
      <c r="K40" s="2"/>
      <c r="L40" s="47"/>
      <c r="S40" s="60">
        <f t="shared" si="1"/>
        <v>0</v>
      </c>
      <c r="T40" s="67">
        <f t="shared" si="2"/>
        <v>0</v>
      </c>
      <c r="U40" s="50"/>
    </row>
    <row r="41" spans="1:21" ht="24.95" customHeight="1" x14ac:dyDescent="0.2">
      <c r="A41" s="20"/>
      <c r="B41" s="23">
        <f>(COUNTIF('2S EXPRESS'!$A$7:$A$50,'HMZ - KAIS'!A41))+(COUNTIF('2 ZT'!$A$7:$A$50,'HMZ - KAIS'!A41))+(COUNTIF('GO TRANSPORT'!$A$7:$A$50,'HMZ - KAIS'!A41))+(COUNTIF('HMZ - KAIS'!$A$7:$A$50,'HMZ - KAIS'!A41))+(COUNTIF('IB TRANSPORT'!$A$7:$A$50,'HMZ - KAIS'!A41))+(COUNTIF(JSL!$A$7:$A$50,'HMZ - KAIS'!A41))+(COUNTIF(KIFAITOUT!$A$7:$A$50,'HMZ - KAIS'!A41))+(COUNTIF('LUXE DRIVE'!$A$7:$A$50,'HMZ - KAIS'!A41))+(COUNTIF(SSN!$A$7:$A$50,'HMZ - KAIS'!A41))+(COUNTIF('W3'!$A$7:$A$50,'HMZ - KAIS'!A41))+(COUNTIF('ATHIS MONS'!$A$7:$A$50,'HMZ - KAIS'!A41))+(COUNTIF('L HAY LES ROSES'!$A$7:$A$50,'HMZ - KAIS'!A41))+(COUNTIF(RUNGIS!$A$7:$A$50,'HMZ - KAIS'!A41))+(COUNTIF(SCEAUX!$A$7:$A$50,'HMZ - KAIS'!A41))+(COUNTIF('INSTANCE C1'!$A$7:$A$50,'HMZ - KAIS'!A41))+(COUNTIF('INSTANCE C2'!$A$7:$A$50,'HMZ - KAIS'!A41))+(COUNTIF(INTERNES!$A$7:$A$50,'HMZ - KAIS'!A41))+(COUNTIF('EN PANNE'!$A$7:$A$50,'HMZ - KAIS'!A41))+(COUNTIF(TJM!$A$7:$A$50,'HMZ - KAIS'!A41))-C41</f>
        <v>0</v>
      </c>
      <c r="C41" s="23">
        <f>(COUNTIF('2S EXPRESS'!$G$7:$G$50,'HMZ - KAIS'!A41))+(COUNTIF('2 ZT'!$G$7:$G$50,'HMZ - KAIS'!A41))+(COUNTIF('GO TRANSPORT'!$G$7:$G$50,'HMZ - KAIS'!A41))+(COUNTIF('HMZ - KAIS'!$G$7:$G$50,'HMZ - KAIS'!A41))+(COUNTIF('IB TRANSPORT'!$G$7:$G$50,'HMZ - KAIS'!A41))+(COUNTIF(JSL!$G$7:$G$50,'HMZ - KAIS'!A41))+(COUNTIF(KIFAITOUT!$G$7:$G$50,'HMZ - KAIS'!A41))+(COUNTIF('LUXE DRIVE'!$G$7:$G$50,'HMZ - KAIS'!A41))+(COUNTIF(SSN!$G$7:$G$50,'HMZ - KAIS'!A41))+(COUNTIF('W3'!$G$7:$G$50,'HMZ - KAIS'!A41))+(COUNTIF('ATHIS MONS'!$G$7:$G$50,'HMZ - KAIS'!A41))+(COUNTIF('L HAY LES ROSES'!$G$7:$G$50,'HMZ - KAIS'!A41))+(COUNTIF(RUNGIS!$G$7:$G$50,'HMZ - KAIS'!A41))+(COUNTIF(SCEAUX!$G$7:$G$50,'HMZ - KAIS'!A41))+(COUNTIF('INSTANCE C1'!$G$7:$G$50,'HMZ - KAIS'!A41))+(COUNTIF('INSTANCE C2'!$G$7:$G$50,'HMZ - KAIS'!A41))+(COUNTIF(INTERNES!$G$7:$G$50,'HMZ - KAIS'!A41))+(COUNTIF('EN PANNE'!$G$7:$G$50,'HMZ - KAIS'!A41))+(COUNTIF(TJM!$G$7:$G$50,'HMZ - KAIS'!A41))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EXPRESS'!$G$7:$G$50,'HMZ - KAIS'!G41))+(COUNTIF('2 ZT'!$G$7:$G$50,'HMZ - KAIS'!G41))+(COUNTIF('GO TRANSPORT'!$G$7:$G$50,'HMZ - KAIS'!G41))+(COUNTIF('HMZ - KAIS'!$G$7:$G$50,'HMZ - KAIS'!G41))+(COUNTIF('IB TRANSPORT'!$G$7:$G$50,'HMZ - KAIS'!G41))+(COUNTIF(JSL!$G$7:$G$50,'HMZ - KAIS'!G41))+(COUNTIF(KIFAITOUT!$G$7:$G$50,'HMZ - KAIS'!G41))+(COUNTIF('LUXE DRIVE'!$G$7:$G$50,'HMZ - KAIS'!G41))+(COUNTIF(SSN!$G$7:$G$50,'HMZ - KAIS'!G41))+(COUNTIF('W3'!$G$7:$G$50,'HMZ - KAIS'!G41))+(COUNTIF('ATHIS MONS'!$G$7:$G$50,'HMZ - KAIS'!G41))+(COUNTIF('L HAY LES ROSES'!$G$7:$G$50,'HMZ - KAIS'!G41))+(COUNTIF(RUNGIS!$G$7:$G$50,'HMZ - KAIS'!G41))+(COUNTIF(SCEAUX!$G$7:$G$50,'HMZ - KAIS'!G41))+(COUNTIF('INSTANCE C1'!$G$7:$G$50,'HMZ - KAIS'!G41))+(COUNTIF('INSTANCE C2'!$G$7:$G$50,'HMZ - KAIS'!G41))+(COUNTIF(INTERNES!$G$7:$G$50,'HMZ - KAIS'!G41))+(COUNTIF('EN PANNE'!$G$7:$G$50,'HMZ - KAIS'!G41))+(COUNTIF(TJM!$G$7:$G$50,'HMZ - KAIS'!G41))-I41</f>
        <v>0</v>
      </c>
      <c r="I41" s="23">
        <f>(COUNTIF('2S EXPRESS'!$A$7:$A$50,'HMZ - KAIS'!G41))+(COUNTIF('2 ZT'!$A$7:$A$50,'HMZ - KAIS'!G41))+(COUNTIF('GO TRANSPORT'!$A$7:$A$50,'HMZ - KAIS'!G41))+(COUNTIF('HMZ - KAIS'!$A$7:$A$50,'HMZ - KAIS'!G41))+(COUNTIF('IB TRANSPORT'!$A$7:$A$50,'HMZ - KAIS'!G41))+(COUNTIF(JSL!$A$7:$A$50,'HMZ - KAIS'!G41))+(COUNTIF(KIFAITOUT!$A$7:$A$50,'HMZ - KAIS'!G41))+(COUNTIF('LUXE DRIVE'!$A$7:$A$50,'HMZ - KAIS'!G41))+(COUNTIF(SSN!$A$7:$A$50,'HMZ - KAIS'!G41))+(COUNTIF('W3'!$A$7:$A$50,'HMZ - KAIS'!G41))+(COUNTIF('ATHIS MONS'!$A$7:$A$50,'HMZ - KAIS'!G41))+(COUNTIF('L HAY LES ROSES'!$A$7:$A$50,'HMZ - KAIS'!G41))+(COUNTIF(RUNGIS!$A$7:$A$50,'HMZ - KAIS'!G41))+(COUNTIF(SCEAUX!$A$7:$A$50,'HMZ - KAIS'!G41))+(COUNTIF('INSTANCE C1'!$A$7:$A$50,'HMZ - KAIS'!G41))+(COUNTIF('INSTANCE C2'!$A$7:$A$50,'HMZ - KAIS'!G41))+(COUNTIF(INTERNES!$A$7:$A$50,'HMZ - KAIS'!G41))+(COUNTIF('EN PANNE'!$A$7:$A$50,'HMZ - KAIS'!G41))+(COUNTIF(TJM!$A$7:$A$50,'HMZ - KAIS'!G41))</f>
        <v>0</v>
      </c>
      <c r="J41" s="28">
        <f t="shared" si="4"/>
        <v>0</v>
      </c>
      <c r="K41" s="2"/>
      <c r="L41" s="47"/>
      <c r="S41" s="60">
        <f t="shared" si="1"/>
        <v>0</v>
      </c>
      <c r="T41" s="67">
        <f t="shared" si="2"/>
        <v>0</v>
      </c>
      <c r="U41" s="50"/>
    </row>
    <row r="42" spans="1:21" ht="24.95" customHeight="1" x14ac:dyDescent="0.2">
      <c r="A42" s="20"/>
      <c r="B42" s="23">
        <f>(COUNTIF('2S EXPRESS'!$A$7:$A$50,'HMZ - KAIS'!A42))+(COUNTIF('2 ZT'!$A$7:$A$50,'HMZ - KAIS'!A42))+(COUNTIF('GO TRANSPORT'!$A$7:$A$50,'HMZ - KAIS'!A42))+(COUNTIF('HMZ - KAIS'!$A$7:$A$50,'HMZ - KAIS'!A42))+(COUNTIF('IB TRANSPORT'!$A$7:$A$50,'HMZ - KAIS'!A42))+(COUNTIF(JSL!$A$7:$A$50,'HMZ - KAIS'!A42))+(COUNTIF(KIFAITOUT!$A$7:$A$50,'HMZ - KAIS'!A42))+(COUNTIF('LUXE DRIVE'!$A$7:$A$50,'HMZ - KAIS'!A42))+(COUNTIF(SSN!$A$7:$A$50,'HMZ - KAIS'!A42))+(COUNTIF('W3'!$A$7:$A$50,'HMZ - KAIS'!A42))+(COUNTIF('ATHIS MONS'!$A$7:$A$50,'HMZ - KAIS'!A42))+(COUNTIF('L HAY LES ROSES'!$A$7:$A$50,'HMZ - KAIS'!A42))+(COUNTIF(RUNGIS!$A$7:$A$50,'HMZ - KAIS'!A42))+(COUNTIF(SCEAUX!$A$7:$A$50,'HMZ - KAIS'!A42))+(COUNTIF('INSTANCE C1'!$A$7:$A$50,'HMZ - KAIS'!A42))+(COUNTIF('INSTANCE C2'!$A$7:$A$50,'HMZ - KAIS'!A42))+(COUNTIF(INTERNES!$A$7:$A$50,'HMZ - KAIS'!A42))+(COUNTIF('EN PANNE'!$A$7:$A$50,'HMZ - KAIS'!A42))+(COUNTIF(TJM!$A$7:$A$50,'HMZ - KAIS'!A42))-C42</f>
        <v>0</v>
      </c>
      <c r="C42" s="23">
        <f>(COUNTIF('2S EXPRESS'!$G$7:$G$50,'HMZ - KAIS'!A42))+(COUNTIF('2 ZT'!$G$7:$G$50,'HMZ - KAIS'!A42))+(COUNTIF('GO TRANSPORT'!$G$7:$G$50,'HMZ - KAIS'!A42))+(COUNTIF('HMZ - KAIS'!$G$7:$G$50,'HMZ - KAIS'!A42))+(COUNTIF('IB TRANSPORT'!$G$7:$G$50,'HMZ - KAIS'!A42))+(COUNTIF(JSL!$G$7:$G$50,'HMZ - KAIS'!A42))+(COUNTIF(KIFAITOUT!$G$7:$G$50,'HMZ - KAIS'!A42))+(COUNTIF('LUXE DRIVE'!$G$7:$G$50,'HMZ - KAIS'!A42))+(COUNTIF(SSN!$G$7:$G$50,'HMZ - KAIS'!A42))+(COUNTIF('W3'!$G$7:$G$50,'HMZ - KAIS'!A42))+(COUNTIF('ATHIS MONS'!$G$7:$G$50,'HMZ - KAIS'!A42))+(COUNTIF('L HAY LES ROSES'!$G$7:$G$50,'HMZ - KAIS'!A42))+(COUNTIF(RUNGIS!$G$7:$G$50,'HMZ - KAIS'!A42))+(COUNTIF(SCEAUX!$G$7:$G$50,'HMZ - KAIS'!A42))+(COUNTIF('INSTANCE C1'!$G$7:$G$50,'HMZ - KAIS'!A42))+(COUNTIF('INSTANCE C2'!$G$7:$G$50,'HMZ - KAIS'!A42))+(COUNTIF(INTERNES!$G$7:$G$50,'HMZ - KAIS'!A42))+(COUNTIF('EN PANNE'!$G$7:$G$50,'HMZ - KAIS'!A42))+(COUNTIF(TJM!$G$7:$G$50,'HMZ - KAIS'!A42))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EXPRESS'!$G$7:$G$50,'HMZ - KAIS'!G42))+(COUNTIF('2 ZT'!$G$7:$G$50,'HMZ - KAIS'!G42))+(COUNTIF('GO TRANSPORT'!$G$7:$G$50,'HMZ - KAIS'!G42))+(COUNTIF('HMZ - KAIS'!$G$7:$G$50,'HMZ - KAIS'!G42))+(COUNTIF('IB TRANSPORT'!$G$7:$G$50,'HMZ - KAIS'!G42))+(COUNTIF(JSL!$G$7:$G$50,'HMZ - KAIS'!G42))+(COUNTIF(KIFAITOUT!$G$7:$G$50,'HMZ - KAIS'!G42))+(COUNTIF('LUXE DRIVE'!$G$7:$G$50,'HMZ - KAIS'!G42))+(COUNTIF(SSN!$G$7:$G$50,'HMZ - KAIS'!G42))+(COUNTIF('W3'!$G$7:$G$50,'HMZ - KAIS'!G42))+(COUNTIF('ATHIS MONS'!$G$7:$G$50,'HMZ - KAIS'!G42))+(COUNTIF('L HAY LES ROSES'!$G$7:$G$50,'HMZ - KAIS'!G42))+(COUNTIF(RUNGIS!$G$7:$G$50,'HMZ - KAIS'!G42))+(COUNTIF(SCEAUX!$G$7:$G$50,'HMZ - KAIS'!G42))+(COUNTIF('INSTANCE C1'!$G$7:$G$50,'HMZ - KAIS'!G42))+(COUNTIF('INSTANCE C2'!$G$7:$G$50,'HMZ - KAIS'!G42))+(COUNTIF(INTERNES!$G$7:$G$50,'HMZ - KAIS'!G42))+(COUNTIF('EN PANNE'!$G$7:$G$50,'HMZ - KAIS'!G42))+(COUNTIF(TJM!$G$7:$G$50,'HMZ - KAIS'!G42))-I42</f>
        <v>0</v>
      </c>
      <c r="I42" s="23">
        <f>(COUNTIF('2S EXPRESS'!$A$7:$A$50,'HMZ - KAIS'!G42))+(COUNTIF('2 ZT'!$A$7:$A$50,'HMZ - KAIS'!G42))+(COUNTIF('GO TRANSPORT'!$A$7:$A$50,'HMZ - KAIS'!G42))+(COUNTIF('HMZ - KAIS'!$A$7:$A$50,'HMZ - KAIS'!G42))+(COUNTIF('IB TRANSPORT'!$A$7:$A$50,'HMZ - KAIS'!G42))+(COUNTIF(JSL!$A$7:$A$50,'HMZ - KAIS'!G42))+(COUNTIF(KIFAITOUT!$A$7:$A$50,'HMZ - KAIS'!G42))+(COUNTIF('LUXE DRIVE'!$A$7:$A$50,'HMZ - KAIS'!G42))+(COUNTIF(SSN!$A$7:$A$50,'HMZ - KAIS'!G42))+(COUNTIF('W3'!$A$7:$A$50,'HMZ - KAIS'!G42))+(COUNTIF('ATHIS MONS'!$A$7:$A$50,'HMZ - KAIS'!G42))+(COUNTIF('L HAY LES ROSES'!$A$7:$A$50,'HMZ - KAIS'!G42))+(COUNTIF(RUNGIS!$A$7:$A$50,'HMZ - KAIS'!G42))+(COUNTIF(SCEAUX!$A$7:$A$50,'HMZ - KAIS'!G42))+(COUNTIF('INSTANCE C1'!$A$7:$A$50,'HMZ - KAIS'!G42))+(COUNTIF('INSTANCE C2'!$A$7:$A$50,'HMZ - KAIS'!G42))+(COUNTIF(INTERNES!$A$7:$A$50,'HMZ - KAIS'!G42))+(COUNTIF('EN PANNE'!$A$7:$A$50,'HMZ - KAIS'!G42))+(COUNTIF(TJM!$A$7:$A$50,'HMZ - KAIS'!G42))</f>
        <v>0</v>
      </c>
      <c r="J42" s="28">
        <f t="shared" si="4"/>
        <v>0</v>
      </c>
      <c r="K42" s="2"/>
      <c r="L42" s="47"/>
      <c r="S42" s="60">
        <f t="shared" si="1"/>
        <v>0</v>
      </c>
      <c r="T42" s="67">
        <f t="shared" si="2"/>
        <v>0</v>
      </c>
      <c r="U42" s="50"/>
    </row>
    <row r="43" spans="1:21" ht="24.95" customHeight="1" x14ac:dyDescent="0.2">
      <c r="A43" s="20"/>
      <c r="B43" s="23">
        <f>(COUNTIF('2S EXPRESS'!$A$7:$A$50,'HMZ - KAIS'!A43))+(COUNTIF('2 ZT'!$A$7:$A$50,'HMZ - KAIS'!A43))+(COUNTIF('GO TRANSPORT'!$A$7:$A$50,'HMZ - KAIS'!A43))+(COUNTIF('HMZ - KAIS'!$A$7:$A$50,'HMZ - KAIS'!A43))+(COUNTIF('IB TRANSPORT'!$A$7:$A$50,'HMZ - KAIS'!A43))+(COUNTIF(JSL!$A$7:$A$50,'HMZ - KAIS'!A43))+(COUNTIF(KIFAITOUT!$A$7:$A$50,'HMZ - KAIS'!A43))+(COUNTIF('LUXE DRIVE'!$A$7:$A$50,'HMZ - KAIS'!A43))+(COUNTIF(SSN!$A$7:$A$50,'HMZ - KAIS'!A43))+(COUNTIF('W3'!$A$7:$A$50,'HMZ - KAIS'!A43))+(COUNTIF('ATHIS MONS'!$A$7:$A$50,'HMZ - KAIS'!A43))+(COUNTIF('L HAY LES ROSES'!$A$7:$A$50,'HMZ - KAIS'!A43))+(COUNTIF(RUNGIS!$A$7:$A$50,'HMZ - KAIS'!A43))+(COUNTIF(SCEAUX!$A$7:$A$50,'HMZ - KAIS'!A43))+(COUNTIF('INSTANCE C1'!$A$7:$A$50,'HMZ - KAIS'!A43))+(COUNTIF('INSTANCE C2'!$A$7:$A$50,'HMZ - KAIS'!A43))+(COUNTIF(INTERNES!$A$7:$A$50,'HMZ - KAIS'!A43))+(COUNTIF('EN PANNE'!$A$7:$A$50,'HMZ - KAIS'!A43))+(COUNTIF(TJM!$A$7:$A$50,'HMZ - KAIS'!A43))-C43</f>
        <v>0</v>
      </c>
      <c r="C43" s="23">
        <f>(COUNTIF('2S EXPRESS'!$G$7:$G$50,'HMZ - KAIS'!A43))+(COUNTIF('2 ZT'!$G$7:$G$50,'HMZ - KAIS'!A43))+(COUNTIF('GO TRANSPORT'!$G$7:$G$50,'HMZ - KAIS'!A43))+(COUNTIF('HMZ - KAIS'!$G$7:$G$50,'HMZ - KAIS'!A43))+(COUNTIF('IB TRANSPORT'!$G$7:$G$50,'HMZ - KAIS'!A43))+(COUNTIF(JSL!$G$7:$G$50,'HMZ - KAIS'!A43))+(COUNTIF(KIFAITOUT!$G$7:$G$50,'HMZ - KAIS'!A43))+(COUNTIF('LUXE DRIVE'!$G$7:$G$50,'HMZ - KAIS'!A43))+(COUNTIF(SSN!$G$7:$G$50,'HMZ - KAIS'!A43))+(COUNTIF('W3'!$G$7:$G$50,'HMZ - KAIS'!A43))+(COUNTIF('ATHIS MONS'!$G$7:$G$50,'HMZ - KAIS'!A43))+(COUNTIF('L HAY LES ROSES'!$G$7:$G$50,'HMZ - KAIS'!A43))+(COUNTIF(RUNGIS!$G$7:$G$50,'HMZ - KAIS'!A43))+(COUNTIF(SCEAUX!$G$7:$G$50,'HMZ - KAIS'!A43))+(COUNTIF('INSTANCE C1'!$G$7:$G$50,'HMZ - KAIS'!A43))+(COUNTIF('INSTANCE C2'!$G$7:$G$50,'HMZ - KAIS'!A43))+(COUNTIF(INTERNES!$G$7:$G$50,'HMZ - KAIS'!A43))+(COUNTIF('EN PANNE'!$G$7:$G$50,'HMZ - KAIS'!A43))+(COUNTIF(TJM!$G$7:$G$50,'HMZ - KAIS'!A43))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EXPRESS'!$G$7:$G$50,'HMZ - KAIS'!G43))+(COUNTIF('2 ZT'!$G$7:$G$50,'HMZ - KAIS'!G43))+(COUNTIF('GO TRANSPORT'!$G$7:$G$50,'HMZ - KAIS'!G43))+(COUNTIF('HMZ - KAIS'!$G$7:$G$50,'HMZ - KAIS'!G43))+(COUNTIF('IB TRANSPORT'!$G$7:$G$50,'HMZ - KAIS'!G43))+(COUNTIF(JSL!$G$7:$G$50,'HMZ - KAIS'!G43))+(COUNTIF(KIFAITOUT!$G$7:$G$50,'HMZ - KAIS'!G43))+(COUNTIF('LUXE DRIVE'!$G$7:$G$50,'HMZ - KAIS'!G43))+(COUNTIF(SSN!$G$7:$G$50,'HMZ - KAIS'!G43))+(COUNTIF('W3'!$G$7:$G$50,'HMZ - KAIS'!G43))+(COUNTIF('ATHIS MONS'!$G$7:$G$50,'HMZ - KAIS'!G43))+(COUNTIF('L HAY LES ROSES'!$G$7:$G$50,'HMZ - KAIS'!G43))+(COUNTIF(RUNGIS!$G$7:$G$50,'HMZ - KAIS'!G43))+(COUNTIF(SCEAUX!$G$7:$G$50,'HMZ - KAIS'!G43))+(COUNTIF('INSTANCE C1'!$G$7:$G$50,'HMZ - KAIS'!G43))+(COUNTIF('INSTANCE C2'!$G$7:$G$50,'HMZ - KAIS'!G43))+(COUNTIF(INTERNES!$G$7:$G$50,'HMZ - KAIS'!G43))+(COUNTIF('EN PANNE'!$G$7:$G$50,'HMZ - KAIS'!G43))+(COUNTIF(TJM!$G$7:$G$50,'HMZ - KAIS'!G43))-I43</f>
        <v>0</v>
      </c>
      <c r="I43" s="23">
        <f>(COUNTIF('2S EXPRESS'!$A$7:$A$50,'HMZ - KAIS'!G43))+(COUNTIF('2 ZT'!$A$7:$A$50,'HMZ - KAIS'!G43))+(COUNTIF('GO TRANSPORT'!$A$7:$A$50,'HMZ - KAIS'!G43))+(COUNTIF('HMZ - KAIS'!$A$7:$A$50,'HMZ - KAIS'!G43))+(COUNTIF('IB TRANSPORT'!$A$7:$A$50,'HMZ - KAIS'!G43))+(COUNTIF(JSL!$A$7:$A$50,'HMZ - KAIS'!G43))+(COUNTIF(KIFAITOUT!$A$7:$A$50,'HMZ - KAIS'!G43))+(COUNTIF('LUXE DRIVE'!$A$7:$A$50,'HMZ - KAIS'!G43))+(COUNTIF(SSN!$A$7:$A$50,'HMZ - KAIS'!G43))+(COUNTIF('W3'!$A$7:$A$50,'HMZ - KAIS'!G43))+(COUNTIF('ATHIS MONS'!$A$7:$A$50,'HMZ - KAIS'!G43))+(COUNTIF('L HAY LES ROSES'!$A$7:$A$50,'HMZ - KAIS'!G43))+(COUNTIF(RUNGIS!$A$7:$A$50,'HMZ - KAIS'!G43))+(COUNTIF(SCEAUX!$A$7:$A$50,'HMZ - KAIS'!G43))+(COUNTIF('INSTANCE C1'!$A$7:$A$50,'HMZ - KAIS'!G43))+(COUNTIF('INSTANCE C2'!$A$7:$A$50,'HMZ - KAIS'!G43))+(COUNTIF(INTERNES!$A$7:$A$50,'HMZ - KAIS'!G43))+(COUNTIF('EN PANNE'!$A$7:$A$50,'HMZ - KAIS'!G43))+(COUNTIF(TJM!$A$7:$A$50,'HMZ - KAIS'!G43))</f>
        <v>0</v>
      </c>
      <c r="J43" s="28">
        <f t="shared" si="4"/>
        <v>0</v>
      </c>
      <c r="K43" s="2"/>
      <c r="L43" s="47"/>
      <c r="S43" s="60">
        <f t="shared" si="1"/>
        <v>0</v>
      </c>
      <c r="T43" s="67">
        <f t="shared" si="2"/>
        <v>0</v>
      </c>
      <c r="U43" s="50"/>
    </row>
    <row r="44" spans="1:21" ht="24.95" customHeight="1" x14ac:dyDescent="0.2">
      <c r="A44" s="20"/>
      <c r="B44" s="23">
        <f>(COUNTIF('2S EXPRESS'!$A$7:$A$50,'HMZ - KAIS'!A44))+(COUNTIF('2 ZT'!$A$7:$A$50,'HMZ - KAIS'!A44))+(COUNTIF('GO TRANSPORT'!$A$7:$A$50,'HMZ - KAIS'!A44))+(COUNTIF('HMZ - KAIS'!$A$7:$A$50,'HMZ - KAIS'!A44))+(COUNTIF('IB TRANSPORT'!$A$7:$A$50,'HMZ - KAIS'!A44))+(COUNTIF(JSL!$A$7:$A$50,'HMZ - KAIS'!A44))+(COUNTIF(KIFAITOUT!$A$7:$A$50,'HMZ - KAIS'!A44))+(COUNTIF('LUXE DRIVE'!$A$7:$A$50,'HMZ - KAIS'!A44))+(COUNTIF(SSN!$A$7:$A$50,'HMZ - KAIS'!A44))+(COUNTIF('W3'!$A$7:$A$50,'HMZ - KAIS'!A44))+(COUNTIF('ATHIS MONS'!$A$7:$A$50,'HMZ - KAIS'!A44))+(COUNTIF('L HAY LES ROSES'!$A$7:$A$50,'HMZ - KAIS'!A44))+(COUNTIF(RUNGIS!$A$7:$A$50,'HMZ - KAIS'!A44))+(COUNTIF(SCEAUX!$A$7:$A$50,'HMZ - KAIS'!A44))+(COUNTIF('INSTANCE C1'!$A$7:$A$50,'HMZ - KAIS'!A44))+(COUNTIF('INSTANCE C2'!$A$7:$A$50,'HMZ - KAIS'!A44))+(COUNTIF(INTERNES!$A$7:$A$50,'HMZ - KAIS'!A44))+(COUNTIF('EN PANNE'!$A$7:$A$50,'HMZ - KAIS'!A44))+(COUNTIF(TJM!$A$7:$A$50,'HMZ - KAIS'!A44))-C44</f>
        <v>0</v>
      </c>
      <c r="C44" s="23">
        <f>(COUNTIF('2S EXPRESS'!$G$7:$G$50,'HMZ - KAIS'!A44))+(COUNTIF('2 ZT'!$G$7:$G$50,'HMZ - KAIS'!A44))+(COUNTIF('GO TRANSPORT'!$G$7:$G$50,'HMZ - KAIS'!A44))+(COUNTIF('HMZ - KAIS'!$G$7:$G$50,'HMZ - KAIS'!A44))+(COUNTIF('IB TRANSPORT'!$G$7:$G$50,'HMZ - KAIS'!A44))+(COUNTIF(JSL!$G$7:$G$50,'HMZ - KAIS'!A44))+(COUNTIF(KIFAITOUT!$G$7:$G$50,'HMZ - KAIS'!A44))+(COUNTIF('LUXE DRIVE'!$G$7:$G$50,'HMZ - KAIS'!A44))+(COUNTIF(SSN!$G$7:$G$50,'HMZ - KAIS'!A44))+(COUNTIF('W3'!$G$7:$G$50,'HMZ - KAIS'!A44))+(COUNTIF('ATHIS MONS'!$G$7:$G$50,'HMZ - KAIS'!A44))+(COUNTIF('L HAY LES ROSES'!$G$7:$G$50,'HMZ - KAIS'!A44))+(COUNTIF(RUNGIS!$G$7:$G$50,'HMZ - KAIS'!A44))+(COUNTIF(SCEAUX!$G$7:$G$50,'HMZ - KAIS'!A44))+(COUNTIF('INSTANCE C1'!$G$7:$G$50,'HMZ - KAIS'!A44))+(COUNTIF('INSTANCE C2'!$G$7:$G$50,'HMZ - KAIS'!A44))+(COUNTIF(INTERNES!$G$7:$G$50,'HMZ - KAIS'!A44))+(COUNTIF('EN PANNE'!$G$7:$G$50,'HMZ - KAIS'!A44))+(COUNTIF(TJM!$G$7:$G$50,'HMZ - KAIS'!A44))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EXPRESS'!$G$7:$G$50,'HMZ - KAIS'!G44))+(COUNTIF('2 ZT'!$G$7:$G$50,'HMZ - KAIS'!G44))+(COUNTIF('GO TRANSPORT'!$G$7:$G$50,'HMZ - KAIS'!G44))+(COUNTIF('HMZ - KAIS'!$G$7:$G$50,'HMZ - KAIS'!G44))+(COUNTIF('IB TRANSPORT'!$G$7:$G$50,'HMZ - KAIS'!G44))+(COUNTIF(JSL!$G$7:$G$50,'HMZ - KAIS'!G44))+(COUNTIF(KIFAITOUT!$G$7:$G$50,'HMZ - KAIS'!G44))+(COUNTIF('LUXE DRIVE'!$G$7:$G$50,'HMZ - KAIS'!G44))+(COUNTIF(SSN!$G$7:$G$50,'HMZ - KAIS'!G44))+(COUNTIF('W3'!$G$7:$G$50,'HMZ - KAIS'!G44))+(COUNTIF('ATHIS MONS'!$G$7:$G$50,'HMZ - KAIS'!G44))+(COUNTIF('L HAY LES ROSES'!$G$7:$G$50,'HMZ - KAIS'!G44))+(COUNTIF(RUNGIS!$G$7:$G$50,'HMZ - KAIS'!G44))+(COUNTIF(SCEAUX!$G$7:$G$50,'HMZ - KAIS'!G44))+(COUNTIF('INSTANCE C1'!$G$7:$G$50,'HMZ - KAIS'!G44))+(COUNTIF('INSTANCE C2'!$G$7:$G$50,'HMZ - KAIS'!G44))+(COUNTIF(INTERNES!$G$7:$G$50,'HMZ - KAIS'!G44))+(COUNTIF('EN PANNE'!$G$7:$G$50,'HMZ - KAIS'!G44))+(COUNTIF(TJM!$G$7:$G$50,'HMZ - KAIS'!G44))-I44</f>
        <v>0</v>
      </c>
      <c r="I44" s="23">
        <f>(COUNTIF('2S EXPRESS'!$A$7:$A$50,'HMZ - KAIS'!G44))+(COUNTIF('2 ZT'!$A$7:$A$50,'HMZ - KAIS'!G44))+(COUNTIF('GO TRANSPORT'!$A$7:$A$50,'HMZ - KAIS'!G44))+(COUNTIF('HMZ - KAIS'!$A$7:$A$50,'HMZ - KAIS'!G44))+(COUNTIF('IB TRANSPORT'!$A$7:$A$50,'HMZ - KAIS'!G44))+(COUNTIF(JSL!$A$7:$A$50,'HMZ - KAIS'!G44))+(COUNTIF(KIFAITOUT!$A$7:$A$50,'HMZ - KAIS'!G44))+(COUNTIF('LUXE DRIVE'!$A$7:$A$50,'HMZ - KAIS'!G44))+(COUNTIF(SSN!$A$7:$A$50,'HMZ - KAIS'!G44))+(COUNTIF('W3'!$A$7:$A$50,'HMZ - KAIS'!G44))+(COUNTIF('ATHIS MONS'!$A$7:$A$50,'HMZ - KAIS'!G44))+(COUNTIF('L HAY LES ROSES'!$A$7:$A$50,'HMZ - KAIS'!G44))+(COUNTIF(RUNGIS!$A$7:$A$50,'HMZ - KAIS'!G44))+(COUNTIF(SCEAUX!$A$7:$A$50,'HMZ - KAIS'!G44))+(COUNTIF('INSTANCE C1'!$A$7:$A$50,'HMZ - KAIS'!G44))+(COUNTIF('INSTANCE C2'!$A$7:$A$50,'HMZ - KAIS'!G44))+(COUNTIF(INTERNES!$A$7:$A$50,'HMZ - KAIS'!G44))+(COUNTIF('EN PANNE'!$A$7:$A$50,'HMZ - KAIS'!G44))+(COUNTIF(TJM!$A$7:$A$50,'HMZ - KAIS'!G44))</f>
        <v>0</v>
      </c>
      <c r="J44" s="28">
        <f t="shared" si="4"/>
        <v>0</v>
      </c>
      <c r="K44" s="2"/>
      <c r="L44" s="47"/>
      <c r="S44" s="60">
        <f t="shared" si="1"/>
        <v>0</v>
      </c>
      <c r="T44" s="67">
        <f t="shared" si="2"/>
        <v>0</v>
      </c>
      <c r="U44" s="50"/>
    </row>
    <row r="45" spans="1:21" ht="24.95" customHeight="1" x14ac:dyDescent="0.2">
      <c r="A45" s="20"/>
      <c r="B45" s="23">
        <f>(COUNTIF('2S EXPRESS'!$A$7:$A$50,'HMZ - KAIS'!A45))+(COUNTIF('2 ZT'!$A$7:$A$50,'HMZ - KAIS'!A45))+(COUNTIF('GO TRANSPORT'!$A$7:$A$50,'HMZ - KAIS'!A45))+(COUNTIF('HMZ - KAIS'!$A$7:$A$50,'HMZ - KAIS'!A45))+(COUNTIF('IB TRANSPORT'!$A$7:$A$50,'HMZ - KAIS'!A45))+(COUNTIF(JSL!$A$7:$A$50,'HMZ - KAIS'!A45))+(COUNTIF(KIFAITOUT!$A$7:$A$50,'HMZ - KAIS'!A45))+(COUNTIF('LUXE DRIVE'!$A$7:$A$50,'HMZ - KAIS'!A45))+(COUNTIF(SSN!$A$7:$A$50,'HMZ - KAIS'!A45))+(COUNTIF('W3'!$A$7:$A$50,'HMZ - KAIS'!A45))+(COUNTIF('ATHIS MONS'!$A$7:$A$50,'HMZ - KAIS'!A45))+(COUNTIF('L HAY LES ROSES'!$A$7:$A$50,'HMZ - KAIS'!A45))+(COUNTIF(RUNGIS!$A$7:$A$50,'HMZ - KAIS'!A45))+(COUNTIF(SCEAUX!$A$7:$A$50,'HMZ - KAIS'!A45))+(COUNTIF('INSTANCE C1'!$A$7:$A$50,'HMZ - KAIS'!A45))+(COUNTIF('INSTANCE C2'!$A$7:$A$50,'HMZ - KAIS'!A45))+(COUNTIF(INTERNES!$A$7:$A$50,'HMZ - KAIS'!A45))+(COUNTIF('EN PANNE'!$A$7:$A$50,'HMZ - KAIS'!A45))+(COUNTIF(TJM!$A$7:$A$50,'HMZ - KAIS'!A45))-C45</f>
        <v>0</v>
      </c>
      <c r="C45" s="23">
        <f>(COUNTIF('2S EXPRESS'!$G$7:$G$50,'HMZ - KAIS'!A45))+(COUNTIF('2 ZT'!$G$7:$G$50,'HMZ - KAIS'!A45))+(COUNTIF('GO TRANSPORT'!$G$7:$G$50,'HMZ - KAIS'!A45))+(COUNTIF('HMZ - KAIS'!$G$7:$G$50,'HMZ - KAIS'!A45))+(COUNTIF('IB TRANSPORT'!$G$7:$G$50,'HMZ - KAIS'!A45))+(COUNTIF(JSL!$G$7:$G$50,'HMZ - KAIS'!A45))+(COUNTIF(KIFAITOUT!$G$7:$G$50,'HMZ - KAIS'!A45))+(COUNTIF('LUXE DRIVE'!$G$7:$G$50,'HMZ - KAIS'!A45))+(COUNTIF(SSN!$G$7:$G$50,'HMZ - KAIS'!A45))+(COUNTIF('W3'!$G$7:$G$50,'HMZ - KAIS'!A45))+(COUNTIF('ATHIS MONS'!$G$7:$G$50,'HMZ - KAIS'!A45))+(COUNTIF('L HAY LES ROSES'!$G$7:$G$50,'HMZ - KAIS'!A45))+(COUNTIF(RUNGIS!$G$7:$G$50,'HMZ - KAIS'!A45))+(COUNTIF(SCEAUX!$G$7:$G$50,'HMZ - KAIS'!A45))+(COUNTIF('INSTANCE C1'!$G$7:$G$50,'HMZ - KAIS'!A45))+(COUNTIF('INSTANCE C2'!$G$7:$G$50,'HMZ - KAIS'!A45))+(COUNTIF(INTERNES!$G$7:$G$50,'HMZ - KAIS'!A45))+(COUNTIF('EN PANNE'!$G$7:$G$50,'HMZ - KAIS'!A45))+(COUNTIF(TJM!$G$7:$G$50,'HMZ - KAIS'!A45))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EXPRESS'!$G$7:$G$50,'HMZ - KAIS'!G45))+(COUNTIF('2 ZT'!$G$7:$G$50,'HMZ - KAIS'!G45))+(COUNTIF('GO TRANSPORT'!$G$7:$G$50,'HMZ - KAIS'!G45))+(COUNTIF('HMZ - KAIS'!$G$7:$G$50,'HMZ - KAIS'!G45))+(COUNTIF('IB TRANSPORT'!$G$7:$G$50,'HMZ - KAIS'!G45))+(COUNTIF(JSL!$G$7:$G$50,'HMZ - KAIS'!G45))+(COUNTIF(KIFAITOUT!$G$7:$G$50,'HMZ - KAIS'!G45))+(COUNTIF('LUXE DRIVE'!$G$7:$G$50,'HMZ - KAIS'!G45))+(COUNTIF(SSN!$G$7:$G$50,'HMZ - KAIS'!G45))+(COUNTIF('W3'!$G$7:$G$50,'HMZ - KAIS'!G45))+(COUNTIF('ATHIS MONS'!$G$7:$G$50,'HMZ - KAIS'!G45))+(COUNTIF('L HAY LES ROSES'!$G$7:$G$50,'HMZ - KAIS'!G45))+(COUNTIF(RUNGIS!$G$7:$G$50,'HMZ - KAIS'!G45))+(COUNTIF(SCEAUX!$G$7:$G$50,'HMZ - KAIS'!G45))+(COUNTIF('INSTANCE C1'!$G$7:$G$50,'HMZ - KAIS'!G45))+(COUNTIF('INSTANCE C2'!$G$7:$G$50,'HMZ - KAIS'!G45))+(COUNTIF(INTERNES!$G$7:$G$50,'HMZ - KAIS'!G45))+(COUNTIF('EN PANNE'!$G$7:$G$50,'HMZ - KAIS'!G45))+(COUNTIF(TJM!$G$7:$G$50,'HMZ - KAIS'!G45))-I45</f>
        <v>0</v>
      </c>
      <c r="I45" s="23">
        <f>(COUNTIF('2S EXPRESS'!$A$7:$A$50,'HMZ - KAIS'!G45))+(COUNTIF('2 ZT'!$A$7:$A$50,'HMZ - KAIS'!G45))+(COUNTIF('GO TRANSPORT'!$A$7:$A$50,'HMZ - KAIS'!G45))+(COUNTIF('HMZ - KAIS'!$A$7:$A$50,'HMZ - KAIS'!G45))+(COUNTIF('IB TRANSPORT'!$A$7:$A$50,'HMZ - KAIS'!G45))+(COUNTIF(JSL!$A$7:$A$50,'HMZ - KAIS'!G45))+(COUNTIF(KIFAITOUT!$A$7:$A$50,'HMZ - KAIS'!G45))+(COUNTIF('LUXE DRIVE'!$A$7:$A$50,'HMZ - KAIS'!G45))+(COUNTIF(SSN!$A$7:$A$50,'HMZ - KAIS'!G45))+(COUNTIF('W3'!$A$7:$A$50,'HMZ - KAIS'!G45))+(COUNTIF('ATHIS MONS'!$A$7:$A$50,'HMZ - KAIS'!G45))+(COUNTIF('L HAY LES ROSES'!$A$7:$A$50,'HMZ - KAIS'!G45))+(COUNTIF(RUNGIS!$A$7:$A$50,'HMZ - KAIS'!G45))+(COUNTIF(SCEAUX!$A$7:$A$50,'HMZ - KAIS'!G45))+(COUNTIF('INSTANCE C1'!$A$7:$A$50,'HMZ - KAIS'!G45))+(COUNTIF('INSTANCE C2'!$A$7:$A$50,'HMZ - KAIS'!G45))+(COUNTIF(INTERNES!$A$7:$A$50,'HMZ - KAIS'!G45))+(COUNTIF('EN PANNE'!$A$7:$A$50,'HMZ - KAIS'!G45))+(COUNTIF(TJM!$A$7:$A$50,'HMZ - KAIS'!G45))</f>
        <v>0</v>
      </c>
      <c r="J45" s="28">
        <f t="shared" si="4"/>
        <v>0</v>
      </c>
      <c r="K45" s="2"/>
      <c r="L45" s="47"/>
      <c r="S45" s="60">
        <f t="shared" si="1"/>
        <v>0</v>
      </c>
      <c r="T45" s="67">
        <f t="shared" si="2"/>
        <v>0</v>
      </c>
      <c r="U45" s="50"/>
    </row>
    <row r="46" spans="1:21" ht="24.95" customHeight="1" x14ac:dyDescent="0.2">
      <c r="A46" s="20"/>
      <c r="B46" s="23">
        <f>(COUNTIF('2S EXPRESS'!$A$7:$A$50,'HMZ - KAIS'!A46))+(COUNTIF('2 ZT'!$A$7:$A$50,'HMZ - KAIS'!A46))+(COUNTIF('GO TRANSPORT'!$A$7:$A$50,'HMZ - KAIS'!A46))+(COUNTIF('HMZ - KAIS'!$A$7:$A$50,'HMZ - KAIS'!A46))+(COUNTIF('IB TRANSPORT'!$A$7:$A$50,'HMZ - KAIS'!A46))+(COUNTIF(JSL!$A$7:$A$50,'HMZ - KAIS'!A46))+(COUNTIF(KIFAITOUT!$A$7:$A$50,'HMZ - KAIS'!A46))+(COUNTIF('LUXE DRIVE'!$A$7:$A$50,'HMZ - KAIS'!A46))+(COUNTIF(SSN!$A$7:$A$50,'HMZ - KAIS'!A46))+(COUNTIF('W3'!$A$7:$A$50,'HMZ - KAIS'!A46))+(COUNTIF('ATHIS MONS'!$A$7:$A$50,'HMZ - KAIS'!A46))+(COUNTIF('L HAY LES ROSES'!$A$7:$A$50,'HMZ - KAIS'!A46))+(COUNTIF(RUNGIS!$A$7:$A$50,'HMZ - KAIS'!A46))+(COUNTIF(SCEAUX!$A$7:$A$50,'HMZ - KAIS'!A46))+(COUNTIF('INSTANCE C1'!$A$7:$A$50,'HMZ - KAIS'!A46))+(COUNTIF('INSTANCE C2'!$A$7:$A$50,'HMZ - KAIS'!A46))+(COUNTIF(INTERNES!$A$7:$A$50,'HMZ - KAIS'!A46))+(COUNTIF('EN PANNE'!$A$7:$A$50,'HMZ - KAIS'!A46))+(COUNTIF(TJM!$A$7:$A$50,'HMZ - KAIS'!A46))-C46</f>
        <v>0</v>
      </c>
      <c r="C46" s="23">
        <f>(COUNTIF('2S EXPRESS'!$G$7:$G$50,'HMZ - KAIS'!A46))+(COUNTIF('2 ZT'!$G$7:$G$50,'HMZ - KAIS'!A46))+(COUNTIF('GO TRANSPORT'!$G$7:$G$50,'HMZ - KAIS'!A46))+(COUNTIF('HMZ - KAIS'!$G$7:$G$50,'HMZ - KAIS'!A46))+(COUNTIF('IB TRANSPORT'!$G$7:$G$50,'HMZ - KAIS'!A46))+(COUNTIF(JSL!$G$7:$G$50,'HMZ - KAIS'!A46))+(COUNTIF(KIFAITOUT!$G$7:$G$50,'HMZ - KAIS'!A46))+(COUNTIF('LUXE DRIVE'!$G$7:$G$50,'HMZ - KAIS'!A46))+(COUNTIF(SSN!$G$7:$G$50,'HMZ - KAIS'!A46))+(COUNTIF('W3'!$G$7:$G$50,'HMZ - KAIS'!A46))+(COUNTIF('ATHIS MONS'!$G$7:$G$50,'HMZ - KAIS'!A46))+(COUNTIF('L HAY LES ROSES'!$G$7:$G$50,'HMZ - KAIS'!A46))+(COUNTIF(RUNGIS!$G$7:$G$50,'HMZ - KAIS'!A46))+(COUNTIF(SCEAUX!$G$7:$G$50,'HMZ - KAIS'!A46))+(COUNTIF('INSTANCE C1'!$G$7:$G$50,'HMZ - KAIS'!A46))+(COUNTIF('INSTANCE C2'!$G$7:$G$50,'HMZ - KAIS'!A46))+(COUNTIF(INTERNES!$G$7:$G$50,'HMZ - KAIS'!A46))+(COUNTIF('EN PANNE'!$G$7:$G$50,'HMZ - KAIS'!A46))+(COUNTIF(TJM!$G$7:$G$50,'HMZ - KAIS'!A46))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EXPRESS'!$G$7:$G$50,'HMZ - KAIS'!G46))+(COUNTIF('2 ZT'!$G$7:$G$50,'HMZ - KAIS'!G46))+(COUNTIF('GO TRANSPORT'!$G$7:$G$50,'HMZ - KAIS'!G46))+(COUNTIF('HMZ - KAIS'!$G$7:$G$50,'HMZ - KAIS'!G46))+(COUNTIF('IB TRANSPORT'!$G$7:$G$50,'HMZ - KAIS'!G46))+(COUNTIF(JSL!$G$7:$G$50,'HMZ - KAIS'!G46))+(COUNTIF(KIFAITOUT!$G$7:$G$50,'HMZ - KAIS'!G46))+(COUNTIF('LUXE DRIVE'!$G$7:$G$50,'HMZ - KAIS'!G46))+(COUNTIF(SSN!$G$7:$G$50,'HMZ - KAIS'!G46))+(COUNTIF('W3'!$G$7:$G$50,'HMZ - KAIS'!G46))+(COUNTIF('ATHIS MONS'!$G$7:$G$50,'HMZ - KAIS'!G46))+(COUNTIF('L HAY LES ROSES'!$G$7:$G$50,'HMZ - KAIS'!G46))+(COUNTIF(RUNGIS!$G$7:$G$50,'HMZ - KAIS'!G46))+(COUNTIF(SCEAUX!$G$7:$G$50,'HMZ - KAIS'!G46))+(COUNTIF('INSTANCE C1'!$G$7:$G$50,'HMZ - KAIS'!G46))+(COUNTIF('INSTANCE C2'!$G$7:$G$50,'HMZ - KAIS'!G46))+(COUNTIF(INTERNES!$G$7:$G$50,'HMZ - KAIS'!G46))+(COUNTIF('EN PANNE'!$G$7:$G$50,'HMZ - KAIS'!G46))+(COUNTIF(TJM!$G$7:$G$50,'HMZ - KAIS'!G46))-I46</f>
        <v>0</v>
      </c>
      <c r="I46" s="23">
        <f>(COUNTIF('2S EXPRESS'!$A$7:$A$50,'HMZ - KAIS'!G46))+(COUNTIF('2 ZT'!$A$7:$A$50,'HMZ - KAIS'!G46))+(COUNTIF('GO TRANSPORT'!$A$7:$A$50,'HMZ - KAIS'!G46))+(COUNTIF('HMZ - KAIS'!$A$7:$A$50,'HMZ - KAIS'!G46))+(COUNTIF('IB TRANSPORT'!$A$7:$A$50,'HMZ - KAIS'!G46))+(COUNTIF(JSL!$A$7:$A$50,'HMZ - KAIS'!G46))+(COUNTIF(KIFAITOUT!$A$7:$A$50,'HMZ - KAIS'!G46))+(COUNTIF('LUXE DRIVE'!$A$7:$A$50,'HMZ - KAIS'!G46))+(COUNTIF(SSN!$A$7:$A$50,'HMZ - KAIS'!G46))+(COUNTIF('W3'!$A$7:$A$50,'HMZ - KAIS'!G46))+(COUNTIF('ATHIS MONS'!$A$7:$A$50,'HMZ - KAIS'!G46))+(COUNTIF('L HAY LES ROSES'!$A$7:$A$50,'HMZ - KAIS'!G46))+(COUNTIF(RUNGIS!$A$7:$A$50,'HMZ - KAIS'!G46))+(COUNTIF(SCEAUX!$A$7:$A$50,'HMZ - KAIS'!G46))+(COUNTIF('INSTANCE C1'!$A$7:$A$50,'HMZ - KAIS'!G46))+(COUNTIF('INSTANCE C2'!$A$7:$A$50,'HMZ - KAIS'!G46))+(COUNTIF(INTERNES!$A$7:$A$50,'HMZ - KAIS'!G46))+(COUNTIF('EN PANNE'!$A$7:$A$50,'HMZ - KAIS'!G46))+(COUNTIF(TJM!$A$7:$A$50,'HMZ - KAIS'!G46))</f>
        <v>0</v>
      </c>
      <c r="J46" s="28">
        <f t="shared" si="4"/>
        <v>0</v>
      </c>
      <c r="K46" s="2"/>
      <c r="L46" s="47"/>
      <c r="S46" s="60">
        <f t="shared" si="1"/>
        <v>0</v>
      </c>
      <c r="T46" s="67">
        <f t="shared" si="2"/>
        <v>0</v>
      </c>
      <c r="U46" s="50"/>
    </row>
    <row r="47" spans="1:21" ht="24.95" customHeight="1" x14ac:dyDescent="0.2">
      <c r="A47" s="20"/>
      <c r="B47" s="23">
        <f>(COUNTIF('2S EXPRESS'!$A$7:$A$50,'HMZ - KAIS'!A47))+(COUNTIF('2 ZT'!$A$7:$A$50,'HMZ - KAIS'!A47))+(COUNTIF('GO TRANSPORT'!$A$7:$A$50,'HMZ - KAIS'!A47))+(COUNTIF('HMZ - KAIS'!$A$7:$A$50,'HMZ - KAIS'!A47))+(COUNTIF('IB TRANSPORT'!$A$7:$A$50,'HMZ - KAIS'!A47))+(COUNTIF(JSL!$A$7:$A$50,'HMZ - KAIS'!A47))+(COUNTIF(KIFAITOUT!$A$7:$A$50,'HMZ - KAIS'!A47))+(COUNTIF('LUXE DRIVE'!$A$7:$A$50,'HMZ - KAIS'!A47))+(COUNTIF(SSN!$A$7:$A$50,'HMZ - KAIS'!A47))+(COUNTIF('W3'!$A$7:$A$50,'HMZ - KAIS'!A47))+(COUNTIF('ATHIS MONS'!$A$7:$A$50,'HMZ - KAIS'!A47))+(COUNTIF('L HAY LES ROSES'!$A$7:$A$50,'HMZ - KAIS'!A47))+(COUNTIF(RUNGIS!$A$7:$A$50,'HMZ - KAIS'!A47))+(COUNTIF(SCEAUX!$A$7:$A$50,'HMZ - KAIS'!A47))+(COUNTIF('INSTANCE C1'!$A$7:$A$50,'HMZ - KAIS'!A47))+(COUNTIF('INSTANCE C2'!$A$7:$A$50,'HMZ - KAIS'!A47))+(COUNTIF(INTERNES!$A$7:$A$50,'HMZ - KAIS'!A47))+(COUNTIF('EN PANNE'!$A$7:$A$50,'HMZ - KAIS'!A47))+(COUNTIF(TJM!$A$7:$A$50,'HMZ - KAIS'!A47))-C47</f>
        <v>0</v>
      </c>
      <c r="C47" s="23">
        <f>(COUNTIF('2S EXPRESS'!$G$7:$G$50,'HMZ - KAIS'!A47))+(COUNTIF('2 ZT'!$G$7:$G$50,'HMZ - KAIS'!A47))+(COUNTIF('GO TRANSPORT'!$G$7:$G$50,'HMZ - KAIS'!A47))+(COUNTIF('HMZ - KAIS'!$G$7:$G$50,'HMZ - KAIS'!A47))+(COUNTIF('IB TRANSPORT'!$G$7:$G$50,'HMZ - KAIS'!A47))+(COUNTIF(JSL!$G$7:$G$50,'HMZ - KAIS'!A47))+(COUNTIF(KIFAITOUT!$G$7:$G$50,'HMZ - KAIS'!A47))+(COUNTIF('LUXE DRIVE'!$G$7:$G$50,'HMZ - KAIS'!A47))+(COUNTIF(SSN!$G$7:$G$50,'HMZ - KAIS'!A47))+(COUNTIF('W3'!$G$7:$G$50,'HMZ - KAIS'!A47))+(COUNTIF('ATHIS MONS'!$G$7:$G$50,'HMZ - KAIS'!A47))+(COUNTIF('L HAY LES ROSES'!$G$7:$G$50,'HMZ - KAIS'!A47))+(COUNTIF(RUNGIS!$G$7:$G$50,'HMZ - KAIS'!A47))+(COUNTIF(SCEAUX!$G$7:$G$50,'HMZ - KAIS'!A47))+(COUNTIF('INSTANCE C1'!$G$7:$G$50,'HMZ - KAIS'!A47))+(COUNTIF('INSTANCE C2'!$G$7:$G$50,'HMZ - KAIS'!A47))+(COUNTIF(INTERNES!$G$7:$G$50,'HMZ - KAIS'!A47))+(COUNTIF('EN PANNE'!$G$7:$G$50,'HMZ - KAIS'!A47))+(COUNTIF(TJM!$G$7:$G$50,'HMZ - KAIS'!A47))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EXPRESS'!$G$7:$G$50,'HMZ - KAIS'!G47))+(COUNTIF('2 ZT'!$G$7:$G$50,'HMZ - KAIS'!G47))+(COUNTIF('GO TRANSPORT'!$G$7:$G$50,'HMZ - KAIS'!G47))+(COUNTIF('HMZ - KAIS'!$G$7:$G$50,'HMZ - KAIS'!G47))+(COUNTIF('IB TRANSPORT'!$G$7:$G$50,'HMZ - KAIS'!G47))+(COUNTIF(JSL!$G$7:$G$50,'HMZ - KAIS'!G47))+(COUNTIF(KIFAITOUT!$G$7:$G$50,'HMZ - KAIS'!G47))+(COUNTIF('LUXE DRIVE'!$G$7:$G$50,'HMZ - KAIS'!G47))+(COUNTIF(SSN!$G$7:$G$50,'HMZ - KAIS'!G47))+(COUNTIF('W3'!$G$7:$G$50,'HMZ - KAIS'!G47))+(COUNTIF('ATHIS MONS'!$G$7:$G$50,'HMZ - KAIS'!G47))+(COUNTIF('L HAY LES ROSES'!$G$7:$G$50,'HMZ - KAIS'!G47))+(COUNTIF(RUNGIS!$G$7:$G$50,'HMZ - KAIS'!G47))+(COUNTIF(SCEAUX!$G$7:$G$50,'HMZ - KAIS'!G47))+(COUNTIF('INSTANCE C1'!$G$7:$G$50,'HMZ - KAIS'!G47))+(COUNTIF('INSTANCE C2'!$G$7:$G$50,'HMZ - KAIS'!G47))+(COUNTIF(INTERNES!$G$7:$G$50,'HMZ - KAIS'!G47))+(COUNTIF('EN PANNE'!$G$7:$G$50,'HMZ - KAIS'!G47))+(COUNTIF(TJM!$G$7:$G$50,'HMZ - KAIS'!G47))-I47</f>
        <v>0</v>
      </c>
      <c r="I47" s="23">
        <f>(COUNTIF('2S EXPRESS'!$A$7:$A$50,'HMZ - KAIS'!G47))+(COUNTIF('2 ZT'!$A$7:$A$50,'HMZ - KAIS'!G47))+(COUNTIF('GO TRANSPORT'!$A$7:$A$50,'HMZ - KAIS'!G47))+(COUNTIF('HMZ - KAIS'!$A$7:$A$50,'HMZ - KAIS'!G47))+(COUNTIF('IB TRANSPORT'!$A$7:$A$50,'HMZ - KAIS'!G47))+(COUNTIF(JSL!$A$7:$A$50,'HMZ - KAIS'!G47))+(COUNTIF(KIFAITOUT!$A$7:$A$50,'HMZ - KAIS'!G47))+(COUNTIF('LUXE DRIVE'!$A$7:$A$50,'HMZ - KAIS'!G47))+(COUNTIF(SSN!$A$7:$A$50,'HMZ - KAIS'!G47))+(COUNTIF('W3'!$A$7:$A$50,'HMZ - KAIS'!G47))+(COUNTIF('ATHIS MONS'!$A$7:$A$50,'HMZ - KAIS'!G47))+(COUNTIF('L HAY LES ROSES'!$A$7:$A$50,'HMZ - KAIS'!G47))+(COUNTIF(RUNGIS!$A$7:$A$50,'HMZ - KAIS'!G47))+(COUNTIF(SCEAUX!$A$7:$A$50,'HMZ - KAIS'!G47))+(COUNTIF('INSTANCE C1'!$A$7:$A$50,'HMZ - KAIS'!G47))+(COUNTIF('INSTANCE C2'!$A$7:$A$50,'HMZ - KAIS'!G47))+(COUNTIF(INTERNES!$A$7:$A$50,'HMZ - KAIS'!G47))+(COUNTIF('EN PANNE'!$A$7:$A$50,'HMZ - KAIS'!G47))+(COUNTIF(TJM!$A$7:$A$50,'HMZ - KAIS'!G47))</f>
        <v>0</v>
      </c>
      <c r="J47" s="28">
        <f t="shared" si="4"/>
        <v>0</v>
      </c>
      <c r="K47" s="2"/>
      <c r="L47" s="47"/>
      <c r="S47" s="60">
        <f t="shared" si="1"/>
        <v>0</v>
      </c>
      <c r="T47" s="67">
        <f t="shared" si="2"/>
        <v>0</v>
      </c>
      <c r="U47" s="50"/>
    </row>
    <row r="48" spans="1:21" ht="24.95" customHeight="1" x14ac:dyDescent="0.2">
      <c r="A48" s="20"/>
      <c r="B48" s="23">
        <f>(COUNTIF('2S EXPRESS'!$A$7:$A$50,'HMZ - KAIS'!A48))+(COUNTIF('2 ZT'!$A$7:$A$50,'HMZ - KAIS'!A48))+(COUNTIF('GO TRANSPORT'!$A$7:$A$50,'HMZ - KAIS'!A48))+(COUNTIF('HMZ - KAIS'!$A$7:$A$50,'HMZ - KAIS'!A48))+(COUNTIF('IB TRANSPORT'!$A$7:$A$50,'HMZ - KAIS'!A48))+(COUNTIF(JSL!$A$7:$A$50,'HMZ - KAIS'!A48))+(COUNTIF(KIFAITOUT!$A$7:$A$50,'HMZ - KAIS'!A48))+(COUNTIF('LUXE DRIVE'!$A$7:$A$50,'HMZ - KAIS'!A48))+(COUNTIF(SSN!$A$7:$A$50,'HMZ - KAIS'!A48))+(COUNTIF('W3'!$A$7:$A$50,'HMZ - KAIS'!A48))+(COUNTIF('ATHIS MONS'!$A$7:$A$50,'HMZ - KAIS'!A48))+(COUNTIF('L HAY LES ROSES'!$A$7:$A$50,'HMZ - KAIS'!A48))+(COUNTIF(RUNGIS!$A$7:$A$50,'HMZ - KAIS'!A48))+(COUNTIF(SCEAUX!$A$7:$A$50,'HMZ - KAIS'!A48))+(COUNTIF('INSTANCE C1'!$A$7:$A$50,'HMZ - KAIS'!A48))+(COUNTIF('INSTANCE C2'!$A$7:$A$50,'HMZ - KAIS'!A48))+(COUNTIF(INTERNES!$A$7:$A$50,'HMZ - KAIS'!A48))+(COUNTIF('EN PANNE'!$A$7:$A$50,'HMZ - KAIS'!A48))+(COUNTIF(TJM!$A$7:$A$50,'HMZ - KAIS'!A48))-C48</f>
        <v>0</v>
      </c>
      <c r="C48" s="23">
        <f>(COUNTIF('2S EXPRESS'!$G$7:$G$50,'HMZ - KAIS'!A48))+(COUNTIF('2 ZT'!$G$7:$G$50,'HMZ - KAIS'!A48))+(COUNTIF('GO TRANSPORT'!$G$7:$G$50,'HMZ - KAIS'!A48))+(COUNTIF('HMZ - KAIS'!$G$7:$G$50,'HMZ - KAIS'!A48))+(COUNTIF('IB TRANSPORT'!$G$7:$G$50,'HMZ - KAIS'!A48))+(COUNTIF(JSL!$G$7:$G$50,'HMZ - KAIS'!A48))+(COUNTIF(KIFAITOUT!$G$7:$G$50,'HMZ - KAIS'!A48))+(COUNTIF('LUXE DRIVE'!$G$7:$G$50,'HMZ - KAIS'!A48))+(COUNTIF(SSN!$G$7:$G$50,'HMZ - KAIS'!A48))+(COUNTIF('W3'!$G$7:$G$50,'HMZ - KAIS'!A48))+(COUNTIF('ATHIS MONS'!$G$7:$G$50,'HMZ - KAIS'!A48))+(COUNTIF('L HAY LES ROSES'!$G$7:$G$50,'HMZ - KAIS'!A48))+(COUNTIF(RUNGIS!$G$7:$G$50,'HMZ - KAIS'!A48))+(COUNTIF(SCEAUX!$G$7:$G$50,'HMZ - KAIS'!A48))+(COUNTIF('INSTANCE C1'!$G$7:$G$50,'HMZ - KAIS'!A48))+(COUNTIF('INSTANCE C2'!$G$7:$G$50,'HMZ - KAIS'!A48))+(COUNTIF(INTERNES!$G$7:$G$50,'HMZ - KAIS'!A48))+(COUNTIF('EN PANNE'!$G$7:$G$50,'HMZ - KAIS'!A48))+(COUNTIF(TJM!$G$7:$G$50,'HMZ - KAIS'!A48))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EXPRESS'!$G$7:$G$50,'HMZ - KAIS'!G48))+(COUNTIF('2 ZT'!$G$7:$G$50,'HMZ - KAIS'!G48))+(COUNTIF('GO TRANSPORT'!$G$7:$G$50,'HMZ - KAIS'!G48))+(COUNTIF('HMZ - KAIS'!$G$7:$G$50,'HMZ - KAIS'!G48))+(COUNTIF('IB TRANSPORT'!$G$7:$G$50,'HMZ - KAIS'!G48))+(COUNTIF(JSL!$G$7:$G$50,'HMZ - KAIS'!G48))+(COUNTIF(KIFAITOUT!$G$7:$G$50,'HMZ - KAIS'!G48))+(COUNTIF('LUXE DRIVE'!$G$7:$G$50,'HMZ - KAIS'!G48))+(COUNTIF(SSN!$G$7:$G$50,'HMZ - KAIS'!G48))+(COUNTIF('W3'!$G$7:$G$50,'HMZ - KAIS'!G48))+(COUNTIF('ATHIS MONS'!$G$7:$G$50,'HMZ - KAIS'!G48))+(COUNTIF('L HAY LES ROSES'!$G$7:$G$50,'HMZ - KAIS'!G48))+(COUNTIF(RUNGIS!$G$7:$G$50,'HMZ - KAIS'!G48))+(COUNTIF(SCEAUX!$G$7:$G$50,'HMZ - KAIS'!G48))+(COUNTIF('INSTANCE C1'!$G$7:$G$50,'HMZ - KAIS'!G48))+(COUNTIF('INSTANCE C2'!$G$7:$G$50,'HMZ - KAIS'!G48))+(COUNTIF(INTERNES!$G$7:$G$50,'HMZ - KAIS'!G48))+(COUNTIF('EN PANNE'!$G$7:$G$50,'HMZ - KAIS'!G48))+(COUNTIF(TJM!$G$7:$G$50,'HMZ - KAIS'!G48))-I48</f>
        <v>0</v>
      </c>
      <c r="I48" s="23">
        <f>(COUNTIF('2S EXPRESS'!$A$7:$A$50,'HMZ - KAIS'!G48))+(COUNTIF('2 ZT'!$A$7:$A$50,'HMZ - KAIS'!G48))+(COUNTIF('GO TRANSPORT'!$A$7:$A$50,'HMZ - KAIS'!G48))+(COUNTIF('HMZ - KAIS'!$A$7:$A$50,'HMZ - KAIS'!G48))+(COUNTIF('IB TRANSPORT'!$A$7:$A$50,'HMZ - KAIS'!G48))+(COUNTIF(JSL!$A$7:$A$50,'HMZ - KAIS'!G48))+(COUNTIF(KIFAITOUT!$A$7:$A$50,'HMZ - KAIS'!G48))+(COUNTIF('LUXE DRIVE'!$A$7:$A$50,'HMZ - KAIS'!G48))+(COUNTIF(SSN!$A$7:$A$50,'HMZ - KAIS'!G48))+(COUNTIF('W3'!$A$7:$A$50,'HMZ - KAIS'!G48))+(COUNTIF('ATHIS MONS'!$A$7:$A$50,'HMZ - KAIS'!G48))+(COUNTIF('L HAY LES ROSES'!$A$7:$A$50,'HMZ - KAIS'!G48))+(COUNTIF(RUNGIS!$A$7:$A$50,'HMZ - KAIS'!G48))+(COUNTIF(SCEAUX!$A$7:$A$50,'HMZ - KAIS'!G48))+(COUNTIF('INSTANCE C1'!$A$7:$A$50,'HMZ - KAIS'!G48))+(COUNTIF('INSTANCE C2'!$A$7:$A$50,'HMZ - KAIS'!G48))+(COUNTIF(INTERNES!$A$7:$A$50,'HMZ - KAIS'!G48))+(COUNTIF('EN PANNE'!$A$7:$A$50,'HMZ - KAIS'!G48))+(COUNTIF(TJM!$A$7:$A$50,'HMZ - KAIS'!G48))</f>
        <v>0</v>
      </c>
      <c r="J48" s="28">
        <f t="shared" si="4"/>
        <v>0</v>
      </c>
      <c r="K48" s="2"/>
      <c r="L48" s="47"/>
      <c r="S48" s="60">
        <f t="shared" si="1"/>
        <v>0</v>
      </c>
      <c r="T48" s="67">
        <f t="shared" si="2"/>
        <v>0</v>
      </c>
      <c r="U48" s="50"/>
    </row>
    <row r="49" spans="1:21" ht="24.95" customHeight="1" x14ac:dyDescent="0.2">
      <c r="A49" s="20"/>
      <c r="B49" s="23">
        <f>(COUNTIF('2S EXPRESS'!$A$7:$A$50,'HMZ - KAIS'!A49))+(COUNTIF('2 ZT'!$A$7:$A$50,'HMZ - KAIS'!A49))+(COUNTIF('GO TRANSPORT'!$A$7:$A$50,'HMZ - KAIS'!A49))+(COUNTIF('HMZ - KAIS'!$A$7:$A$50,'HMZ - KAIS'!A49))+(COUNTIF('IB TRANSPORT'!$A$7:$A$50,'HMZ - KAIS'!A49))+(COUNTIF(JSL!$A$7:$A$50,'HMZ - KAIS'!A49))+(COUNTIF(KIFAITOUT!$A$7:$A$50,'HMZ - KAIS'!A49))+(COUNTIF('LUXE DRIVE'!$A$7:$A$50,'HMZ - KAIS'!A49))+(COUNTIF(SSN!$A$7:$A$50,'HMZ - KAIS'!A49))+(COUNTIF('W3'!$A$7:$A$50,'HMZ - KAIS'!A49))+(COUNTIF('ATHIS MONS'!$A$7:$A$50,'HMZ - KAIS'!A49))+(COUNTIF('L HAY LES ROSES'!$A$7:$A$50,'HMZ - KAIS'!A49))+(COUNTIF(RUNGIS!$A$7:$A$50,'HMZ - KAIS'!A49))+(COUNTIF(SCEAUX!$A$7:$A$50,'HMZ - KAIS'!A49))+(COUNTIF('INSTANCE C1'!$A$7:$A$50,'HMZ - KAIS'!A49))+(COUNTIF('INSTANCE C2'!$A$7:$A$50,'HMZ - KAIS'!A49))+(COUNTIF(INTERNES!$A$7:$A$50,'HMZ - KAIS'!A49))+(COUNTIF('EN PANNE'!$A$7:$A$50,'HMZ - KAIS'!A49))+(COUNTIF(TJM!$A$7:$A$50,'HMZ - KAIS'!A49))-C49</f>
        <v>0</v>
      </c>
      <c r="C49" s="23">
        <f>(COUNTIF('2S EXPRESS'!$G$7:$G$50,'HMZ - KAIS'!A49))+(COUNTIF('2 ZT'!$G$7:$G$50,'HMZ - KAIS'!A49))+(COUNTIF('GO TRANSPORT'!$G$7:$G$50,'HMZ - KAIS'!A49))+(COUNTIF('HMZ - KAIS'!$G$7:$G$50,'HMZ - KAIS'!A49))+(COUNTIF('IB TRANSPORT'!$G$7:$G$50,'HMZ - KAIS'!A49))+(COUNTIF(JSL!$G$7:$G$50,'HMZ - KAIS'!A49))+(COUNTIF(KIFAITOUT!$G$7:$G$50,'HMZ - KAIS'!A49))+(COUNTIF('LUXE DRIVE'!$G$7:$G$50,'HMZ - KAIS'!A49))+(COUNTIF(SSN!$G$7:$G$50,'HMZ - KAIS'!A49))+(COUNTIF('W3'!$G$7:$G$50,'HMZ - KAIS'!A49))+(COUNTIF('ATHIS MONS'!$G$7:$G$50,'HMZ - KAIS'!A49))+(COUNTIF('L HAY LES ROSES'!$G$7:$G$50,'HMZ - KAIS'!A49))+(COUNTIF(RUNGIS!$G$7:$G$50,'HMZ - KAIS'!A49))+(COUNTIF(SCEAUX!$G$7:$G$50,'HMZ - KAIS'!A49))+(COUNTIF('INSTANCE C1'!$G$7:$G$50,'HMZ - KAIS'!A49))+(COUNTIF('INSTANCE C2'!$G$7:$G$50,'HMZ - KAIS'!A49))+(COUNTIF(INTERNES!$G$7:$G$50,'HMZ - KAIS'!A49))+(COUNTIF('EN PANNE'!$G$7:$G$50,'HMZ - KAIS'!A49))+(COUNTIF(TJM!$G$7:$G$50,'HMZ - KAIS'!A49))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EXPRESS'!$G$7:$G$50,'HMZ - KAIS'!G49))+(COUNTIF('2 ZT'!$G$7:$G$50,'HMZ - KAIS'!G49))+(COUNTIF('GO TRANSPORT'!$G$7:$G$50,'HMZ - KAIS'!G49))+(COUNTIF('HMZ - KAIS'!$G$7:$G$50,'HMZ - KAIS'!G49))+(COUNTIF('IB TRANSPORT'!$G$7:$G$50,'HMZ - KAIS'!G49))+(COUNTIF(JSL!$G$7:$G$50,'HMZ - KAIS'!G49))+(COUNTIF(KIFAITOUT!$G$7:$G$50,'HMZ - KAIS'!G49))+(COUNTIF('LUXE DRIVE'!$G$7:$G$50,'HMZ - KAIS'!G49))+(COUNTIF(SSN!$G$7:$G$50,'HMZ - KAIS'!G49))+(COUNTIF('W3'!$G$7:$G$50,'HMZ - KAIS'!G49))+(COUNTIF('ATHIS MONS'!$G$7:$G$50,'HMZ - KAIS'!G49))+(COUNTIF('L HAY LES ROSES'!$G$7:$G$50,'HMZ - KAIS'!G49))+(COUNTIF(RUNGIS!$G$7:$G$50,'HMZ - KAIS'!G49))+(COUNTIF(SCEAUX!$G$7:$G$50,'HMZ - KAIS'!G49))+(COUNTIF('INSTANCE C1'!$G$7:$G$50,'HMZ - KAIS'!G49))+(COUNTIF('INSTANCE C2'!$G$7:$G$50,'HMZ - KAIS'!G49))+(COUNTIF(INTERNES!$G$7:$G$50,'HMZ - KAIS'!G49))+(COUNTIF('EN PANNE'!$G$7:$G$50,'HMZ - KAIS'!G49))+(COUNTIF(TJM!$G$7:$G$50,'HMZ - KAIS'!G49))-I49</f>
        <v>0</v>
      </c>
      <c r="I49" s="23">
        <f>(COUNTIF('2S EXPRESS'!$A$7:$A$50,'HMZ - KAIS'!G49))+(COUNTIF('2 ZT'!$A$7:$A$50,'HMZ - KAIS'!G49))+(COUNTIF('GO TRANSPORT'!$A$7:$A$50,'HMZ - KAIS'!G49))+(COUNTIF('HMZ - KAIS'!$A$7:$A$50,'HMZ - KAIS'!G49))+(COUNTIF('IB TRANSPORT'!$A$7:$A$50,'HMZ - KAIS'!G49))+(COUNTIF(JSL!$A$7:$A$50,'HMZ - KAIS'!G49))+(COUNTIF(KIFAITOUT!$A$7:$A$50,'HMZ - KAIS'!G49))+(COUNTIF('LUXE DRIVE'!$A$7:$A$50,'HMZ - KAIS'!G49))+(COUNTIF(SSN!$A$7:$A$50,'HMZ - KAIS'!G49))+(COUNTIF('W3'!$A$7:$A$50,'HMZ - KAIS'!G49))+(COUNTIF('ATHIS MONS'!$A$7:$A$50,'HMZ - KAIS'!G49))+(COUNTIF('L HAY LES ROSES'!$A$7:$A$50,'HMZ - KAIS'!G49))+(COUNTIF(RUNGIS!$A$7:$A$50,'HMZ - KAIS'!G49))+(COUNTIF(SCEAUX!$A$7:$A$50,'HMZ - KAIS'!G49))+(COUNTIF('INSTANCE C1'!$A$7:$A$50,'HMZ - KAIS'!G49))+(COUNTIF('INSTANCE C2'!$A$7:$A$50,'HMZ - KAIS'!G49))+(COUNTIF(INTERNES!$A$7:$A$50,'HMZ - KAIS'!G49))+(COUNTIF('EN PANNE'!$A$7:$A$50,'HMZ - KAIS'!G49))+(COUNTIF(TJM!$A$7:$A$50,'HMZ - KAIS'!G49))</f>
        <v>0</v>
      </c>
      <c r="J49" s="28">
        <f t="shared" si="4"/>
        <v>0</v>
      </c>
      <c r="K49" s="2"/>
      <c r="L49" s="47"/>
      <c r="S49" s="60">
        <f t="shared" si="1"/>
        <v>0</v>
      </c>
      <c r="T49" s="67">
        <f t="shared" si="2"/>
        <v>0</v>
      </c>
      <c r="U49" s="50"/>
    </row>
    <row r="50" spans="1:21" ht="24.95" customHeight="1" thickBot="1" x14ac:dyDescent="0.25">
      <c r="A50" s="21"/>
      <c r="B50" s="23">
        <f>(COUNTIF('2S EXPRESS'!$A$7:$A$50,'HMZ - KAIS'!A50))+(COUNTIF('2 ZT'!$A$7:$A$50,'HMZ - KAIS'!A50))+(COUNTIF('GO TRANSPORT'!$A$7:$A$50,'HMZ - KAIS'!A50))+(COUNTIF('HMZ - KAIS'!$A$7:$A$50,'HMZ - KAIS'!A50))+(COUNTIF('IB TRANSPORT'!$A$7:$A$50,'HMZ - KAIS'!A50))+(COUNTIF(JSL!$A$7:$A$50,'HMZ - KAIS'!A50))+(COUNTIF(KIFAITOUT!$A$7:$A$50,'HMZ - KAIS'!A50))+(COUNTIF('LUXE DRIVE'!$A$7:$A$50,'HMZ - KAIS'!A50))+(COUNTIF(SSN!$A$7:$A$50,'HMZ - KAIS'!A50))+(COUNTIF('W3'!$A$7:$A$50,'HMZ - KAIS'!A50))+(COUNTIF('ATHIS MONS'!$A$7:$A$50,'HMZ - KAIS'!A50))+(COUNTIF('L HAY LES ROSES'!$A$7:$A$50,'HMZ - KAIS'!A50))+(COUNTIF(RUNGIS!$A$7:$A$50,'HMZ - KAIS'!A50))+(COUNTIF(SCEAUX!$A$7:$A$50,'HMZ - KAIS'!A50))+(COUNTIF('INSTANCE C1'!$A$7:$A$50,'HMZ - KAIS'!A50))+(COUNTIF('INSTANCE C2'!$A$7:$A$50,'HMZ - KAIS'!A50))+(COUNTIF(INTERNES!$A$7:$A$50,'HMZ - KAIS'!A50))+(COUNTIF('EN PANNE'!$A$7:$A$50,'HMZ - KAIS'!A50))+(COUNTIF(TJM!$A$7:$A$50,'HMZ - KAIS'!A50))-C50</f>
        <v>0</v>
      </c>
      <c r="C50" s="23">
        <f>(COUNTIF('2S EXPRESS'!$G$7:$G$50,'HMZ - KAIS'!A50))+(COUNTIF('2 ZT'!$G$7:$G$50,'HMZ - KAIS'!A50))+(COUNTIF('GO TRANSPORT'!$G$7:$G$50,'HMZ - KAIS'!A50))+(COUNTIF('HMZ - KAIS'!$G$7:$G$50,'HMZ - KAIS'!A50))+(COUNTIF('IB TRANSPORT'!$G$7:$G$50,'HMZ - KAIS'!A50))+(COUNTIF(JSL!$G$7:$G$50,'HMZ - KAIS'!A50))+(COUNTIF(KIFAITOUT!$G$7:$G$50,'HMZ - KAIS'!A50))+(COUNTIF('LUXE DRIVE'!$G$7:$G$50,'HMZ - KAIS'!A50))+(COUNTIF(SSN!$G$7:$G$50,'HMZ - KAIS'!A50))+(COUNTIF('W3'!$G$7:$G$50,'HMZ - KAIS'!A50))+(COUNTIF('ATHIS MONS'!$G$7:$G$50,'HMZ - KAIS'!A50))+(COUNTIF('L HAY LES ROSES'!$G$7:$G$50,'HMZ - KAIS'!A50))+(COUNTIF(RUNGIS!$G$7:$G$50,'HMZ - KAIS'!A50))+(COUNTIF(SCEAUX!$G$7:$G$50,'HMZ - KAIS'!A50))+(COUNTIF('INSTANCE C1'!$G$7:$G$50,'HMZ - KAIS'!A50))+(COUNTIF('INSTANCE C2'!$G$7:$G$50,'HMZ - KAIS'!A50))+(COUNTIF(INTERNES!$G$7:$G$50,'HMZ - KAIS'!A50))+(COUNTIF('EN PANNE'!$G$7:$G$50,'HMZ - KAIS'!A50))+(COUNTIF(TJM!$G$7:$G$50,'HMZ - KAIS'!A50))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EXPRESS'!$G$7:$G$50,'HMZ - KAIS'!G50))+(COUNTIF('2 ZT'!$G$7:$G$50,'HMZ - KAIS'!G50))+(COUNTIF('GO TRANSPORT'!$G$7:$G$50,'HMZ - KAIS'!G50))+(COUNTIF('HMZ - KAIS'!$G$7:$G$50,'HMZ - KAIS'!G50))+(COUNTIF('IB TRANSPORT'!$G$7:$G$50,'HMZ - KAIS'!G50))+(COUNTIF(JSL!$G$7:$G$50,'HMZ - KAIS'!G50))+(COUNTIF(KIFAITOUT!$G$7:$G$50,'HMZ - KAIS'!G50))+(COUNTIF('LUXE DRIVE'!$G$7:$G$50,'HMZ - KAIS'!G50))+(COUNTIF(SSN!$G$7:$G$50,'HMZ - KAIS'!G50))+(COUNTIF('W3'!$G$7:$G$50,'HMZ - KAIS'!G50))+(COUNTIF('ATHIS MONS'!$G$7:$G$50,'HMZ - KAIS'!G50))+(COUNTIF('L HAY LES ROSES'!$G$7:$G$50,'HMZ - KAIS'!G50))+(COUNTIF(RUNGIS!$G$7:$G$50,'HMZ - KAIS'!G50))+(COUNTIF(SCEAUX!$G$7:$G$50,'HMZ - KAIS'!G50))+(COUNTIF('INSTANCE C1'!$G$7:$G$50,'HMZ - KAIS'!G50))+(COUNTIF('INSTANCE C2'!$G$7:$G$50,'HMZ - KAIS'!G50))+(COUNTIF(INTERNES!$G$7:$G$50,'HMZ - KAIS'!G50))+(COUNTIF('EN PANNE'!$G$7:$G$50,'HMZ - KAIS'!G50))+(COUNTIF(TJM!$G$7:$G$50,'HMZ - KAIS'!G50))-I50</f>
        <v>0</v>
      </c>
      <c r="I50" s="25">
        <f>(COUNTIF('2S EXPRESS'!$A$7:$A$50,'HMZ - KAIS'!G50))+(COUNTIF('2 ZT'!$A$7:$A$50,'HMZ - KAIS'!G50))+(COUNTIF('GO TRANSPORT'!$A$7:$A$50,'HMZ - KAIS'!G50))+(COUNTIF('HMZ - KAIS'!$A$7:$A$50,'HMZ - KAIS'!G50))+(COUNTIF('IB TRANSPORT'!$A$7:$A$50,'HMZ - KAIS'!G50))+(COUNTIF(JSL!$A$7:$A$50,'HMZ - KAIS'!G50))+(COUNTIF(KIFAITOUT!$A$7:$A$50,'HMZ - KAIS'!G50))+(COUNTIF('LUXE DRIVE'!$A$7:$A$50,'HMZ - KAIS'!G50))+(COUNTIF(SSN!$A$7:$A$50,'HMZ - KAIS'!G50))+(COUNTIF('W3'!$A$7:$A$50,'HMZ - KAIS'!G50))+(COUNTIF('ATHIS MONS'!$A$7:$A$50,'HMZ - KAIS'!G50))+(COUNTIF('L HAY LES ROSES'!$A$7:$A$50,'HMZ - KAIS'!G50))+(COUNTIF(RUNGIS!$A$7:$A$50,'HMZ - KAIS'!G50))+(COUNTIF(SCEAUX!$A$7:$A$50,'HMZ - KAIS'!G50))+(COUNTIF('INSTANCE C1'!$A$7:$A$50,'HMZ - KAIS'!G50))+(COUNTIF('INSTANCE C2'!$A$7:$A$50,'HMZ - KAIS'!G50))+(COUNTIF(INTERNES!$A$7:$A$50,'HMZ - KAIS'!G50))+(COUNTIF('EN PANNE'!$A$7:$A$50,'HMZ - KAIS'!G50))+(COUNTIF(TJM!$A$7:$A$50,'HMZ - KAIS'!G50))</f>
        <v>0</v>
      </c>
      <c r="J50" s="29">
        <f t="shared" si="4"/>
        <v>0</v>
      </c>
      <c r="K50" s="3"/>
      <c r="L50" s="47"/>
      <c r="S50" s="60">
        <f t="shared" si="1"/>
        <v>0</v>
      </c>
      <c r="T50" s="67">
        <f t="shared" si="2"/>
        <v>0</v>
      </c>
      <c r="U50" s="50"/>
    </row>
    <row r="51" spans="1:21" x14ac:dyDescent="0.2">
      <c r="U51" s="50"/>
    </row>
    <row r="52" spans="1:21" x14ac:dyDescent="0.2">
      <c r="U52" s="50"/>
    </row>
    <row r="53" spans="1:21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</row>
    <row r="54" spans="1:21" ht="18" x14ac:dyDescent="0.2">
      <c r="A54" s="54"/>
      <c r="B54" s="55"/>
      <c r="C54" s="55"/>
      <c r="D54" s="48"/>
      <c r="E54" s="48"/>
      <c r="F54" s="48"/>
      <c r="G54" s="48"/>
      <c r="H54" s="50"/>
      <c r="J54" s="45"/>
      <c r="K54" s="48"/>
      <c r="L54" s="48"/>
      <c r="M54" s="48"/>
      <c r="N54" s="48"/>
      <c r="O54" s="48"/>
      <c r="P54" s="48"/>
      <c r="U54" s="50"/>
    </row>
    <row r="55" spans="1:21" ht="18" x14ac:dyDescent="0.2">
      <c r="A55" s="54"/>
      <c r="B55" s="55"/>
      <c r="C55" s="55"/>
      <c r="D55" s="48"/>
      <c r="E55" s="48"/>
      <c r="F55" s="48"/>
      <c r="G55" s="48"/>
      <c r="H55" s="50"/>
      <c r="J55" s="45"/>
      <c r="K55" s="48"/>
      <c r="L55" s="48"/>
      <c r="M55" s="48"/>
      <c r="N55" s="48"/>
      <c r="O55" s="48"/>
      <c r="P55" s="48"/>
      <c r="U55" s="50"/>
    </row>
    <row r="56" spans="1:21" ht="18" x14ac:dyDescent="0.2">
      <c r="A56" s="54"/>
      <c r="B56" s="45"/>
      <c r="C56" s="45"/>
      <c r="D56" s="48"/>
      <c r="E56" s="48"/>
      <c r="F56" s="48"/>
      <c r="G56" s="48"/>
      <c r="H56" s="50"/>
      <c r="J56" s="45"/>
      <c r="K56" s="48"/>
      <c r="L56" s="48"/>
      <c r="M56" s="48"/>
      <c r="N56" s="48"/>
      <c r="O56" s="48"/>
      <c r="P56" s="48"/>
      <c r="U56" s="50"/>
    </row>
    <row r="57" spans="1:21" ht="18" x14ac:dyDescent="0.2">
      <c r="A57" s="54"/>
      <c r="B57" s="55"/>
      <c r="C57" s="55"/>
      <c r="D57" s="48"/>
      <c r="E57" s="48"/>
      <c r="F57" s="48"/>
      <c r="G57" s="48"/>
      <c r="H57" s="50"/>
      <c r="J57" s="45"/>
      <c r="K57" s="48"/>
      <c r="L57" s="48"/>
      <c r="M57" s="48"/>
      <c r="N57" s="48"/>
      <c r="O57" s="48"/>
      <c r="P57" s="48"/>
      <c r="U57" s="50"/>
    </row>
    <row r="58" spans="1:21" x14ac:dyDescent="0.2">
      <c r="U58" s="50"/>
    </row>
    <row r="59" spans="1:21" x14ac:dyDescent="0.2">
      <c r="U59" s="50"/>
    </row>
    <row r="60" spans="1:21" x14ac:dyDescent="0.2">
      <c r="B60" s="56"/>
      <c r="C60" s="56"/>
      <c r="U60" s="50"/>
    </row>
    <row r="61" spans="1:21" x14ac:dyDescent="0.2">
      <c r="U61" s="50"/>
    </row>
    <row r="62" spans="1:21" x14ac:dyDescent="0.2">
      <c r="U62" s="50"/>
    </row>
    <row r="63" spans="1:21" x14ac:dyDescent="0.2">
      <c r="U63" s="50"/>
    </row>
    <row r="64" spans="1:21" x14ac:dyDescent="0.2">
      <c r="U64" s="50"/>
    </row>
    <row r="65" spans="21:21" x14ac:dyDescent="0.2">
      <c r="U65" s="50"/>
    </row>
    <row r="66" spans="21:21" x14ac:dyDescent="0.2">
      <c r="U66" s="50"/>
    </row>
    <row r="67" spans="21:21" x14ac:dyDescent="0.2">
      <c r="U67" s="50"/>
    </row>
    <row r="68" spans="21:21" x14ac:dyDescent="0.2">
      <c r="U68" s="50"/>
    </row>
    <row r="69" spans="21:21" x14ac:dyDescent="0.2">
      <c r="U69" s="50"/>
    </row>
    <row r="70" spans="21:21" x14ac:dyDescent="0.2">
      <c r="U70" s="50"/>
    </row>
    <row r="71" spans="21:21" x14ac:dyDescent="0.2">
      <c r="U71" s="50"/>
    </row>
    <row r="72" spans="21:21" x14ac:dyDescent="0.2">
      <c r="U72" s="50"/>
    </row>
    <row r="73" spans="21:21" x14ac:dyDescent="0.2">
      <c r="U73" s="50"/>
    </row>
    <row r="74" spans="21:21" x14ac:dyDescent="0.2">
      <c r="U74" s="50"/>
    </row>
    <row r="75" spans="21:21" x14ac:dyDescent="0.2">
      <c r="U75" s="50"/>
    </row>
    <row r="76" spans="21:21" x14ac:dyDescent="0.2">
      <c r="U76" s="50"/>
    </row>
    <row r="77" spans="21:21" x14ac:dyDescent="0.2">
      <c r="U77" s="50"/>
    </row>
    <row r="78" spans="21:21" x14ac:dyDescent="0.2">
      <c r="U78" s="50"/>
    </row>
    <row r="79" spans="21:21" x14ac:dyDescent="0.2">
      <c r="U79" s="50"/>
    </row>
    <row r="80" spans="21:21" x14ac:dyDescent="0.2">
      <c r="U80" s="50"/>
    </row>
    <row r="81" spans="21:21" x14ac:dyDescent="0.2">
      <c r="U81" s="50"/>
    </row>
    <row r="82" spans="21:21" x14ac:dyDescent="0.2">
      <c r="U82" s="50"/>
    </row>
    <row r="83" spans="21:21" x14ac:dyDescent="0.2">
      <c r="U83" s="50"/>
    </row>
    <row r="84" spans="21:21" x14ac:dyDescent="0.2">
      <c r="U84" s="50"/>
    </row>
    <row r="85" spans="21:21" x14ac:dyDescent="0.2">
      <c r="U85" s="50"/>
    </row>
    <row r="86" spans="21:21" x14ac:dyDescent="0.2">
      <c r="U86" s="50"/>
    </row>
    <row r="87" spans="21:21" x14ac:dyDescent="0.2">
      <c r="U87" s="50"/>
    </row>
    <row r="88" spans="21:21" x14ac:dyDescent="0.2">
      <c r="U88" s="50"/>
    </row>
    <row r="89" spans="21:21" x14ac:dyDescent="0.2">
      <c r="U89" s="50"/>
    </row>
    <row r="90" spans="21:21" x14ac:dyDescent="0.2">
      <c r="U90" s="50"/>
    </row>
    <row r="91" spans="21:21" x14ac:dyDescent="0.2">
      <c r="U91" s="50"/>
    </row>
    <row r="92" spans="21:21" x14ac:dyDescent="0.2">
      <c r="U92" s="50"/>
    </row>
    <row r="93" spans="21:21" x14ac:dyDescent="0.2">
      <c r="U93" s="50"/>
    </row>
    <row r="94" spans="21:21" x14ac:dyDescent="0.2">
      <c r="U94" s="50"/>
    </row>
    <row r="95" spans="21:21" x14ac:dyDescent="0.2">
      <c r="U95" s="50"/>
    </row>
  </sheetData>
  <mergeCells count="13">
    <mergeCell ref="M12:P12"/>
    <mergeCell ref="G2:K3"/>
    <mergeCell ref="A4:E4"/>
    <mergeCell ref="G4:K4"/>
    <mergeCell ref="B2:E3"/>
    <mergeCell ref="G5:G6"/>
    <mergeCell ref="K5:K6"/>
    <mergeCell ref="M8:P8"/>
    <mergeCell ref="M9:P9"/>
    <mergeCell ref="M11:P11"/>
    <mergeCell ref="E5:E6"/>
    <mergeCell ref="F5:F6"/>
    <mergeCell ref="A5:A6"/>
  </mergeCells>
  <conditionalFormatting sqref="F7:F50">
    <cfRule type="cellIs" dxfId="162" priority="11" operator="equal">
      <formula>1</formula>
    </cfRule>
  </conditionalFormatting>
  <conditionalFormatting sqref="A7:A50">
    <cfRule type="duplicateValues" dxfId="161" priority="9"/>
  </conditionalFormatting>
  <conditionalFormatting sqref="L7:L50">
    <cfRule type="cellIs" dxfId="160" priority="8" operator="greaterThan">
      <formula>0</formula>
    </cfRule>
  </conditionalFormatting>
  <conditionalFormatting sqref="D7">
    <cfRule type="cellIs" dxfId="159" priority="7" operator="greaterThan">
      <formula>0</formula>
    </cfRule>
  </conditionalFormatting>
  <conditionalFormatting sqref="D8:D50">
    <cfRule type="cellIs" dxfId="158" priority="6" operator="greaterThan">
      <formula>0</formula>
    </cfRule>
  </conditionalFormatting>
  <conditionalFormatting sqref="G7:G14 G16:G50">
    <cfRule type="duplicateValues" dxfId="157" priority="5"/>
  </conditionalFormatting>
  <conditionalFormatting sqref="J7">
    <cfRule type="cellIs" dxfId="156" priority="4" operator="greaterThan">
      <formula>0</formula>
    </cfRule>
  </conditionalFormatting>
  <conditionalFormatting sqref="J8:J50">
    <cfRule type="cellIs" dxfId="155" priority="3" operator="greaterThan">
      <formula>0</formula>
    </cfRule>
  </conditionalFormatting>
  <conditionalFormatting sqref="G15">
    <cfRule type="duplicateValues" dxfId="154" priority="2"/>
  </conditionalFormatting>
  <conditionalFormatting sqref="S7:S50">
    <cfRule type="cellIs" dxfId="153" priority="1" operator="greaterThan">
      <formula>0</formula>
    </cfRule>
  </conditionalFormatting>
  <dataValidations count="1">
    <dataValidation type="list" allowBlank="1" showInputMessage="1" showErrorMessage="1" sqref="K7:K50 E7:E50" xr:uid="{184841F8-FD24-4CB9-9AB5-41F4E558CF9E}">
      <formula1>$Q$9:$Q$17</formula1>
    </dataValidation>
  </dataValidations>
  <pageMargins left="0.25" right="0.25" top="0.75" bottom="0.75" header="0.3" footer="0.3"/>
  <pageSetup paperSize="9" scale="88" fitToHeight="0" orientation="landscape" r:id="rId1"/>
  <headerFooter alignWithMargins="0"/>
  <rowBreaks count="1" manualBreakCount="1">
    <brk id="31" max="16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4860969F-A19C-44A5-80F0-9FF869FD7F6C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92D050"/>
    <pageSetUpPr fitToPage="1"/>
  </sheetPr>
  <dimension ref="A1:Z53"/>
  <sheetViews>
    <sheetView showGridLines="0" zoomScaleNormal="100" workbookViewId="0">
      <selection activeCell="K12" sqref="K12"/>
    </sheetView>
  </sheetViews>
  <sheetFormatPr baseColWidth="10" defaultColWidth="11.42578125" defaultRowHeight="12.75" x14ac:dyDescent="0.2"/>
  <cols>
    <col min="1" max="1" width="25.7109375" style="53" customWidth="1"/>
    <col min="2" max="3" width="10.7109375" style="9" hidden="1" customWidth="1"/>
    <col min="4" max="4" width="7.7109375" style="9" customWidth="1"/>
    <col min="5" max="5" width="50.7109375" style="9" customWidth="1"/>
    <col min="6" max="6" width="13.7109375" style="9" customWidth="1"/>
    <col min="7" max="7" width="25.7109375" style="9" customWidth="1"/>
    <col min="8" max="9" width="10.7109375" style="9" hidden="1" customWidth="1"/>
    <col min="10" max="10" width="7.7109375" style="9" customWidth="1"/>
    <col min="11" max="11" width="50.7109375" style="9" customWidth="1"/>
    <col min="12" max="16" width="7.7109375" style="9" customWidth="1"/>
    <col min="17" max="17" width="22.7109375" style="9" hidden="1" customWidth="1"/>
    <col min="18" max="18" width="19.5703125" style="56" hidden="1" customWidth="1"/>
    <col min="19" max="20" width="11.42578125" style="56" hidden="1" customWidth="1"/>
    <col min="21" max="21" width="11.42578125" style="56" customWidth="1"/>
    <col min="22" max="26" width="11.42578125" style="56"/>
    <col min="27" max="16384" width="11.42578125" style="9"/>
  </cols>
  <sheetData>
    <row r="1" spans="1:26" ht="13.5" thickBot="1" x14ac:dyDescent="0.25">
      <c r="A1" s="33"/>
      <c r="B1" s="35"/>
      <c r="C1" s="35"/>
      <c r="D1" s="35"/>
      <c r="E1" s="10"/>
      <c r="F1" s="34"/>
      <c r="I1" s="10"/>
    </row>
    <row r="2" spans="1:26" s="39" customFormat="1" ht="24.95" customHeight="1" x14ac:dyDescent="0.2">
      <c r="A2" s="36"/>
      <c r="B2" s="194" t="s">
        <v>37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1"/>
      <c r="S2" s="71"/>
      <c r="T2" s="71"/>
      <c r="U2" s="71"/>
      <c r="V2" s="71"/>
      <c r="W2" s="71"/>
      <c r="X2" s="71"/>
      <c r="Y2" s="71"/>
      <c r="Z2" s="71"/>
    </row>
    <row r="3" spans="1:26" s="39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1"/>
      <c r="S3" s="71"/>
      <c r="T3" s="71"/>
      <c r="U3" s="71"/>
      <c r="V3" s="71"/>
      <c r="W3" s="71"/>
      <c r="X3" s="71"/>
      <c r="Y3" s="71"/>
      <c r="Z3" s="71"/>
    </row>
    <row r="4" spans="1:26" s="39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1"/>
      <c r="T4" s="71"/>
      <c r="U4" s="71"/>
      <c r="V4" s="71"/>
      <c r="W4" s="71"/>
      <c r="X4" s="71"/>
      <c r="Y4" s="71"/>
      <c r="Z4" s="71"/>
    </row>
    <row r="5" spans="1:26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</row>
    <row r="6" spans="1:26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</row>
    <row r="7" spans="1:26" ht="24.95" customHeight="1" thickBot="1" x14ac:dyDescent="0.25">
      <c r="A7" s="19"/>
      <c r="B7" s="22">
        <f>(COUNTIF('2S EXPRESS'!$A$7:$A$50,'IB TRANSPORT'!A7))+(COUNTIF('2 ZT'!$A$7:$A$50,'IB TRANSPORT'!A7))+(COUNTIF('GO TRANSPORT'!$A$7:$A$50,'IB TRANSPORT'!A7))+(COUNTIF('HMZ - KAIS'!$A$7:$A$50,'IB TRANSPORT'!A7))+(COUNTIF('IB TRANSPORT'!$A$7:$A$50,'IB TRANSPORT'!A7))+(COUNTIF(JSL!$A$7:$A$50,'IB TRANSPORT'!A7))+(COUNTIF(KIFAITOUT!$A$7:$A$50,'IB TRANSPORT'!A7))+(COUNTIF('LUXE DRIVE'!$A$7:$A$50,'IB TRANSPORT'!A7))+(COUNTIF(SSN!$A$7:$A$50,'IB TRANSPORT'!A7))+(COUNTIF('W3'!$A$7:$A$50,'IB TRANSPORT'!A7))+(COUNTIF('ATHIS MONS'!$A$7:$A$50,'IB TRANSPORT'!A7))+(COUNTIF('L HAY LES ROSES'!$A$7:$A$50,'IB TRANSPORT'!A7))+(COUNTIF(RUNGIS!$A$7:$A$50,'IB TRANSPORT'!A7))+(COUNTIF(SCEAUX!$A$7:$A$50,'IB TRANSPORT'!A7))+(COUNTIF('INSTANCE C1'!$A$7:$A$50,'IB TRANSPORT'!A7))+(COUNTIF('INSTANCE C2'!$A$7:$A$50,'IB TRANSPORT'!A7))+(COUNTIF(INTERNES!$A$7:$A$50,'IB TRANSPORT'!A7))+(COUNTIF('EN PANNE'!$A$7:$A$50,'IB TRANSPORT'!A7))+(COUNTIF(TJM!$A$7:$A$50,'IB TRANSPORT'!A7))-C7</f>
        <v>0</v>
      </c>
      <c r="C7" s="23">
        <f>(COUNTIF('2S EXPRESS'!$G$7:$G$50,'IB TRANSPORT'!A7))+(COUNTIF('2 ZT'!$G$7:$G$50,'IB TRANSPORT'!A7))+(COUNTIF('GO TRANSPORT'!$G$7:$G$50,'IB TRANSPORT'!A7))+(COUNTIF('IB TRANSPORT'!$G$7:$G$50,'IB TRANSPORT'!A7))+(COUNTIF('EN PANNE'!$G$7:$G$50,'IB TRANSPORT'!A7))+(COUNTIF(JSL!$G$7:$G$50,'IB TRANSPORT'!A7))+(COUNTIF(KIFAITOUT!$G$7:$G$50,'IB TRANSPORT'!A7))+(COUNTIF('LUXE DRIVE'!$G$7:$G$50,'IB TRANSPORT'!A7))+(COUNTIF(SSN!$G$7:$G$50,'IB TRANSPORT'!A7))+(COUNTIF('W3'!$G$7:$G$50,'IB TRANSPORT'!A7))+(COUNTIF('ATHIS MONS'!$G$7:$G$50,'IB TRANSPORT'!A7))+(COUNTIF('L HAY LES ROSES'!$G$7:$G$50,'IB TRANSPORT'!A7))+(COUNTIF(RUNGIS!$G$7:$G$50,'IB TRANSPORT'!A7))+(COUNTIF(SCEAUX!$G$7:$G$50,'IB TRANSPORT'!A7))+(COUNTIF('INSTANCE C1'!$G$7:$G$50,'IB TRANSPORT'!A7))+(COUNTIF('INSTANCE C2'!$G$7:$G$50,'IB TRANSPORT'!A7))+(COUNTIF(INTERNES!$G$7:$G$50,'IB TRANSPORT'!A7))+(COUNTIF('EN PANNE'!$G$7:$G$50,'IB TRANSPORT'!A7))+(COUNTIF(TJM!$G$7:$G$50,'IB TRANSPORT'!A7))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EXPRESS'!$G$7:$G$50,'IB TRANSPORT'!G7))+(COUNTIF('2 ZT'!$G$7:$G$50,'IB TRANSPORT'!G7))+(COUNTIF('GO TRANSPORT'!$G$7:$G$50,'IB TRANSPORT'!G7))+(COUNTIF('HMZ - KAIS'!$G$7:$G$50,'IB TRANSPORT'!G7))+(COUNTIF('IB TRANSPORT'!$G$7:$G$50,'IB TRANSPORT'!G7))+(COUNTIF(JSL!$G$7:$G$50,'IB TRANSPORT'!G7))+(COUNTIF(KIFAITOUT!$G$7:$G$50,'IB TRANSPORT'!G7))+(COUNTIF('LUXE DRIVE'!$G$7:$G$50,'IB TRANSPORT'!G7))+(COUNTIF(SSN!$G$7:$G$50,'IB TRANSPORT'!G7))+(COUNTIF('W3'!$G$7:$G$50,'IB TRANSPORT'!G7))+(COUNTIF('ATHIS MONS'!$G$7:$G$50,'IB TRANSPORT'!G7))+(COUNTIF('L HAY LES ROSES'!$G$7:$G$50,'IB TRANSPORT'!G7))+(COUNTIF(RUNGIS!$G$7:$G$50,'IB TRANSPORT'!G7))+(COUNTIF(SCEAUX!$G$7:$G$50,'IB TRANSPORT'!G7))+(COUNTIF('INSTANCE C1'!$G$7:$G$50,'IB TRANSPORT'!G7))+(COUNTIF('INSTANCE C2'!$G$7:$G$50,'IB TRANSPORT'!G7))+(COUNTIF(INTERNES!$G$7:$G$50,'IB TRANSPORT'!G7))+(COUNTIF('EN PANNE'!$G$7:$G$50,'IB TRANSPORT'!G7))+(COUNTIF(TJM!$G$7:$G$50,'IB TRANSPORT'!G7))-I7</f>
        <v>0</v>
      </c>
      <c r="I7" s="22">
        <f>(COUNTIF('2S EXPRESS'!$A$7:$A$50,'IB TRANSPORT'!G7))+(COUNTIF('2 ZT'!$A$7:$A$50,'IB TRANSPORT'!G7))+(COUNTIF('GO TRANSPORT'!$A$7:$A$50,'IB TRANSPORT'!G7))+(COUNTIF('HMZ - KAIS'!$A$7:$A$50,'IB TRANSPORT'!G7))+(COUNTIF('IB TRANSPORT'!$A$7:$A$50,'IB TRANSPORT'!G7))+(COUNTIF(JSL!$A$7:$A$50,'IB TRANSPORT'!G7))+(COUNTIF(KIFAITOUT!$A$7:$A$50,'IB TRANSPORT'!G7))+(COUNTIF('LUXE DRIVE'!$A$7:$A$50,'IB TRANSPORT'!G7))+(COUNTIF(SSN!$A$7:$A$50,'IB TRANSPORT'!G7))+(COUNTIF('W3'!$A$7:$A$50,'IB TRANSPORT'!G7))+(COUNTIF('ATHIS MONS'!$A$7:$A$50,'IB TRANSPORT'!G7))+(COUNTIF('L HAY LES ROSES'!$A$7:$A$50,'IB TRANSPORT'!G7))+(COUNTIF(RUNGIS!$A$7:$A$50,'IB TRANSPORT'!G7))+(COUNTIF(SCEAUX!$A$7:$A$50,'IB TRANSPORT'!G7))+(COUNTIF('INSTANCE C1'!$A$7:$A$50,'IB TRANSPORT'!G7))+(COUNTIF('INSTANCE C2'!$A$7:$A$50,'IB TRANSPORT'!G7))+(COUNTIF(INTERNES!$A$7:$A$50,'IB TRANSPORT'!G7))+(COUNTIF('EN PANNE'!$A$7:$A$50,'IB TRANSPORT'!G7))+(COUNTIF(TJM!$A$7:$A$50,'IB TRANSPORT'!G7))</f>
        <v>0</v>
      </c>
      <c r="J7" s="27">
        <f>IF(H7&gt;=2,1,0)</f>
        <v>0</v>
      </c>
      <c r="K7" s="1"/>
      <c r="L7" s="47"/>
      <c r="M7" s="48"/>
      <c r="O7" s="48"/>
      <c r="P7" s="48"/>
      <c r="Q7" s="48"/>
      <c r="R7" s="50"/>
      <c r="S7" s="60">
        <f t="shared" ref="S7:S50" si="1">COUNTIF($G$7:$G$50,$A7)</f>
        <v>0</v>
      </c>
      <c r="T7" s="67">
        <f t="shared" ref="T7:T50" si="2">IF($S7=1,"",$A7)</f>
        <v>0</v>
      </c>
    </row>
    <row r="8" spans="1:26" ht="24.95" customHeight="1" thickBot="1" x14ac:dyDescent="0.25">
      <c r="A8" s="20"/>
      <c r="B8" s="23">
        <f>(COUNTIF('2S EXPRESS'!$A$7:$A$50,'IB TRANSPORT'!A8))+(COUNTIF('2 ZT'!$A$7:$A$50,'IB TRANSPORT'!A8))+(COUNTIF('GO TRANSPORT'!$A$7:$A$50,'IB TRANSPORT'!A8))+(COUNTIF('HMZ - KAIS'!$A$7:$A$50,'IB TRANSPORT'!A8))+(COUNTIF('IB TRANSPORT'!$A$7:$A$50,'IB TRANSPORT'!A8))+(COUNTIF(JSL!$A$7:$A$50,'IB TRANSPORT'!A8))+(COUNTIF(KIFAITOUT!$A$7:$A$50,'IB TRANSPORT'!A8))+(COUNTIF('LUXE DRIVE'!$A$7:$A$50,'IB TRANSPORT'!A8))+(COUNTIF(SSN!$A$7:$A$50,'IB TRANSPORT'!A8))+(COUNTIF('W3'!$A$7:$A$50,'IB TRANSPORT'!A8))+(COUNTIF('ATHIS MONS'!$A$7:$A$50,'IB TRANSPORT'!A8))+(COUNTIF('L HAY LES ROSES'!$A$7:$A$50,'IB TRANSPORT'!A8))+(COUNTIF(RUNGIS!$A$7:$A$50,'IB TRANSPORT'!A8))+(COUNTIF(SCEAUX!$A$7:$A$50,'IB TRANSPORT'!A8))+(COUNTIF('INSTANCE C1'!$A$7:$A$50,'IB TRANSPORT'!A8))+(COUNTIF('INSTANCE C2'!$A$7:$A$50,'IB TRANSPORT'!A8))+(COUNTIF(INTERNES!$A$7:$A$50,'IB TRANSPORT'!A8))+(COUNTIF('EN PANNE'!$A$7:$A$50,'IB TRANSPORT'!A8))+(COUNTIF(TJM!$A$7:$A$50,'IB TRANSPORT'!A8))-C8</f>
        <v>0</v>
      </c>
      <c r="C8" s="23">
        <f>(COUNTIF('2S EXPRESS'!$G$7:$G$50,'IB TRANSPORT'!A8))+(COUNTIF('2 ZT'!$G$7:$G$50,'IB TRANSPORT'!A8))+(COUNTIF('GO TRANSPORT'!$G$7:$G$50,'IB TRANSPORT'!A8))+(COUNTIF('IB TRANSPORT'!$G$7:$G$50,'IB TRANSPORT'!A8))+(COUNTIF('EN PANNE'!$G$7:$G$50,'IB TRANSPORT'!A8))+(COUNTIF(JSL!$G$7:$G$50,'IB TRANSPORT'!A8))+(COUNTIF(KIFAITOUT!$G$7:$G$50,'IB TRANSPORT'!A8))+(COUNTIF('LUXE DRIVE'!$G$7:$G$50,'IB TRANSPORT'!A8))+(COUNTIF(SSN!$G$7:$G$50,'IB TRANSPORT'!A8))+(COUNTIF('W3'!$G$7:$G$50,'IB TRANSPORT'!A8))+(COUNTIF('ATHIS MONS'!$G$7:$G$50,'IB TRANSPORT'!A8))+(COUNTIF('L HAY LES ROSES'!$G$7:$G$50,'IB TRANSPORT'!A8))+(COUNTIF(RUNGIS!$G$7:$G$50,'IB TRANSPORT'!A8))+(COUNTIF(SCEAUX!$G$7:$G$50,'IB TRANSPORT'!A8))+(COUNTIF('INSTANCE C1'!$G$7:$G$50,'IB TRANSPORT'!A8))+(COUNTIF('INSTANCE C2'!$G$7:$G$50,'IB TRANSPORT'!A8))+(COUNTIF(INTERNES!$G$7:$G$50,'IB TRANSPORT'!A8))+(COUNTIF('EN PANNE'!$G$7:$G$50,'IB TRANSPORT'!A8))+(COUNTIF(TJM!$G$7:$G$50,'IB TRANSPORT'!A8))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EXPRESS'!$G$7:$G$50,'IB TRANSPORT'!G8))+(COUNTIF('2 ZT'!$G$7:$G$50,'IB TRANSPORT'!G8))+(COUNTIF('GO TRANSPORT'!$G$7:$G$50,'IB TRANSPORT'!G8))+(COUNTIF('HMZ - KAIS'!$G$7:$G$50,'IB TRANSPORT'!G8))+(COUNTIF('IB TRANSPORT'!$G$7:$G$50,'IB TRANSPORT'!G8))+(COUNTIF(JSL!$G$7:$G$50,'IB TRANSPORT'!G8))+(COUNTIF(KIFAITOUT!$G$7:$G$50,'IB TRANSPORT'!G8))+(COUNTIF('LUXE DRIVE'!$G$7:$G$50,'IB TRANSPORT'!G8))+(COUNTIF(SSN!$G$7:$G$50,'IB TRANSPORT'!G8))+(COUNTIF('W3'!$G$7:$G$50,'IB TRANSPORT'!G8))+(COUNTIF('ATHIS MONS'!$G$7:$G$50,'IB TRANSPORT'!G8))+(COUNTIF('L HAY LES ROSES'!$G$7:$G$50,'IB TRANSPORT'!G8))+(COUNTIF(RUNGIS!$G$7:$G$50,'IB TRANSPORT'!G8))+(COUNTIF(SCEAUX!$G$7:$G$50,'IB TRANSPORT'!G8))+(COUNTIF('INSTANCE C1'!$G$7:$G$50,'IB TRANSPORT'!G8))+(COUNTIF('INSTANCE C2'!$G$7:$G$50,'IB TRANSPORT'!G8))+(COUNTIF(INTERNES!$G$7:$G$50,'IB TRANSPORT'!G8))+(COUNTIF('EN PANNE'!$G$7:$G$50,'IB TRANSPORT'!G8))+(COUNTIF(TJM!$G$7:$G$50,'IB TRANSPORT'!G8))-I8</f>
        <v>0</v>
      </c>
      <c r="I8" s="23">
        <f>(COUNTIF('2S EXPRESS'!$A$7:$A$50,'IB TRANSPORT'!G8))+(COUNTIF('2 ZT'!$A$7:$A$50,'IB TRANSPORT'!G8))+(COUNTIF('GO TRANSPORT'!$A$7:$A$50,'IB TRANSPORT'!G8))+(COUNTIF('HMZ - KAIS'!$A$7:$A$50,'IB TRANSPORT'!G8))+(COUNTIF('IB TRANSPORT'!$A$7:$A$50,'IB TRANSPORT'!G8))+(COUNTIF(JSL!$A$7:$A$50,'IB TRANSPORT'!G8))+(COUNTIF(KIFAITOUT!$A$7:$A$50,'IB TRANSPORT'!G8))+(COUNTIF('LUXE DRIVE'!$A$7:$A$50,'IB TRANSPORT'!G8))+(COUNTIF(SSN!$A$7:$A$50,'IB TRANSPORT'!G8))+(COUNTIF('W3'!$A$7:$A$50,'IB TRANSPORT'!G8))+(COUNTIF('ATHIS MONS'!$A$7:$A$50,'IB TRANSPORT'!G8))+(COUNTIF('L HAY LES ROSES'!$A$7:$A$50,'IB TRANSPORT'!G8))+(COUNTIF(RUNGIS!$A$7:$A$50,'IB TRANSPORT'!G8))+(COUNTIF(SCEAUX!$A$7:$A$50,'IB TRANSPORT'!G8))+(COUNTIF('INSTANCE C1'!$A$7:$A$50,'IB TRANSPORT'!G8))+(COUNTIF('INSTANCE C2'!$A$7:$A$50,'IB TRANSPORT'!G8))+(COUNTIF(INTERNES!$A$7:$A$50,'IB TRANSPORT'!G8))+(COUNTIF('EN PANNE'!$A$7:$A$50,'IB TRANSPORT'!G8))+(COUNTIF(TJM!$A$7:$A$50,'IB TRANSPORT'!G8))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50"/>
      <c r="S8" s="60">
        <f t="shared" si="1"/>
        <v>0</v>
      </c>
      <c r="T8" s="67">
        <f t="shared" si="2"/>
        <v>0</v>
      </c>
    </row>
    <row r="9" spans="1:26" ht="24.95" customHeight="1" thickBot="1" x14ac:dyDescent="0.25">
      <c r="A9" s="20"/>
      <c r="B9" s="23">
        <f>(COUNTIF('2S EXPRESS'!$A$7:$A$50,'IB TRANSPORT'!A9))+(COUNTIF('2 ZT'!$A$7:$A$50,'IB TRANSPORT'!A9))+(COUNTIF('GO TRANSPORT'!$A$7:$A$50,'IB TRANSPORT'!A9))+(COUNTIF('HMZ - KAIS'!$A$7:$A$50,'IB TRANSPORT'!A9))+(COUNTIF('IB TRANSPORT'!$A$7:$A$50,'IB TRANSPORT'!A9))+(COUNTIF(JSL!$A$7:$A$50,'IB TRANSPORT'!A9))+(COUNTIF(KIFAITOUT!$A$7:$A$50,'IB TRANSPORT'!A9))+(COUNTIF('LUXE DRIVE'!$A$7:$A$50,'IB TRANSPORT'!A9))+(COUNTIF(SSN!$A$7:$A$50,'IB TRANSPORT'!A9))+(COUNTIF('W3'!$A$7:$A$50,'IB TRANSPORT'!A9))+(COUNTIF('ATHIS MONS'!$A$7:$A$50,'IB TRANSPORT'!A9))+(COUNTIF('L HAY LES ROSES'!$A$7:$A$50,'IB TRANSPORT'!A9))+(COUNTIF(RUNGIS!$A$7:$A$50,'IB TRANSPORT'!A9))+(COUNTIF(SCEAUX!$A$7:$A$50,'IB TRANSPORT'!A9))+(COUNTIF('INSTANCE C1'!$A$7:$A$50,'IB TRANSPORT'!A9))+(COUNTIF('INSTANCE C2'!$A$7:$A$50,'IB TRANSPORT'!A9))+(COUNTIF(INTERNES!$A$7:$A$50,'IB TRANSPORT'!A9))+(COUNTIF('EN PANNE'!$A$7:$A$50,'IB TRANSPORT'!A9))+(COUNTIF(TJM!$A$7:$A$50,'IB TRANSPORT'!A9))-C9</f>
        <v>0</v>
      </c>
      <c r="C9" s="23">
        <f>(COUNTIF('2S EXPRESS'!$G$7:$G$50,'IB TRANSPORT'!A9))+(COUNTIF('2 ZT'!$G$7:$G$50,'IB TRANSPORT'!A9))+(COUNTIF('GO TRANSPORT'!$G$7:$G$50,'IB TRANSPORT'!A9))+(COUNTIF('IB TRANSPORT'!$G$7:$G$50,'IB TRANSPORT'!A9))+(COUNTIF('EN PANNE'!$G$7:$G$50,'IB TRANSPORT'!A9))+(COUNTIF(JSL!$G$7:$G$50,'IB TRANSPORT'!A9))+(COUNTIF(KIFAITOUT!$G$7:$G$50,'IB TRANSPORT'!A9))+(COUNTIF('LUXE DRIVE'!$G$7:$G$50,'IB TRANSPORT'!A9))+(COUNTIF(SSN!$G$7:$G$50,'IB TRANSPORT'!A9))+(COUNTIF('W3'!$G$7:$G$50,'IB TRANSPORT'!A9))+(COUNTIF('ATHIS MONS'!$G$7:$G$50,'IB TRANSPORT'!A9))+(COUNTIF('L HAY LES ROSES'!$G$7:$G$50,'IB TRANSPORT'!A9))+(COUNTIF(RUNGIS!$G$7:$G$50,'IB TRANSPORT'!A9))+(COUNTIF(SCEAUX!$G$7:$G$50,'IB TRANSPORT'!A9))+(COUNTIF('INSTANCE C1'!$G$7:$G$50,'IB TRANSPORT'!A9))+(COUNTIF('INSTANCE C2'!$G$7:$G$50,'IB TRANSPORT'!A9))+(COUNTIF(INTERNES!$G$7:$G$50,'IB TRANSPORT'!A9))+(COUNTIF('EN PANNE'!$G$7:$G$50,'IB TRANSPORT'!A9))+(COUNTIF(TJM!$G$7:$G$50,'IB TRANSPORT'!A9))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EXPRESS'!$G$7:$G$50,'IB TRANSPORT'!G9))+(COUNTIF('2 ZT'!$G$7:$G$50,'IB TRANSPORT'!G9))+(COUNTIF('GO TRANSPORT'!$G$7:$G$50,'IB TRANSPORT'!G9))+(COUNTIF('HMZ - KAIS'!$G$7:$G$50,'IB TRANSPORT'!G9))+(COUNTIF('IB TRANSPORT'!$G$7:$G$50,'IB TRANSPORT'!G9))+(COUNTIF(JSL!$G$7:$G$50,'IB TRANSPORT'!G9))+(COUNTIF(KIFAITOUT!$G$7:$G$50,'IB TRANSPORT'!G9))+(COUNTIF('LUXE DRIVE'!$G$7:$G$50,'IB TRANSPORT'!G9))+(COUNTIF(SSN!$G$7:$G$50,'IB TRANSPORT'!G9))+(COUNTIF('W3'!$G$7:$G$50,'IB TRANSPORT'!G9))+(COUNTIF('ATHIS MONS'!$G$7:$G$50,'IB TRANSPORT'!G9))+(COUNTIF('L HAY LES ROSES'!$G$7:$G$50,'IB TRANSPORT'!G9))+(COUNTIF(RUNGIS!$G$7:$G$50,'IB TRANSPORT'!G9))+(COUNTIF(SCEAUX!$G$7:$G$50,'IB TRANSPORT'!G9))+(COUNTIF('INSTANCE C1'!$G$7:$G$50,'IB TRANSPORT'!G9))+(COUNTIF('INSTANCE C2'!$G$7:$G$50,'IB TRANSPORT'!G9))+(COUNTIF(INTERNES!$G$7:$G$50,'IB TRANSPORT'!G9))+(COUNTIF('EN PANNE'!$G$7:$G$50,'IB TRANSPORT'!G9))+(COUNTIF(TJM!$G$7:$G$50,'IB TRANSPORT'!G9))-I9</f>
        <v>0</v>
      </c>
      <c r="I9" s="23">
        <f>(COUNTIF('2S EXPRESS'!$A$7:$A$50,'IB TRANSPORT'!G9))+(COUNTIF('2 ZT'!$A$7:$A$50,'IB TRANSPORT'!G9))+(COUNTIF('GO TRANSPORT'!$A$7:$A$50,'IB TRANSPORT'!G9))+(COUNTIF('HMZ - KAIS'!$A$7:$A$50,'IB TRANSPORT'!G9))+(COUNTIF('IB TRANSPORT'!$A$7:$A$50,'IB TRANSPORT'!G9))+(COUNTIF(JSL!$A$7:$A$50,'IB TRANSPORT'!G9))+(COUNTIF(KIFAITOUT!$A$7:$A$50,'IB TRANSPORT'!G9))+(COUNTIF('LUXE DRIVE'!$A$7:$A$50,'IB TRANSPORT'!G9))+(COUNTIF(SSN!$A$7:$A$50,'IB TRANSPORT'!G9))+(COUNTIF('W3'!$A$7:$A$50,'IB TRANSPORT'!G9))+(COUNTIF('ATHIS MONS'!$A$7:$A$50,'IB TRANSPORT'!G9))+(COUNTIF('L HAY LES ROSES'!$A$7:$A$50,'IB TRANSPORT'!G9))+(COUNTIF(RUNGIS!$A$7:$A$50,'IB TRANSPORT'!G9))+(COUNTIF(SCEAUX!$A$7:$A$50,'IB TRANSPORT'!G9))+(COUNTIF('INSTANCE C1'!$A$7:$A$50,'IB TRANSPORT'!G9))+(COUNTIF('INSTANCE C2'!$A$7:$A$50,'IB TRANSPORT'!G9))+(COUNTIF(INTERNES!$A$7:$A$50,'IB TRANSPORT'!G9))+(COUNTIF('EN PANNE'!$A$7:$A$50,'IB TRANSPORT'!G9))+(COUNTIF(TJM!$A$7:$A$50,'IB TRANSPORT'!G9))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S9" s="60">
        <f t="shared" si="1"/>
        <v>0</v>
      </c>
      <c r="T9" s="67">
        <f t="shared" si="2"/>
        <v>0</v>
      </c>
    </row>
    <row r="10" spans="1:26" ht="24.95" customHeight="1" thickBot="1" x14ac:dyDescent="0.25">
      <c r="A10" s="20"/>
      <c r="B10" s="23">
        <f>(COUNTIF('2S EXPRESS'!$A$7:$A$50,'IB TRANSPORT'!A10))+(COUNTIF('2 ZT'!$A$7:$A$50,'IB TRANSPORT'!A10))+(COUNTIF('GO TRANSPORT'!$A$7:$A$50,'IB TRANSPORT'!A10))+(COUNTIF('HMZ - KAIS'!$A$7:$A$50,'IB TRANSPORT'!A10))+(COUNTIF('IB TRANSPORT'!$A$7:$A$50,'IB TRANSPORT'!A10))+(COUNTIF(JSL!$A$7:$A$50,'IB TRANSPORT'!A10))+(COUNTIF(KIFAITOUT!$A$7:$A$50,'IB TRANSPORT'!A10))+(COUNTIF('LUXE DRIVE'!$A$7:$A$50,'IB TRANSPORT'!A10))+(COUNTIF(SSN!$A$7:$A$50,'IB TRANSPORT'!A10))+(COUNTIF('W3'!$A$7:$A$50,'IB TRANSPORT'!A10))+(COUNTIF('ATHIS MONS'!$A$7:$A$50,'IB TRANSPORT'!A10))+(COUNTIF('L HAY LES ROSES'!$A$7:$A$50,'IB TRANSPORT'!A10))+(COUNTIF(RUNGIS!$A$7:$A$50,'IB TRANSPORT'!A10))+(COUNTIF(SCEAUX!$A$7:$A$50,'IB TRANSPORT'!A10))+(COUNTIF('INSTANCE C1'!$A$7:$A$50,'IB TRANSPORT'!A10))+(COUNTIF('INSTANCE C2'!$A$7:$A$50,'IB TRANSPORT'!A10))+(COUNTIF(INTERNES!$A$7:$A$50,'IB TRANSPORT'!A10))+(COUNTIF('EN PANNE'!$A$7:$A$50,'IB TRANSPORT'!A10))+(COUNTIF(TJM!$A$7:$A$50,'IB TRANSPORT'!A10))-C10</f>
        <v>0</v>
      </c>
      <c r="C10" s="23">
        <f>(COUNTIF('2S EXPRESS'!$G$7:$G$50,'IB TRANSPORT'!A10))+(COUNTIF('2 ZT'!$G$7:$G$50,'IB TRANSPORT'!A10))+(COUNTIF('GO TRANSPORT'!$G$7:$G$50,'IB TRANSPORT'!A10))+(COUNTIF('IB TRANSPORT'!$G$7:$G$50,'IB TRANSPORT'!A10))+(COUNTIF('EN PANNE'!$G$7:$G$50,'IB TRANSPORT'!A10))+(COUNTIF(JSL!$G$7:$G$50,'IB TRANSPORT'!A10))+(COUNTIF(KIFAITOUT!$G$7:$G$50,'IB TRANSPORT'!A10))+(COUNTIF('LUXE DRIVE'!$G$7:$G$50,'IB TRANSPORT'!A10))+(COUNTIF(SSN!$G$7:$G$50,'IB TRANSPORT'!A10))+(COUNTIF('W3'!$G$7:$G$50,'IB TRANSPORT'!A10))+(COUNTIF('ATHIS MONS'!$G$7:$G$50,'IB TRANSPORT'!A10))+(COUNTIF('L HAY LES ROSES'!$G$7:$G$50,'IB TRANSPORT'!A10))+(COUNTIF(RUNGIS!$G$7:$G$50,'IB TRANSPORT'!A10))+(COUNTIF(SCEAUX!$G$7:$G$50,'IB TRANSPORT'!A10))+(COUNTIF('INSTANCE C1'!$G$7:$G$50,'IB TRANSPORT'!A10))+(COUNTIF('INSTANCE C2'!$G$7:$G$50,'IB TRANSPORT'!A10))+(COUNTIF(INTERNES!$G$7:$G$50,'IB TRANSPORT'!A10))+(COUNTIF('EN PANNE'!$G$7:$G$50,'IB TRANSPORT'!A10))+(COUNTIF(TJM!$G$7:$G$50,'IB TRANSPORT'!A10))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EXPRESS'!$G$7:$G$50,'IB TRANSPORT'!G10))+(COUNTIF('2 ZT'!$G$7:$G$50,'IB TRANSPORT'!G10))+(COUNTIF('GO TRANSPORT'!$G$7:$G$50,'IB TRANSPORT'!G10))+(COUNTIF('HMZ - KAIS'!$G$7:$G$50,'IB TRANSPORT'!G10))+(COUNTIF('IB TRANSPORT'!$G$7:$G$50,'IB TRANSPORT'!G10))+(COUNTIF(JSL!$G$7:$G$50,'IB TRANSPORT'!G10))+(COUNTIF(KIFAITOUT!$G$7:$G$50,'IB TRANSPORT'!G10))+(COUNTIF('LUXE DRIVE'!$G$7:$G$50,'IB TRANSPORT'!G10))+(COUNTIF(SSN!$G$7:$G$50,'IB TRANSPORT'!G10))+(COUNTIF('W3'!$G$7:$G$50,'IB TRANSPORT'!G10))+(COUNTIF('ATHIS MONS'!$G$7:$G$50,'IB TRANSPORT'!G10))+(COUNTIF('L HAY LES ROSES'!$G$7:$G$50,'IB TRANSPORT'!G10))+(COUNTIF(RUNGIS!$G$7:$G$50,'IB TRANSPORT'!G10))+(COUNTIF(SCEAUX!$G$7:$G$50,'IB TRANSPORT'!G10))+(COUNTIF('INSTANCE C1'!$G$7:$G$50,'IB TRANSPORT'!G10))+(COUNTIF('INSTANCE C2'!$G$7:$G$50,'IB TRANSPORT'!G10))+(COUNTIF(INTERNES!$G$7:$G$50,'IB TRANSPORT'!G10))+(COUNTIF('EN PANNE'!$G$7:$G$50,'IB TRANSPORT'!G10))+(COUNTIF(TJM!$G$7:$G$50,'IB TRANSPORT'!G10))-I10</f>
        <v>0</v>
      </c>
      <c r="I10" s="23">
        <f>(COUNTIF('2S EXPRESS'!$A$7:$A$50,'IB TRANSPORT'!G10))+(COUNTIF('2 ZT'!$A$7:$A$50,'IB TRANSPORT'!G10))+(COUNTIF('GO TRANSPORT'!$A$7:$A$50,'IB TRANSPORT'!G10))+(COUNTIF('HMZ - KAIS'!$A$7:$A$50,'IB TRANSPORT'!G10))+(COUNTIF('IB TRANSPORT'!$A$7:$A$50,'IB TRANSPORT'!G10))+(COUNTIF(JSL!$A$7:$A$50,'IB TRANSPORT'!G10))+(COUNTIF(KIFAITOUT!$A$7:$A$50,'IB TRANSPORT'!G10))+(COUNTIF('LUXE DRIVE'!$A$7:$A$50,'IB TRANSPORT'!G10))+(COUNTIF(SSN!$A$7:$A$50,'IB TRANSPORT'!G10))+(COUNTIF('W3'!$A$7:$A$50,'IB TRANSPORT'!G10))+(COUNTIF('ATHIS MONS'!$A$7:$A$50,'IB TRANSPORT'!G10))+(COUNTIF('L HAY LES ROSES'!$A$7:$A$50,'IB TRANSPORT'!G10))+(COUNTIF(RUNGIS!$A$7:$A$50,'IB TRANSPORT'!G10))+(COUNTIF(SCEAUX!$A$7:$A$50,'IB TRANSPORT'!G10))+(COUNTIF('INSTANCE C1'!$A$7:$A$50,'IB TRANSPORT'!G10))+(COUNTIF('INSTANCE C2'!$A$7:$A$50,'IB TRANSPORT'!G10))+(COUNTIF(INTERNES!$A$7:$A$50,'IB TRANSPORT'!G10))+(COUNTIF('EN PANNE'!$A$7:$A$50,'IB TRANSPORT'!G10))+(COUNTIF(TJM!$A$7:$A$50,'IB TRANSPORT'!G10))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S10" s="60">
        <f t="shared" si="1"/>
        <v>0</v>
      </c>
      <c r="T10" s="67">
        <f t="shared" si="2"/>
        <v>0</v>
      </c>
    </row>
    <row r="11" spans="1:26" ht="24.95" customHeight="1" thickBot="1" x14ac:dyDescent="0.25">
      <c r="A11" s="20"/>
      <c r="B11" s="23">
        <f>(COUNTIF('2S EXPRESS'!$A$7:$A$50,'IB TRANSPORT'!A11))+(COUNTIF('2 ZT'!$A$7:$A$50,'IB TRANSPORT'!A11))+(COUNTIF('GO TRANSPORT'!$A$7:$A$50,'IB TRANSPORT'!A11))+(COUNTIF('HMZ - KAIS'!$A$7:$A$50,'IB TRANSPORT'!A11))+(COUNTIF('IB TRANSPORT'!$A$7:$A$50,'IB TRANSPORT'!A11))+(COUNTIF(JSL!$A$7:$A$50,'IB TRANSPORT'!A11))+(COUNTIF(KIFAITOUT!$A$7:$A$50,'IB TRANSPORT'!A11))+(COUNTIF('LUXE DRIVE'!$A$7:$A$50,'IB TRANSPORT'!A11))+(COUNTIF(SSN!$A$7:$A$50,'IB TRANSPORT'!A11))+(COUNTIF('W3'!$A$7:$A$50,'IB TRANSPORT'!A11))+(COUNTIF('ATHIS MONS'!$A$7:$A$50,'IB TRANSPORT'!A11))+(COUNTIF('L HAY LES ROSES'!$A$7:$A$50,'IB TRANSPORT'!A11))+(COUNTIF(RUNGIS!$A$7:$A$50,'IB TRANSPORT'!A11))+(COUNTIF(SCEAUX!$A$7:$A$50,'IB TRANSPORT'!A11))+(COUNTIF('INSTANCE C1'!$A$7:$A$50,'IB TRANSPORT'!A11))+(COUNTIF('INSTANCE C2'!$A$7:$A$50,'IB TRANSPORT'!A11))+(COUNTIF(INTERNES!$A$7:$A$50,'IB TRANSPORT'!A11))+(COUNTIF('EN PANNE'!$A$7:$A$50,'IB TRANSPORT'!A11))+(COUNTIF(TJM!$A$7:$A$50,'IB TRANSPORT'!A11))-C11</f>
        <v>0</v>
      </c>
      <c r="C11" s="23">
        <f>(COUNTIF('2S EXPRESS'!$G$7:$G$50,'IB TRANSPORT'!A11))+(COUNTIF('2 ZT'!$G$7:$G$50,'IB TRANSPORT'!A11))+(COUNTIF('GO TRANSPORT'!$G$7:$G$50,'IB TRANSPORT'!A11))+(COUNTIF('IB TRANSPORT'!$G$7:$G$50,'IB TRANSPORT'!A11))+(COUNTIF('EN PANNE'!$G$7:$G$50,'IB TRANSPORT'!A11))+(COUNTIF(JSL!$G$7:$G$50,'IB TRANSPORT'!A11))+(COUNTIF(KIFAITOUT!$G$7:$G$50,'IB TRANSPORT'!A11))+(COUNTIF('LUXE DRIVE'!$G$7:$G$50,'IB TRANSPORT'!A11))+(COUNTIF(SSN!$G$7:$G$50,'IB TRANSPORT'!A11))+(COUNTIF('W3'!$G$7:$G$50,'IB TRANSPORT'!A11))+(COUNTIF('ATHIS MONS'!$G$7:$G$50,'IB TRANSPORT'!A11))+(COUNTIF('L HAY LES ROSES'!$G$7:$G$50,'IB TRANSPORT'!A11))+(COUNTIF(RUNGIS!$G$7:$G$50,'IB TRANSPORT'!A11))+(COUNTIF(SCEAUX!$G$7:$G$50,'IB TRANSPORT'!A11))+(COUNTIF('INSTANCE C1'!$G$7:$G$50,'IB TRANSPORT'!A11))+(COUNTIF('INSTANCE C2'!$G$7:$G$50,'IB TRANSPORT'!A11))+(COUNTIF(INTERNES!$G$7:$G$50,'IB TRANSPORT'!A11))+(COUNTIF('EN PANNE'!$G$7:$G$50,'IB TRANSPORT'!A11))+(COUNTIF(TJM!$G$7:$G$50,'IB TRANSPORT'!A11))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EXPRESS'!$G$7:$G$50,'IB TRANSPORT'!G11))+(COUNTIF('2 ZT'!$G$7:$G$50,'IB TRANSPORT'!G11))+(COUNTIF('GO TRANSPORT'!$G$7:$G$50,'IB TRANSPORT'!G11))+(COUNTIF('HMZ - KAIS'!$G$7:$G$50,'IB TRANSPORT'!G11))+(COUNTIF('IB TRANSPORT'!$G$7:$G$50,'IB TRANSPORT'!G11))+(COUNTIF(JSL!$G$7:$G$50,'IB TRANSPORT'!G11))+(COUNTIF(KIFAITOUT!$G$7:$G$50,'IB TRANSPORT'!G11))+(COUNTIF('LUXE DRIVE'!$G$7:$G$50,'IB TRANSPORT'!G11))+(COUNTIF(SSN!$G$7:$G$50,'IB TRANSPORT'!G11))+(COUNTIF('W3'!$G$7:$G$50,'IB TRANSPORT'!G11))+(COUNTIF('ATHIS MONS'!$G$7:$G$50,'IB TRANSPORT'!G11))+(COUNTIF('L HAY LES ROSES'!$G$7:$G$50,'IB TRANSPORT'!G11))+(COUNTIF(RUNGIS!$G$7:$G$50,'IB TRANSPORT'!G11))+(COUNTIF(SCEAUX!$G$7:$G$50,'IB TRANSPORT'!G11))+(COUNTIF('INSTANCE C1'!$G$7:$G$50,'IB TRANSPORT'!G11))+(COUNTIF('INSTANCE C2'!$G$7:$G$50,'IB TRANSPORT'!G11))+(COUNTIF(INTERNES!$G$7:$G$50,'IB TRANSPORT'!G11))+(COUNTIF('EN PANNE'!$G$7:$G$50,'IB TRANSPORT'!G11))+(COUNTIF(TJM!$G$7:$G$50,'IB TRANSPORT'!G11))-I11</f>
        <v>0</v>
      </c>
      <c r="I11" s="23">
        <f>(COUNTIF('2S EXPRESS'!$A$7:$A$50,'IB TRANSPORT'!G11))+(COUNTIF('2 ZT'!$A$7:$A$50,'IB TRANSPORT'!G11))+(COUNTIF('GO TRANSPORT'!$A$7:$A$50,'IB TRANSPORT'!G11))+(COUNTIF('HMZ - KAIS'!$A$7:$A$50,'IB TRANSPORT'!G11))+(COUNTIF('IB TRANSPORT'!$A$7:$A$50,'IB TRANSPORT'!G11))+(COUNTIF(JSL!$A$7:$A$50,'IB TRANSPORT'!G11))+(COUNTIF(KIFAITOUT!$A$7:$A$50,'IB TRANSPORT'!G11))+(COUNTIF('LUXE DRIVE'!$A$7:$A$50,'IB TRANSPORT'!G11))+(COUNTIF(SSN!$A$7:$A$50,'IB TRANSPORT'!G11))+(COUNTIF('W3'!$A$7:$A$50,'IB TRANSPORT'!G11))+(COUNTIF('ATHIS MONS'!$A$7:$A$50,'IB TRANSPORT'!G11))+(COUNTIF('L HAY LES ROSES'!$A$7:$A$50,'IB TRANSPORT'!G11))+(COUNTIF(RUNGIS!$A$7:$A$50,'IB TRANSPORT'!G11))+(COUNTIF(SCEAUX!$A$7:$A$50,'IB TRANSPORT'!G11))+(COUNTIF('INSTANCE C1'!$A$7:$A$50,'IB TRANSPORT'!G11))+(COUNTIF('INSTANCE C2'!$A$7:$A$50,'IB TRANSPORT'!G11))+(COUNTIF(INTERNES!$A$7:$A$50,'IB TRANSPORT'!G11))+(COUNTIF('EN PANNE'!$A$7:$A$50,'IB TRANSPORT'!G11))+(COUNTIF(TJM!$A$7:$A$50,'IB TRANSPORT'!G11))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S11" s="60">
        <f t="shared" si="1"/>
        <v>0</v>
      </c>
      <c r="T11" s="67">
        <f t="shared" si="2"/>
        <v>0</v>
      </c>
    </row>
    <row r="12" spans="1:26" ht="24.95" customHeight="1" thickBot="1" x14ac:dyDescent="0.25">
      <c r="A12" s="20"/>
      <c r="B12" s="23">
        <f>(COUNTIF('2S EXPRESS'!$A$7:$A$50,'IB TRANSPORT'!A12))+(COUNTIF('2 ZT'!$A$7:$A$50,'IB TRANSPORT'!A12))+(COUNTIF('GO TRANSPORT'!$A$7:$A$50,'IB TRANSPORT'!A12))+(COUNTIF('HMZ - KAIS'!$A$7:$A$50,'IB TRANSPORT'!A12))+(COUNTIF('IB TRANSPORT'!$A$7:$A$50,'IB TRANSPORT'!A12))+(COUNTIF(JSL!$A$7:$A$50,'IB TRANSPORT'!A12))+(COUNTIF(KIFAITOUT!$A$7:$A$50,'IB TRANSPORT'!A12))+(COUNTIF('LUXE DRIVE'!$A$7:$A$50,'IB TRANSPORT'!A12))+(COUNTIF(SSN!$A$7:$A$50,'IB TRANSPORT'!A12))+(COUNTIF('W3'!$A$7:$A$50,'IB TRANSPORT'!A12))+(COUNTIF('ATHIS MONS'!$A$7:$A$50,'IB TRANSPORT'!A12))+(COUNTIF('L HAY LES ROSES'!$A$7:$A$50,'IB TRANSPORT'!A12))+(COUNTIF(RUNGIS!$A$7:$A$50,'IB TRANSPORT'!A12))+(COUNTIF(SCEAUX!$A$7:$A$50,'IB TRANSPORT'!A12))+(COUNTIF('INSTANCE C1'!$A$7:$A$50,'IB TRANSPORT'!A12))+(COUNTIF('INSTANCE C2'!$A$7:$A$50,'IB TRANSPORT'!A12))+(COUNTIF(INTERNES!$A$7:$A$50,'IB TRANSPORT'!A12))+(COUNTIF('EN PANNE'!$A$7:$A$50,'IB TRANSPORT'!A12))+(COUNTIF(TJM!$A$7:$A$50,'IB TRANSPORT'!A12))-C12</f>
        <v>0</v>
      </c>
      <c r="C12" s="23">
        <f>(COUNTIF('2S EXPRESS'!$G$7:$G$50,'IB TRANSPORT'!A12))+(COUNTIF('2 ZT'!$G$7:$G$50,'IB TRANSPORT'!A12))+(COUNTIF('GO TRANSPORT'!$G$7:$G$50,'IB TRANSPORT'!A12))+(COUNTIF('IB TRANSPORT'!$G$7:$G$50,'IB TRANSPORT'!A12))+(COUNTIF('EN PANNE'!$G$7:$G$50,'IB TRANSPORT'!A12))+(COUNTIF(JSL!$G$7:$G$50,'IB TRANSPORT'!A12))+(COUNTIF(KIFAITOUT!$G$7:$G$50,'IB TRANSPORT'!A12))+(COUNTIF('LUXE DRIVE'!$G$7:$G$50,'IB TRANSPORT'!A12))+(COUNTIF(SSN!$G$7:$G$50,'IB TRANSPORT'!A12))+(COUNTIF('W3'!$G$7:$G$50,'IB TRANSPORT'!A12))+(COUNTIF('ATHIS MONS'!$G$7:$G$50,'IB TRANSPORT'!A12))+(COUNTIF('L HAY LES ROSES'!$G$7:$G$50,'IB TRANSPORT'!A12))+(COUNTIF(RUNGIS!$G$7:$G$50,'IB TRANSPORT'!A12))+(COUNTIF(SCEAUX!$G$7:$G$50,'IB TRANSPORT'!A12))+(COUNTIF('INSTANCE C1'!$G$7:$G$50,'IB TRANSPORT'!A12))+(COUNTIF('INSTANCE C2'!$G$7:$G$50,'IB TRANSPORT'!A12))+(COUNTIF(INTERNES!$G$7:$G$50,'IB TRANSPORT'!A12))+(COUNTIF('EN PANNE'!$G$7:$G$50,'IB TRANSPORT'!A12))+(COUNTIF(TJM!$G$7:$G$50,'IB TRANSPORT'!A12))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EXPRESS'!$G$7:$G$50,'IB TRANSPORT'!G12))+(COUNTIF('2 ZT'!$G$7:$G$50,'IB TRANSPORT'!G12))+(COUNTIF('GO TRANSPORT'!$G$7:$G$50,'IB TRANSPORT'!G12))+(COUNTIF('HMZ - KAIS'!$G$7:$G$50,'IB TRANSPORT'!G12))+(COUNTIF('IB TRANSPORT'!$G$7:$G$50,'IB TRANSPORT'!G12))+(COUNTIF(JSL!$G$7:$G$50,'IB TRANSPORT'!G12))+(COUNTIF(KIFAITOUT!$G$7:$G$50,'IB TRANSPORT'!G12))+(COUNTIF('LUXE DRIVE'!$G$7:$G$50,'IB TRANSPORT'!G12))+(COUNTIF(SSN!$G$7:$G$50,'IB TRANSPORT'!G12))+(COUNTIF('W3'!$G$7:$G$50,'IB TRANSPORT'!G12))+(COUNTIF('ATHIS MONS'!$G$7:$G$50,'IB TRANSPORT'!G12))+(COUNTIF('L HAY LES ROSES'!$G$7:$G$50,'IB TRANSPORT'!G12))+(COUNTIF(RUNGIS!$G$7:$G$50,'IB TRANSPORT'!G12))+(COUNTIF(SCEAUX!$G$7:$G$50,'IB TRANSPORT'!G12))+(COUNTIF('INSTANCE C1'!$G$7:$G$50,'IB TRANSPORT'!G12))+(COUNTIF('INSTANCE C2'!$G$7:$G$50,'IB TRANSPORT'!G12))+(COUNTIF(INTERNES!$G$7:$G$50,'IB TRANSPORT'!G12))+(COUNTIF('EN PANNE'!$G$7:$G$50,'IB TRANSPORT'!G12))+(COUNTIF(TJM!$G$7:$G$50,'IB TRANSPORT'!G12))-I12</f>
        <v>0</v>
      </c>
      <c r="I12" s="23">
        <f>(COUNTIF('2S EXPRESS'!$A$7:$A$50,'IB TRANSPORT'!G12))+(COUNTIF('2 ZT'!$A$7:$A$50,'IB TRANSPORT'!G12))+(COUNTIF('GO TRANSPORT'!$A$7:$A$50,'IB TRANSPORT'!G12))+(COUNTIF('HMZ - KAIS'!$A$7:$A$50,'IB TRANSPORT'!G12))+(COUNTIF('IB TRANSPORT'!$A$7:$A$50,'IB TRANSPORT'!G12))+(COUNTIF(JSL!$A$7:$A$50,'IB TRANSPORT'!G12))+(COUNTIF(KIFAITOUT!$A$7:$A$50,'IB TRANSPORT'!G12))+(COUNTIF('LUXE DRIVE'!$A$7:$A$50,'IB TRANSPORT'!G12))+(COUNTIF(SSN!$A$7:$A$50,'IB TRANSPORT'!G12))+(COUNTIF('W3'!$A$7:$A$50,'IB TRANSPORT'!G12))+(COUNTIF('ATHIS MONS'!$A$7:$A$50,'IB TRANSPORT'!G12))+(COUNTIF('L HAY LES ROSES'!$A$7:$A$50,'IB TRANSPORT'!G12))+(COUNTIF(RUNGIS!$A$7:$A$50,'IB TRANSPORT'!G12))+(COUNTIF(SCEAUX!$A$7:$A$50,'IB TRANSPORT'!G12))+(COUNTIF('INSTANCE C1'!$A$7:$A$50,'IB TRANSPORT'!G12))+(COUNTIF('INSTANCE C2'!$A$7:$A$50,'IB TRANSPORT'!G12))+(COUNTIF(INTERNES!$A$7:$A$50,'IB TRANSPORT'!G12))+(COUNTIF('EN PANNE'!$A$7:$A$50,'IB TRANSPORT'!G12))+(COUNTIF(TJM!$A$7:$A$50,'IB TRANSPORT'!G12))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S12" s="60">
        <f t="shared" si="1"/>
        <v>0</v>
      </c>
      <c r="T12" s="67">
        <f t="shared" si="2"/>
        <v>0</v>
      </c>
    </row>
    <row r="13" spans="1:26" ht="24.95" customHeight="1" x14ac:dyDescent="0.2">
      <c r="A13" s="20"/>
      <c r="B13" s="23">
        <f>(COUNTIF('2S EXPRESS'!$A$7:$A$50,'IB TRANSPORT'!A13))+(COUNTIF('2 ZT'!$A$7:$A$50,'IB TRANSPORT'!A13))+(COUNTIF('GO TRANSPORT'!$A$7:$A$50,'IB TRANSPORT'!A13))+(COUNTIF('HMZ - KAIS'!$A$7:$A$50,'IB TRANSPORT'!A13))+(COUNTIF('IB TRANSPORT'!$A$7:$A$50,'IB TRANSPORT'!A13))+(COUNTIF(JSL!$A$7:$A$50,'IB TRANSPORT'!A13))+(COUNTIF(KIFAITOUT!$A$7:$A$50,'IB TRANSPORT'!A13))+(COUNTIF('LUXE DRIVE'!$A$7:$A$50,'IB TRANSPORT'!A13))+(COUNTIF(SSN!$A$7:$A$50,'IB TRANSPORT'!A13))+(COUNTIF('W3'!$A$7:$A$50,'IB TRANSPORT'!A13))+(COUNTIF('ATHIS MONS'!$A$7:$A$50,'IB TRANSPORT'!A13))+(COUNTIF('L HAY LES ROSES'!$A$7:$A$50,'IB TRANSPORT'!A13))+(COUNTIF(RUNGIS!$A$7:$A$50,'IB TRANSPORT'!A13))+(COUNTIF(SCEAUX!$A$7:$A$50,'IB TRANSPORT'!A13))+(COUNTIF('INSTANCE C1'!$A$7:$A$50,'IB TRANSPORT'!A13))+(COUNTIF('INSTANCE C2'!$A$7:$A$50,'IB TRANSPORT'!A13))+(COUNTIF(INTERNES!$A$7:$A$50,'IB TRANSPORT'!A13))+(COUNTIF('EN PANNE'!$A$7:$A$50,'IB TRANSPORT'!A13))+(COUNTIF(TJM!$A$7:$A$50,'IB TRANSPORT'!A13))-C13</f>
        <v>0</v>
      </c>
      <c r="C13" s="23">
        <f>(COUNTIF('2S EXPRESS'!$G$7:$G$50,'IB TRANSPORT'!A13))+(COUNTIF('2 ZT'!$G$7:$G$50,'IB TRANSPORT'!A13))+(COUNTIF('GO TRANSPORT'!$G$7:$G$50,'IB TRANSPORT'!A13))+(COUNTIF('IB TRANSPORT'!$G$7:$G$50,'IB TRANSPORT'!A13))+(COUNTIF('EN PANNE'!$G$7:$G$50,'IB TRANSPORT'!A13))+(COUNTIF(JSL!$G$7:$G$50,'IB TRANSPORT'!A13))+(COUNTIF(KIFAITOUT!$G$7:$G$50,'IB TRANSPORT'!A13))+(COUNTIF('LUXE DRIVE'!$G$7:$G$50,'IB TRANSPORT'!A13))+(COUNTIF(SSN!$G$7:$G$50,'IB TRANSPORT'!A13))+(COUNTIF('W3'!$G$7:$G$50,'IB TRANSPORT'!A13))+(COUNTIF('ATHIS MONS'!$G$7:$G$50,'IB TRANSPORT'!A13))+(COUNTIF('L HAY LES ROSES'!$G$7:$G$50,'IB TRANSPORT'!A13))+(COUNTIF(RUNGIS!$G$7:$G$50,'IB TRANSPORT'!A13))+(COUNTIF(SCEAUX!$G$7:$G$50,'IB TRANSPORT'!A13))+(COUNTIF('INSTANCE C1'!$G$7:$G$50,'IB TRANSPORT'!A13))+(COUNTIF('INSTANCE C2'!$G$7:$G$50,'IB TRANSPORT'!A13))+(COUNTIF(INTERNES!$G$7:$G$50,'IB TRANSPORT'!A13))+(COUNTIF('EN PANNE'!$G$7:$G$50,'IB TRANSPORT'!A13))+(COUNTIF(TJM!$G$7:$G$50,'IB TRANSPORT'!A13))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EXPRESS'!$G$7:$G$50,'IB TRANSPORT'!G13))+(COUNTIF('2 ZT'!$G$7:$G$50,'IB TRANSPORT'!G13))+(COUNTIF('GO TRANSPORT'!$G$7:$G$50,'IB TRANSPORT'!G13))+(COUNTIF('HMZ - KAIS'!$G$7:$G$50,'IB TRANSPORT'!G13))+(COUNTIF('IB TRANSPORT'!$G$7:$G$50,'IB TRANSPORT'!G13))+(COUNTIF(JSL!$G$7:$G$50,'IB TRANSPORT'!G13))+(COUNTIF(KIFAITOUT!$G$7:$G$50,'IB TRANSPORT'!G13))+(COUNTIF('LUXE DRIVE'!$G$7:$G$50,'IB TRANSPORT'!G13))+(COUNTIF(SSN!$G$7:$G$50,'IB TRANSPORT'!G13))+(COUNTIF('W3'!$G$7:$G$50,'IB TRANSPORT'!G13))+(COUNTIF('ATHIS MONS'!$G$7:$G$50,'IB TRANSPORT'!G13))+(COUNTIF('L HAY LES ROSES'!$G$7:$G$50,'IB TRANSPORT'!G13))+(COUNTIF(RUNGIS!$G$7:$G$50,'IB TRANSPORT'!G13))+(COUNTIF(SCEAUX!$G$7:$G$50,'IB TRANSPORT'!G13))+(COUNTIF('INSTANCE C1'!$G$7:$G$50,'IB TRANSPORT'!G13))+(COUNTIF('INSTANCE C2'!$G$7:$G$50,'IB TRANSPORT'!G13))+(COUNTIF(INTERNES!$G$7:$G$50,'IB TRANSPORT'!G13))+(COUNTIF('EN PANNE'!$G$7:$G$50,'IB TRANSPORT'!G13))+(COUNTIF(TJM!$G$7:$G$50,'IB TRANSPORT'!G13))-I13</f>
        <v>0</v>
      </c>
      <c r="I13" s="23">
        <f>(COUNTIF('2S EXPRESS'!$A$7:$A$50,'IB TRANSPORT'!G13))+(COUNTIF('2 ZT'!$A$7:$A$50,'IB TRANSPORT'!G13))+(COUNTIF('GO TRANSPORT'!$A$7:$A$50,'IB TRANSPORT'!G13))+(COUNTIF('HMZ - KAIS'!$A$7:$A$50,'IB TRANSPORT'!G13))+(COUNTIF('IB TRANSPORT'!$A$7:$A$50,'IB TRANSPORT'!G13))+(COUNTIF(JSL!$A$7:$A$50,'IB TRANSPORT'!G13))+(COUNTIF(KIFAITOUT!$A$7:$A$50,'IB TRANSPORT'!G13))+(COUNTIF('LUXE DRIVE'!$A$7:$A$50,'IB TRANSPORT'!G13))+(COUNTIF(SSN!$A$7:$A$50,'IB TRANSPORT'!G13))+(COUNTIF('W3'!$A$7:$A$50,'IB TRANSPORT'!G13))+(COUNTIF('ATHIS MONS'!$A$7:$A$50,'IB TRANSPORT'!G13))+(COUNTIF('L HAY LES ROSES'!$A$7:$A$50,'IB TRANSPORT'!G13))+(COUNTIF(RUNGIS!$A$7:$A$50,'IB TRANSPORT'!G13))+(COUNTIF(SCEAUX!$A$7:$A$50,'IB TRANSPORT'!G13))+(COUNTIF('INSTANCE C1'!$A$7:$A$50,'IB TRANSPORT'!G13))+(COUNTIF('INSTANCE C2'!$A$7:$A$50,'IB TRANSPORT'!G13))+(COUNTIF(INTERNES!$A$7:$A$50,'IB TRANSPORT'!G13))+(COUNTIF('EN PANNE'!$A$7:$A$50,'IB TRANSPORT'!G13))+(COUNTIF(TJM!$A$7:$A$50,'IB TRANSPORT'!G13))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S13" s="60">
        <f t="shared" si="1"/>
        <v>0</v>
      </c>
      <c r="T13" s="67">
        <f t="shared" si="2"/>
        <v>0</v>
      </c>
    </row>
    <row r="14" spans="1:26" ht="24.95" customHeight="1" x14ac:dyDescent="0.2">
      <c r="A14" s="20"/>
      <c r="B14" s="23">
        <f>(COUNTIF('2S EXPRESS'!$A$7:$A$50,'IB TRANSPORT'!A14))+(COUNTIF('2 ZT'!$A$7:$A$50,'IB TRANSPORT'!A14))+(COUNTIF('GO TRANSPORT'!$A$7:$A$50,'IB TRANSPORT'!A14))+(COUNTIF('HMZ - KAIS'!$A$7:$A$50,'IB TRANSPORT'!A14))+(COUNTIF('IB TRANSPORT'!$A$7:$A$50,'IB TRANSPORT'!A14))+(COUNTIF(JSL!$A$7:$A$50,'IB TRANSPORT'!A14))+(COUNTIF(KIFAITOUT!$A$7:$A$50,'IB TRANSPORT'!A14))+(COUNTIF('LUXE DRIVE'!$A$7:$A$50,'IB TRANSPORT'!A14))+(COUNTIF(SSN!$A$7:$A$50,'IB TRANSPORT'!A14))+(COUNTIF('W3'!$A$7:$A$50,'IB TRANSPORT'!A14))+(COUNTIF('ATHIS MONS'!$A$7:$A$50,'IB TRANSPORT'!A14))+(COUNTIF('L HAY LES ROSES'!$A$7:$A$50,'IB TRANSPORT'!A14))+(COUNTIF(RUNGIS!$A$7:$A$50,'IB TRANSPORT'!A14))+(COUNTIF(SCEAUX!$A$7:$A$50,'IB TRANSPORT'!A14))+(COUNTIF('INSTANCE C1'!$A$7:$A$50,'IB TRANSPORT'!A14))+(COUNTIF('INSTANCE C2'!$A$7:$A$50,'IB TRANSPORT'!A14))+(COUNTIF(INTERNES!$A$7:$A$50,'IB TRANSPORT'!A14))+(COUNTIF('EN PANNE'!$A$7:$A$50,'IB TRANSPORT'!A14))+(COUNTIF(TJM!$A$7:$A$50,'IB TRANSPORT'!A14))-C14</f>
        <v>0</v>
      </c>
      <c r="C14" s="23">
        <f>(COUNTIF('2S EXPRESS'!$G$7:$G$50,'IB TRANSPORT'!A14))+(COUNTIF('2 ZT'!$G$7:$G$50,'IB TRANSPORT'!A14))+(COUNTIF('GO TRANSPORT'!$G$7:$G$50,'IB TRANSPORT'!A14))+(COUNTIF('IB TRANSPORT'!$G$7:$G$50,'IB TRANSPORT'!A14))+(COUNTIF('EN PANNE'!$G$7:$G$50,'IB TRANSPORT'!A14))+(COUNTIF(JSL!$G$7:$G$50,'IB TRANSPORT'!A14))+(COUNTIF(KIFAITOUT!$G$7:$G$50,'IB TRANSPORT'!A14))+(COUNTIF('LUXE DRIVE'!$G$7:$G$50,'IB TRANSPORT'!A14))+(COUNTIF(SSN!$G$7:$G$50,'IB TRANSPORT'!A14))+(COUNTIF('W3'!$G$7:$G$50,'IB TRANSPORT'!A14))+(COUNTIF('ATHIS MONS'!$G$7:$G$50,'IB TRANSPORT'!A14))+(COUNTIF('L HAY LES ROSES'!$G$7:$G$50,'IB TRANSPORT'!A14))+(COUNTIF(RUNGIS!$G$7:$G$50,'IB TRANSPORT'!A14))+(COUNTIF(SCEAUX!$G$7:$G$50,'IB TRANSPORT'!A14))+(COUNTIF('INSTANCE C1'!$G$7:$G$50,'IB TRANSPORT'!A14))+(COUNTIF('INSTANCE C2'!$G$7:$G$50,'IB TRANSPORT'!A14))+(COUNTIF(INTERNES!$G$7:$G$50,'IB TRANSPORT'!A14))+(COUNTIF('EN PANNE'!$G$7:$G$50,'IB TRANSPORT'!A14))+(COUNTIF(TJM!$G$7:$G$50,'IB TRANSPORT'!A14))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EXPRESS'!$G$7:$G$50,'IB TRANSPORT'!G14))+(COUNTIF('2 ZT'!$G$7:$G$50,'IB TRANSPORT'!G14))+(COUNTIF('GO TRANSPORT'!$G$7:$G$50,'IB TRANSPORT'!G14))+(COUNTIF('HMZ - KAIS'!$G$7:$G$50,'IB TRANSPORT'!G14))+(COUNTIF('IB TRANSPORT'!$G$7:$G$50,'IB TRANSPORT'!G14))+(COUNTIF(JSL!$G$7:$G$50,'IB TRANSPORT'!G14))+(COUNTIF(KIFAITOUT!$G$7:$G$50,'IB TRANSPORT'!G14))+(COUNTIF('LUXE DRIVE'!$G$7:$G$50,'IB TRANSPORT'!G14))+(COUNTIF(SSN!$G$7:$G$50,'IB TRANSPORT'!G14))+(COUNTIF('W3'!$G$7:$G$50,'IB TRANSPORT'!G14))+(COUNTIF('ATHIS MONS'!$G$7:$G$50,'IB TRANSPORT'!G14))+(COUNTIF('L HAY LES ROSES'!$G$7:$G$50,'IB TRANSPORT'!G14))+(COUNTIF(RUNGIS!$G$7:$G$50,'IB TRANSPORT'!G14))+(COUNTIF(SCEAUX!$G$7:$G$50,'IB TRANSPORT'!G14))+(COUNTIF('INSTANCE C1'!$G$7:$G$50,'IB TRANSPORT'!G14))+(COUNTIF('INSTANCE C2'!$G$7:$G$50,'IB TRANSPORT'!G14))+(COUNTIF(INTERNES!$G$7:$G$50,'IB TRANSPORT'!G14))+(COUNTIF('EN PANNE'!$G$7:$G$50,'IB TRANSPORT'!G14))+(COUNTIF(TJM!$G$7:$G$50,'IB TRANSPORT'!G14))-I14</f>
        <v>0</v>
      </c>
      <c r="I14" s="23">
        <f>(COUNTIF('2S EXPRESS'!$A$7:$A$50,'IB TRANSPORT'!G14))+(COUNTIF('2 ZT'!$A$7:$A$50,'IB TRANSPORT'!G14))+(COUNTIF('GO TRANSPORT'!$A$7:$A$50,'IB TRANSPORT'!G14))+(COUNTIF('HMZ - KAIS'!$A$7:$A$50,'IB TRANSPORT'!G14))+(COUNTIF('IB TRANSPORT'!$A$7:$A$50,'IB TRANSPORT'!G14))+(COUNTIF(JSL!$A$7:$A$50,'IB TRANSPORT'!G14))+(COUNTIF(KIFAITOUT!$A$7:$A$50,'IB TRANSPORT'!G14))+(COUNTIF('LUXE DRIVE'!$A$7:$A$50,'IB TRANSPORT'!G14))+(COUNTIF(SSN!$A$7:$A$50,'IB TRANSPORT'!G14))+(COUNTIF('W3'!$A$7:$A$50,'IB TRANSPORT'!G14))+(COUNTIF('ATHIS MONS'!$A$7:$A$50,'IB TRANSPORT'!G14))+(COUNTIF('L HAY LES ROSES'!$A$7:$A$50,'IB TRANSPORT'!G14))+(COUNTIF(RUNGIS!$A$7:$A$50,'IB TRANSPORT'!G14))+(COUNTIF(SCEAUX!$A$7:$A$50,'IB TRANSPORT'!G14))+(COUNTIF('INSTANCE C1'!$A$7:$A$50,'IB TRANSPORT'!G14))+(COUNTIF('INSTANCE C2'!$A$7:$A$50,'IB TRANSPORT'!G14))+(COUNTIF(INTERNES!$A$7:$A$50,'IB TRANSPORT'!G14))+(COUNTIF('EN PANNE'!$A$7:$A$50,'IB TRANSPORT'!G14))+(COUNTIF(TJM!$A$7:$A$50,'IB TRANSPORT'!G14))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S14" s="60">
        <f t="shared" si="1"/>
        <v>0</v>
      </c>
      <c r="T14" s="67">
        <f t="shared" si="2"/>
        <v>0</v>
      </c>
    </row>
    <row r="15" spans="1:26" ht="24.95" customHeight="1" x14ac:dyDescent="0.2">
      <c r="A15" s="20"/>
      <c r="B15" s="23">
        <f>(COUNTIF('2S EXPRESS'!$A$7:$A$50,'IB TRANSPORT'!A15))+(COUNTIF('2 ZT'!$A$7:$A$50,'IB TRANSPORT'!A15))+(COUNTIF('GO TRANSPORT'!$A$7:$A$50,'IB TRANSPORT'!A15))+(COUNTIF('HMZ - KAIS'!$A$7:$A$50,'IB TRANSPORT'!A15))+(COUNTIF('IB TRANSPORT'!$A$7:$A$50,'IB TRANSPORT'!A15))+(COUNTIF(JSL!$A$7:$A$50,'IB TRANSPORT'!A15))+(COUNTIF(KIFAITOUT!$A$7:$A$50,'IB TRANSPORT'!A15))+(COUNTIF('LUXE DRIVE'!$A$7:$A$50,'IB TRANSPORT'!A15))+(COUNTIF(SSN!$A$7:$A$50,'IB TRANSPORT'!A15))+(COUNTIF('W3'!$A$7:$A$50,'IB TRANSPORT'!A15))+(COUNTIF('ATHIS MONS'!$A$7:$A$50,'IB TRANSPORT'!A15))+(COUNTIF('L HAY LES ROSES'!$A$7:$A$50,'IB TRANSPORT'!A15))+(COUNTIF(RUNGIS!$A$7:$A$50,'IB TRANSPORT'!A15))+(COUNTIF(SCEAUX!$A$7:$A$50,'IB TRANSPORT'!A15))+(COUNTIF('INSTANCE C1'!$A$7:$A$50,'IB TRANSPORT'!A15))+(COUNTIF('INSTANCE C2'!$A$7:$A$50,'IB TRANSPORT'!A15))+(COUNTIF(INTERNES!$A$7:$A$50,'IB TRANSPORT'!A15))+(COUNTIF('EN PANNE'!$A$7:$A$50,'IB TRANSPORT'!A15))+(COUNTIF(TJM!$A$7:$A$50,'IB TRANSPORT'!A15))-C15</f>
        <v>0</v>
      </c>
      <c r="C15" s="23">
        <f>(COUNTIF('2S EXPRESS'!$G$7:$G$50,'IB TRANSPORT'!A15))+(COUNTIF('2 ZT'!$G$7:$G$50,'IB TRANSPORT'!A15))+(COUNTIF('GO TRANSPORT'!$G$7:$G$50,'IB TRANSPORT'!A15))+(COUNTIF('IB TRANSPORT'!$G$7:$G$50,'IB TRANSPORT'!A15))+(COUNTIF('EN PANNE'!$G$7:$G$50,'IB TRANSPORT'!A15))+(COUNTIF(JSL!$G$7:$G$50,'IB TRANSPORT'!A15))+(COUNTIF(KIFAITOUT!$G$7:$G$50,'IB TRANSPORT'!A15))+(COUNTIF('LUXE DRIVE'!$G$7:$G$50,'IB TRANSPORT'!A15))+(COUNTIF(SSN!$G$7:$G$50,'IB TRANSPORT'!A15))+(COUNTIF('W3'!$G$7:$G$50,'IB TRANSPORT'!A15))+(COUNTIF('ATHIS MONS'!$G$7:$G$50,'IB TRANSPORT'!A15))+(COUNTIF('L HAY LES ROSES'!$G$7:$G$50,'IB TRANSPORT'!A15))+(COUNTIF(RUNGIS!$G$7:$G$50,'IB TRANSPORT'!A15))+(COUNTIF(SCEAUX!$G$7:$G$50,'IB TRANSPORT'!A15))+(COUNTIF('INSTANCE C1'!$G$7:$G$50,'IB TRANSPORT'!A15))+(COUNTIF('INSTANCE C2'!$G$7:$G$50,'IB TRANSPORT'!A15))+(COUNTIF(INTERNES!$G$7:$G$50,'IB TRANSPORT'!A15))+(COUNTIF('EN PANNE'!$G$7:$G$50,'IB TRANSPORT'!A15))+(COUNTIF(TJM!$G$7:$G$50,'IB TRANSPORT'!A15))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EXPRESS'!$G$7:$G$50,'IB TRANSPORT'!G15))+(COUNTIF('2 ZT'!$G$7:$G$50,'IB TRANSPORT'!G15))+(COUNTIF('GO TRANSPORT'!$G$7:$G$50,'IB TRANSPORT'!G15))+(COUNTIF('HMZ - KAIS'!$G$7:$G$50,'IB TRANSPORT'!G15))+(COUNTIF('IB TRANSPORT'!$G$7:$G$50,'IB TRANSPORT'!G15))+(COUNTIF(JSL!$G$7:$G$50,'IB TRANSPORT'!G15))+(COUNTIF(KIFAITOUT!$G$7:$G$50,'IB TRANSPORT'!G15))+(COUNTIF('LUXE DRIVE'!$G$7:$G$50,'IB TRANSPORT'!G15))+(COUNTIF(SSN!$G$7:$G$50,'IB TRANSPORT'!G15))+(COUNTIF('W3'!$G$7:$G$50,'IB TRANSPORT'!G15))+(COUNTIF('ATHIS MONS'!$G$7:$G$50,'IB TRANSPORT'!G15))+(COUNTIF('L HAY LES ROSES'!$G$7:$G$50,'IB TRANSPORT'!G15))+(COUNTIF(RUNGIS!$G$7:$G$50,'IB TRANSPORT'!G15))+(COUNTIF(SCEAUX!$G$7:$G$50,'IB TRANSPORT'!G15))+(COUNTIF('INSTANCE C1'!$G$7:$G$50,'IB TRANSPORT'!G15))+(COUNTIF('INSTANCE C2'!$G$7:$G$50,'IB TRANSPORT'!G15))+(COUNTIF(INTERNES!$G$7:$G$50,'IB TRANSPORT'!G15))+(COUNTIF('EN PANNE'!$G$7:$G$50,'IB TRANSPORT'!G15))+(COUNTIF(TJM!$G$7:$G$50,'IB TRANSPORT'!G15))-I15</f>
        <v>0</v>
      </c>
      <c r="I15" s="23">
        <f>(COUNTIF('2S EXPRESS'!$A$7:$A$50,'IB TRANSPORT'!G15))+(COUNTIF('2 ZT'!$A$7:$A$50,'IB TRANSPORT'!G15))+(COUNTIF('GO TRANSPORT'!$A$7:$A$50,'IB TRANSPORT'!G15))+(COUNTIF('HMZ - KAIS'!$A$7:$A$50,'IB TRANSPORT'!G15))+(COUNTIF('IB TRANSPORT'!$A$7:$A$50,'IB TRANSPORT'!G15))+(COUNTIF(JSL!$A$7:$A$50,'IB TRANSPORT'!G15))+(COUNTIF(KIFAITOUT!$A$7:$A$50,'IB TRANSPORT'!G15))+(COUNTIF('LUXE DRIVE'!$A$7:$A$50,'IB TRANSPORT'!G15))+(COUNTIF(SSN!$A$7:$A$50,'IB TRANSPORT'!G15))+(COUNTIF('W3'!$A$7:$A$50,'IB TRANSPORT'!G15))+(COUNTIF('ATHIS MONS'!$A$7:$A$50,'IB TRANSPORT'!G15))+(COUNTIF('L HAY LES ROSES'!$A$7:$A$50,'IB TRANSPORT'!G15))+(COUNTIF(RUNGIS!$A$7:$A$50,'IB TRANSPORT'!G15))+(COUNTIF(SCEAUX!$A$7:$A$50,'IB TRANSPORT'!G15))+(COUNTIF('INSTANCE C1'!$A$7:$A$50,'IB TRANSPORT'!G15))+(COUNTIF('INSTANCE C2'!$A$7:$A$50,'IB TRANSPORT'!G15))+(COUNTIF(INTERNES!$A$7:$A$50,'IB TRANSPORT'!G15))+(COUNTIF('EN PANNE'!$A$7:$A$50,'IB TRANSPORT'!G15))+(COUNTIF(TJM!$A$7:$A$50,'IB TRANSPORT'!G15))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S15" s="60">
        <f t="shared" si="1"/>
        <v>0</v>
      </c>
      <c r="T15" s="67">
        <f t="shared" si="2"/>
        <v>0</v>
      </c>
    </row>
    <row r="16" spans="1:26" ht="24.95" customHeight="1" x14ac:dyDescent="0.2">
      <c r="A16" s="20"/>
      <c r="B16" s="23">
        <f>(COUNTIF('2S EXPRESS'!$A$7:$A$50,'IB TRANSPORT'!A16))+(COUNTIF('2 ZT'!$A$7:$A$50,'IB TRANSPORT'!A16))+(COUNTIF('GO TRANSPORT'!$A$7:$A$50,'IB TRANSPORT'!A16))+(COUNTIF('HMZ - KAIS'!$A$7:$A$50,'IB TRANSPORT'!A16))+(COUNTIF('IB TRANSPORT'!$A$7:$A$50,'IB TRANSPORT'!A16))+(COUNTIF(JSL!$A$7:$A$50,'IB TRANSPORT'!A16))+(COUNTIF(KIFAITOUT!$A$7:$A$50,'IB TRANSPORT'!A16))+(COUNTIF('LUXE DRIVE'!$A$7:$A$50,'IB TRANSPORT'!A16))+(COUNTIF(SSN!$A$7:$A$50,'IB TRANSPORT'!A16))+(COUNTIF('W3'!$A$7:$A$50,'IB TRANSPORT'!A16))+(COUNTIF('ATHIS MONS'!$A$7:$A$50,'IB TRANSPORT'!A16))+(COUNTIF('L HAY LES ROSES'!$A$7:$A$50,'IB TRANSPORT'!A16))+(COUNTIF(RUNGIS!$A$7:$A$50,'IB TRANSPORT'!A16))+(COUNTIF(SCEAUX!$A$7:$A$50,'IB TRANSPORT'!A16))+(COUNTIF('INSTANCE C1'!$A$7:$A$50,'IB TRANSPORT'!A16))+(COUNTIF('INSTANCE C2'!$A$7:$A$50,'IB TRANSPORT'!A16))+(COUNTIF(INTERNES!$A$7:$A$50,'IB TRANSPORT'!A16))+(COUNTIF('EN PANNE'!$A$7:$A$50,'IB TRANSPORT'!A16))+(COUNTIF(TJM!$A$7:$A$50,'IB TRANSPORT'!A16))-C16</f>
        <v>0</v>
      </c>
      <c r="C16" s="23">
        <f>(COUNTIF('2S EXPRESS'!$G$7:$G$50,'IB TRANSPORT'!A16))+(COUNTIF('2 ZT'!$G$7:$G$50,'IB TRANSPORT'!A16))+(COUNTIF('GO TRANSPORT'!$G$7:$G$50,'IB TRANSPORT'!A16))+(COUNTIF('IB TRANSPORT'!$G$7:$G$50,'IB TRANSPORT'!A16))+(COUNTIF('EN PANNE'!$G$7:$G$50,'IB TRANSPORT'!A16))+(COUNTIF(JSL!$G$7:$G$50,'IB TRANSPORT'!A16))+(COUNTIF(KIFAITOUT!$G$7:$G$50,'IB TRANSPORT'!A16))+(COUNTIF('LUXE DRIVE'!$G$7:$G$50,'IB TRANSPORT'!A16))+(COUNTIF(SSN!$G$7:$G$50,'IB TRANSPORT'!A16))+(COUNTIF('W3'!$G$7:$G$50,'IB TRANSPORT'!A16))+(COUNTIF('ATHIS MONS'!$G$7:$G$50,'IB TRANSPORT'!A16))+(COUNTIF('L HAY LES ROSES'!$G$7:$G$50,'IB TRANSPORT'!A16))+(COUNTIF(RUNGIS!$G$7:$G$50,'IB TRANSPORT'!A16))+(COUNTIF(SCEAUX!$G$7:$G$50,'IB TRANSPORT'!A16))+(COUNTIF('INSTANCE C1'!$G$7:$G$50,'IB TRANSPORT'!A16))+(COUNTIF('INSTANCE C2'!$G$7:$G$50,'IB TRANSPORT'!A16))+(COUNTIF(INTERNES!$G$7:$G$50,'IB TRANSPORT'!A16))+(COUNTIF('EN PANNE'!$G$7:$G$50,'IB TRANSPORT'!A16))+(COUNTIF(TJM!$G$7:$G$50,'IB TRANSPORT'!A16))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EXPRESS'!$G$7:$G$50,'IB TRANSPORT'!G16))+(COUNTIF('2 ZT'!$G$7:$G$50,'IB TRANSPORT'!G16))+(COUNTIF('GO TRANSPORT'!$G$7:$G$50,'IB TRANSPORT'!G16))+(COUNTIF('HMZ - KAIS'!$G$7:$G$50,'IB TRANSPORT'!G16))+(COUNTIF('IB TRANSPORT'!$G$7:$G$50,'IB TRANSPORT'!G16))+(COUNTIF(JSL!$G$7:$G$50,'IB TRANSPORT'!G16))+(COUNTIF(KIFAITOUT!$G$7:$G$50,'IB TRANSPORT'!G16))+(COUNTIF('LUXE DRIVE'!$G$7:$G$50,'IB TRANSPORT'!G16))+(COUNTIF(SSN!$G$7:$G$50,'IB TRANSPORT'!G16))+(COUNTIF('W3'!$G$7:$G$50,'IB TRANSPORT'!G16))+(COUNTIF('ATHIS MONS'!$G$7:$G$50,'IB TRANSPORT'!G16))+(COUNTIF('L HAY LES ROSES'!$G$7:$G$50,'IB TRANSPORT'!G16))+(COUNTIF(RUNGIS!$G$7:$G$50,'IB TRANSPORT'!G16))+(COUNTIF(SCEAUX!$G$7:$G$50,'IB TRANSPORT'!G16))+(COUNTIF('INSTANCE C1'!$G$7:$G$50,'IB TRANSPORT'!G16))+(COUNTIF('INSTANCE C2'!$G$7:$G$50,'IB TRANSPORT'!G16))+(COUNTIF(INTERNES!$G$7:$G$50,'IB TRANSPORT'!G16))+(COUNTIF('EN PANNE'!$G$7:$G$50,'IB TRANSPORT'!G16))+(COUNTIF(TJM!$G$7:$G$50,'IB TRANSPORT'!G16))-I16</f>
        <v>0</v>
      </c>
      <c r="I16" s="23">
        <f>(COUNTIF('2S EXPRESS'!$A$7:$A$50,'IB TRANSPORT'!G16))+(COUNTIF('2 ZT'!$A$7:$A$50,'IB TRANSPORT'!G16))+(COUNTIF('GO TRANSPORT'!$A$7:$A$50,'IB TRANSPORT'!G16))+(COUNTIF('HMZ - KAIS'!$A$7:$A$50,'IB TRANSPORT'!G16))+(COUNTIF('IB TRANSPORT'!$A$7:$A$50,'IB TRANSPORT'!G16))+(COUNTIF(JSL!$A$7:$A$50,'IB TRANSPORT'!G16))+(COUNTIF(KIFAITOUT!$A$7:$A$50,'IB TRANSPORT'!G16))+(COUNTIF('LUXE DRIVE'!$A$7:$A$50,'IB TRANSPORT'!G16))+(COUNTIF(SSN!$A$7:$A$50,'IB TRANSPORT'!G16))+(COUNTIF('W3'!$A$7:$A$50,'IB TRANSPORT'!G16))+(COUNTIF('ATHIS MONS'!$A$7:$A$50,'IB TRANSPORT'!G16))+(COUNTIF('L HAY LES ROSES'!$A$7:$A$50,'IB TRANSPORT'!G16))+(COUNTIF(RUNGIS!$A$7:$A$50,'IB TRANSPORT'!G16))+(COUNTIF(SCEAUX!$A$7:$A$50,'IB TRANSPORT'!G16))+(COUNTIF('INSTANCE C1'!$A$7:$A$50,'IB TRANSPORT'!G16))+(COUNTIF('INSTANCE C2'!$A$7:$A$50,'IB TRANSPORT'!G16))+(COUNTIF(INTERNES!$A$7:$A$50,'IB TRANSPORT'!G16))+(COUNTIF('EN PANNE'!$A$7:$A$50,'IB TRANSPORT'!G16))+(COUNTIF(TJM!$A$7:$A$50,'IB TRANSPORT'!G16))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S16" s="60">
        <f t="shared" si="1"/>
        <v>0</v>
      </c>
      <c r="T16" s="67">
        <f t="shared" si="2"/>
        <v>0</v>
      </c>
    </row>
    <row r="17" spans="1:20" ht="24.95" customHeight="1" x14ac:dyDescent="0.2">
      <c r="A17" s="20"/>
      <c r="B17" s="23">
        <f>(COUNTIF('2S EXPRESS'!$A$7:$A$50,'IB TRANSPORT'!A17))+(COUNTIF('2 ZT'!$A$7:$A$50,'IB TRANSPORT'!A17))+(COUNTIF('GO TRANSPORT'!$A$7:$A$50,'IB TRANSPORT'!A17))+(COUNTIF('HMZ - KAIS'!$A$7:$A$50,'IB TRANSPORT'!A17))+(COUNTIF('IB TRANSPORT'!$A$7:$A$50,'IB TRANSPORT'!A17))+(COUNTIF(JSL!$A$7:$A$50,'IB TRANSPORT'!A17))+(COUNTIF(KIFAITOUT!$A$7:$A$50,'IB TRANSPORT'!A17))+(COUNTIF('LUXE DRIVE'!$A$7:$A$50,'IB TRANSPORT'!A17))+(COUNTIF(SSN!$A$7:$A$50,'IB TRANSPORT'!A17))+(COUNTIF('W3'!$A$7:$A$50,'IB TRANSPORT'!A17))+(COUNTIF('ATHIS MONS'!$A$7:$A$50,'IB TRANSPORT'!A17))+(COUNTIF('L HAY LES ROSES'!$A$7:$A$50,'IB TRANSPORT'!A17))+(COUNTIF(RUNGIS!$A$7:$A$50,'IB TRANSPORT'!A17))+(COUNTIF(SCEAUX!$A$7:$A$50,'IB TRANSPORT'!A17))+(COUNTIF('INSTANCE C1'!$A$7:$A$50,'IB TRANSPORT'!A17))+(COUNTIF('INSTANCE C2'!$A$7:$A$50,'IB TRANSPORT'!A17))+(COUNTIF(INTERNES!$A$7:$A$50,'IB TRANSPORT'!A17))+(COUNTIF('EN PANNE'!$A$7:$A$50,'IB TRANSPORT'!A17))+(COUNTIF(TJM!$A$7:$A$50,'IB TRANSPORT'!A17))-C17</f>
        <v>0</v>
      </c>
      <c r="C17" s="23">
        <f>(COUNTIF('2S EXPRESS'!$G$7:$G$50,'IB TRANSPORT'!A17))+(COUNTIF('2 ZT'!$G$7:$G$50,'IB TRANSPORT'!A17))+(COUNTIF('GO TRANSPORT'!$G$7:$G$50,'IB TRANSPORT'!A17))+(COUNTIF('IB TRANSPORT'!$G$7:$G$50,'IB TRANSPORT'!A17))+(COUNTIF('EN PANNE'!$G$7:$G$50,'IB TRANSPORT'!A17))+(COUNTIF(JSL!$G$7:$G$50,'IB TRANSPORT'!A17))+(COUNTIF(KIFAITOUT!$G$7:$G$50,'IB TRANSPORT'!A17))+(COUNTIF('LUXE DRIVE'!$G$7:$G$50,'IB TRANSPORT'!A17))+(COUNTIF(SSN!$G$7:$G$50,'IB TRANSPORT'!A17))+(COUNTIF('W3'!$G$7:$G$50,'IB TRANSPORT'!A17))+(COUNTIF('ATHIS MONS'!$G$7:$G$50,'IB TRANSPORT'!A17))+(COUNTIF('L HAY LES ROSES'!$G$7:$G$50,'IB TRANSPORT'!A17))+(COUNTIF(RUNGIS!$G$7:$G$50,'IB TRANSPORT'!A17))+(COUNTIF(SCEAUX!$G$7:$G$50,'IB TRANSPORT'!A17))+(COUNTIF('INSTANCE C1'!$G$7:$G$50,'IB TRANSPORT'!A17))+(COUNTIF('INSTANCE C2'!$G$7:$G$50,'IB TRANSPORT'!A17))+(COUNTIF(INTERNES!$G$7:$G$50,'IB TRANSPORT'!A17))+(COUNTIF('EN PANNE'!$G$7:$G$50,'IB TRANSPORT'!A17))+(COUNTIF(TJM!$G$7:$G$50,'IB TRANSPORT'!A17))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EXPRESS'!$G$7:$G$50,'IB TRANSPORT'!G17))+(COUNTIF('2 ZT'!$G$7:$G$50,'IB TRANSPORT'!G17))+(COUNTIF('GO TRANSPORT'!$G$7:$G$50,'IB TRANSPORT'!G17))+(COUNTIF('HMZ - KAIS'!$G$7:$G$50,'IB TRANSPORT'!G17))+(COUNTIF('IB TRANSPORT'!$G$7:$G$50,'IB TRANSPORT'!G17))+(COUNTIF(JSL!$G$7:$G$50,'IB TRANSPORT'!G17))+(COUNTIF(KIFAITOUT!$G$7:$G$50,'IB TRANSPORT'!G17))+(COUNTIF('LUXE DRIVE'!$G$7:$G$50,'IB TRANSPORT'!G17))+(COUNTIF(SSN!$G$7:$G$50,'IB TRANSPORT'!G17))+(COUNTIF('W3'!$G$7:$G$50,'IB TRANSPORT'!G17))+(COUNTIF('ATHIS MONS'!$G$7:$G$50,'IB TRANSPORT'!G17))+(COUNTIF('L HAY LES ROSES'!$G$7:$G$50,'IB TRANSPORT'!G17))+(COUNTIF(RUNGIS!$G$7:$G$50,'IB TRANSPORT'!G17))+(COUNTIF(SCEAUX!$G$7:$G$50,'IB TRANSPORT'!G17))+(COUNTIF('INSTANCE C1'!$G$7:$G$50,'IB TRANSPORT'!G17))+(COUNTIF('INSTANCE C2'!$G$7:$G$50,'IB TRANSPORT'!G17))+(COUNTIF(INTERNES!$G$7:$G$50,'IB TRANSPORT'!G17))+(COUNTIF('EN PANNE'!$G$7:$G$50,'IB TRANSPORT'!G17))+(COUNTIF(TJM!$G$7:$G$50,'IB TRANSPORT'!G17))-I17</f>
        <v>0</v>
      </c>
      <c r="I17" s="23">
        <f>(COUNTIF('2S EXPRESS'!$A$7:$A$50,'IB TRANSPORT'!G17))+(COUNTIF('2 ZT'!$A$7:$A$50,'IB TRANSPORT'!G17))+(COUNTIF('GO TRANSPORT'!$A$7:$A$50,'IB TRANSPORT'!G17))+(COUNTIF('HMZ - KAIS'!$A$7:$A$50,'IB TRANSPORT'!G17))+(COUNTIF('IB TRANSPORT'!$A$7:$A$50,'IB TRANSPORT'!G17))+(COUNTIF(JSL!$A$7:$A$50,'IB TRANSPORT'!G17))+(COUNTIF(KIFAITOUT!$A$7:$A$50,'IB TRANSPORT'!G17))+(COUNTIF('LUXE DRIVE'!$A$7:$A$50,'IB TRANSPORT'!G17))+(COUNTIF(SSN!$A$7:$A$50,'IB TRANSPORT'!G17))+(COUNTIF('W3'!$A$7:$A$50,'IB TRANSPORT'!G17))+(COUNTIF('ATHIS MONS'!$A$7:$A$50,'IB TRANSPORT'!G17))+(COUNTIF('L HAY LES ROSES'!$A$7:$A$50,'IB TRANSPORT'!G17))+(COUNTIF(RUNGIS!$A$7:$A$50,'IB TRANSPORT'!G17))+(COUNTIF(SCEAUX!$A$7:$A$50,'IB TRANSPORT'!G17))+(COUNTIF('INSTANCE C1'!$A$7:$A$50,'IB TRANSPORT'!G17))+(COUNTIF('INSTANCE C2'!$A$7:$A$50,'IB TRANSPORT'!G17))+(COUNTIF(INTERNES!$A$7:$A$50,'IB TRANSPORT'!G17))+(COUNTIF('EN PANNE'!$A$7:$A$50,'IB TRANSPORT'!G17))+(COUNTIF(TJM!$A$7:$A$50,'IB TRANSPORT'!G17))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S17" s="60">
        <f t="shared" si="1"/>
        <v>0</v>
      </c>
      <c r="T17" s="67">
        <f t="shared" si="2"/>
        <v>0</v>
      </c>
    </row>
    <row r="18" spans="1:20" ht="24.95" customHeight="1" x14ac:dyDescent="0.2">
      <c r="A18" s="20"/>
      <c r="B18" s="23">
        <f>(COUNTIF('2S EXPRESS'!$A$7:$A$50,'IB TRANSPORT'!A18))+(COUNTIF('2 ZT'!$A$7:$A$50,'IB TRANSPORT'!A18))+(COUNTIF('GO TRANSPORT'!$A$7:$A$50,'IB TRANSPORT'!A18))+(COUNTIF('HMZ - KAIS'!$A$7:$A$50,'IB TRANSPORT'!A18))+(COUNTIF('IB TRANSPORT'!$A$7:$A$50,'IB TRANSPORT'!A18))+(COUNTIF(JSL!$A$7:$A$50,'IB TRANSPORT'!A18))+(COUNTIF(KIFAITOUT!$A$7:$A$50,'IB TRANSPORT'!A18))+(COUNTIF('LUXE DRIVE'!$A$7:$A$50,'IB TRANSPORT'!A18))+(COUNTIF(SSN!$A$7:$A$50,'IB TRANSPORT'!A18))+(COUNTIF('W3'!$A$7:$A$50,'IB TRANSPORT'!A18))+(COUNTIF('ATHIS MONS'!$A$7:$A$50,'IB TRANSPORT'!A18))+(COUNTIF('L HAY LES ROSES'!$A$7:$A$50,'IB TRANSPORT'!A18))+(COUNTIF(RUNGIS!$A$7:$A$50,'IB TRANSPORT'!A18))+(COUNTIF(SCEAUX!$A$7:$A$50,'IB TRANSPORT'!A18))+(COUNTIF('INSTANCE C1'!$A$7:$A$50,'IB TRANSPORT'!A18))+(COUNTIF('INSTANCE C2'!$A$7:$A$50,'IB TRANSPORT'!A18))+(COUNTIF(INTERNES!$A$7:$A$50,'IB TRANSPORT'!A18))+(COUNTIF('EN PANNE'!$A$7:$A$50,'IB TRANSPORT'!A18))+(COUNTIF(TJM!$A$7:$A$50,'IB TRANSPORT'!A18))-C18</f>
        <v>0</v>
      </c>
      <c r="C18" s="23">
        <f>(COUNTIF('2S EXPRESS'!$G$7:$G$50,'IB TRANSPORT'!A18))+(COUNTIF('2 ZT'!$G$7:$G$50,'IB TRANSPORT'!A18))+(COUNTIF('GO TRANSPORT'!$G$7:$G$50,'IB TRANSPORT'!A18))+(COUNTIF('IB TRANSPORT'!$G$7:$G$50,'IB TRANSPORT'!A18))+(COUNTIF('EN PANNE'!$G$7:$G$50,'IB TRANSPORT'!A18))+(COUNTIF(JSL!$G$7:$G$50,'IB TRANSPORT'!A18))+(COUNTIF(KIFAITOUT!$G$7:$G$50,'IB TRANSPORT'!A18))+(COUNTIF('LUXE DRIVE'!$G$7:$G$50,'IB TRANSPORT'!A18))+(COUNTIF(SSN!$G$7:$G$50,'IB TRANSPORT'!A18))+(COUNTIF('W3'!$G$7:$G$50,'IB TRANSPORT'!A18))+(COUNTIF('ATHIS MONS'!$G$7:$G$50,'IB TRANSPORT'!A18))+(COUNTIF('L HAY LES ROSES'!$G$7:$G$50,'IB TRANSPORT'!A18))+(COUNTIF(RUNGIS!$G$7:$G$50,'IB TRANSPORT'!A18))+(COUNTIF(SCEAUX!$G$7:$G$50,'IB TRANSPORT'!A18))+(COUNTIF('INSTANCE C1'!$G$7:$G$50,'IB TRANSPORT'!A18))+(COUNTIF('INSTANCE C2'!$G$7:$G$50,'IB TRANSPORT'!A18))+(COUNTIF(INTERNES!$G$7:$G$50,'IB TRANSPORT'!A18))+(COUNTIF('EN PANNE'!$G$7:$G$50,'IB TRANSPORT'!A18))+(COUNTIF(TJM!$G$7:$G$50,'IB TRANSPORT'!A18))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EXPRESS'!$G$7:$G$50,'IB TRANSPORT'!G18))+(COUNTIF('2 ZT'!$G$7:$G$50,'IB TRANSPORT'!G18))+(COUNTIF('GO TRANSPORT'!$G$7:$G$50,'IB TRANSPORT'!G18))+(COUNTIF('HMZ - KAIS'!$G$7:$G$50,'IB TRANSPORT'!G18))+(COUNTIF('IB TRANSPORT'!$G$7:$G$50,'IB TRANSPORT'!G18))+(COUNTIF(JSL!$G$7:$G$50,'IB TRANSPORT'!G18))+(COUNTIF(KIFAITOUT!$G$7:$G$50,'IB TRANSPORT'!G18))+(COUNTIF('LUXE DRIVE'!$G$7:$G$50,'IB TRANSPORT'!G18))+(COUNTIF(SSN!$G$7:$G$50,'IB TRANSPORT'!G18))+(COUNTIF('W3'!$G$7:$G$50,'IB TRANSPORT'!G18))+(COUNTIF('ATHIS MONS'!$G$7:$G$50,'IB TRANSPORT'!G18))+(COUNTIF('L HAY LES ROSES'!$G$7:$G$50,'IB TRANSPORT'!G18))+(COUNTIF(RUNGIS!$G$7:$G$50,'IB TRANSPORT'!G18))+(COUNTIF(SCEAUX!$G$7:$G$50,'IB TRANSPORT'!G18))+(COUNTIF('INSTANCE C1'!$G$7:$G$50,'IB TRANSPORT'!G18))+(COUNTIF('INSTANCE C2'!$G$7:$G$50,'IB TRANSPORT'!G18))+(COUNTIF(INTERNES!$G$7:$G$50,'IB TRANSPORT'!G18))+(COUNTIF('EN PANNE'!$G$7:$G$50,'IB TRANSPORT'!G18))+(COUNTIF(TJM!$G$7:$G$50,'IB TRANSPORT'!G18))-I18</f>
        <v>0</v>
      </c>
      <c r="I18" s="23">
        <f>(COUNTIF('2S EXPRESS'!$A$7:$A$50,'IB TRANSPORT'!G18))+(COUNTIF('2 ZT'!$A$7:$A$50,'IB TRANSPORT'!G18))+(COUNTIF('GO TRANSPORT'!$A$7:$A$50,'IB TRANSPORT'!G18))+(COUNTIF('HMZ - KAIS'!$A$7:$A$50,'IB TRANSPORT'!G18))+(COUNTIF('IB TRANSPORT'!$A$7:$A$50,'IB TRANSPORT'!G18))+(COUNTIF(JSL!$A$7:$A$50,'IB TRANSPORT'!G18))+(COUNTIF(KIFAITOUT!$A$7:$A$50,'IB TRANSPORT'!G18))+(COUNTIF('LUXE DRIVE'!$A$7:$A$50,'IB TRANSPORT'!G18))+(COUNTIF(SSN!$A$7:$A$50,'IB TRANSPORT'!G18))+(COUNTIF('W3'!$A$7:$A$50,'IB TRANSPORT'!G18))+(COUNTIF('ATHIS MONS'!$A$7:$A$50,'IB TRANSPORT'!G18))+(COUNTIF('L HAY LES ROSES'!$A$7:$A$50,'IB TRANSPORT'!G18))+(COUNTIF(RUNGIS!$A$7:$A$50,'IB TRANSPORT'!G18))+(COUNTIF(SCEAUX!$A$7:$A$50,'IB TRANSPORT'!G18))+(COUNTIF('INSTANCE C1'!$A$7:$A$50,'IB TRANSPORT'!G18))+(COUNTIF('INSTANCE C2'!$A$7:$A$50,'IB TRANSPORT'!G18))+(COUNTIF(INTERNES!$A$7:$A$50,'IB TRANSPORT'!G18))+(COUNTIF('EN PANNE'!$A$7:$A$50,'IB TRANSPORT'!G18))+(COUNTIF(TJM!$A$7:$A$50,'IB TRANSPORT'!G18))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S18" s="60">
        <f t="shared" si="1"/>
        <v>0</v>
      </c>
      <c r="T18" s="67">
        <f t="shared" si="2"/>
        <v>0</v>
      </c>
    </row>
    <row r="19" spans="1:20" ht="24.95" customHeight="1" x14ac:dyDescent="0.2">
      <c r="A19" s="20"/>
      <c r="B19" s="23">
        <f>(COUNTIF('2S EXPRESS'!$A$7:$A$50,'IB TRANSPORT'!A19))+(COUNTIF('2 ZT'!$A$7:$A$50,'IB TRANSPORT'!A19))+(COUNTIF('GO TRANSPORT'!$A$7:$A$50,'IB TRANSPORT'!A19))+(COUNTIF('HMZ - KAIS'!$A$7:$A$50,'IB TRANSPORT'!A19))+(COUNTIF('IB TRANSPORT'!$A$7:$A$50,'IB TRANSPORT'!A19))+(COUNTIF(JSL!$A$7:$A$50,'IB TRANSPORT'!A19))+(COUNTIF(KIFAITOUT!$A$7:$A$50,'IB TRANSPORT'!A19))+(COUNTIF('LUXE DRIVE'!$A$7:$A$50,'IB TRANSPORT'!A19))+(COUNTIF(SSN!$A$7:$A$50,'IB TRANSPORT'!A19))+(COUNTIF('W3'!$A$7:$A$50,'IB TRANSPORT'!A19))+(COUNTIF('ATHIS MONS'!$A$7:$A$50,'IB TRANSPORT'!A19))+(COUNTIF('L HAY LES ROSES'!$A$7:$A$50,'IB TRANSPORT'!A19))+(COUNTIF(RUNGIS!$A$7:$A$50,'IB TRANSPORT'!A19))+(COUNTIF(SCEAUX!$A$7:$A$50,'IB TRANSPORT'!A19))+(COUNTIF('INSTANCE C1'!$A$7:$A$50,'IB TRANSPORT'!A19))+(COUNTIF('INSTANCE C2'!$A$7:$A$50,'IB TRANSPORT'!A19))+(COUNTIF(INTERNES!$A$7:$A$50,'IB TRANSPORT'!A19))+(COUNTIF('EN PANNE'!$A$7:$A$50,'IB TRANSPORT'!A19))+(COUNTIF(TJM!$A$7:$A$50,'IB TRANSPORT'!A19))-C19</f>
        <v>0</v>
      </c>
      <c r="C19" s="23">
        <f>(COUNTIF('2S EXPRESS'!$G$7:$G$50,'IB TRANSPORT'!A19))+(COUNTIF('2 ZT'!$G$7:$G$50,'IB TRANSPORT'!A19))+(COUNTIF('GO TRANSPORT'!$G$7:$G$50,'IB TRANSPORT'!A19))+(COUNTIF('IB TRANSPORT'!$G$7:$G$50,'IB TRANSPORT'!A19))+(COUNTIF('EN PANNE'!$G$7:$G$50,'IB TRANSPORT'!A19))+(COUNTIF(JSL!$G$7:$G$50,'IB TRANSPORT'!A19))+(COUNTIF(KIFAITOUT!$G$7:$G$50,'IB TRANSPORT'!A19))+(COUNTIF('LUXE DRIVE'!$G$7:$G$50,'IB TRANSPORT'!A19))+(COUNTIF(SSN!$G$7:$G$50,'IB TRANSPORT'!A19))+(COUNTIF('W3'!$G$7:$G$50,'IB TRANSPORT'!A19))+(COUNTIF('ATHIS MONS'!$G$7:$G$50,'IB TRANSPORT'!A19))+(COUNTIF('L HAY LES ROSES'!$G$7:$G$50,'IB TRANSPORT'!A19))+(COUNTIF(RUNGIS!$G$7:$G$50,'IB TRANSPORT'!A19))+(COUNTIF(SCEAUX!$G$7:$G$50,'IB TRANSPORT'!A19))+(COUNTIF('INSTANCE C1'!$G$7:$G$50,'IB TRANSPORT'!A19))+(COUNTIF('INSTANCE C2'!$G$7:$G$50,'IB TRANSPORT'!A19))+(COUNTIF(INTERNES!$G$7:$G$50,'IB TRANSPORT'!A19))+(COUNTIF('EN PANNE'!$G$7:$G$50,'IB TRANSPORT'!A19))+(COUNTIF(TJM!$G$7:$G$50,'IB TRANSPORT'!A19))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EXPRESS'!$G$7:$G$50,'IB TRANSPORT'!G19))+(COUNTIF('2 ZT'!$G$7:$G$50,'IB TRANSPORT'!G19))+(COUNTIF('GO TRANSPORT'!$G$7:$G$50,'IB TRANSPORT'!G19))+(COUNTIF('HMZ - KAIS'!$G$7:$G$50,'IB TRANSPORT'!G19))+(COUNTIF('IB TRANSPORT'!$G$7:$G$50,'IB TRANSPORT'!G19))+(COUNTIF(JSL!$G$7:$G$50,'IB TRANSPORT'!G19))+(COUNTIF(KIFAITOUT!$G$7:$G$50,'IB TRANSPORT'!G19))+(COUNTIF('LUXE DRIVE'!$G$7:$G$50,'IB TRANSPORT'!G19))+(COUNTIF(SSN!$G$7:$G$50,'IB TRANSPORT'!G19))+(COUNTIF('W3'!$G$7:$G$50,'IB TRANSPORT'!G19))+(COUNTIF('ATHIS MONS'!$G$7:$G$50,'IB TRANSPORT'!G19))+(COUNTIF('L HAY LES ROSES'!$G$7:$G$50,'IB TRANSPORT'!G19))+(COUNTIF(RUNGIS!$G$7:$G$50,'IB TRANSPORT'!G19))+(COUNTIF(SCEAUX!$G$7:$G$50,'IB TRANSPORT'!G19))+(COUNTIF('INSTANCE C1'!$G$7:$G$50,'IB TRANSPORT'!G19))+(COUNTIF('INSTANCE C2'!$G$7:$G$50,'IB TRANSPORT'!G19))+(COUNTIF(INTERNES!$G$7:$G$50,'IB TRANSPORT'!G19))+(COUNTIF('EN PANNE'!$G$7:$G$50,'IB TRANSPORT'!G19))+(COUNTIF(TJM!$G$7:$G$50,'IB TRANSPORT'!G19))-I19</f>
        <v>0</v>
      </c>
      <c r="I19" s="23">
        <f>(COUNTIF('2S EXPRESS'!$A$7:$A$50,'IB TRANSPORT'!G19))+(COUNTIF('2 ZT'!$A$7:$A$50,'IB TRANSPORT'!G19))+(COUNTIF('GO TRANSPORT'!$A$7:$A$50,'IB TRANSPORT'!G19))+(COUNTIF('HMZ - KAIS'!$A$7:$A$50,'IB TRANSPORT'!G19))+(COUNTIF('IB TRANSPORT'!$A$7:$A$50,'IB TRANSPORT'!G19))+(COUNTIF(JSL!$A$7:$A$50,'IB TRANSPORT'!G19))+(COUNTIF(KIFAITOUT!$A$7:$A$50,'IB TRANSPORT'!G19))+(COUNTIF('LUXE DRIVE'!$A$7:$A$50,'IB TRANSPORT'!G19))+(COUNTIF(SSN!$A$7:$A$50,'IB TRANSPORT'!G19))+(COUNTIF('W3'!$A$7:$A$50,'IB TRANSPORT'!G19))+(COUNTIF('ATHIS MONS'!$A$7:$A$50,'IB TRANSPORT'!G19))+(COUNTIF('L HAY LES ROSES'!$A$7:$A$50,'IB TRANSPORT'!G19))+(COUNTIF(RUNGIS!$A$7:$A$50,'IB TRANSPORT'!G19))+(COUNTIF(SCEAUX!$A$7:$A$50,'IB TRANSPORT'!G19))+(COUNTIF('INSTANCE C1'!$A$7:$A$50,'IB TRANSPORT'!G19))+(COUNTIF('INSTANCE C2'!$A$7:$A$50,'IB TRANSPORT'!G19))+(COUNTIF(INTERNES!$A$7:$A$50,'IB TRANSPORT'!G19))+(COUNTIF('EN PANNE'!$A$7:$A$50,'IB TRANSPORT'!G19))+(COUNTIF(TJM!$A$7:$A$50,'IB TRANSPORT'!G19))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S19" s="60">
        <f t="shared" si="1"/>
        <v>0</v>
      </c>
      <c r="T19" s="67">
        <f t="shared" si="2"/>
        <v>0</v>
      </c>
    </row>
    <row r="20" spans="1:20" ht="24.95" customHeight="1" x14ac:dyDescent="0.2">
      <c r="A20" s="20"/>
      <c r="B20" s="23">
        <f>(COUNTIF('2S EXPRESS'!$A$7:$A$50,'IB TRANSPORT'!A20))+(COUNTIF('2 ZT'!$A$7:$A$50,'IB TRANSPORT'!A20))+(COUNTIF('GO TRANSPORT'!$A$7:$A$50,'IB TRANSPORT'!A20))+(COUNTIF('HMZ - KAIS'!$A$7:$A$50,'IB TRANSPORT'!A20))+(COUNTIF('IB TRANSPORT'!$A$7:$A$50,'IB TRANSPORT'!A20))+(COUNTIF(JSL!$A$7:$A$50,'IB TRANSPORT'!A20))+(COUNTIF(KIFAITOUT!$A$7:$A$50,'IB TRANSPORT'!A20))+(COUNTIF('LUXE DRIVE'!$A$7:$A$50,'IB TRANSPORT'!A20))+(COUNTIF(SSN!$A$7:$A$50,'IB TRANSPORT'!A20))+(COUNTIF('W3'!$A$7:$A$50,'IB TRANSPORT'!A20))+(COUNTIF('ATHIS MONS'!$A$7:$A$50,'IB TRANSPORT'!A20))+(COUNTIF('L HAY LES ROSES'!$A$7:$A$50,'IB TRANSPORT'!A20))+(COUNTIF(RUNGIS!$A$7:$A$50,'IB TRANSPORT'!A20))+(COUNTIF(SCEAUX!$A$7:$A$50,'IB TRANSPORT'!A20))+(COUNTIF('INSTANCE C1'!$A$7:$A$50,'IB TRANSPORT'!A20))+(COUNTIF('INSTANCE C2'!$A$7:$A$50,'IB TRANSPORT'!A20))+(COUNTIF(INTERNES!$A$7:$A$50,'IB TRANSPORT'!A20))+(COUNTIF('EN PANNE'!$A$7:$A$50,'IB TRANSPORT'!A20))+(COUNTIF(TJM!$A$7:$A$50,'IB TRANSPORT'!A20))-C20</f>
        <v>0</v>
      </c>
      <c r="C20" s="23">
        <f>(COUNTIF('2S EXPRESS'!$G$7:$G$50,'IB TRANSPORT'!A20))+(COUNTIF('2 ZT'!$G$7:$G$50,'IB TRANSPORT'!A20))+(COUNTIF('GO TRANSPORT'!$G$7:$G$50,'IB TRANSPORT'!A20))+(COUNTIF('IB TRANSPORT'!$G$7:$G$50,'IB TRANSPORT'!A20))+(COUNTIF('EN PANNE'!$G$7:$G$50,'IB TRANSPORT'!A20))+(COUNTIF(JSL!$G$7:$G$50,'IB TRANSPORT'!A20))+(COUNTIF(KIFAITOUT!$G$7:$G$50,'IB TRANSPORT'!A20))+(COUNTIF('LUXE DRIVE'!$G$7:$G$50,'IB TRANSPORT'!A20))+(COUNTIF(SSN!$G$7:$G$50,'IB TRANSPORT'!A20))+(COUNTIF('W3'!$G$7:$G$50,'IB TRANSPORT'!A20))+(COUNTIF('ATHIS MONS'!$G$7:$G$50,'IB TRANSPORT'!A20))+(COUNTIF('L HAY LES ROSES'!$G$7:$G$50,'IB TRANSPORT'!A20))+(COUNTIF(RUNGIS!$G$7:$G$50,'IB TRANSPORT'!A20))+(COUNTIF(SCEAUX!$G$7:$G$50,'IB TRANSPORT'!A20))+(COUNTIF('INSTANCE C1'!$G$7:$G$50,'IB TRANSPORT'!A20))+(COUNTIF('INSTANCE C2'!$G$7:$G$50,'IB TRANSPORT'!A20))+(COUNTIF(INTERNES!$G$7:$G$50,'IB TRANSPORT'!A20))+(COUNTIF('EN PANNE'!$G$7:$G$50,'IB TRANSPORT'!A20))+(COUNTIF(TJM!$G$7:$G$50,'IB TRANSPORT'!A20))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EXPRESS'!$G$7:$G$50,'IB TRANSPORT'!G20))+(COUNTIF('2 ZT'!$G$7:$G$50,'IB TRANSPORT'!G20))+(COUNTIF('GO TRANSPORT'!$G$7:$G$50,'IB TRANSPORT'!G20))+(COUNTIF('HMZ - KAIS'!$G$7:$G$50,'IB TRANSPORT'!G20))+(COUNTIF('IB TRANSPORT'!$G$7:$G$50,'IB TRANSPORT'!G20))+(COUNTIF(JSL!$G$7:$G$50,'IB TRANSPORT'!G20))+(COUNTIF(KIFAITOUT!$G$7:$G$50,'IB TRANSPORT'!G20))+(COUNTIF('LUXE DRIVE'!$G$7:$G$50,'IB TRANSPORT'!G20))+(COUNTIF(SSN!$G$7:$G$50,'IB TRANSPORT'!G20))+(COUNTIF('W3'!$G$7:$G$50,'IB TRANSPORT'!G20))+(COUNTIF('ATHIS MONS'!$G$7:$G$50,'IB TRANSPORT'!G20))+(COUNTIF('L HAY LES ROSES'!$G$7:$G$50,'IB TRANSPORT'!G20))+(COUNTIF(RUNGIS!$G$7:$G$50,'IB TRANSPORT'!G20))+(COUNTIF(SCEAUX!$G$7:$G$50,'IB TRANSPORT'!G20))+(COUNTIF('INSTANCE C1'!$G$7:$G$50,'IB TRANSPORT'!G20))+(COUNTIF('INSTANCE C2'!$G$7:$G$50,'IB TRANSPORT'!G20))+(COUNTIF(INTERNES!$G$7:$G$50,'IB TRANSPORT'!G20))+(COUNTIF('EN PANNE'!$G$7:$G$50,'IB TRANSPORT'!G20))+(COUNTIF(TJM!$G$7:$G$50,'IB TRANSPORT'!G20))-I20</f>
        <v>0</v>
      </c>
      <c r="I20" s="23">
        <f>(COUNTIF('2S EXPRESS'!$A$7:$A$50,'IB TRANSPORT'!G20))+(COUNTIF('2 ZT'!$A$7:$A$50,'IB TRANSPORT'!G20))+(COUNTIF('GO TRANSPORT'!$A$7:$A$50,'IB TRANSPORT'!G20))+(COUNTIF('HMZ - KAIS'!$A$7:$A$50,'IB TRANSPORT'!G20))+(COUNTIF('IB TRANSPORT'!$A$7:$A$50,'IB TRANSPORT'!G20))+(COUNTIF(JSL!$A$7:$A$50,'IB TRANSPORT'!G20))+(COUNTIF(KIFAITOUT!$A$7:$A$50,'IB TRANSPORT'!G20))+(COUNTIF('LUXE DRIVE'!$A$7:$A$50,'IB TRANSPORT'!G20))+(COUNTIF(SSN!$A$7:$A$50,'IB TRANSPORT'!G20))+(COUNTIF('W3'!$A$7:$A$50,'IB TRANSPORT'!G20))+(COUNTIF('ATHIS MONS'!$A$7:$A$50,'IB TRANSPORT'!G20))+(COUNTIF('L HAY LES ROSES'!$A$7:$A$50,'IB TRANSPORT'!G20))+(COUNTIF(RUNGIS!$A$7:$A$50,'IB TRANSPORT'!G20))+(COUNTIF(SCEAUX!$A$7:$A$50,'IB TRANSPORT'!G20))+(COUNTIF('INSTANCE C1'!$A$7:$A$50,'IB TRANSPORT'!G20))+(COUNTIF('INSTANCE C2'!$A$7:$A$50,'IB TRANSPORT'!G20))+(COUNTIF(INTERNES!$A$7:$A$50,'IB TRANSPORT'!G20))+(COUNTIF('EN PANNE'!$A$7:$A$50,'IB TRANSPORT'!G20))+(COUNTIF(TJM!$A$7:$A$50,'IB TRANSPORT'!G20))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S20" s="60">
        <f t="shared" si="1"/>
        <v>0</v>
      </c>
      <c r="T20" s="67">
        <f t="shared" si="2"/>
        <v>0</v>
      </c>
    </row>
    <row r="21" spans="1:20" ht="24.95" customHeight="1" x14ac:dyDescent="0.2">
      <c r="A21" s="20"/>
      <c r="B21" s="23">
        <f>(COUNTIF('2S EXPRESS'!$A$7:$A$50,'IB TRANSPORT'!A21))+(COUNTIF('2 ZT'!$A$7:$A$50,'IB TRANSPORT'!A21))+(COUNTIF('GO TRANSPORT'!$A$7:$A$50,'IB TRANSPORT'!A21))+(COUNTIF('HMZ - KAIS'!$A$7:$A$50,'IB TRANSPORT'!A21))+(COUNTIF('IB TRANSPORT'!$A$7:$A$50,'IB TRANSPORT'!A21))+(COUNTIF(JSL!$A$7:$A$50,'IB TRANSPORT'!A21))+(COUNTIF(KIFAITOUT!$A$7:$A$50,'IB TRANSPORT'!A21))+(COUNTIF('LUXE DRIVE'!$A$7:$A$50,'IB TRANSPORT'!A21))+(COUNTIF(SSN!$A$7:$A$50,'IB TRANSPORT'!A21))+(COUNTIF('W3'!$A$7:$A$50,'IB TRANSPORT'!A21))+(COUNTIF('ATHIS MONS'!$A$7:$A$50,'IB TRANSPORT'!A21))+(COUNTIF('L HAY LES ROSES'!$A$7:$A$50,'IB TRANSPORT'!A21))+(COUNTIF(RUNGIS!$A$7:$A$50,'IB TRANSPORT'!A21))+(COUNTIF(SCEAUX!$A$7:$A$50,'IB TRANSPORT'!A21))+(COUNTIF('INSTANCE C1'!$A$7:$A$50,'IB TRANSPORT'!A21))+(COUNTIF('INSTANCE C2'!$A$7:$A$50,'IB TRANSPORT'!A21))+(COUNTIF(INTERNES!$A$7:$A$50,'IB TRANSPORT'!A21))+(COUNTIF('EN PANNE'!$A$7:$A$50,'IB TRANSPORT'!A21))+(COUNTIF(TJM!$A$7:$A$50,'IB TRANSPORT'!A21))-C21</f>
        <v>0</v>
      </c>
      <c r="C21" s="23">
        <f>(COUNTIF('2S EXPRESS'!$G$7:$G$50,'IB TRANSPORT'!A21))+(COUNTIF('2 ZT'!$G$7:$G$50,'IB TRANSPORT'!A21))+(COUNTIF('GO TRANSPORT'!$G$7:$G$50,'IB TRANSPORT'!A21))+(COUNTIF('IB TRANSPORT'!$G$7:$G$50,'IB TRANSPORT'!A21))+(COUNTIF('EN PANNE'!$G$7:$G$50,'IB TRANSPORT'!A21))+(COUNTIF(JSL!$G$7:$G$50,'IB TRANSPORT'!A21))+(COUNTIF(KIFAITOUT!$G$7:$G$50,'IB TRANSPORT'!A21))+(COUNTIF('LUXE DRIVE'!$G$7:$G$50,'IB TRANSPORT'!A21))+(COUNTIF(SSN!$G$7:$G$50,'IB TRANSPORT'!A21))+(COUNTIF('W3'!$G$7:$G$50,'IB TRANSPORT'!A21))+(COUNTIF('ATHIS MONS'!$G$7:$G$50,'IB TRANSPORT'!A21))+(COUNTIF('L HAY LES ROSES'!$G$7:$G$50,'IB TRANSPORT'!A21))+(COUNTIF(RUNGIS!$G$7:$G$50,'IB TRANSPORT'!A21))+(COUNTIF(SCEAUX!$G$7:$G$50,'IB TRANSPORT'!A21))+(COUNTIF('INSTANCE C1'!$G$7:$G$50,'IB TRANSPORT'!A21))+(COUNTIF('INSTANCE C2'!$G$7:$G$50,'IB TRANSPORT'!A21))+(COUNTIF(INTERNES!$G$7:$G$50,'IB TRANSPORT'!A21))+(COUNTIF('EN PANNE'!$G$7:$G$50,'IB TRANSPORT'!A21))+(COUNTIF(TJM!$G$7:$G$50,'IB TRANSPORT'!A21))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EXPRESS'!$G$7:$G$50,'IB TRANSPORT'!G21))+(COUNTIF('2 ZT'!$G$7:$G$50,'IB TRANSPORT'!G21))+(COUNTIF('GO TRANSPORT'!$G$7:$G$50,'IB TRANSPORT'!G21))+(COUNTIF('HMZ - KAIS'!$G$7:$G$50,'IB TRANSPORT'!G21))+(COUNTIF('IB TRANSPORT'!$G$7:$G$50,'IB TRANSPORT'!G21))+(COUNTIF(JSL!$G$7:$G$50,'IB TRANSPORT'!G21))+(COUNTIF(KIFAITOUT!$G$7:$G$50,'IB TRANSPORT'!G21))+(COUNTIF('LUXE DRIVE'!$G$7:$G$50,'IB TRANSPORT'!G21))+(COUNTIF(SSN!$G$7:$G$50,'IB TRANSPORT'!G21))+(COUNTIF('W3'!$G$7:$G$50,'IB TRANSPORT'!G21))+(COUNTIF('ATHIS MONS'!$G$7:$G$50,'IB TRANSPORT'!G21))+(COUNTIF('L HAY LES ROSES'!$G$7:$G$50,'IB TRANSPORT'!G21))+(COUNTIF(RUNGIS!$G$7:$G$50,'IB TRANSPORT'!G21))+(COUNTIF(SCEAUX!$G$7:$G$50,'IB TRANSPORT'!G21))+(COUNTIF('INSTANCE C1'!$G$7:$G$50,'IB TRANSPORT'!G21))+(COUNTIF('INSTANCE C2'!$G$7:$G$50,'IB TRANSPORT'!G21))+(COUNTIF(INTERNES!$G$7:$G$50,'IB TRANSPORT'!G21))+(COUNTIF('EN PANNE'!$G$7:$G$50,'IB TRANSPORT'!G21))+(COUNTIF(TJM!$G$7:$G$50,'IB TRANSPORT'!G21))-I21</f>
        <v>0</v>
      </c>
      <c r="I21" s="23">
        <f>(COUNTIF('2S EXPRESS'!$A$7:$A$50,'IB TRANSPORT'!G21))+(COUNTIF('2 ZT'!$A$7:$A$50,'IB TRANSPORT'!G21))+(COUNTIF('GO TRANSPORT'!$A$7:$A$50,'IB TRANSPORT'!G21))+(COUNTIF('HMZ - KAIS'!$A$7:$A$50,'IB TRANSPORT'!G21))+(COUNTIF('IB TRANSPORT'!$A$7:$A$50,'IB TRANSPORT'!G21))+(COUNTIF(JSL!$A$7:$A$50,'IB TRANSPORT'!G21))+(COUNTIF(KIFAITOUT!$A$7:$A$50,'IB TRANSPORT'!G21))+(COUNTIF('LUXE DRIVE'!$A$7:$A$50,'IB TRANSPORT'!G21))+(COUNTIF(SSN!$A$7:$A$50,'IB TRANSPORT'!G21))+(COUNTIF('W3'!$A$7:$A$50,'IB TRANSPORT'!G21))+(COUNTIF('ATHIS MONS'!$A$7:$A$50,'IB TRANSPORT'!G21))+(COUNTIF('L HAY LES ROSES'!$A$7:$A$50,'IB TRANSPORT'!G21))+(COUNTIF(RUNGIS!$A$7:$A$50,'IB TRANSPORT'!G21))+(COUNTIF(SCEAUX!$A$7:$A$50,'IB TRANSPORT'!G21))+(COUNTIF('INSTANCE C1'!$A$7:$A$50,'IB TRANSPORT'!G21))+(COUNTIF('INSTANCE C2'!$A$7:$A$50,'IB TRANSPORT'!G21))+(COUNTIF(INTERNES!$A$7:$A$50,'IB TRANSPORT'!G21))+(COUNTIF('EN PANNE'!$A$7:$A$50,'IB TRANSPORT'!G21))+(COUNTIF(TJM!$A$7:$A$50,'IB TRANSPORT'!G21))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S21" s="60">
        <f t="shared" si="1"/>
        <v>0</v>
      </c>
      <c r="T21" s="67">
        <f t="shared" si="2"/>
        <v>0</v>
      </c>
    </row>
    <row r="22" spans="1:20" ht="24.95" customHeight="1" x14ac:dyDescent="0.2">
      <c r="A22" s="20"/>
      <c r="B22" s="23">
        <f>(COUNTIF('2S EXPRESS'!$A$7:$A$50,'IB TRANSPORT'!A22))+(COUNTIF('2 ZT'!$A$7:$A$50,'IB TRANSPORT'!A22))+(COUNTIF('GO TRANSPORT'!$A$7:$A$50,'IB TRANSPORT'!A22))+(COUNTIF('HMZ - KAIS'!$A$7:$A$50,'IB TRANSPORT'!A22))+(COUNTIF('IB TRANSPORT'!$A$7:$A$50,'IB TRANSPORT'!A22))+(COUNTIF(JSL!$A$7:$A$50,'IB TRANSPORT'!A22))+(COUNTIF(KIFAITOUT!$A$7:$A$50,'IB TRANSPORT'!A22))+(COUNTIF('LUXE DRIVE'!$A$7:$A$50,'IB TRANSPORT'!A22))+(COUNTIF(SSN!$A$7:$A$50,'IB TRANSPORT'!A22))+(COUNTIF('W3'!$A$7:$A$50,'IB TRANSPORT'!A22))+(COUNTIF('ATHIS MONS'!$A$7:$A$50,'IB TRANSPORT'!A22))+(COUNTIF('L HAY LES ROSES'!$A$7:$A$50,'IB TRANSPORT'!A22))+(COUNTIF(RUNGIS!$A$7:$A$50,'IB TRANSPORT'!A22))+(COUNTIF(SCEAUX!$A$7:$A$50,'IB TRANSPORT'!A22))+(COUNTIF('INSTANCE C1'!$A$7:$A$50,'IB TRANSPORT'!A22))+(COUNTIF('INSTANCE C2'!$A$7:$A$50,'IB TRANSPORT'!A22))+(COUNTIF(INTERNES!$A$7:$A$50,'IB TRANSPORT'!A22))+(COUNTIF('EN PANNE'!$A$7:$A$50,'IB TRANSPORT'!A22))+(COUNTIF(TJM!$A$7:$A$50,'IB TRANSPORT'!A22))-C22</f>
        <v>0</v>
      </c>
      <c r="C22" s="23">
        <f>(COUNTIF('2S EXPRESS'!$G$7:$G$50,'IB TRANSPORT'!A22))+(COUNTIF('2 ZT'!$G$7:$G$50,'IB TRANSPORT'!A22))+(COUNTIF('GO TRANSPORT'!$G$7:$G$50,'IB TRANSPORT'!A22))+(COUNTIF('IB TRANSPORT'!$G$7:$G$50,'IB TRANSPORT'!A22))+(COUNTIF('EN PANNE'!$G$7:$G$50,'IB TRANSPORT'!A22))+(COUNTIF(JSL!$G$7:$G$50,'IB TRANSPORT'!A22))+(COUNTIF(KIFAITOUT!$G$7:$G$50,'IB TRANSPORT'!A22))+(COUNTIF('LUXE DRIVE'!$G$7:$G$50,'IB TRANSPORT'!A22))+(COUNTIF(SSN!$G$7:$G$50,'IB TRANSPORT'!A22))+(COUNTIF('W3'!$G$7:$G$50,'IB TRANSPORT'!A22))+(COUNTIF('ATHIS MONS'!$G$7:$G$50,'IB TRANSPORT'!A22))+(COUNTIF('L HAY LES ROSES'!$G$7:$G$50,'IB TRANSPORT'!A22))+(COUNTIF(RUNGIS!$G$7:$G$50,'IB TRANSPORT'!A22))+(COUNTIF(SCEAUX!$G$7:$G$50,'IB TRANSPORT'!A22))+(COUNTIF('INSTANCE C1'!$G$7:$G$50,'IB TRANSPORT'!A22))+(COUNTIF('INSTANCE C2'!$G$7:$G$50,'IB TRANSPORT'!A22))+(COUNTIF(INTERNES!$G$7:$G$50,'IB TRANSPORT'!A22))+(COUNTIF('EN PANNE'!$G$7:$G$50,'IB TRANSPORT'!A22))+(COUNTIF(TJM!$G$7:$G$50,'IB TRANSPORT'!A22))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EXPRESS'!$G$7:$G$50,'IB TRANSPORT'!G22))+(COUNTIF('2 ZT'!$G$7:$G$50,'IB TRANSPORT'!G22))+(COUNTIF('GO TRANSPORT'!$G$7:$G$50,'IB TRANSPORT'!G22))+(COUNTIF('HMZ - KAIS'!$G$7:$G$50,'IB TRANSPORT'!G22))+(COUNTIF('IB TRANSPORT'!$G$7:$G$50,'IB TRANSPORT'!G22))+(COUNTIF(JSL!$G$7:$G$50,'IB TRANSPORT'!G22))+(COUNTIF(KIFAITOUT!$G$7:$G$50,'IB TRANSPORT'!G22))+(COUNTIF('LUXE DRIVE'!$G$7:$G$50,'IB TRANSPORT'!G22))+(COUNTIF(SSN!$G$7:$G$50,'IB TRANSPORT'!G22))+(COUNTIF('W3'!$G$7:$G$50,'IB TRANSPORT'!G22))+(COUNTIF('ATHIS MONS'!$G$7:$G$50,'IB TRANSPORT'!G22))+(COUNTIF('L HAY LES ROSES'!$G$7:$G$50,'IB TRANSPORT'!G22))+(COUNTIF(RUNGIS!$G$7:$G$50,'IB TRANSPORT'!G22))+(COUNTIF(SCEAUX!$G$7:$G$50,'IB TRANSPORT'!G22))+(COUNTIF('INSTANCE C1'!$G$7:$G$50,'IB TRANSPORT'!G22))+(COUNTIF('INSTANCE C2'!$G$7:$G$50,'IB TRANSPORT'!G22))+(COUNTIF(INTERNES!$G$7:$G$50,'IB TRANSPORT'!G22))+(COUNTIF('EN PANNE'!$G$7:$G$50,'IB TRANSPORT'!G22))+(COUNTIF(TJM!$G$7:$G$50,'IB TRANSPORT'!G22))-I22</f>
        <v>0</v>
      </c>
      <c r="I22" s="23">
        <f>(COUNTIF('2S EXPRESS'!$A$7:$A$50,'IB TRANSPORT'!G22))+(COUNTIF('2 ZT'!$A$7:$A$50,'IB TRANSPORT'!G22))+(COUNTIF('GO TRANSPORT'!$A$7:$A$50,'IB TRANSPORT'!G22))+(COUNTIF('HMZ - KAIS'!$A$7:$A$50,'IB TRANSPORT'!G22))+(COUNTIF('IB TRANSPORT'!$A$7:$A$50,'IB TRANSPORT'!G22))+(COUNTIF(JSL!$A$7:$A$50,'IB TRANSPORT'!G22))+(COUNTIF(KIFAITOUT!$A$7:$A$50,'IB TRANSPORT'!G22))+(COUNTIF('LUXE DRIVE'!$A$7:$A$50,'IB TRANSPORT'!G22))+(COUNTIF(SSN!$A$7:$A$50,'IB TRANSPORT'!G22))+(COUNTIF('W3'!$A$7:$A$50,'IB TRANSPORT'!G22))+(COUNTIF('ATHIS MONS'!$A$7:$A$50,'IB TRANSPORT'!G22))+(COUNTIF('L HAY LES ROSES'!$A$7:$A$50,'IB TRANSPORT'!G22))+(COUNTIF(RUNGIS!$A$7:$A$50,'IB TRANSPORT'!G22))+(COUNTIF(SCEAUX!$A$7:$A$50,'IB TRANSPORT'!G22))+(COUNTIF('INSTANCE C1'!$A$7:$A$50,'IB TRANSPORT'!G22))+(COUNTIF('INSTANCE C2'!$A$7:$A$50,'IB TRANSPORT'!G22))+(COUNTIF(INTERNES!$A$7:$A$50,'IB TRANSPORT'!G22))+(COUNTIF('EN PANNE'!$A$7:$A$50,'IB TRANSPORT'!G22))+(COUNTIF(TJM!$A$7:$A$50,'IB TRANSPORT'!G22))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S22" s="60">
        <f t="shared" si="1"/>
        <v>0</v>
      </c>
      <c r="T22" s="67">
        <f t="shared" si="2"/>
        <v>0</v>
      </c>
    </row>
    <row r="23" spans="1:20" ht="24.95" customHeight="1" x14ac:dyDescent="0.2">
      <c r="A23" s="20"/>
      <c r="B23" s="23">
        <f>(COUNTIF('2S EXPRESS'!$A$7:$A$50,'IB TRANSPORT'!A23))+(COUNTIF('2 ZT'!$A$7:$A$50,'IB TRANSPORT'!A23))+(COUNTIF('GO TRANSPORT'!$A$7:$A$50,'IB TRANSPORT'!A23))+(COUNTIF('HMZ - KAIS'!$A$7:$A$50,'IB TRANSPORT'!A23))+(COUNTIF('IB TRANSPORT'!$A$7:$A$50,'IB TRANSPORT'!A23))+(COUNTIF(JSL!$A$7:$A$50,'IB TRANSPORT'!A23))+(COUNTIF(KIFAITOUT!$A$7:$A$50,'IB TRANSPORT'!A23))+(COUNTIF('LUXE DRIVE'!$A$7:$A$50,'IB TRANSPORT'!A23))+(COUNTIF(SSN!$A$7:$A$50,'IB TRANSPORT'!A23))+(COUNTIF('W3'!$A$7:$A$50,'IB TRANSPORT'!A23))+(COUNTIF('ATHIS MONS'!$A$7:$A$50,'IB TRANSPORT'!A23))+(COUNTIF('L HAY LES ROSES'!$A$7:$A$50,'IB TRANSPORT'!A23))+(COUNTIF(RUNGIS!$A$7:$A$50,'IB TRANSPORT'!A23))+(COUNTIF(SCEAUX!$A$7:$A$50,'IB TRANSPORT'!A23))+(COUNTIF('INSTANCE C1'!$A$7:$A$50,'IB TRANSPORT'!A23))+(COUNTIF('INSTANCE C2'!$A$7:$A$50,'IB TRANSPORT'!A23))+(COUNTIF(INTERNES!$A$7:$A$50,'IB TRANSPORT'!A23))+(COUNTIF('EN PANNE'!$A$7:$A$50,'IB TRANSPORT'!A23))+(COUNTIF(TJM!$A$7:$A$50,'IB TRANSPORT'!A23))-C23</f>
        <v>0</v>
      </c>
      <c r="C23" s="23">
        <f>(COUNTIF('2S EXPRESS'!$G$7:$G$50,'IB TRANSPORT'!A23))+(COUNTIF('2 ZT'!$G$7:$G$50,'IB TRANSPORT'!A23))+(COUNTIF('GO TRANSPORT'!$G$7:$G$50,'IB TRANSPORT'!A23))+(COUNTIF('IB TRANSPORT'!$G$7:$G$50,'IB TRANSPORT'!A23))+(COUNTIF('EN PANNE'!$G$7:$G$50,'IB TRANSPORT'!A23))+(COUNTIF(JSL!$G$7:$G$50,'IB TRANSPORT'!A23))+(COUNTIF(KIFAITOUT!$G$7:$G$50,'IB TRANSPORT'!A23))+(COUNTIF('LUXE DRIVE'!$G$7:$G$50,'IB TRANSPORT'!A23))+(COUNTIF(SSN!$G$7:$G$50,'IB TRANSPORT'!A23))+(COUNTIF('W3'!$G$7:$G$50,'IB TRANSPORT'!A23))+(COUNTIF('ATHIS MONS'!$G$7:$G$50,'IB TRANSPORT'!A23))+(COUNTIF('L HAY LES ROSES'!$G$7:$G$50,'IB TRANSPORT'!A23))+(COUNTIF(RUNGIS!$G$7:$G$50,'IB TRANSPORT'!A23))+(COUNTIF(SCEAUX!$G$7:$G$50,'IB TRANSPORT'!A23))+(COUNTIF('INSTANCE C1'!$G$7:$G$50,'IB TRANSPORT'!A23))+(COUNTIF('INSTANCE C2'!$G$7:$G$50,'IB TRANSPORT'!A23))+(COUNTIF(INTERNES!$G$7:$G$50,'IB TRANSPORT'!A23))+(COUNTIF('EN PANNE'!$G$7:$G$50,'IB TRANSPORT'!A23))+(COUNTIF(TJM!$G$7:$G$50,'IB TRANSPORT'!A23))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EXPRESS'!$G$7:$G$50,'IB TRANSPORT'!G23))+(COUNTIF('2 ZT'!$G$7:$G$50,'IB TRANSPORT'!G23))+(COUNTIF('GO TRANSPORT'!$G$7:$G$50,'IB TRANSPORT'!G23))+(COUNTIF('HMZ - KAIS'!$G$7:$G$50,'IB TRANSPORT'!G23))+(COUNTIF('IB TRANSPORT'!$G$7:$G$50,'IB TRANSPORT'!G23))+(COUNTIF(JSL!$G$7:$G$50,'IB TRANSPORT'!G23))+(COUNTIF(KIFAITOUT!$G$7:$G$50,'IB TRANSPORT'!G23))+(COUNTIF('LUXE DRIVE'!$G$7:$G$50,'IB TRANSPORT'!G23))+(COUNTIF(SSN!$G$7:$G$50,'IB TRANSPORT'!G23))+(COUNTIF('W3'!$G$7:$G$50,'IB TRANSPORT'!G23))+(COUNTIF('ATHIS MONS'!$G$7:$G$50,'IB TRANSPORT'!G23))+(COUNTIF('L HAY LES ROSES'!$G$7:$G$50,'IB TRANSPORT'!G23))+(COUNTIF(RUNGIS!$G$7:$G$50,'IB TRANSPORT'!G23))+(COUNTIF(SCEAUX!$G$7:$G$50,'IB TRANSPORT'!G23))+(COUNTIF('INSTANCE C1'!$G$7:$G$50,'IB TRANSPORT'!G23))+(COUNTIF('INSTANCE C2'!$G$7:$G$50,'IB TRANSPORT'!G23))+(COUNTIF(INTERNES!$G$7:$G$50,'IB TRANSPORT'!G23))+(COUNTIF('EN PANNE'!$G$7:$G$50,'IB TRANSPORT'!G23))+(COUNTIF(TJM!$G$7:$G$50,'IB TRANSPORT'!G23))-I23</f>
        <v>0</v>
      </c>
      <c r="I23" s="23">
        <f>(COUNTIF('2S EXPRESS'!$A$7:$A$50,'IB TRANSPORT'!G23))+(COUNTIF('2 ZT'!$A$7:$A$50,'IB TRANSPORT'!G23))+(COUNTIF('GO TRANSPORT'!$A$7:$A$50,'IB TRANSPORT'!G23))+(COUNTIF('HMZ - KAIS'!$A$7:$A$50,'IB TRANSPORT'!G23))+(COUNTIF('IB TRANSPORT'!$A$7:$A$50,'IB TRANSPORT'!G23))+(COUNTIF(JSL!$A$7:$A$50,'IB TRANSPORT'!G23))+(COUNTIF(KIFAITOUT!$A$7:$A$50,'IB TRANSPORT'!G23))+(COUNTIF('LUXE DRIVE'!$A$7:$A$50,'IB TRANSPORT'!G23))+(COUNTIF(SSN!$A$7:$A$50,'IB TRANSPORT'!G23))+(COUNTIF('W3'!$A$7:$A$50,'IB TRANSPORT'!G23))+(COUNTIF('ATHIS MONS'!$A$7:$A$50,'IB TRANSPORT'!G23))+(COUNTIF('L HAY LES ROSES'!$A$7:$A$50,'IB TRANSPORT'!G23))+(COUNTIF(RUNGIS!$A$7:$A$50,'IB TRANSPORT'!G23))+(COUNTIF(SCEAUX!$A$7:$A$50,'IB TRANSPORT'!G23))+(COUNTIF('INSTANCE C1'!$A$7:$A$50,'IB TRANSPORT'!G23))+(COUNTIF('INSTANCE C2'!$A$7:$A$50,'IB TRANSPORT'!G23))+(COUNTIF(INTERNES!$A$7:$A$50,'IB TRANSPORT'!G23))+(COUNTIF('EN PANNE'!$A$7:$A$50,'IB TRANSPORT'!G23))+(COUNTIF(TJM!$A$7:$A$50,'IB TRANSPORT'!G23))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S23" s="60">
        <f t="shared" si="1"/>
        <v>0</v>
      </c>
      <c r="T23" s="67">
        <f t="shared" si="2"/>
        <v>0</v>
      </c>
    </row>
    <row r="24" spans="1:20" ht="24.95" customHeight="1" x14ac:dyDescent="0.2">
      <c r="A24" s="20"/>
      <c r="B24" s="23">
        <f>(COUNTIF('2S EXPRESS'!$A$7:$A$50,'IB TRANSPORT'!A24))+(COUNTIF('2 ZT'!$A$7:$A$50,'IB TRANSPORT'!A24))+(COUNTIF('GO TRANSPORT'!$A$7:$A$50,'IB TRANSPORT'!A24))+(COUNTIF('HMZ - KAIS'!$A$7:$A$50,'IB TRANSPORT'!A24))+(COUNTIF('IB TRANSPORT'!$A$7:$A$50,'IB TRANSPORT'!A24))+(COUNTIF(JSL!$A$7:$A$50,'IB TRANSPORT'!A24))+(COUNTIF(KIFAITOUT!$A$7:$A$50,'IB TRANSPORT'!A24))+(COUNTIF('LUXE DRIVE'!$A$7:$A$50,'IB TRANSPORT'!A24))+(COUNTIF(SSN!$A$7:$A$50,'IB TRANSPORT'!A24))+(COUNTIF('W3'!$A$7:$A$50,'IB TRANSPORT'!A24))+(COUNTIF('ATHIS MONS'!$A$7:$A$50,'IB TRANSPORT'!A24))+(COUNTIF('L HAY LES ROSES'!$A$7:$A$50,'IB TRANSPORT'!A24))+(COUNTIF(RUNGIS!$A$7:$A$50,'IB TRANSPORT'!A24))+(COUNTIF(SCEAUX!$A$7:$A$50,'IB TRANSPORT'!A24))+(COUNTIF('INSTANCE C1'!$A$7:$A$50,'IB TRANSPORT'!A24))+(COUNTIF('INSTANCE C2'!$A$7:$A$50,'IB TRANSPORT'!A24))+(COUNTIF(INTERNES!$A$7:$A$50,'IB TRANSPORT'!A24))+(COUNTIF('EN PANNE'!$A$7:$A$50,'IB TRANSPORT'!A24))+(COUNTIF(TJM!$A$7:$A$50,'IB TRANSPORT'!A24))-C24</f>
        <v>0</v>
      </c>
      <c r="C24" s="23">
        <f>(COUNTIF('2S EXPRESS'!$G$7:$G$50,'IB TRANSPORT'!A24))+(COUNTIF('2 ZT'!$G$7:$G$50,'IB TRANSPORT'!A24))+(COUNTIF('GO TRANSPORT'!$G$7:$G$50,'IB TRANSPORT'!A24))+(COUNTIF('IB TRANSPORT'!$G$7:$G$50,'IB TRANSPORT'!A24))+(COUNTIF('EN PANNE'!$G$7:$G$50,'IB TRANSPORT'!A24))+(COUNTIF(JSL!$G$7:$G$50,'IB TRANSPORT'!A24))+(COUNTIF(KIFAITOUT!$G$7:$G$50,'IB TRANSPORT'!A24))+(COUNTIF('LUXE DRIVE'!$G$7:$G$50,'IB TRANSPORT'!A24))+(COUNTIF(SSN!$G$7:$G$50,'IB TRANSPORT'!A24))+(COUNTIF('W3'!$G$7:$G$50,'IB TRANSPORT'!A24))+(COUNTIF('ATHIS MONS'!$G$7:$G$50,'IB TRANSPORT'!A24))+(COUNTIF('L HAY LES ROSES'!$G$7:$G$50,'IB TRANSPORT'!A24))+(COUNTIF(RUNGIS!$G$7:$G$50,'IB TRANSPORT'!A24))+(COUNTIF(SCEAUX!$G$7:$G$50,'IB TRANSPORT'!A24))+(COUNTIF('INSTANCE C1'!$G$7:$G$50,'IB TRANSPORT'!A24))+(COUNTIF('INSTANCE C2'!$G$7:$G$50,'IB TRANSPORT'!A24))+(COUNTIF(INTERNES!$G$7:$G$50,'IB TRANSPORT'!A24))+(COUNTIF('EN PANNE'!$G$7:$G$50,'IB TRANSPORT'!A24))+(COUNTIF(TJM!$G$7:$G$50,'IB TRANSPORT'!A24))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EXPRESS'!$G$7:$G$50,'IB TRANSPORT'!G24))+(COUNTIF('2 ZT'!$G$7:$G$50,'IB TRANSPORT'!G24))+(COUNTIF('GO TRANSPORT'!$G$7:$G$50,'IB TRANSPORT'!G24))+(COUNTIF('HMZ - KAIS'!$G$7:$G$50,'IB TRANSPORT'!G24))+(COUNTIF('IB TRANSPORT'!$G$7:$G$50,'IB TRANSPORT'!G24))+(COUNTIF(JSL!$G$7:$G$50,'IB TRANSPORT'!G24))+(COUNTIF(KIFAITOUT!$G$7:$G$50,'IB TRANSPORT'!G24))+(COUNTIF('LUXE DRIVE'!$G$7:$G$50,'IB TRANSPORT'!G24))+(COUNTIF(SSN!$G$7:$G$50,'IB TRANSPORT'!G24))+(COUNTIF('W3'!$G$7:$G$50,'IB TRANSPORT'!G24))+(COUNTIF('ATHIS MONS'!$G$7:$G$50,'IB TRANSPORT'!G24))+(COUNTIF('L HAY LES ROSES'!$G$7:$G$50,'IB TRANSPORT'!G24))+(COUNTIF(RUNGIS!$G$7:$G$50,'IB TRANSPORT'!G24))+(COUNTIF(SCEAUX!$G$7:$G$50,'IB TRANSPORT'!G24))+(COUNTIF('INSTANCE C1'!$G$7:$G$50,'IB TRANSPORT'!G24))+(COUNTIF('INSTANCE C2'!$G$7:$G$50,'IB TRANSPORT'!G24))+(COUNTIF(INTERNES!$G$7:$G$50,'IB TRANSPORT'!G24))+(COUNTIF('EN PANNE'!$G$7:$G$50,'IB TRANSPORT'!G24))+(COUNTIF(TJM!$G$7:$G$50,'IB TRANSPORT'!G24))-I24</f>
        <v>0</v>
      </c>
      <c r="I24" s="23">
        <f>(COUNTIF('2S EXPRESS'!$A$7:$A$50,'IB TRANSPORT'!G24))+(COUNTIF('2 ZT'!$A$7:$A$50,'IB TRANSPORT'!G24))+(COUNTIF('GO TRANSPORT'!$A$7:$A$50,'IB TRANSPORT'!G24))+(COUNTIF('HMZ - KAIS'!$A$7:$A$50,'IB TRANSPORT'!G24))+(COUNTIF('IB TRANSPORT'!$A$7:$A$50,'IB TRANSPORT'!G24))+(COUNTIF(JSL!$A$7:$A$50,'IB TRANSPORT'!G24))+(COUNTIF(KIFAITOUT!$A$7:$A$50,'IB TRANSPORT'!G24))+(COUNTIF('LUXE DRIVE'!$A$7:$A$50,'IB TRANSPORT'!G24))+(COUNTIF(SSN!$A$7:$A$50,'IB TRANSPORT'!G24))+(COUNTIF('W3'!$A$7:$A$50,'IB TRANSPORT'!G24))+(COUNTIF('ATHIS MONS'!$A$7:$A$50,'IB TRANSPORT'!G24))+(COUNTIF('L HAY LES ROSES'!$A$7:$A$50,'IB TRANSPORT'!G24))+(COUNTIF(RUNGIS!$A$7:$A$50,'IB TRANSPORT'!G24))+(COUNTIF(SCEAUX!$A$7:$A$50,'IB TRANSPORT'!G24))+(COUNTIF('INSTANCE C1'!$A$7:$A$50,'IB TRANSPORT'!G24))+(COUNTIF('INSTANCE C2'!$A$7:$A$50,'IB TRANSPORT'!G24))+(COUNTIF(INTERNES!$A$7:$A$50,'IB TRANSPORT'!G24))+(COUNTIF('EN PANNE'!$A$7:$A$50,'IB TRANSPORT'!G24))+(COUNTIF(TJM!$A$7:$A$50,'IB TRANSPORT'!G24))</f>
        <v>0</v>
      </c>
      <c r="J24" s="28">
        <f t="shared" si="4"/>
        <v>0</v>
      </c>
      <c r="K24" s="2"/>
      <c r="L24" s="47"/>
      <c r="S24" s="60">
        <f t="shared" si="1"/>
        <v>0</v>
      </c>
      <c r="T24" s="67">
        <f t="shared" si="2"/>
        <v>0</v>
      </c>
    </row>
    <row r="25" spans="1:20" ht="24.95" customHeight="1" x14ac:dyDescent="0.2">
      <c r="A25" s="20"/>
      <c r="B25" s="23">
        <f>(COUNTIF('2S EXPRESS'!$A$7:$A$50,'IB TRANSPORT'!A25))+(COUNTIF('2 ZT'!$A$7:$A$50,'IB TRANSPORT'!A25))+(COUNTIF('GO TRANSPORT'!$A$7:$A$50,'IB TRANSPORT'!A25))+(COUNTIF('HMZ - KAIS'!$A$7:$A$50,'IB TRANSPORT'!A25))+(COUNTIF('IB TRANSPORT'!$A$7:$A$50,'IB TRANSPORT'!A25))+(COUNTIF(JSL!$A$7:$A$50,'IB TRANSPORT'!A25))+(COUNTIF(KIFAITOUT!$A$7:$A$50,'IB TRANSPORT'!A25))+(COUNTIF('LUXE DRIVE'!$A$7:$A$50,'IB TRANSPORT'!A25))+(COUNTIF(SSN!$A$7:$A$50,'IB TRANSPORT'!A25))+(COUNTIF('W3'!$A$7:$A$50,'IB TRANSPORT'!A25))+(COUNTIF('ATHIS MONS'!$A$7:$A$50,'IB TRANSPORT'!A25))+(COUNTIF('L HAY LES ROSES'!$A$7:$A$50,'IB TRANSPORT'!A25))+(COUNTIF(RUNGIS!$A$7:$A$50,'IB TRANSPORT'!A25))+(COUNTIF(SCEAUX!$A$7:$A$50,'IB TRANSPORT'!A25))+(COUNTIF('INSTANCE C1'!$A$7:$A$50,'IB TRANSPORT'!A25))+(COUNTIF('INSTANCE C2'!$A$7:$A$50,'IB TRANSPORT'!A25))+(COUNTIF(INTERNES!$A$7:$A$50,'IB TRANSPORT'!A25))+(COUNTIF('EN PANNE'!$A$7:$A$50,'IB TRANSPORT'!A25))+(COUNTIF(TJM!$A$7:$A$50,'IB TRANSPORT'!A25))-C25</f>
        <v>0</v>
      </c>
      <c r="C25" s="23">
        <f>(COUNTIF('2S EXPRESS'!$G$7:$G$50,'IB TRANSPORT'!A25))+(COUNTIF('2 ZT'!$G$7:$G$50,'IB TRANSPORT'!A25))+(COUNTIF('GO TRANSPORT'!$G$7:$G$50,'IB TRANSPORT'!A25))+(COUNTIF('IB TRANSPORT'!$G$7:$G$50,'IB TRANSPORT'!A25))+(COUNTIF('EN PANNE'!$G$7:$G$50,'IB TRANSPORT'!A25))+(COUNTIF(JSL!$G$7:$G$50,'IB TRANSPORT'!A25))+(COUNTIF(KIFAITOUT!$G$7:$G$50,'IB TRANSPORT'!A25))+(COUNTIF('LUXE DRIVE'!$G$7:$G$50,'IB TRANSPORT'!A25))+(COUNTIF(SSN!$G$7:$G$50,'IB TRANSPORT'!A25))+(COUNTIF('W3'!$G$7:$G$50,'IB TRANSPORT'!A25))+(COUNTIF('ATHIS MONS'!$G$7:$G$50,'IB TRANSPORT'!A25))+(COUNTIF('L HAY LES ROSES'!$G$7:$G$50,'IB TRANSPORT'!A25))+(COUNTIF(RUNGIS!$G$7:$G$50,'IB TRANSPORT'!A25))+(COUNTIF(SCEAUX!$G$7:$G$50,'IB TRANSPORT'!A25))+(COUNTIF('INSTANCE C1'!$G$7:$G$50,'IB TRANSPORT'!A25))+(COUNTIF('INSTANCE C2'!$G$7:$G$50,'IB TRANSPORT'!A25))+(COUNTIF(INTERNES!$G$7:$G$50,'IB TRANSPORT'!A25))+(COUNTIF('EN PANNE'!$G$7:$G$50,'IB TRANSPORT'!A25))+(COUNTIF(TJM!$G$7:$G$50,'IB TRANSPORT'!A25))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EXPRESS'!$G$7:$G$50,'IB TRANSPORT'!G25))+(COUNTIF('2 ZT'!$G$7:$G$50,'IB TRANSPORT'!G25))+(COUNTIF('GO TRANSPORT'!$G$7:$G$50,'IB TRANSPORT'!G25))+(COUNTIF('HMZ - KAIS'!$G$7:$G$50,'IB TRANSPORT'!G25))+(COUNTIF('IB TRANSPORT'!$G$7:$G$50,'IB TRANSPORT'!G25))+(COUNTIF(JSL!$G$7:$G$50,'IB TRANSPORT'!G25))+(COUNTIF(KIFAITOUT!$G$7:$G$50,'IB TRANSPORT'!G25))+(COUNTIF('LUXE DRIVE'!$G$7:$G$50,'IB TRANSPORT'!G25))+(COUNTIF(SSN!$G$7:$G$50,'IB TRANSPORT'!G25))+(COUNTIF('W3'!$G$7:$G$50,'IB TRANSPORT'!G25))+(COUNTIF('ATHIS MONS'!$G$7:$G$50,'IB TRANSPORT'!G25))+(COUNTIF('L HAY LES ROSES'!$G$7:$G$50,'IB TRANSPORT'!G25))+(COUNTIF(RUNGIS!$G$7:$G$50,'IB TRANSPORT'!G25))+(COUNTIF(SCEAUX!$G$7:$G$50,'IB TRANSPORT'!G25))+(COUNTIF('INSTANCE C1'!$G$7:$G$50,'IB TRANSPORT'!G25))+(COUNTIF('INSTANCE C2'!$G$7:$G$50,'IB TRANSPORT'!G25))+(COUNTIF(INTERNES!$G$7:$G$50,'IB TRANSPORT'!G25))+(COUNTIF('EN PANNE'!$G$7:$G$50,'IB TRANSPORT'!G25))+(COUNTIF(TJM!$G$7:$G$50,'IB TRANSPORT'!G25))-I25</f>
        <v>0</v>
      </c>
      <c r="I25" s="23">
        <f>(COUNTIF('2S EXPRESS'!$A$7:$A$50,'IB TRANSPORT'!G25))+(COUNTIF('2 ZT'!$A$7:$A$50,'IB TRANSPORT'!G25))+(COUNTIF('GO TRANSPORT'!$A$7:$A$50,'IB TRANSPORT'!G25))+(COUNTIF('HMZ - KAIS'!$A$7:$A$50,'IB TRANSPORT'!G25))+(COUNTIF('IB TRANSPORT'!$A$7:$A$50,'IB TRANSPORT'!G25))+(COUNTIF(JSL!$A$7:$A$50,'IB TRANSPORT'!G25))+(COUNTIF(KIFAITOUT!$A$7:$A$50,'IB TRANSPORT'!G25))+(COUNTIF('LUXE DRIVE'!$A$7:$A$50,'IB TRANSPORT'!G25))+(COUNTIF(SSN!$A$7:$A$50,'IB TRANSPORT'!G25))+(COUNTIF('W3'!$A$7:$A$50,'IB TRANSPORT'!G25))+(COUNTIF('ATHIS MONS'!$A$7:$A$50,'IB TRANSPORT'!G25))+(COUNTIF('L HAY LES ROSES'!$A$7:$A$50,'IB TRANSPORT'!G25))+(COUNTIF(RUNGIS!$A$7:$A$50,'IB TRANSPORT'!G25))+(COUNTIF(SCEAUX!$A$7:$A$50,'IB TRANSPORT'!G25))+(COUNTIF('INSTANCE C1'!$A$7:$A$50,'IB TRANSPORT'!G25))+(COUNTIF('INSTANCE C2'!$A$7:$A$50,'IB TRANSPORT'!G25))+(COUNTIF(INTERNES!$A$7:$A$50,'IB TRANSPORT'!G25))+(COUNTIF('EN PANNE'!$A$7:$A$50,'IB TRANSPORT'!G25))+(COUNTIF(TJM!$A$7:$A$50,'IB TRANSPORT'!G25))</f>
        <v>0</v>
      </c>
      <c r="J25" s="28">
        <f t="shared" si="4"/>
        <v>0</v>
      </c>
      <c r="K25" s="2"/>
      <c r="L25" s="47"/>
      <c r="S25" s="60">
        <f t="shared" si="1"/>
        <v>0</v>
      </c>
      <c r="T25" s="67">
        <f t="shared" si="2"/>
        <v>0</v>
      </c>
    </row>
    <row r="26" spans="1:20" ht="24.95" customHeight="1" x14ac:dyDescent="0.2">
      <c r="A26" s="20"/>
      <c r="B26" s="23">
        <f>(COUNTIF('2S EXPRESS'!$A$7:$A$50,'IB TRANSPORT'!A26))+(COUNTIF('2 ZT'!$A$7:$A$50,'IB TRANSPORT'!A26))+(COUNTIF('GO TRANSPORT'!$A$7:$A$50,'IB TRANSPORT'!A26))+(COUNTIF('HMZ - KAIS'!$A$7:$A$50,'IB TRANSPORT'!A26))+(COUNTIF('IB TRANSPORT'!$A$7:$A$50,'IB TRANSPORT'!A26))+(COUNTIF(JSL!$A$7:$A$50,'IB TRANSPORT'!A26))+(COUNTIF(KIFAITOUT!$A$7:$A$50,'IB TRANSPORT'!A26))+(COUNTIF('LUXE DRIVE'!$A$7:$A$50,'IB TRANSPORT'!A26))+(COUNTIF(SSN!$A$7:$A$50,'IB TRANSPORT'!A26))+(COUNTIF('W3'!$A$7:$A$50,'IB TRANSPORT'!A26))+(COUNTIF('ATHIS MONS'!$A$7:$A$50,'IB TRANSPORT'!A26))+(COUNTIF('L HAY LES ROSES'!$A$7:$A$50,'IB TRANSPORT'!A26))+(COUNTIF(RUNGIS!$A$7:$A$50,'IB TRANSPORT'!A26))+(COUNTIF(SCEAUX!$A$7:$A$50,'IB TRANSPORT'!A26))+(COUNTIF('INSTANCE C1'!$A$7:$A$50,'IB TRANSPORT'!A26))+(COUNTIF('INSTANCE C2'!$A$7:$A$50,'IB TRANSPORT'!A26))+(COUNTIF(INTERNES!$A$7:$A$50,'IB TRANSPORT'!A26))+(COUNTIF('EN PANNE'!$A$7:$A$50,'IB TRANSPORT'!A26))+(COUNTIF(TJM!$A$7:$A$50,'IB TRANSPORT'!A26))-C26</f>
        <v>0</v>
      </c>
      <c r="C26" s="23">
        <f>(COUNTIF('2S EXPRESS'!$G$7:$G$50,'IB TRANSPORT'!A26))+(COUNTIF('2 ZT'!$G$7:$G$50,'IB TRANSPORT'!A26))+(COUNTIF('GO TRANSPORT'!$G$7:$G$50,'IB TRANSPORT'!A26))+(COUNTIF('IB TRANSPORT'!$G$7:$G$50,'IB TRANSPORT'!A26))+(COUNTIF('EN PANNE'!$G$7:$G$50,'IB TRANSPORT'!A26))+(COUNTIF(JSL!$G$7:$G$50,'IB TRANSPORT'!A26))+(COUNTIF(KIFAITOUT!$G$7:$G$50,'IB TRANSPORT'!A26))+(COUNTIF('LUXE DRIVE'!$G$7:$G$50,'IB TRANSPORT'!A26))+(COUNTIF(SSN!$G$7:$G$50,'IB TRANSPORT'!A26))+(COUNTIF('W3'!$G$7:$G$50,'IB TRANSPORT'!A26))+(COUNTIF('ATHIS MONS'!$G$7:$G$50,'IB TRANSPORT'!A26))+(COUNTIF('L HAY LES ROSES'!$G$7:$G$50,'IB TRANSPORT'!A26))+(COUNTIF(RUNGIS!$G$7:$G$50,'IB TRANSPORT'!A26))+(COUNTIF(SCEAUX!$G$7:$G$50,'IB TRANSPORT'!A26))+(COUNTIF('INSTANCE C1'!$G$7:$G$50,'IB TRANSPORT'!A26))+(COUNTIF('INSTANCE C2'!$G$7:$G$50,'IB TRANSPORT'!A26))+(COUNTIF(INTERNES!$G$7:$G$50,'IB TRANSPORT'!A26))+(COUNTIF('EN PANNE'!$G$7:$G$50,'IB TRANSPORT'!A26))+(COUNTIF(TJM!$G$7:$G$50,'IB TRANSPORT'!A26))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EXPRESS'!$G$7:$G$50,'IB TRANSPORT'!G26))+(COUNTIF('2 ZT'!$G$7:$G$50,'IB TRANSPORT'!G26))+(COUNTIF('GO TRANSPORT'!$G$7:$G$50,'IB TRANSPORT'!G26))+(COUNTIF('HMZ - KAIS'!$G$7:$G$50,'IB TRANSPORT'!G26))+(COUNTIF('IB TRANSPORT'!$G$7:$G$50,'IB TRANSPORT'!G26))+(COUNTIF(JSL!$G$7:$G$50,'IB TRANSPORT'!G26))+(COUNTIF(KIFAITOUT!$G$7:$G$50,'IB TRANSPORT'!G26))+(COUNTIF('LUXE DRIVE'!$G$7:$G$50,'IB TRANSPORT'!G26))+(COUNTIF(SSN!$G$7:$G$50,'IB TRANSPORT'!G26))+(COUNTIF('W3'!$G$7:$G$50,'IB TRANSPORT'!G26))+(COUNTIF('ATHIS MONS'!$G$7:$G$50,'IB TRANSPORT'!G26))+(COUNTIF('L HAY LES ROSES'!$G$7:$G$50,'IB TRANSPORT'!G26))+(COUNTIF(RUNGIS!$G$7:$G$50,'IB TRANSPORT'!G26))+(COUNTIF(SCEAUX!$G$7:$G$50,'IB TRANSPORT'!G26))+(COUNTIF('INSTANCE C1'!$G$7:$G$50,'IB TRANSPORT'!G26))+(COUNTIF('INSTANCE C2'!$G$7:$G$50,'IB TRANSPORT'!G26))+(COUNTIF(INTERNES!$G$7:$G$50,'IB TRANSPORT'!G26))+(COUNTIF('EN PANNE'!$G$7:$G$50,'IB TRANSPORT'!G26))+(COUNTIF(TJM!$G$7:$G$50,'IB TRANSPORT'!G26))-I26</f>
        <v>0</v>
      </c>
      <c r="I26" s="23">
        <f>(COUNTIF('2S EXPRESS'!$A$7:$A$50,'IB TRANSPORT'!G26))+(COUNTIF('2 ZT'!$A$7:$A$50,'IB TRANSPORT'!G26))+(COUNTIF('GO TRANSPORT'!$A$7:$A$50,'IB TRANSPORT'!G26))+(COUNTIF('HMZ - KAIS'!$A$7:$A$50,'IB TRANSPORT'!G26))+(COUNTIF('IB TRANSPORT'!$A$7:$A$50,'IB TRANSPORT'!G26))+(COUNTIF(JSL!$A$7:$A$50,'IB TRANSPORT'!G26))+(COUNTIF(KIFAITOUT!$A$7:$A$50,'IB TRANSPORT'!G26))+(COUNTIF('LUXE DRIVE'!$A$7:$A$50,'IB TRANSPORT'!G26))+(COUNTIF(SSN!$A$7:$A$50,'IB TRANSPORT'!G26))+(COUNTIF('W3'!$A$7:$A$50,'IB TRANSPORT'!G26))+(COUNTIF('ATHIS MONS'!$A$7:$A$50,'IB TRANSPORT'!G26))+(COUNTIF('L HAY LES ROSES'!$A$7:$A$50,'IB TRANSPORT'!G26))+(COUNTIF(RUNGIS!$A$7:$A$50,'IB TRANSPORT'!G26))+(COUNTIF(SCEAUX!$A$7:$A$50,'IB TRANSPORT'!G26))+(COUNTIF('INSTANCE C1'!$A$7:$A$50,'IB TRANSPORT'!G26))+(COUNTIF('INSTANCE C2'!$A$7:$A$50,'IB TRANSPORT'!G26))+(COUNTIF(INTERNES!$A$7:$A$50,'IB TRANSPORT'!G26))+(COUNTIF('EN PANNE'!$A$7:$A$50,'IB TRANSPORT'!G26))+(COUNTIF(TJM!$A$7:$A$50,'IB TRANSPORT'!G26))</f>
        <v>0</v>
      </c>
      <c r="J26" s="28">
        <f t="shared" si="4"/>
        <v>0</v>
      </c>
      <c r="K26" s="2"/>
      <c r="L26" s="47"/>
      <c r="S26" s="60">
        <f t="shared" si="1"/>
        <v>0</v>
      </c>
      <c r="T26" s="67">
        <f t="shared" si="2"/>
        <v>0</v>
      </c>
    </row>
    <row r="27" spans="1:20" ht="24.95" customHeight="1" x14ac:dyDescent="0.2">
      <c r="A27" s="20"/>
      <c r="B27" s="23">
        <f>(COUNTIF('2S EXPRESS'!$A$7:$A$50,'IB TRANSPORT'!A27))+(COUNTIF('2 ZT'!$A$7:$A$50,'IB TRANSPORT'!A27))+(COUNTIF('GO TRANSPORT'!$A$7:$A$50,'IB TRANSPORT'!A27))+(COUNTIF('HMZ - KAIS'!$A$7:$A$50,'IB TRANSPORT'!A27))+(COUNTIF('IB TRANSPORT'!$A$7:$A$50,'IB TRANSPORT'!A27))+(COUNTIF(JSL!$A$7:$A$50,'IB TRANSPORT'!A27))+(COUNTIF(KIFAITOUT!$A$7:$A$50,'IB TRANSPORT'!A27))+(COUNTIF('LUXE DRIVE'!$A$7:$A$50,'IB TRANSPORT'!A27))+(COUNTIF(SSN!$A$7:$A$50,'IB TRANSPORT'!A27))+(COUNTIF('W3'!$A$7:$A$50,'IB TRANSPORT'!A27))+(COUNTIF('ATHIS MONS'!$A$7:$A$50,'IB TRANSPORT'!A27))+(COUNTIF('L HAY LES ROSES'!$A$7:$A$50,'IB TRANSPORT'!A27))+(COUNTIF(RUNGIS!$A$7:$A$50,'IB TRANSPORT'!A27))+(COUNTIF(SCEAUX!$A$7:$A$50,'IB TRANSPORT'!A27))+(COUNTIF('INSTANCE C1'!$A$7:$A$50,'IB TRANSPORT'!A27))+(COUNTIF('INSTANCE C2'!$A$7:$A$50,'IB TRANSPORT'!A27))+(COUNTIF(INTERNES!$A$7:$A$50,'IB TRANSPORT'!A27))+(COUNTIF('EN PANNE'!$A$7:$A$50,'IB TRANSPORT'!A27))+(COUNTIF(TJM!$A$7:$A$50,'IB TRANSPORT'!A27))-C27</f>
        <v>0</v>
      </c>
      <c r="C27" s="23">
        <f>(COUNTIF('2S EXPRESS'!$G$7:$G$50,'IB TRANSPORT'!A27))+(COUNTIF('2 ZT'!$G$7:$G$50,'IB TRANSPORT'!A27))+(COUNTIF('GO TRANSPORT'!$G$7:$G$50,'IB TRANSPORT'!A27))+(COUNTIF('IB TRANSPORT'!$G$7:$G$50,'IB TRANSPORT'!A27))+(COUNTIF('EN PANNE'!$G$7:$G$50,'IB TRANSPORT'!A27))+(COUNTIF(JSL!$G$7:$G$50,'IB TRANSPORT'!A27))+(COUNTIF(KIFAITOUT!$G$7:$G$50,'IB TRANSPORT'!A27))+(COUNTIF('LUXE DRIVE'!$G$7:$G$50,'IB TRANSPORT'!A27))+(COUNTIF(SSN!$G$7:$G$50,'IB TRANSPORT'!A27))+(COUNTIF('W3'!$G$7:$G$50,'IB TRANSPORT'!A27))+(COUNTIF('ATHIS MONS'!$G$7:$G$50,'IB TRANSPORT'!A27))+(COUNTIF('L HAY LES ROSES'!$G$7:$G$50,'IB TRANSPORT'!A27))+(COUNTIF(RUNGIS!$G$7:$G$50,'IB TRANSPORT'!A27))+(COUNTIF(SCEAUX!$G$7:$G$50,'IB TRANSPORT'!A27))+(COUNTIF('INSTANCE C1'!$G$7:$G$50,'IB TRANSPORT'!A27))+(COUNTIF('INSTANCE C2'!$G$7:$G$50,'IB TRANSPORT'!A27))+(COUNTIF(INTERNES!$G$7:$G$50,'IB TRANSPORT'!A27))+(COUNTIF('EN PANNE'!$G$7:$G$50,'IB TRANSPORT'!A27))+(COUNTIF(TJM!$G$7:$G$50,'IB TRANSPORT'!A27))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EXPRESS'!$G$7:$G$50,'IB TRANSPORT'!G27))+(COUNTIF('2 ZT'!$G$7:$G$50,'IB TRANSPORT'!G27))+(COUNTIF('GO TRANSPORT'!$G$7:$G$50,'IB TRANSPORT'!G27))+(COUNTIF('HMZ - KAIS'!$G$7:$G$50,'IB TRANSPORT'!G27))+(COUNTIF('IB TRANSPORT'!$G$7:$G$50,'IB TRANSPORT'!G27))+(COUNTIF(JSL!$G$7:$G$50,'IB TRANSPORT'!G27))+(COUNTIF(KIFAITOUT!$G$7:$G$50,'IB TRANSPORT'!G27))+(COUNTIF('LUXE DRIVE'!$G$7:$G$50,'IB TRANSPORT'!G27))+(COUNTIF(SSN!$G$7:$G$50,'IB TRANSPORT'!G27))+(COUNTIF('W3'!$G$7:$G$50,'IB TRANSPORT'!G27))+(COUNTIF('ATHIS MONS'!$G$7:$G$50,'IB TRANSPORT'!G27))+(COUNTIF('L HAY LES ROSES'!$G$7:$G$50,'IB TRANSPORT'!G27))+(COUNTIF(RUNGIS!$G$7:$G$50,'IB TRANSPORT'!G27))+(COUNTIF(SCEAUX!$G$7:$G$50,'IB TRANSPORT'!G27))+(COUNTIF('INSTANCE C1'!$G$7:$G$50,'IB TRANSPORT'!G27))+(COUNTIF('INSTANCE C2'!$G$7:$G$50,'IB TRANSPORT'!G27))+(COUNTIF(INTERNES!$G$7:$G$50,'IB TRANSPORT'!G27))+(COUNTIF('EN PANNE'!$G$7:$G$50,'IB TRANSPORT'!G27))+(COUNTIF(TJM!$G$7:$G$50,'IB TRANSPORT'!G27))-I27</f>
        <v>0</v>
      </c>
      <c r="I27" s="23">
        <f>(COUNTIF('2S EXPRESS'!$A$7:$A$50,'IB TRANSPORT'!G27))+(COUNTIF('2 ZT'!$A$7:$A$50,'IB TRANSPORT'!G27))+(COUNTIF('GO TRANSPORT'!$A$7:$A$50,'IB TRANSPORT'!G27))+(COUNTIF('HMZ - KAIS'!$A$7:$A$50,'IB TRANSPORT'!G27))+(COUNTIF('IB TRANSPORT'!$A$7:$A$50,'IB TRANSPORT'!G27))+(COUNTIF(JSL!$A$7:$A$50,'IB TRANSPORT'!G27))+(COUNTIF(KIFAITOUT!$A$7:$A$50,'IB TRANSPORT'!G27))+(COUNTIF('LUXE DRIVE'!$A$7:$A$50,'IB TRANSPORT'!G27))+(COUNTIF(SSN!$A$7:$A$50,'IB TRANSPORT'!G27))+(COUNTIF('W3'!$A$7:$A$50,'IB TRANSPORT'!G27))+(COUNTIF('ATHIS MONS'!$A$7:$A$50,'IB TRANSPORT'!G27))+(COUNTIF('L HAY LES ROSES'!$A$7:$A$50,'IB TRANSPORT'!G27))+(COUNTIF(RUNGIS!$A$7:$A$50,'IB TRANSPORT'!G27))+(COUNTIF(SCEAUX!$A$7:$A$50,'IB TRANSPORT'!G27))+(COUNTIF('INSTANCE C1'!$A$7:$A$50,'IB TRANSPORT'!G27))+(COUNTIF('INSTANCE C2'!$A$7:$A$50,'IB TRANSPORT'!G27))+(COUNTIF(INTERNES!$A$7:$A$50,'IB TRANSPORT'!G27))+(COUNTIF('EN PANNE'!$A$7:$A$50,'IB TRANSPORT'!G27))+(COUNTIF(TJM!$A$7:$A$50,'IB TRANSPORT'!G27))</f>
        <v>0</v>
      </c>
      <c r="J27" s="28">
        <f t="shared" si="4"/>
        <v>0</v>
      </c>
      <c r="K27" s="2"/>
      <c r="L27" s="47"/>
      <c r="S27" s="60">
        <f t="shared" si="1"/>
        <v>0</v>
      </c>
      <c r="T27" s="67">
        <f t="shared" si="2"/>
        <v>0</v>
      </c>
    </row>
    <row r="28" spans="1:20" ht="24.95" customHeight="1" x14ac:dyDescent="0.2">
      <c r="A28" s="20"/>
      <c r="B28" s="23">
        <f>(COUNTIF('2S EXPRESS'!$A$7:$A$50,'IB TRANSPORT'!A28))+(COUNTIF('2 ZT'!$A$7:$A$50,'IB TRANSPORT'!A28))+(COUNTIF('GO TRANSPORT'!$A$7:$A$50,'IB TRANSPORT'!A28))+(COUNTIF('HMZ - KAIS'!$A$7:$A$50,'IB TRANSPORT'!A28))+(COUNTIF('IB TRANSPORT'!$A$7:$A$50,'IB TRANSPORT'!A28))+(COUNTIF(JSL!$A$7:$A$50,'IB TRANSPORT'!A28))+(COUNTIF(KIFAITOUT!$A$7:$A$50,'IB TRANSPORT'!A28))+(COUNTIF('LUXE DRIVE'!$A$7:$A$50,'IB TRANSPORT'!A28))+(COUNTIF(SSN!$A$7:$A$50,'IB TRANSPORT'!A28))+(COUNTIF('W3'!$A$7:$A$50,'IB TRANSPORT'!A28))+(COUNTIF('ATHIS MONS'!$A$7:$A$50,'IB TRANSPORT'!A28))+(COUNTIF('L HAY LES ROSES'!$A$7:$A$50,'IB TRANSPORT'!A28))+(COUNTIF(RUNGIS!$A$7:$A$50,'IB TRANSPORT'!A28))+(COUNTIF(SCEAUX!$A$7:$A$50,'IB TRANSPORT'!A28))+(COUNTIF('INSTANCE C1'!$A$7:$A$50,'IB TRANSPORT'!A28))+(COUNTIF('INSTANCE C2'!$A$7:$A$50,'IB TRANSPORT'!A28))+(COUNTIF(INTERNES!$A$7:$A$50,'IB TRANSPORT'!A28))+(COUNTIF('EN PANNE'!$A$7:$A$50,'IB TRANSPORT'!A28))+(COUNTIF(TJM!$A$7:$A$50,'IB TRANSPORT'!A28))-C28</f>
        <v>0</v>
      </c>
      <c r="C28" s="23">
        <f>(COUNTIF('2S EXPRESS'!$G$7:$G$50,'IB TRANSPORT'!A28))+(COUNTIF('2 ZT'!$G$7:$G$50,'IB TRANSPORT'!A28))+(COUNTIF('GO TRANSPORT'!$G$7:$G$50,'IB TRANSPORT'!A28))+(COUNTIF('IB TRANSPORT'!$G$7:$G$50,'IB TRANSPORT'!A28))+(COUNTIF('EN PANNE'!$G$7:$G$50,'IB TRANSPORT'!A28))+(COUNTIF(JSL!$G$7:$G$50,'IB TRANSPORT'!A28))+(COUNTIF(KIFAITOUT!$G$7:$G$50,'IB TRANSPORT'!A28))+(COUNTIF('LUXE DRIVE'!$G$7:$G$50,'IB TRANSPORT'!A28))+(COUNTIF(SSN!$G$7:$G$50,'IB TRANSPORT'!A28))+(COUNTIF('W3'!$G$7:$G$50,'IB TRANSPORT'!A28))+(COUNTIF('ATHIS MONS'!$G$7:$G$50,'IB TRANSPORT'!A28))+(COUNTIF('L HAY LES ROSES'!$G$7:$G$50,'IB TRANSPORT'!A28))+(COUNTIF(RUNGIS!$G$7:$G$50,'IB TRANSPORT'!A28))+(COUNTIF(SCEAUX!$G$7:$G$50,'IB TRANSPORT'!A28))+(COUNTIF('INSTANCE C1'!$G$7:$G$50,'IB TRANSPORT'!A28))+(COUNTIF('INSTANCE C2'!$G$7:$G$50,'IB TRANSPORT'!A28))+(COUNTIF(INTERNES!$G$7:$G$50,'IB TRANSPORT'!A28))+(COUNTIF('EN PANNE'!$G$7:$G$50,'IB TRANSPORT'!A28))+(COUNTIF(TJM!$G$7:$G$50,'IB TRANSPORT'!A28))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EXPRESS'!$G$7:$G$50,'IB TRANSPORT'!G28))+(COUNTIF('2 ZT'!$G$7:$G$50,'IB TRANSPORT'!G28))+(COUNTIF('GO TRANSPORT'!$G$7:$G$50,'IB TRANSPORT'!G28))+(COUNTIF('HMZ - KAIS'!$G$7:$G$50,'IB TRANSPORT'!G28))+(COUNTIF('IB TRANSPORT'!$G$7:$G$50,'IB TRANSPORT'!G28))+(COUNTIF(JSL!$G$7:$G$50,'IB TRANSPORT'!G28))+(COUNTIF(KIFAITOUT!$G$7:$G$50,'IB TRANSPORT'!G28))+(COUNTIF('LUXE DRIVE'!$G$7:$G$50,'IB TRANSPORT'!G28))+(COUNTIF(SSN!$G$7:$G$50,'IB TRANSPORT'!G28))+(COUNTIF('W3'!$G$7:$G$50,'IB TRANSPORT'!G28))+(COUNTIF('ATHIS MONS'!$G$7:$G$50,'IB TRANSPORT'!G28))+(COUNTIF('L HAY LES ROSES'!$G$7:$G$50,'IB TRANSPORT'!G28))+(COUNTIF(RUNGIS!$G$7:$G$50,'IB TRANSPORT'!G28))+(COUNTIF(SCEAUX!$G$7:$G$50,'IB TRANSPORT'!G28))+(COUNTIF('INSTANCE C1'!$G$7:$G$50,'IB TRANSPORT'!G28))+(COUNTIF('INSTANCE C2'!$G$7:$G$50,'IB TRANSPORT'!G28))+(COUNTIF(INTERNES!$G$7:$G$50,'IB TRANSPORT'!G28))+(COUNTIF('EN PANNE'!$G$7:$G$50,'IB TRANSPORT'!G28))+(COUNTIF(TJM!$G$7:$G$50,'IB TRANSPORT'!G28))-I28</f>
        <v>0</v>
      </c>
      <c r="I28" s="23">
        <f>(COUNTIF('2S EXPRESS'!$A$7:$A$50,'IB TRANSPORT'!G28))+(COUNTIF('2 ZT'!$A$7:$A$50,'IB TRANSPORT'!G28))+(COUNTIF('GO TRANSPORT'!$A$7:$A$50,'IB TRANSPORT'!G28))+(COUNTIF('HMZ - KAIS'!$A$7:$A$50,'IB TRANSPORT'!G28))+(COUNTIF('IB TRANSPORT'!$A$7:$A$50,'IB TRANSPORT'!G28))+(COUNTIF(JSL!$A$7:$A$50,'IB TRANSPORT'!G28))+(COUNTIF(KIFAITOUT!$A$7:$A$50,'IB TRANSPORT'!G28))+(COUNTIF('LUXE DRIVE'!$A$7:$A$50,'IB TRANSPORT'!G28))+(COUNTIF(SSN!$A$7:$A$50,'IB TRANSPORT'!G28))+(COUNTIF('W3'!$A$7:$A$50,'IB TRANSPORT'!G28))+(COUNTIF('ATHIS MONS'!$A$7:$A$50,'IB TRANSPORT'!G28))+(COUNTIF('L HAY LES ROSES'!$A$7:$A$50,'IB TRANSPORT'!G28))+(COUNTIF(RUNGIS!$A$7:$A$50,'IB TRANSPORT'!G28))+(COUNTIF(SCEAUX!$A$7:$A$50,'IB TRANSPORT'!G28))+(COUNTIF('INSTANCE C1'!$A$7:$A$50,'IB TRANSPORT'!G28))+(COUNTIF('INSTANCE C2'!$A$7:$A$50,'IB TRANSPORT'!G28))+(COUNTIF(INTERNES!$A$7:$A$50,'IB TRANSPORT'!G28))+(COUNTIF('EN PANNE'!$A$7:$A$50,'IB TRANSPORT'!G28))+(COUNTIF(TJM!$A$7:$A$50,'IB TRANSPORT'!G28))</f>
        <v>0</v>
      </c>
      <c r="J28" s="28">
        <f t="shared" si="4"/>
        <v>0</v>
      </c>
      <c r="K28" s="2"/>
      <c r="L28" s="47"/>
      <c r="S28" s="60">
        <f t="shared" si="1"/>
        <v>0</v>
      </c>
      <c r="T28" s="67">
        <f t="shared" si="2"/>
        <v>0</v>
      </c>
    </row>
    <row r="29" spans="1:20" ht="24.95" customHeight="1" x14ac:dyDescent="0.2">
      <c r="A29" s="20"/>
      <c r="B29" s="23">
        <f>(COUNTIF('2S EXPRESS'!$A$7:$A$50,'IB TRANSPORT'!A29))+(COUNTIF('2 ZT'!$A$7:$A$50,'IB TRANSPORT'!A29))+(COUNTIF('GO TRANSPORT'!$A$7:$A$50,'IB TRANSPORT'!A29))+(COUNTIF('HMZ - KAIS'!$A$7:$A$50,'IB TRANSPORT'!A29))+(COUNTIF('IB TRANSPORT'!$A$7:$A$50,'IB TRANSPORT'!A29))+(COUNTIF(JSL!$A$7:$A$50,'IB TRANSPORT'!A29))+(COUNTIF(KIFAITOUT!$A$7:$A$50,'IB TRANSPORT'!A29))+(COUNTIF('LUXE DRIVE'!$A$7:$A$50,'IB TRANSPORT'!A29))+(COUNTIF(SSN!$A$7:$A$50,'IB TRANSPORT'!A29))+(COUNTIF('W3'!$A$7:$A$50,'IB TRANSPORT'!A29))+(COUNTIF('ATHIS MONS'!$A$7:$A$50,'IB TRANSPORT'!A29))+(COUNTIF('L HAY LES ROSES'!$A$7:$A$50,'IB TRANSPORT'!A29))+(COUNTIF(RUNGIS!$A$7:$A$50,'IB TRANSPORT'!A29))+(COUNTIF(SCEAUX!$A$7:$A$50,'IB TRANSPORT'!A29))+(COUNTIF('INSTANCE C1'!$A$7:$A$50,'IB TRANSPORT'!A29))+(COUNTIF('INSTANCE C2'!$A$7:$A$50,'IB TRANSPORT'!A29))+(COUNTIF(INTERNES!$A$7:$A$50,'IB TRANSPORT'!A29))+(COUNTIF('EN PANNE'!$A$7:$A$50,'IB TRANSPORT'!A29))+(COUNTIF(TJM!$A$7:$A$50,'IB TRANSPORT'!A29))-C29</f>
        <v>0</v>
      </c>
      <c r="C29" s="23">
        <f>(COUNTIF('2S EXPRESS'!$G$7:$G$50,'IB TRANSPORT'!A29))+(COUNTIF('2 ZT'!$G$7:$G$50,'IB TRANSPORT'!A29))+(COUNTIF('GO TRANSPORT'!$G$7:$G$50,'IB TRANSPORT'!A29))+(COUNTIF('IB TRANSPORT'!$G$7:$G$50,'IB TRANSPORT'!A29))+(COUNTIF('EN PANNE'!$G$7:$G$50,'IB TRANSPORT'!A29))+(COUNTIF(JSL!$G$7:$G$50,'IB TRANSPORT'!A29))+(COUNTIF(KIFAITOUT!$G$7:$G$50,'IB TRANSPORT'!A29))+(COUNTIF('LUXE DRIVE'!$G$7:$G$50,'IB TRANSPORT'!A29))+(COUNTIF(SSN!$G$7:$G$50,'IB TRANSPORT'!A29))+(COUNTIF('W3'!$G$7:$G$50,'IB TRANSPORT'!A29))+(COUNTIF('ATHIS MONS'!$G$7:$G$50,'IB TRANSPORT'!A29))+(COUNTIF('L HAY LES ROSES'!$G$7:$G$50,'IB TRANSPORT'!A29))+(COUNTIF(RUNGIS!$G$7:$G$50,'IB TRANSPORT'!A29))+(COUNTIF(SCEAUX!$G$7:$G$50,'IB TRANSPORT'!A29))+(COUNTIF('INSTANCE C1'!$G$7:$G$50,'IB TRANSPORT'!A29))+(COUNTIF('INSTANCE C2'!$G$7:$G$50,'IB TRANSPORT'!A29))+(COUNTIF(INTERNES!$G$7:$G$50,'IB TRANSPORT'!A29))+(COUNTIF('EN PANNE'!$G$7:$G$50,'IB TRANSPORT'!A29))+(COUNTIF(TJM!$G$7:$G$50,'IB TRANSPORT'!A29))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EXPRESS'!$G$7:$G$50,'IB TRANSPORT'!G29))+(COUNTIF('2 ZT'!$G$7:$G$50,'IB TRANSPORT'!G29))+(COUNTIF('GO TRANSPORT'!$G$7:$G$50,'IB TRANSPORT'!G29))+(COUNTIF('HMZ - KAIS'!$G$7:$G$50,'IB TRANSPORT'!G29))+(COUNTIF('IB TRANSPORT'!$G$7:$G$50,'IB TRANSPORT'!G29))+(COUNTIF(JSL!$G$7:$G$50,'IB TRANSPORT'!G29))+(COUNTIF(KIFAITOUT!$G$7:$G$50,'IB TRANSPORT'!G29))+(COUNTIF('LUXE DRIVE'!$G$7:$G$50,'IB TRANSPORT'!G29))+(COUNTIF(SSN!$G$7:$G$50,'IB TRANSPORT'!G29))+(COUNTIF('W3'!$G$7:$G$50,'IB TRANSPORT'!G29))+(COUNTIF('ATHIS MONS'!$G$7:$G$50,'IB TRANSPORT'!G29))+(COUNTIF('L HAY LES ROSES'!$G$7:$G$50,'IB TRANSPORT'!G29))+(COUNTIF(RUNGIS!$G$7:$G$50,'IB TRANSPORT'!G29))+(COUNTIF(SCEAUX!$G$7:$G$50,'IB TRANSPORT'!G29))+(COUNTIF('INSTANCE C1'!$G$7:$G$50,'IB TRANSPORT'!G29))+(COUNTIF('INSTANCE C2'!$G$7:$G$50,'IB TRANSPORT'!G29))+(COUNTIF(INTERNES!$G$7:$G$50,'IB TRANSPORT'!G29))+(COUNTIF('EN PANNE'!$G$7:$G$50,'IB TRANSPORT'!G29))+(COUNTIF(TJM!$G$7:$G$50,'IB TRANSPORT'!G29))-I29</f>
        <v>0</v>
      </c>
      <c r="I29" s="23">
        <f>(COUNTIF('2S EXPRESS'!$A$7:$A$50,'IB TRANSPORT'!G29))+(COUNTIF('2 ZT'!$A$7:$A$50,'IB TRANSPORT'!G29))+(COUNTIF('GO TRANSPORT'!$A$7:$A$50,'IB TRANSPORT'!G29))+(COUNTIF('HMZ - KAIS'!$A$7:$A$50,'IB TRANSPORT'!G29))+(COUNTIF('IB TRANSPORT'!$A$7:$A$50,'IB TRANSPORT'!G29))+(COUNTIF(JSL!$A$7:$A$50,'IB TRANSPORT'!G29))+(COUNTIF(KIFAITOUT!$A$7:$A$50,'IB TRANSPORT'!G29))+(COUNTIF('LUXE DRIVE'!$A$7:$A$50,'IB TRANSPORT'!G29))+(COUNTIF(SSN!$A$7:$A$50,'IB TRANSPORT'!G29))+(COUNTIF('W3'!$A$7:$A$50,'IB TRANSPORT'!G29))+(COUNTIF('ATHIS MONS'!$A$7:$A$50,'IB TRANSPORT'!G29))+(COUNTIF('L HAY LES ROSES'!$A$7:$A$50,'IB TRANSPORT'!G29))+(COUNTIF(RUNGIS!$A$7:$A$50,'IB TRANSPORT'!G29))+(COUNTIF(SCEAUX!$A$7:$A$50,'IB TRANSPORT'!G29))+(COUNTIF('INSTANCE C1'!$A$7:$A$50,'IB TRANSPORT'!G29))+(COUNTIF('INSTANCE C2'!$A$7:$A$50,'IB TRANSPORT'!G29))+(COUNTIF(INTERNES!$A$7:$A$50,'IB TRANSPORT'!G29))+(COUNTIF('EN PANNE'!$A$7:$A$50,'IB TRANSPORT'!G29))+(COUNTIF(TJM!$A$7:$A$50,'IB TRANSPORT'!G29))</f>
        <v>0</v>
      </c>
      <c r="J29" s="28">
        <f t="shared" si="4"/>
        <v>0</v>
      </c>
      <c r="K29" s="2"/>
      <c r="L29" s="47"/>
      <c r="S29" s="60">
        <f t="shared" si="1"/>
        <v>0</v>
      </c>
      <c r="T29" s="67">
        <f t="shared" si="2"/>
        <v>0</v>
      </c>
    </row>
    <row r="30" spans="1:20" ht="24.95" customHeight="1" x14ac:dyDescent="0.2">
      <c r="A30" s="20"/>
      <c r="B30" s="23">
        <f>(COUNTIF('2S EXPRESS'!$A$7:$A$50,'IB TRANSPORT'!A30))+(COUNTIF('2 ZT'!$A$7:$A$50,'IB TRANSPORT'!A30))+(COUNTIF('GO TRANSPORT'!$A$7:$A$50,'IB TRANSPORT'!A30))+(COUNTIF('HMZ - KAIS'!$A$7:$A$50,'IB TRANSPORT'!A30))+(COUNTIF('IB TRANSPORT'!$A$7:$A$50,'IB TRANSPORT'!A30))+(COUNTIF(JSL!$A$7:$A$50,'IB TRANSPORT'!A30))+(COUNTIF(KIFAITOUT!$A$7:$A$50,'IB TRANSPORT'!A30))+(COUNTIF('LUXE DRIVE'!$A$7:$A$50,'IB TRANSPORT'!A30))+(COUNTIF(SSN!$A$7:$A$50,'IB TRANSPORT'!A30))+(COUNTIF('W3'!$A$7:$A$50,'IB TRANSPORT'!A30))+(COUNTIF('ATHIS MONS'!$A$7:$A$50,'IB TRANSPORT'!A30))+(COUNTIF('L HAY LES ROSES'!$A$7:$A$50,'IB TRANSPORT'!A30))+(COUNTIF(RUNGIS!$A$7:$A$50,'IB TRANSPORT'!A30))+(COUNTIF(SCEAUX!$A$7:$A$50,'IB TRANSPORT'!A30))+(COUNTIF('INSTANCE C1'!$A$7:$A$50,'IB TRANSPORT'!A30))+(COUNTIF('INSTANCE C2'!$A$7:$A$50,'IB TRANSPORT'!A30))+(COUNTIF(INTERNES!$A$7:$A$50,'IB TRANSPORT'!A30))+(COUNTIF('EN PANNE'!$A$7:$A$50,'IB TRANSPORT'!A30))+(COUNTIF(TJM!$A$7:$A$50,'IB TRANSPORT'!A30))-C30</f>
        <v>0</v>
      </c>
      <c r="C30" s="23">
        <f>(COUNTIF('2S EXPRESS'!$G$7:$G$50,'IB TRANSPORT'!A30))+(COUNTIF('2 ZT'!$G$7:$G$50,'IB TRANSPORT'!A30))+(COUNTIF('GO TRANSPORT'!$G$7:$G$50,'IB TRANSPORT'!A30))+(COUNTIF('IB TRANSPORT'!$G$7:$G$50,'IB TRANSPORT'!A30))+(COUNTIF('EN PANNE'!$G$7:$G$50,'IB TRANSPORT'!A30))+(COUNTIF(JSL!$G$7:$G$50,'IB TRANSPORT'!A30))+(COUNTIF(KIFAITOUT!$G$7:$G$50,'IB TRANSPORT'!A30))+(COUNTIF('LUXE DRIVE'!$G$7:$G$50,'IB TRANSPORT'!A30))+(COUNTIF(SSN!$G$7:$G$50,'IB TRANSPORT'!A30))+(COUNTIF('W3'!$G$7:$G$50,'IB TRANSPORT'!A30))+(COUNTIF('ATHIS MONS'!$G$7:$G$50,'IB TRANSPORT'!A30))+(COUNTIF('L HAY LES ROSES'!$G$7:$G$50,'IB TRANSPORT'!A30))+(COUNTIF(RUNGIS!$G$7:$G$50,'IB TRANSPORT'!A30))+(COUNTIF(SCEAUX!$G$7:$G$50,'IB TRANSPORT'!A30))+(COUNTIF('INSTANCE C1'!$G$7:$G$50,'IB TRANSPORT'!A30))+(COUNTIF('INSTANCE C2'!$G$7:$G$50,'IB TRANSPORT'!A30))+(COUNTIF(INTERNES!$G$7:$G$50,'IB TRANSPORT'!A30))+(COUNTIF('EN PANNE'!$G$7:$G$50,'IB TRANSPORT'!A30))+(COUNTIF(TJM!$G$7:$G$50,'IB TRANSPORT'!A30))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EXPRESS'!$G$7:$G$50,'IB TRANSPORT'!G30))+(COUNTIF('2 ZT'!$G$7:$G$50,'IB TRANSPORT'!G30))+(COUNTIF('GO TRANSPORT'!$G$7:$G$50,'IB TRANSPORT'!G30))+(COUNTIF('HMZ - KAIS'!$G$7:$G$50,'IB TRANSPORT'!G30))+(COUNTIF('IB TRANSPORT'!$G$7:$G$50,'IB TRANSPORT'!G30))+(COUNTIF(JSL!$G$7:$G$50,'IB TRANSPORT'!G30))+(COUNTIF(KIFAITOUT!$G$7:$G$50,'IB TRANSPORT'!G30))+(COUNTIF('LUXE DRIVE'!$G$7:$G$50,'IB TRANSPORT'!G30))+(COUNTIF(SSN!$G$7:$G$50,'IB TRANSPORT'!G30))+(COUNTIF('W3'!$G$7:$G$50,'IB TRANSPORT'!G30))+(COUNTIF('ATHIS MONS'!$G$7:$G$50,'IB TRANSPORT'!G30))+(COUNTIF('L HAY LES ROSES'!$G$7:$G$50,'IB TRANSPORT'!G30))+(COUNTIF(RUNGIS!$G$7:$G$50,'IB TRANSPORT'!G30))+(COUNTIF(SCEAUX!$G$7:$G$50,'IB TRANSPORT'!G30))+(COUNTIF('INSTANCE C1'!$G$7:$G$50,'IB TRANSPORT'!G30))+(COUNTIF('INSTANCE C2'!$G$7:$G$50,'IB TRANSPORT'!G30))+(COUNTIF(INTERNES!$G$7:$G$50,'IB TRANSPORT'!G30))+(COUNTIF('EN PANNE'!$G$7:$G$50,'IB TRANSPORT'!G30))+(COUNTIF(TJM!$G$7:$G$50,'IB TRANSPORT'!G30))-I30</f>
        <v>0</v>
      </c>
      <c r="I30" s="23">
        <f>(COUNTIF('2S EXPRESS'!$A$7:$A$50,'IB TRANSPORT'!G30))+(COUNTIF('2 ZT'!$A$7:$A$50,'IB TRANSPORT'!G30))+(COUNTIF('GO TRANSPORT'!$A$7:$A$50,'IB TRANSPORT'!G30))+(COUNTIF('HMZ - KAIS'!$A$7:$A$50,'IB TRANSPORT'!G30))+(COUNTIF('IB TRANSPORT'!$A$7:$A$50,'IB TRANSPORT'!G30))+(COUNTIF(JSL!$A$7:$A$50,'IB TRANSPORT'!G30))+(COUNTIF(KIFAITOUT!$A$7:$A$50,'IB TRANSPORT'!G30))+(COUNTIF('LUXE DRIVE'!$A$7:$A$50,'IB TRANSPORT'!G30))+(COUNTIF(SSN!$A$7:$A$50,'IB TRANSPORT'!G30))+(COUNTIF('W3'!$A$7:$A$50,'IB TRANSPORT'!G30))+(COUNTIF('ATHIS MONS'!$A$7:$A$50,'IB TRANSPORT'!G30))+(COUNTIF('L HAY LES ROSES'!$A$7:$A$50,'IB TRANSPORT'!G30))+(COUNTIF(RUNGIS!$A$7:$A$50,'IB TRANSPORT'!G30))+(COUNTIF(SCEAUX!$A$7:$A$50,'IB TRANSPORT'!G30))+(COUNTIF('INSTANCE C1'!$A$7:$A$50,'IB TRANSPORT'!G30))+(COUNTIF('INSTANCE C2'!$A$7:$A$50,'IB TRANSPORT'!G30))+(COUNTIF(INTERNES!$A$7:$A$50,'IB TRANSPORT'!G30))+(COUNTIF('EN PANNE'!$A$7:$A$50,'IB TRANSPORT'!G30))+(COUNTIF(TJM!$A$7:$A$50,'IB TRANSPORT'!G30))</f>
        <v>0</v>
      </c>
      <c r="J30" s="28">
        <f t="shared" si="4"/>
        <v>0</v>
      </c>
      <c r="K30" s="2"/>
      <c r="L30" s="47"/>
      <c r="S30" s="60">
        <f t="shared" si="1"/>
        <v>0</v>
      </c>
      <c r="T30" s="67">
        <f t="shared" si="2"/>
        <v>0</v>
      </c>
    </row>
    <row r="31" spans="1:20" ht="24.95" customHeight="1" x14ac:dyDescent="0.2">
      <c r="A31" s="20"/>
      <c r="B31" s="23">
        <f>(COUNTIF('2S EXPRESS'!$A$7:$A$50,'IB TRANSPORT'!A31))+(COUNTIF('2 ZT'!$A$7:$A$50,'IB TRANSPORT'!A31))+(COUNTIF('GO TRANSPORT'!$A$7:$A$50,'IB TRANSPORT'!A31))+(COUNTIF('HMZ - KAIS'!$A$7:$A$50,'IB TRANSPORT'!A31))+(COUNTIF('IB TRANSPORT'!$A$7:$A$50,'IB TRANSPORT'!A31))+(COUNTIF(JSL!$A$7:$A$50,'IB TRANSPORT'!A31))+(COUNTIF(KIFAITOUT!$A$7:$A$50,'IB TRANSPORT'!A31))+(COUNTIF('LUXE DRIVE'!$A$7:$A$50,'IB TRANSPORT'!A31))+(COUNTIF(SSN!$A$7:$A$50,'IB TRANSPORT'!A31))+(COUNTIF('W3'!$A$7:$A$50,'IB TRANSPORT'!A31))+(COUNTIF('ATHIS MONS'!$A$7:$A$50,'IB TRANSPORT'!A31))+(COUNTIF('L HAY LES ROSES'!$A$7:$A$50,'IB TRANSPORT'!A31))+(COUNTIF(RUNGIS!$A$7:$A$50,'IB TRANSPORT'!A31))+(COUNTIF(SCEAUX!$A$7:$A$50,'IB TRANSPORT'!A31))+(COUNTIF('INSTANCE C1'!$A$7:$A$50,'IB TRANSPORT'!A31))+(COUNTIF('INSTANCE C2'!$A$7:$A$50,'IB TRANSPORT'!A31))+(COUNTIF(INTERNES!$A$7:$A$50,'IB TRANSPORT'!A31))+(COUNTIF('EN PANNE'!$A$7:$A$50,'IB TRANSPORT'!A31))+(COUNTIF(TJM!$A$7:$A$50,'IB TRANSPORT'!A31))-C31</f>
        <v>0</v>
      </c>
      <c r="C31" s="23">
        <f>(COUNTIF('2S EXPRESS'!$G$7:$G$50,'IB TRANSPORT'!A31))+(COUNTIF('2 ZT'!$G$7:$G$50,'IB TRANSPORT'!A31))+(COUNTIF('GO TRANSPORT'!$G$7:$G$50,'IB TRANSPORT'!A31))+(COUNTIF('IB TRANSPORT'!$G$7:$G$50,'IB TRANSPORT'!A31))+(COUNTIF('EN PANNE'!$G$7:$G$50,'IB TRANSPORT'!A31))+(COUNTIF(JSL!$G$7:$G$50,'IB TRANSPORT'!A31))+(COUNTIF(KIFAITOUT!$G$7:$G$50,'IB TRANSPORT'!A31))+(COUNTIF('LUXE DRIVE'!$G$7:$G$50,'IB TRANSPORT'!A31))+(COUNTIF(SSN!$G$7:$G$50,'IB TRANSPORT'!A31))+(COUNTIF('W3'!$G$7:$G$50,'IB TRANSPORT'!A31))+(COUNTIF('ATHIS MONS'!$G$7:$G$50,'IB TRANSPORT'!A31))+(COUNTIF('L HAY LES ROSES'!$G$7:$G$50,'IB TRANSPORT'!A31))+(COUNTIF(RUNGIS!$G$7:$G$50,'IB TRANSPORT'!A31))+(COUNTIF(SCEAUX!$G$7:$G$50,'IB TRANSPORT'!A31))+(COUNTIF('INSTANCE C1'!$G$7:$G$50,'IB TRANSPORT'!A31))+(COUNTIF('INSTANCE C2'!$G$7:$G$50,'IB TRANSPORT'!A31))+(COUNTIF(INTERNES!$G$7:$G$50,'IB TRANSPORT'!A31))+(COUNTIF('EN PANNE'!$G$7:$G$50,'IB TRANSPORT'!A31))+(COUNTIF(TJM!$G$7:$G$50,'IB TRANSPORT'!A31))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EXPRESS'!$G$7:$G$50,'IB TRANSPORT'!G31))+(COUNTIF('2 ZT'!$G$7:$G$50,'IB TRANSPORT'!G31))+(COUNTIF('GO TRANSPORT'!$G$7:$G$50,'IB TRANSPORT'!G31))+(COUNTIF('HMZ - KAIS'!$G$7:$G$50,'IB TRANSPORT'!G31))+(COUNTIF('IB TRANSPORT'!$G$7:$G$50,'IB TRANSPORT'!G31))+(COUNTIF(JSL!$G$7:$G$50,'IB TRANSPORT'!G31))+(COUNTIF(KIFAITOUT!$G$7:$G$50,'IB TRANSPORT'!G31))+(COUNTIF('LUXE DRIVE'!$G$7:$G$50,'IB TRANSPORT'!G31))+(COUNTIF(SSN!$G$7:$G$50,'IB TRANSPORT'!G31))+(COUNTIF('W3'!$G$7:$G$50,'IB TRANSPORT'!G31))+(COUNTIF('ATHIS MONS'!$G$7:$G$50,'IB TRANSPORT'!G31))+(COUNTIF('L HAY LES ROSES'!$G$7:$G$50,'IB TRANSPORT'!G31))+(COUNTIF(RUNGIS!$G$7:$G$50,'IB TRANSPORT'!G31))+(COUNTIF(SCEAUX!$G$7:$G$50,'IB TRANSPORT'!G31))+(COUNTIF('INSTANCE C1'!$G$7:$G$50,'IB TRANSPORT'!G31))+(COUNTIF('INSTANCE C2'!$G$7:$G$50,'IB TRANSPORT'!G31))+(COUNTIF(INTERNES!$G$7:$G$50,'IB TRANSPORT'!G31))+(COUNTIF('EN PANNE'!$G$7:$G$50,'IB TRANSPORT'!G31))+(COUNTIF(TJM!$G$7:$G$50,'IB TRANSPORT'!G31))-I31</f>
        <v>0</v>
      </c>
      <c r="I31" s="23">
        <f>(COUNTIF('2S EXPRESS'!$A$7:$A$50,'IB TRANSPORT'!G31))+(COUNTIF('2 ZT'!$A$7:$A$50,'IB TRANSPORT'!G31))+(COUNTIF('GO TRANSPORT'!$A$7:$A$50,'IB TRANSPORT'!G31))+(COUNTIF('HMZ - KAIS'!$A$7:$A$50,'IB TRANSPORT'!G31))+(COUNTIF('IB TRANSPORT'!$A$7:$A$50,'IB TRANSPORT'!G31))+(COUNTIF(JSL!$A$7:$A$50,'IB TRANSPORT'!G31))+(COUNTIF(KIFAITOUT!$A$7:$A$50,'IB TRANSPORT'!G31))+(COUNTIF('LUXE DRIVE'!$A$7:$A$50,'IB TRANSPORT'!G31))+(COUNTIF(SSN!$A$7:$A$50,'IB TRANSPORT'!G31))+(COUNTIF('W3'!$A$7:$A$50,'IB TRANSPORT'!G31))+(COUNTIF('ATHIS MONS'!$A$7:$A$50,'IB TRANSPORT'!G31))+(COUNTIF('L HAY LES ROSES'!$A$7:$A$50,'IB TRANSPORT'!G31))+(COUNTIF(RUNGIS!$A$7:$A$50,'IB TRANSPORT'!G31))+(COUNTIF(SCEAUX!$A$7:$A$50,'IB TRANSPORT'!G31))+(COUNTIF('INSTANCE C1'!$A$7:$A$50,'IB TRANSPORT'!G31))+(COUNTIF('INSTANCE C2'!$A$7:$A$50,'IB TRANSPORT'!G31))+(COUNTIF(INTERNES!$A$7:$A$50,'IB TRANSPORT'!G31))+(COUNTIF('EN PANNE'!$A$7:$A$50,'IB TRANSPORT'!G31))+(COUNTIF(TJM!$A$7:$A$50,'IB TRANSPORT'!G31))</f>
        <v>0</v>
      </c>
      <c r="J31" s="28">
        <f t="shared" si="4"/>
        <v>0</v>
      </c>
      <c r="K31" s="2"/>
      <c r="L31" s="47"/>
      <c r="S31" s="60">
        <f t="shared" si="1"/>
        <v>0</v>
      </c>
      <c r="T31" s="67">
        <f t="shared" si="2"/>
        <v>0</v>
      </c>
    </row>
    <row r="32" spans="1:20" ht="24.95" customHeight="1" x14ac:dyDescent="0.2">
      <c r="A32" s="20"/>
      <c r="B32" s="23">
        <f>(COUNTIF('2S EXPRESS'!$A$7:$A$50,'IB TRANSPORT'!A32))+(COUNTIF('2 ZT'!$A$7:$A$50,'IB TRANSPORT'!A32))+(COUNTIF('GO TRANSPORT'!$A$7:$A$50,'IB TRANSPORT'!A32))+(COUNTIF('HMZ - KAIS'!$A$7:$A$50,'IB TRANSPORT'!A32))+(COUNTIF('IB TRANSPORT'!$A$7:$A$50,'IB TRANSPORT'!A32))+(COUNTIF(JSL!$A$7:$A$50,'IB TRANSPORT'!A32))+(COUNTIF(KIFAITOUT!$A$7:$A$50,'IB TRANSPORT'!A32))+(COUNTIF('LUXE DRIVE'!$A$7:$A$50,'IB TRANSPORT'!A32))+(COUNTIF(SSN!$A$7:$A$50,'IB TRANSPORT'!A32))+(COUNTIF('W3'!$A$7:$A$50,'IB TRANSPORT'!A32))+(COUNTIF('ATHIS MONS'!$A$7:$A$50,'IB TRANSPORT'!A32))+(COUNTIF('L HAY LES ROSES'!$A$7:$A$50,'IB TRANSPORT'!A32))+(COUNTIF(RUNGIS!$A$7:$A$50,'IB TRANSPORT'!A32))+(COUNTIF(SCEAUX!$A$7:$A$50,'IB TRANSPORT'!A32))+(COUNTIF('INSTANCE C1'!$A$7:$A$50,'IB TRANSPORT'!A32))+(COUNTIF('INSTANCE C2'!$A$7:$A$50,'IB TRANSPORT'!A32))+(COUNTIF(INTERNES!$A$7:$A$50,'IB TRANSPORT'!A32))+(COUNTIF('EN PANNE'!$A$7:$A$50,'IB TRANSPORT'!A32))+(COUNTIF(TJM!$A$7:$A$50,'IB TRANSPORT'!A32))-C32</f>
        <v>0</v>
      </c>
      <c r="C32" s="23">
        <f>(COUNTIF('2S EXPRESS'!$G$7:$G$50,'IB TRANSPORT'!A32))+(COUNTIF('2 ZT'!$G$7:$G$50,'IB TRANSPORT'!A32))+(COUNTIF('GO TRANSPORT'!$G$7:$G$50,'IB TRANSPORT'!A32))+(COUNTIF('IB TRANSPORT'!$G$7:$G$50,'IB TRANSPORT'!A32))+(COUNTIF('EN PANNE'!$G$7:$G$50,'IB TRANSPORT'!A32))+(COUNTIF(JSL!$G$7:$G$50,'IB TRANSPORT'!A32))+(COUNTIF(KIFAITOUT!$G$7:$G$50,'IB TRANSPORT'!A32))+(COUNTIF('LUXE DRIVE'!$G$7:$G$50,'IB TRANSPORT'!A32))+(COUNTIF(SSN!$G$7:$G$50,'IB TRANSPORT'!A32))+(COUNTIF('W3'!$G$7:$G$50,'IB TRANSPORT'!A32))+(COUNTIF('ATHIS MONS'!$G$7:$G$50,'IB TRANSPORT'!A32))+(COUNTIF('L HAY LES ROSES'!$G$7:$G$50,'IB TRANSPORT'!A32))+(COUNTIF(RUNGIS!$G$7:$G$50,'IB TRANSPORT'!A32))+(COUNTIF(SCEAUX!$G$7:$G$50,'IB TRANSPORT'!A32))+(COUNTIF('INSTANCE C1'!$G$7:$G$50,'IB TRANSPORT'!A32))+(COUNTIF('INSTANCE C2'!$G$7:$G$50,'IB TRANSPORT'!A32))+(COUNTIF(INTERNES!$G$7:$G$50,'IB TRANSPORT'!A32))+(COUNTIF('EN PANNE'!$G$7:$G$50,'IB TRANSPORT'!A32))+(COUNTIF(TJM!$G$7:$G$50,'IB TRANSPORT'!A32))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EXPRESS'!$G$7:$G$50,'IB TRANSPORT'!G32))+(COUNTIF('2 ZT'!$G$7:$G$50,'IB TRANSPORT'!G32))+(COUNTIF('GO TRANSPORT'!$G$7:$G$50,'IB TRANSPORT'!G32))+(COUNTIF('HMZ - KAIS'!$G$7:$G$50,'IB TRANSPORT'!G32))+(COUNTIF('IB TRANSPORT'!$G$7:$G$50,'IB TRANSPORT'!G32))+(COUNTIF(JSL!$G$7:$G$50,'IB TRANSPORT'!G32))+(COUNTIF(KIFAITOUT!$G$7:$G$50,'IB TRANSPORT'!G32))+(COUNTIF('LUXE DRIVE'!$G$7:$G$50,'IB TRANSPORT'!G32))+(COUNTIF(SSN!$G$7:$G$50,'IB TRANSPORT'!G32))+(COUNTIF('W3'!$G$7:$G$50,'IB TRANSPORT'!G32))+(COUNTIF('ATHIS MONS'!$G$7:$G$50,'IB TRANSPORT'!G32))+(COUNTIF('L HAY LES ROSES'!$G$7:$G$50,'IB TRANSPORT'!G32))+(COUNTIF(RUNGIS!$G$7:$G$50,'IB TRANSPORT'!G32))+(COUNTIF(SCEAUX!$G$7:$G$50,'IB TRANSPORT'!G32))+(COUNTIF('INSTANCE C1'!$G$7:$G$50,'IB TRANSPORT'!G32))+(COUNTIF('INSTANCE C2'!$G$7:$G$50,'IB TRANSPORT'!G32))+(COUNTIF(INTERNES!$G$7:$G$50,'IB TRANSPORT'!G32))+(COUNTIF('EN PANNE'!$G$7:$G$50,'IB TRANSPORT'!G32))+(COUNTIF(TJM!$G$7:$G$50,'IB TRANSPORT'!G32))-I32</f>
        <v>0</v>
      </c>
      <c r="I32" s="23">
        <f>(COUNTIF('2S EXPRESS'!$A$7:$A$50,'IB TRANSPORT'!G32))+(COUNTIF('2 ZT'!$A$7:$A$50,'IB TRANSPORT'!G32))+(COUNTIF('GO TRANSPORT'!$A$7:$A$50,'IB TRANSPORT'!G32))+(COUNTIF('HMZ - KAIS'!$A$7:$A$50,'IB TRANSPORT'!G32))+(COUNTIF('IB TRANSPORT'!$A$7:$A$50,'IB TRANSPORT'!G32))+(COUNTIF(JSL!$A$7:$A$50,'IB TRANSPORT'!G32))+(COUNTIF(KIFAITOUT!$A$7:$A$50,'IB TRANSPORT'!G32))+(COUNTIF('LUXE DRIVE'!$A$7:$A$50,'IB TRANSPORT'!G32))+(COUNTIF(SSN!$A$7:$A$50,'IB TRANSPORT'!G32))+(COUNTIF('W3'!$A$7:$A$50,'IB TRANSPORT'!G32))+(COUNTIF('ATHIS MONS'!$A$7:$A$50,'IB TRANSPORT'!G32))+(COUNTIF('L HAY LES ROSES'!$A$7:$A$50,'IB TRANSPORT'!G32))+(COUNTIF(RUNGIS!$A$7:$A$50,'IB TRANSPORT'!G32))+(COUNTIF(SCEAUX!$A$7:$A$50,'IB TRANSPORT'!G32))+(COUNTIF('INSTANCE C1'!$A$7:$A$50,'IB TRANSPORT'!G32))+(COUNTIF('INSTANCE C2'!$A$7:$A$50,'IB TRANSPORT'!G32))+(COUNTIF(INTERNES!$A$7:$A$50,'IB TRANSPORT'!G32))+(COUNTIF('EN PANNE'!$A$7:$A$50,'IB TRANSPORT'!G32))+(COUNTIF(TJM!$A$7:$A$50,'IB TRANSPORT'!G32))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S32" s="60">
        <f t="shared" si="1"/>
        <v>0</v>
      </c>
      <c r="T32" s="67">
        <f t="shared" si="2"/>
        <v>0</v>
      </c>
    </row>
    <row r="33" spans="1:20" ht="24.95" customHeight="1" x14ac:dyDescent="0.2">
      <c r="A33" s="20"/>
      <c r="B33" s="23">
        <f>(COUNTIF('2S EXPRESS'!$A$7:$A$50,'IB TRANSPORT'!A33))+(COUNTIF('2 ZT'!$A$7:$A$50,'IB TRANSPORT'!A33))+(COUNTIF('GO TRANSPORT'!$A$7:$A$50,'IB TRANSPORT'!A33))+(COUNTIF('HMZ - KAIS'!$A$7:$A$50,'IB TRANSPORT'!A33))+(COUNTIF('IB TRANSPORT'!$A$7:$A$50,'IB TRANSPORT'!A33))+(COUNTIF(JSL!$A$7:$A$50,'IB TRANSPORT'!A33))+(COUNTIF(KIFAITOUT!$A$7:$A$50,'IB TRANSPORT'!A33))+(COUNTIF('LUXE DRIVE'!$A$7:$A$50,'IB TRANSPORT'!A33))+(COUNTIF(SSN!$A$7:$A$50,'IB TRANSPORT'!A33))+(COUNTIF('W3'!$A$7:$A$50,'IB TRANSPORT'!A33))+(COUNTIF('ATHIS MONS'!$A$7:$A$50,'IB TRANSPORT'!A33))+(COUNTIF('L HAY LES ROSES'!$A$7:$A$50,'IB TRANSPORT'!A33))+(COUNTIF(RUNGIS!$A$7:$A$50,'IB TRANSPORT'!A33))+(COUNTIF(SCEAUX!$A$7:$A$50,'IB TRANSPORT'!A33))+(COUNTIF('INSTANCE C1'!$A$7:$A$50,'IB TRANSPORT'!A33))+(COUNTIF('INSTANCE C2'!$A$7:$A$50,'IB TRANSPORT'!A33))+(COUNTIF(INTERNES!$A$7:$A$50,'IB TRANSPORT'!A33))+(COUNTIF('EN PANNE'!$A$7:$A$50,'IB TRANSPORT'!A33))+(COUNTIF(TJM!$A$7:$A$50,'IB TRANSPORT'!A33))-C33</f>
        <v>0</v>
      </c>
      <c r="C33" s="23">
        <f>(COUNTIF('2S EXPRESS'!$G$7:$G$50,'IB TRANSPORT'!A33))+(COUNTIF('2 ZT'!$G$7:$G$50,'IB TRANSPORT'!A33))+(COUNTIF('GO TRANSPORT'!$G$7:$G$50,'IB TRANSPORT'!A33))+(COUNTIF('IB TRANSPORT'!$G$7:$G$50,'IB TRANSPORT'!A33))+(COUNTIF('EN PANNE'!$G$7:$G$50,'IB TRANSPORT'!A33))+(COUNTIF(JSL!$G$7:$G$50,'IB TRANSPORT'!A33))+(COUNTIF(KIFAITOUT!$G$7:$G$50,'IB TRANSPORT'!A33))+(COUNTIF('LUXE DRIVE'!$G$7:$G$50,'IB TRANSPORT'!A33))+(COUNTIF(SSN!$G$7:$G$50,'IB TRANSPORT'!A33))+(COUNTIF('W3'!$G$7:$G$50,'IB TRANSPORT'!A33))+(COUNTIF('ATHIS MONS'!$G$7:$G$50,'IB TRANSPORT'!A33))+(COUNTIF('L HAY LES ROSES'!$G$7:$G$50,'IB TRANSPORT'!A33))+(COUNTIF(RUNGIS!$G$7:$G$50,'IB TRANSPORT'!A33))+(COUNTIF(SCEAUX!$G$7:$G$50,'IB TRANSPORT'!A33))+(COUNTIF('INSTANCE C1'!$G$7:$G$50,'IB TRANSPORT'!A33))+(COUNTIF('INSTANCE C2'!$G$7:$G$50,'IB TRANSPORT'!A33))+(COUNTIF(INTERNES!$G$7:$G$50,'IB TRANSPORT'!A33))+(COUNTIF('EN PANNE'!$G$7:$G$50,'IB TRANSPORT'!A33))+(COUNTIF(TJM!$G$7:$G$50,'IB TRANSPORT'!A33))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EXPRESS'!$G$7:$G$50,'IB TRANSPORT'!G33))+(COUNTIF('2 ZT'!$G$7:$G$50,'IB TRANSPORT'!G33))+(COUNTIF('GO TRANSPORT'!$G$7:$G$50,'IB TRANSPORT'!G33))+(COUNTIF('HMZ - KAIS'!$G$7:$G$50,'IB TRANSPORT'!G33))+(COUNTIF('IB TRANSPORT'!$G$7:$G$50,'IB TRANSPORT'!G33))+(COUNTIF(JSL!$G$7:$G$50,'IB TRANSPORT'!G33))+(COUNTIF(KIFAITOUT!$G$7:$G$50,'IB TRANSPORT'!G33))+(COUNTIF('LUXE DRIVE'!$G$7:$G$50,'IB TRANSPORT'!G33))+(COUNTIF(SSN!$G$7:$G$50,'IB TRANSPORT'!G33))+(COUNTIF('W3'!$G$7:$G$50,'IB TRANSPORT'!G33))+(COUNTIF('ATHIS MONS'!$G$7:$G$50,'IB TRANSPORT'!G33))+(COUNTIF('L HAY LES ROSES'!$G$7:$G$50,'IB TRANSPORT'!G33))+(COUNTIF(RUNGIS!$G$7:$G$50,'IB TRANSPORT'!G33))+(COUNTIF(SCEAUX!$G$7:$G$50,'IB TRANSPORT'!G33))+(COUNTIF('INSTANCE C1'!$G$7:$G$50,'IB TRANSPORT'!G33))+(COUNTIF('INSTANCE C2'!$G$7:$G$50,'IB TRANSPORT'!G33))+(COUNTIF(INTERNES!$G$7:$G$50,'IB TRANSPORT'!G33))+(COUNTIF('EN PANNE'!$G$7:$G$50,'IB TRANSPORT'!G33))+(COUNTIF(TJM!$G$7:$G$50,'IB TRANSPORT'!G33))-I33</f>
        <v>0</v>
      </c>
      <c r="I33" s="23">
        <f>(COUNTIF('2S EXPRESS'!$A$7:$A$50,'IB TRANSPORT'!G33))+(COUNTIF('2 ZT'!$A$7:$A$50,'IB TRANSPORT'!G33))+(COUNTIF('GO TRANSPORT'!$A$7:$A$50,'IB TRANSPORT'!G33))+(COUNTIF('HMZ - KAIS'!$A$7:$A$50,'IB TRANSPORT'!G33))+(COUNTIF('IB TRANSPORT'!$A$7:$A$50,'IB TRANSPORT'!G33))+(COUNTIF(JSL!$A$7:$A$50,'IB TRANSPORT'!G33))+(COUNTIF(KIFAITOUT!$A$7:$A$50,'IB TRANSPORT'!G33))+(COUNTIF('LUXE DRIVE'!$A$7:$A$50,'IB TRANSPORT'!G33))+(COUNTIF(SSN!$A$7:$A$50,'IB TRANSPORT'!G33))+(COUNTIF('W3'!$A$7:$A$50,'IB TRANSPORT'!G33))+(COUNTIF('ATHIS MONS'!$A$7:$A$50,'IB TRANSPORT'!G33))+(COUNTIF('L HAY LES ROSES'!$A$7:$A$50,'IB TRANSPORT'!G33))+(COUNTIF(RUNGIS!$A$7:$A$50,'IB TRANSPORT'!G33))+(COUNTIF(SCEAUX!$A$7:$A$50,'IB TRANSPORT'!G33))+(COUNTIF('INSTANCE C1'!$A$7:$A$50,'IB TRANSPORT'!G33))+(COUNTIF('INSTANCE C2'!$A$7:$A$50,'IB TRANSPORT'!G33))+(COUNTIF(INTERNES!$A$7:$A$50,'IB TRANSPORT'!G33))+(COUNTIF('EN PANNE'!$A$7:$A$50,'IB TRANSPORT'!G33))+(COUNTIF(TJM!$A$7:$A$50,'IB TRANSPORT'!G33))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S33" s="60">
        <f t="shared" si="1"/>
        <v>0</v>
      </c>
      <c r="T33" s="67">
        <f t="shared" si="2"/>
        <v>0</v>
      </c>
    </row>
    <row r="34" spans="1:20" ht="24.95" customHeight="1" x14ac:dyDescent="0.2">
      <c r="A34" s="20"/>
      <c r="B34" s="23">
        <f>(COUNTIF('2S EXPRESS'!$A$7:$A$50,'IB TRANSPORT'!A34))+(COUNTIF('2 ZT'!$A$7:$A$50,'IB TRANSPORT'!A34))+(COUNTIF('GO TRANSPORT'!$A$7:$A$50,'IB TRANSPORT'!A34))+(COUNTIF('HMZ - KAIS'!$A$7:$A$50,'IB TRANSPORT'!A34))+(COUNTIF('IB TRANSPORT'!$A$7:$A$50,'IB TRANSPORT'!A34))+(COUNTIF(JSL!$A$7:$A$50,'IB TRANSPORT'!A34))+(COUNTIF(KIFAITOUT!$A$7:$A$50,'IB TRANSPORT'!A34))+(COUNTIF('LUXE DRIVE'!$A$7:$A$50,'IB TRANSPORT'!A34))+(COUNTIF(SSN!$A$7:$A$50,'IB TRANSPORT'!A34))+(COUNTIF('W3'!$A$7:$A$50,'IB TRANSPORT'!A34))+(COUNTIF('ATHIS MONS'!$A$7:$A$50,'IB TRANSPORT'!A34))+(COUNTIF('L HAY LES ROSES'!$A$7:$A$50,'IB TRANSPORT'!A34))+(COUNTIF(RUNGIS!$A$7:$A$50,'IB TRANSPORT'!A34))+(COUNTIF(SCEAUX!$A$7:$A$50,'IB TRANSPORT'!A34))+(COUNTIF('INSTANCE C1'!$A$7:$A$50,'IB TRANSPORT'!A34))+(COUNTIF('INSTANCE C2'!$A$7:$A$50,'IB TRANSPORT'!A34))+(COUNTIF(INTERNES!$A$7:$A$50,'IB TRANSPORT'!A34))+(COUNTIF('EN PANNE'!$A$7:$A$50,'IB TRANSPORT'!A34))+(COUNTIF(TJM!$A$7:$A$50,'IB TRANSPORT'!A34))-C34</f>
        <v>0</v>
      </c>
      <c r="C34" s="23">
        <f>(COUNTIF('2S EXPRESS'!$G$7:$G$50,'IB TRANSPORT'!A34))+(COUNTIF('2 ZT'!$G$7:$G$50,'IB TRANSPORT'!A34))+(COUNTIF('GO TRANSPORT'!$G$7:$G$50,'IB TRANSPORT'!A34))+(COUNTIF('IB TRANSPORT'!$G$7:$G$50,'IB TRANSPORT'!A34))+(COUNTIF('EN PANNE'!$G$7:$G$50,'IB TRANSPORT'!A34))+(COUNTIF(JSL!$G$7:$G$50,'IB TRANSPORT'!A34))+(COUNTIF(KIFAITOUT!$G$7:$G$50,'IB TRANSPORT'!A34))+(COUNTIF('LUXE DRIVE'!$G$7:$G$50,'IB TRANSPORT'!A34))+(COUNTIF(SSN!$G$7:$G$50,'IB TRANSPORT'!A34))+(COUNTIF('W3'!$G$7:$G$50,'IB TRANSPORT'!A34))+(COUNTIF('ATHIS MONS'!$G$7:$G$50,'IB TRANSPORT'!A34))+(COUNTIF('L HAY LES ROSES'!$G$7:$G$50,'IB TRANSPORT'!A34))+(COUNTIF(RUNGIS!$G$7:$G$50,'IB TRANSPORT'!A34))+(COUNTIF(SCEAUX!$G$7:$G$50,'IB TRANSPORT'!A34))+(COUNTIF('INSTANCE C1'!$G$7:$G$50,'IB TRANSPORT'!A34))+(COUNTIF('INSTANCE C2'!$G$7:$G$50,'IB TRANSPORT'!A34))+(COUNTIF(INTERNES!$G$7:$G$50,'IB TRANSPORT'!A34))+(COUNTIF('EN PANNE'!$G$7:$G$50,'IB TRANSPORT'!A34))+(COUNTIF(TJM!$G$7:$G$50,'IB TRANSPORT'!A34))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EXPRESS'!$G$7:$G$50,'IB TRANSPORT'!G34))+(COUNTIF('2 ZT'!$G$7:$G$50,'IB TRANSPORT'!G34))+(COUNTIF('GO TRANSPORT'!$G$7:$G$50,'IB TRANSPORT'!G34))+(COUNTIF('HMZ - KAIS'!$G$7:$G$50,'IB TRANSPORT'!G34))+(COUNTIF('IB TRANSPORT'!$G$7:$G$50,'IB TRANSPORT'!G34))+(COUNTIF(JSL!$G$7:$G$50,'IB TRANSPORT'!G34))+(COUNTIF(KIFAITOUT!$G$7:$G$50,'IB TRANSPORT'!G34))+(COUNTIF('LUXE DRIVE'!$G$7:$G$50,'IB TRANSPORT'!G34))+(COUNTIF(SSN!$G$7:$G$50,'IB TRANSPORT'!G34))+(COUNTIF('W3'!$G$7:$G$50,'IB TRANSPORT'!G34))+(COUNTIF('ATHIS MONS'!$G$7:$G$50,'IB TRANSPORT'!G34))+(COUNTIF('L HAY LES ROSES'!$G$7:$G$50,'IB TRANSPORT'!G34))+(COUNTIF(RUNGIS!$G$7:$G$50,'IB TRANSPORT'!G34))+(COUNTIF(SCEAUX!$G$7:$G$50,'IB TRANSPORT'!G34))+(COUNTIF('INSTANCE C1'!$G$7:$G$50,'IB TRANSPORT'!G34))+(COUNTIF('INSTANCE C2'!$G$7:$G$50,'IB TRANSPORT'!G34))+(COUNTIF(INTERNES!$G$7:$G$50,'IB TRANSPORT'!G34))+(COUNTIF('EN PANNE'!$G$7:$G$50,'IB TRANSPORT'!G34))+(COUNTIF(TJM!$G$7:$G$50,'IB TRANSPORT'!G34))-I34</f>
        <v>0</v>
      </c>
      <c r="I34" s="23">
        <f>(COUNTIF('2S EXPRESS'!$A$7:$A$50,'IB TRANSPORT'!G34))+(COUNTIF('2 ZT'!$A$7:$A$50,'IB TRANSPORT'!G34))+(COUNTIF('GO TRANSPORT'!$A$7:$A$50,'IB TRANSPORT'!G34))+(COUNTIF('HMZ - KAIS'!$A$7:$A$50,'IB TRANSPORT'!G34))+(COUNTIF('IB TRANSPORT'!$A$7:$A$50,'IB TRANSPORT'!G34))+(COUNTIF(JSL!$A$7:$A$50,'IB TRANSPORT'!G34))+(COUNTIF(KIFAITOUT!$A$7:$A$50,'IB TRANSPORT'!G34))+(COUNTIF('LUXE DRIVE'!$A$7:$A$50,'IB TRANSPORT'!G34))+(COUNTIF(SSN!$A$7:$A$50,'IB TRANSPORT'!G34))+(COUNTIF('W3'!$A$7:$A$50,'IB TRANSPORT'!G34))+(COUNTIF('ATHIS MONS'!$A$7:$A$50,'IB TRANSPORT'!G34))+(COUNTIF('L HAY LES ROSES'!$A$7:$A$50,'IB TRANSPORT'!G34))+(COUNTIF(RUNGIS!$A$7:$A$50,'IB TRANSPORT'!G34))+(COUNTIF(SCEAUX!$A$7:$A$50,'IB TRANSPORT'!G34))+(COUNTIF('INSTANCE C1'!$A$7:$A$50,'IB TRANSPORT'!G34))+(COUNTIF('INSTANCE C2'!$A$7:$A$50,'IB TRANSPORT'!G34))+(COUNTIF(INTERNES!$A$7:$A$50,'IB TRANSPORT'!G34))+(COUNTIF('EN PANNE'!$A$7:$A$50,'IB TRANSPORT'!G34))+(COUNTIF(TJM!$A$7:$A$50,'IB TRANSPORT'!G34))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S34" s="60">
        <f t="shared" si="1"/>
        <v>0</v>
      </c>
      <c r="T34" s="67">
        <f t="shared" si="2"/>
        <v>0</v>
      </c>
    </row>
    <row r="35" spans="1:20" ht="24.95" customHeight="1" x14ac:dyDescent="0.2">
      <c r="A35" s="20"/>
      <c r="B35" s="23">
        <f>(COUNTIF('2S EXPRESS'!$A$7:$A$50,'IB TRANSPORT'!A35))+(COUNTIF('2 ZT'!$A$7:$A$50,'IB TRANSPORT'!A35))+(COUNTIF('GO TRANSPORT'!$A$7:$A$50,'IB TRANSPORT'!A35))+(COUNTIF('HMZ - KAIS'!$A$7:$A$50,'IB TRANSPORT'!A35))+(COUNTIF('IB TRANSPORT'!$A$7:$A$50,'IB TRANSPORT'!A35))+(COUNTIF(JSL!$A$7:$A$50,'IB TRANSPORT'!A35))+(COUNTIF(KIFAITOUT!$A$7:$A$50,'IB TRANSPORT'!A35))+(COUNTIF('LUXE DRIVE'!$A$7:$A$50,'IB TRANSPORT'!A35))+(COUNTIF(SSN!$A$7:$A$50,'IB TRANSPORT'!A35))+(COUNTIF('W3'!$A$7:$A$50,'IB TRANSPORT'!A35))+(COUNTIF('ATHIS MONS'!$A$7:$A$50,'IB TRANSPORT'!A35))+(COUNTIF('L HAY LES ROSES'!$A$7:$A$50,'IB TRANSPORT'!A35))+(COUNTIF(RUNGIS!$A$7:$A$50,'IB TRANSPORT'!A35))+(COUNTIF(SCEAUX!$A$7:$A$50,'IB TRANSPORT'!A35))+(COUNTIF('INSTANCE C1'!$A$7:$A$50,'IB TRANSPORT'!A35))+(COUNTIF('INSTANCE C2'!$A$7:$A$50,'IB TRANSPORT'!A35))+(COUNTIF(INTERNES!$A$7:$A$50,'IB TRANSPORT'!A35))+(COUNTIF('EN PANNE'!$A$7:$A$50,'IB TRANSPORT'!A35))+(COUNTIF(TJM!$A$7:$A$50,'IB TRANSPORT'!A35))-C35</f>
        <v>0</v>
      </c>
      <c r="C35" s="23">
        <f>(COUNTIF('2S EXPRESS'!$G$7:$G$50,'IB TRANSPORT'!A35))+(COUNTIF('2 ZT'!$G$7:$G$50,'IB TRANSPORT'!A35))+(COUNTIF('GO TRANSPORT'!$G$7:$G$50,'IB TRANSPORT'!A35))+(COUNTIF('IB TRANSPORT'!$G$7:$G$50,'IB TRANSPORT'!A35))+(COUNTIF('EN PANNE'!$G$7:$G$50,'IB TRANSPORT'!A35))+(COUNTIF(JSL!$G$7:$G$50,'IB TRANSPORT'!A35))+(COUNTIF(KIFAITOUT!$G$7:$G$50,'IB TRANSPORT'!A35))+(COUNTIF('LUXE DRIVE'!$G$7:$G$50,'IB TRANSPORT'!A35))+(COUNTIF(SSN!$G$7:$G$50,'IB TRANSPORT'!A35))+(COUNTIF('W3'!$G$7:$G$50,'IB TRANSPORT'!A35))+(COUNTIF('ATHIS MONS'!$G$7:$G$50,'IB TRANSPORT'!A35))+(COUNTIF('L HAY LES ROSES'!$G$7:$G$50,'IB TRANSPORT'!A35))+(COUNTIF(RUNGIS!$G$7:$G$50,'IB TRANSPORT'!A35))+(COUNTIF(SCEAUX!$G$7:$G$50,'IB TRANSPORT'!A35))+(COUNTIF('INSTANCE C1'!$G$7:$G$50,'IB TRANSPORT'!A35))+(COUNTIF('INSTANCE C2'!$G$7:$G$50,'IB TRANSPORT'!A35))+(COUNTIF(INTERNES!$G$7:$G$50,'IB TRANSPORT'!A35))+(COUNTIF('EN PANNE'!$G$7:$G$50,'IB TRANSPORT'!A35))+(COUNTIF(TJM!$G$7:$G$50,'IB TRANSPORT'!A35))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EXPRESS'!$G$7:$G$50,'IB TRANSPORT'!G35))+(COUNTIF('2 ZT'!$G$7:$G$50,'IB TRANSPORT'!G35))+(COUNTIF('GO TRANSPORT'!$G$7:$G$50,'IB TRANSPORT'!G35))+(COUNTIF('HMZ - KAIS'!$G$7:$G$50,'IB TRANSPORT'!G35))+(COUNTIF('IB TRANSPORT'!$G$7:$G$50,'IB TRANSPORT'!G35))+(COUNTIF(JSL!$G$7:$G$50,'IB TRANSPORT'!G35))+(COUNTIF(KIFAITOUT!$G$7:$G$50,'IB TRANSPORT'!G35))+(COUNTIF('LUXE DRIVE'!$G$7:$G$50,'IB TRANSPORT'!G35))+(COUNTIF(SSN!$G$7:$G$50,'IB TRANSPORT'!G35))+(COUNTIF('W3'!$G$7:$G$50,'IB TRANSPORT'!G35))+(COUNTIF('ATHIS MONS'!$G$7:$G$50,'IB TRANSPORT'!G35))+(COUNTIF('L HAY LES ROSES'!$G$7:$G$50,'IB TRANSPORT'!G35))+(COUNTIF(RUNGIS!$G$7:$G$50,'IB TRANSPORT'!G35))+(COUNTIF(SCEAUX!$G$7:$G$50,'IB TRANSPORT'!G35))+(COUNTIF('INSTANCE C1'!$G$7:$G$50,'IB TRANSPORT'!G35))+(COUNTIF('INSTANCE C2'!$G$7:$G$50,'IB TRANSPORT'!G35))+(COUNTIF(INTERNES!$G$7:$G$50,'IB TRANSPORT'!G35))+(COUNTIF('EN PANNE'!$G$7:$G$50,'IB TRANSPORT'!G35))+(COUNTIF(TJM!$G$7:$G$50,'IB TRANSPORT'!G35))-I35</f>
        <v>0</v>
      </c>
      <c r="I35" s="23">
        <f>(COUNTIF('2S EXPRESS'!$A$7:$A$50,'IB TRANSPORT'!G35))+(COUNTIF('2 ZT'!$A$7:$A$50,'IB TRANSPORT'!G35))+(COUNTIF('GO TRANSPORT'!$A$7:$A$50,'IB TRANSPORT'!G35))+(COUNTIF('HMZ - KAIS'!$A$7:$A$50,'IB TRANSPORT'!G35))+(COUNTIF('IB TRANSPORT'!$A$7:$A$50,'IB TRANSPORT'!G35))+(COUNTIF(JSL!$A$7:$A$50,'IB TRANSPORT'!G35))+(COUNTIF(KIFAITOUT!$A$7:$A$50,'IB TRANSPORT'!G35))+(COUNTIF('LUXE DRIVE'!$A$7:$A$50,'IB TRANSPORT'!G35))+(COUNTIF(SSN!$A$7:$A$50,'IB TRANSPORT'!G35))+(COUNTIF('W3'!$A$7:$A$50,'IB TRANSPORT'!G35))+(COUNTIF('ATHIS MONS'!$A$7:$A$50,'IB TRANSPORT'!G35))+(COUNTIF('L HAY LES ROSES'!$A$7:$A$50,'IB TRANSPORT'!G35))+(COUNTIF(RUNGIS!$A$7:$A$50,'IB TRANSPORT'!G35))+(COUNTIF(SCEAUX!$A$7:$A$50,'IB TRANSPORT'!G35))+(COUNTIF('INSTANCE C1'!$A$7:$A$50,'IB TRANSPORT'!G35))+(COUNTIF('INSTANCE C2'!$A$7:$A$50,'IB TRANSPORT'!G35))+(COUNTIF(INTERNES!$A$7:$A$50,'IB TRANSPORT'!G35))+(COUNTIF('EN PANNE'!$A$7:$A$50,'IB TRANSPORT'!G35))+(COUNTIF(TJM!$A$7:$A$50,'IB TRANSPORT'!G35))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S35" s="60">
        <f t="shared" si="1"/>
        <v>0</v>
      </c>
      <c r="T35" s="67">
        <f t="shared" si="2"/>
        <v>0</v>
      </c>
    </row>
    <row r="36" spans="1:20" ht="24.95" customHeight="1" x14ac:dyDescent="0.2">
      <c r="A36" s="20"/>
      <c r="B36" s="23">
        <f>(COUNTIF('2S EXPRESS'!$A$7:$A$50,'IB TRANSPORT'!A36))+(COUNTIF('2 ZT'!$A$7:$A$50,'IB TRANSPORT'!A36))+(COUNTIF('GO TRANSPORT'!$A$7:$A$50,'IB TRANSPORT'!A36))+(COUNTIF('HMZ - KAIS'!$A$7:$A$50,'IB TRANSPORT'!A36))+(COUNTIF('IB TRANSPORT'!$A$7:$A$50,'IB TRANSPORT'!A36))+(COUNTIF(JSL!$A$7:$A$50,'IB TRANSPORT'!A36))+(COUNTIF(KIFAITOUT!$A$7:$A$50,'IB TRANSPORT'!A36))+(COUNTIF('LUXE DRIVE'!$A$7:$A$50,'IB TRANSPORT'!A36))+(COUNTIF(SSN!$A$7:$A$50,'IB TRANSPORT'!A36))+(COUNTIF('W3'!$A$7:$A$50,'IB TRANSPORT'!A36))+(COUNTIF('ATHIS MONS'!$A$7:$A$50,'IB TRANSPORT'!A36))+(COUNTIF('L HAY LES ROSES'!$A$7:$A$50,'IB TRANSPORT'!A36))+(COUNTIF(RUNGIS!$A$7:$A$50,'IB TRANSPORT'!A36))+(COUNTIF(SCEAUX!$A$7:$A$50,'IB TRANSPORT'!A36))+(COUNTIF('INSTANCE C1'!$A$7:$A$50,'IB TRANSPORT'!A36))+(COUNTIF('INSTANCE C2'!$A$7:$A$50,'IB TRANSPORT'!A36))+(COUNTIF(INTERNES!$A$7:$A$50,'IB TRANSPORT'!A36))+(COUNTIF('EN PANNE'!$A$7:$A$50,'IB TRANSPORT'!A36))+(COUNTIF(TJM!$A$7:$A$50,'IB TRANSPORT'!A36))-C36</f>
        <v>0</v>
      </c>
      <c r="C36" s="23">
        <f>(COUNTIF('2S EXPRESS'!$G$7:$G$50,'IB TRANSPORT'!A36))+(COUNTIF('2 ZT'!$G$7:$G$50,'IB TRANSPORT'!A36))+(COUNTIF('GO TRANSPORT'!$G$7:$G$50,'IB TRANSPORT'!A36))+(COUNTIF('IB TRANSPORT'!$G$7:$G$50,'IB TRANSPORT'!A36))+(COUNTIF('EN PANNE'!$G$7:$G$50,'IB TRANSPORT'!A36))+(COUNTIF(JSL!$G$7:$G$50,'IB TRANSPORT'!A36))+(COUNTIF(KIFAITOUT!$G$7:$G$50,'IB TRANSPORT'!A36))+(COUNTIF('LUXE DRIVE'!$G$7:$G$50,'IB TRANSPORT'!A36))+(COUNTIF(SSN!$G$7:$G$50,'IB TRANSPORT'!A36))+(COUNTIF('W3'!$G$7:$G$50,'IB TRANSPORT'!A36))+(COUNTIF('ATHIS MONS'!$G$7:$G$50,'IB TRANSPORT'!A36))+(COUNTIF('L HAY LES ROSES'!$G$7:$G$50,'IB TRANSPORT'!A36))+(COUNTIF(RUNGIS!$G$7:$G$50,'IB TRANSPORT'!A36))+(COUNTIF(SCEAUX!$G$7:$G$50,'IB TRANSPORT'!A36))+(COUNTIF('INSTANCE C1'!$G$7:$G$50,'IB TRANSPORT'!A36))+(COUNTIF('INSTANCE C2'!$G$7:$G$50,'IB TRANSPORT'!A36))+(COUNTIF(INTERNES!$G$7:$G$50,'IB TRANSPORT'!A36))+(COUNTIF('EN PANNE'!$G$7:$G$50,'IB TRANSPORT'!A36))+(COUNTIF(TJM!$G$7:$G$50,'IB TRANSPORT'!A36))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EXPRESS'!$G$7:$G$50,'IB TRANSPORT'!G36))+(COUNTIF('2 ZT'!$G$7:$G$50,'IB TRANSPORT'!G36))+(COUNTIF('GO TRANSPORT'!$G$7:$G$50,'IB TRANSPORT'!G36))+(COUNTIF('HMZ - KAIS'!$G$7:$G$50,'IB TRANSPORT'!G36))+(COUNTIF('IB TRANSPORT'!$G$7:$G$50,'IB TRANSPORT'!G36))+(COUNTIF(JSL!$G$7:$G$50,'IB TRANSPORT'!G36))+(COUNTIF(KIFAITOUT!$G$7:$G$50,'IB TRANSPORT'!G36))+(COUNTIF('LUXE DRIVE'!$G$7:$G$50,'IB TRANSPORT'!G36))+(COUNTIF(SSN!$G$7:$G$50,'IB TRANSPORT'!G36))+(COUNTIF('W3'!$G$7:$G$50,'IB TRANSPORT'!G36))+(COUNTIF('ATHIS MONS'!$G$7:$G$50,'IB TRANSPORT'!G36))+(COUNTIF('L HAY LES ROSES'!$G$7:$G$50,'IB TRANSPORT'!G36))+(COUNTIF(RUNGIS!$G$7:$G$50,'IB TRANSPORT'!G36))+(COUNTIF(SCEAUX!$G$7:$G$50,'IB TRANSPORT'!G36))+(COUNTIF('INSTANCE C1'!$G$7:$G$50,'IB TRANSPORT'!G36))+(COUNTIF('INSTANCE C2'!$G$7:$G$50,'IB TRANSPORT'!G36))+(COUNTIF(INTERNES!$G$7:$G$50,'IB TRANSPORT'!G36))+(COUNTIF('EN PANNE'!$G$7:$G$50,'IB TRANSPORT'!G36))+(COUNTIF(TJM!$G$7:$G$50,'IB TRANSPORT'!G36))-I36</f>
        <v>0</v>
      </c>
      <c r="I36" s="23">
        <f>(COUNTIF('2S EXPRESS'!$A$7:$A$50,'IB TRANSPORT'!G36))+(COUNTIF('2 ZT'!$A$7:$A$50,'IB TRANSPORT'!G36))+(COUNTIF('GO TRANSPORT'!$A$7:$A$50,'IB TRANSPORT'!G36))+(COUNTIF('HMZ - KAIS'!$A$7:$A$50,'IB TRANSPORT'!G36))+(COUNTIF('IB TRANSPORT'!$A$7:$A$50,'IB TRANSPORT'!G36))+(COUNTIF(JSL!$A$7:$A$50,'IB TRANSPORT'!G36))+(COUNTIF(KIFAITOUT!$A$7:$A$50,'IB TRANSPORT'!G36))+(COUNTIF('LUXE DRIVE'!$A$7:$A$50,'IB TRANSPORT'!G36))+(COUNTIF(SSN!$A$7:$A$50,'IB TRANSPORT'!G36))+(COUNTIF('W3'!$A$7:$A$50,'IB TRANSPORT'!G36))+(COUNTIF('ATHIS MONS'!$A$7:$A$50,'IB TRANSPORT'!G36))+(COUNTIF('L HAY LES ROSES'!$A$7:$A$50,'IB TRANSPORT'!G36))+(COUNTIF(RUNGIS!$A$7:$A$50,'IB TRANSPORT'!G36))+(COUNTIF(SCEAUX!$A$7:$A$50,'IB TRANSPORT'!G36))+(COUNTIF('INSTANCE C1'!$A$7:$A$50,'IB TRANSPORT'!G36))+(COUNTIF('INSTANCE C2'!$A$7:$A$50,'IB TRANSPORT'!G36))+(COUNTIF(INTERNES!$A$7:$A$50,'IB TRANSPORT'!G36))+(COUNTIF('EN PANNE'!$A$7:$A$50,'IB TRANSPORT'!G36))+(COUNTIF(TJM!$A$7:$A$50,'IB TRANSPORT'!G36))</f>
        <v>0</v>
      </c>
      <c r="J36" s="28">
        <f t="shared" si="4"/>
        <v>0</v>
      </c>
      <c r="K36" s="2"/>
      <c r="L36" s="47"/>
      <c r="S36" s="60">
        <f t="shared" si="1"/>
        <v>0</v>
      </c>
      <c r="T36" s="67">
        <f t="shared" si="2"/>
        <v>0</v>
      </c>
    </row>
    <row r="37" spans="1:20" ht="24.95" customHeight="1" x14ac:dyDescent="0.2">
      <c r="A37" s="20"/>
      <c r="B37" s="23">
        <f>(COUNTIF('2S EXPRESS'!$A$7:$A$50,'IB TRANSPORT'!A37))+(COUNTIF('2 ZT'!$A$7:$A$50,'IB TRANSPORT'!A37))+(COUNTIF('GO TRANSPORT'!$A$7:$A$50,'IB TRANSPORT'!A37))+(COUNTIF('HMZ - KAIS'!$A$7:$A$50,'IB TRANSPORT'!A37))+(COUNTIF('IB TRANSPORT'!$A$7:$A$50,'IB TRANSPORT'!A37))+(COUNTIF(JSL!$A$7:$A$50,'IB TRANSPORT'!A37))+(COUNTIF(KIFAITOUT!$A$7:$A$50,'IB TRANSPORT'!A37))+(COUNTIF('LUXE DRIVE'!$A$7:$A$50,'IB TRANSPORT'!A37))+(COUNTIF(SSN!$A$7:$A$50,'IB TRANSPORT'!A37))+(COUNTIF('W3'!$A$7:$A$50,'IB TRANSPORT'!A37))+(COUNTIF('ATHIS MONS'!$A$7:$A$50,'IB TRANSPORT'!A37))+(COUNTIF('L HAY LES ROSES'!$A$7:$A$50,'IB TRANSPORT'!A37))+(COUNTIF(RUNGIS!$A$7:$A$50,'IB TRANSPORT'!A37))+(COUNTIF(SCEAUX!$A$7:$A$50,'IB TRANSPORT'!A37))+(COUNTIF('INSTANCE C1'!$A$7:$A$50,'IB TRANSPORT'!A37))+(COUNTIF('INSTANCE C2'!$A$7:$A$50,'IB TRANSPORT'!A37))+(COUNTIF(INTERNES!$A$7:$A$50,'IB TRANSPORT'!A37))+(COUNTIF('EN PANNE'!$A$7:$A$50,'IB TRANSPORT'!A37))+(COUNTIF(TJM!$A$7:$A$50,'IB TRANSPORT'!A37))-C37</f>
        <v>0</v>
      </c>
      <c r="C37" s="23">
        <f>(COUNTIF('2S EXPRESS'!$G$7:$G$50,'IB TRANSPORT'!A37))+(COUNTIF('2 ZT'!$G$7:$G$50,'IB TRANSPORT'!A37))+(COUNTIF('GO TRANSPORT'!$G$7:$G$50,'IB TRANSPORT'!A37))+(COUNTIF('IB TRANSPORT'!$G$7:$G$50,'IB TRANSPORT'!A37))+(COUNTIF('EN PANNE'!$G$7:$G$50,'IB TRANSPORT'!A37))+(COUNTIF(JSL!$G$7:$G$50,'IB TRANSPORT'!A37))+(COUNTIF(KIFAITOUT!$G$7:$G$50,'IB TRANSPORT'!A37))+(COUNTIF('LUXE DRIVE'!$G$7:$G$50,'IB TRANSPORT'!A37))+(COUNTIF(SSN!$G$7:$G$50,'IB TRANSPORT'!A37))+(COUNTIF('W3'!$G$7:$G$50,'IB TRANSPORT'!A37))+(COUNTIF('ATHIS MONS'!$G$7:$G$50,'IB TRANSPORT'!A37))+(COUNTIF('L HAY LES ROSES'!$G$7:$G$50,'IB TRANSPORT'!A37))+(COUNTIF(RUNGIS!$G$7:$G$50,'IB TRANSPORT'!A37))+(COUNTIF(SCEAUX!$G$7:$G$50,'IB TRANSPORT'!A37))+(COUNTIF('INSTANCE C1'!$G$7:$G$50,'IB TRANSPORT'!A37))+(COUNTIF('INSTANCE C2'!$G$7:$G$50,'IB TRANSPORT'!A37))+(COUNTIF(INTERNES!$G$7:$G$50,'IB TRANSPORT'!A37))+(COUNTIF('EN PANNE'!$G$7:$G$50,'IB TRANSPORT'!A37))+(COUNTIF(TJM!$G$7:$G$50,'IB TRANSPORT'!A37))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EXPRESS'!$G$7:$G$50,'IB TRANSPORT'!G37))+(COUNTIF('2 ZT'!$G$7:$G$50,'IB TRANSPORT'!G37))+(COUNTIF('GO TRANSPORT'!$G$7:$G$50,'IB TRANSPORT'!G37))+(COUNTIF('HMZ - KAIS'!$G$7:$G$50,'IB TRANSPORT'!G37))+(COUNTIF('IB TRANSPORT'!$G$7:$G$50,'IB TRANSPORT'!G37))+(COUNTIF(JSL!$G$7:$G$50,'IB TRANSPORT'!G37))+(COUNTIF(KIFAITOUT!$G$7:$G$50,'IB TRANSPORT'!G37))+(COUNTIF('LUXE DRIVE'!$G$7:$G$50,'IB TRANSPORT'!G37))+(COUNTIF(SSN!$G$7:$G$50,'IB TRANSPORT'!G37))+(COUNTIF('W3'!$G$7:$G$50,'IB TRANSPORT'!G37))+(COUNTIF('ATHIS MONS'!$G$7:$G$50,'IB TRANSPORT'!G37))+(COUNTIF('L HAY LES ROSES'!$G$7:$G$50,'IB TRANSPORT'!G37))+(COUNTIF(RUNGIS!$G$7:$G$50,'IB TRANSPORT'!G37))+(COUNTIF(SCEAUX!$G$7:$G$50,'IB TRANSPORT'!G37))+(COUNTIF('INSTANCE C1'!$G$7:$G$50,'IB TRANSPORT'!G37))+(COUNTIF('INSTANCE C2'!$G$7:$G$50,'IB TRANSPORT'!G37))+(COUNTIF(INTERNES!$G$7:$G$50,'IB TRANSPORT'!G37))+(COUNTIF('EN PANNE'!$G$7:$G$50,'IB TRANSPORT'!G37))+(COUNTIF(TJM!$G$7:$G$50,'IB TRANSPORT'!G37))-I37</f>
        <v>0</v>
      </c>
      <c r="I37" s="23">
        <f>(COUNTIF('2S EXPRESS'!$A$7:$A$50,'IB TRANSPORT'!G37))+(COUNTIF('2 ZT'!$A$7:$A$50,'IB TRANSPORT'!G37))+(COUNTIF('GO TRANSPORT'!$A$7:$A$50,'IB TRANSPORT'!G37))+(COUNTIF('HMZ - KAIS'!$A$7:$A$50,'IB TRANSPORT'!G37))+(COUNTIF('IB TRANSPORT'!$A$7:$A$50,'IB TRANSPORT'!G37))+(COUNTIF(JSL!$A$7:$A$50,'IB TRANSPORT'!G37))+(COUNTIF(KIFAITOUT!$A$7:$A$50,'IB TRANSPORT'!G37))+(COUNTIF('LUXE DRIVE'!$A$7:$A$50,'IB TRANSPORT'!G37))+(COUNTIF(SSN!$A$7:$A$50,'IB TRANSPORT'!G37))+(COUNTIF('W3'!$A$7:$A$50,'IB TRANSPORT'!G37))+(COUNTIF('ATHIS MONS'!$A$7:$A$50,'IB TRANSPORT'!G37))+(COUNTIF('L HAY LES ROSES'!$A$7:$A$50,'IB TRANSPORT'!G37))+(COUNTIF(RUNGIS!$A$7:$A$50,'IB TRANSPORT'!G37))+(COUNTIF(SCEAUX!$A$7:$A$50,'IB TRANSPORT'!G37))+(COUNTIF('INSTANCE C1'!$A$7:$A$50,'IB TRANSPORT'!G37))+(COUNTIF('INSTANCE C2'!$A$7:$A$50,'IB TRANSPORT'!G37))+(COUNTIF(INTERNES!$A$7:$A$50,'IB TRANSPORT'!G37))+(COUNTIF('EN PANNE'!$A$7:$A$50,'IB TRANSPORT'!G37))+(COUNTIF(TJM!$A$7:$A$50,'IB TRANSPORT'!G37))</f>
        <v>0</v>
      </c>
      <c r="J37" s="28">
        <f t="shared" si="4"/>
        <v>0</v>
      </c>
      <c r="K37" s="2"/>
      <c r="L37" s="47"/>
      <c r="S37" s="60">
        <f t="shared" si="1"/>
        <v>0</v>
      </c>
      <c r="T37" s="67">
        <f t="shared" si="2"/>
        <v>0</v>
      </c>
    </row>
    <row r="38" spans="1:20" ht="24.95" customHeight="1" x14ac:dyDescent="0.2">
      <c r="A38" s="20"/>
      <c r="B38" s="23">
        <f>(COUNTIF('2S EXPRESS'!$A$7:$A$50,'IB TRANSPORT'!A38))+(COUNTIF('2 ZT'!$A$7:$A$50,'IB TRANSPORT'!A38))+(COUNTIF('GO TRANSPORT'!$A$7:$A$50,'IB TRANSPORT'!A38))+(COUNTIF('HMZ - KAIS'!$A$7:$A$50,'IB TRANSPORT'!A38))+(COUNTIF('IB TRANSPORT'!$A$7:$A$50,'IB TRANSPORT'!A38))+(COUNTIF(JSL!$A$7:$A$50,'IB TRANSPORT'!A38))+(COUNTIF(KIFAITOUT!$A$7:$A$50,'IB TRANSPORT'!A38))+(COUNTIF('LUXE DRIVE'!$A$7:$A$50,'IB TRANSPORT'!A38))+(COUNTIF(SSN!$A$7:$A$50,'IB TRANSPORT'!A38))+(COUNTIF('W3'!$A$7:$A$50,'IB TRANSPORT'!A38))+(COUNTIF('ATHIS MONS'!$A$7:$A$50,'IB TRANSPORT'!A38))+(COUNTIF('L HAY LES ROSES'!$A$7:$A$50,'IB TRANSPORT'!A38))+(COUNTIF(RUNGIS!$A$7:$A$50,'IB TRANSPORT'!A38))+(COUNTIF(SCEAUX!$A$7:$A$50,'IB TRANSPORT'!A38))+(COUNTIF('INSTANCE C1'!$A$7:$A$50,'IB TRANSPORT'!A38))+(COUNTIF('INSTANCE C2'!$A$7:$A$50,'IB TRANSPORT'!A38))+(COUNTIF(INTERNES!$A$7:$A$50,'IB TRANSPORT'!A38))+(COUNTIF('EN PANNE'!$A$7:$A$50,'IB TRANSPORT'!A38))+(COUNTIF(TJM!$A$7:$A$50,'IB TRANSPORT'!A38))-C38</f>
        <v>0</v>
      </c>
      <c r="C38" s="23">
        <f>(COUNTIF('2S EXPRESS'!$G$7:$G$50,'IB TRANSPORT'!A38))+(COUNTIF('2 ZT'!$G$7:$G$50,'IB TRANSPORT'!A38))+(COUNTIF('GO TRANSPORT'!$G$7:$G$50,'IB TRANSPORT'!A38))+(COUNTIF('IB TRANSPORT'!$G$7:$G$50,'IB TRANSPORT'!A38))+(COUNTIF('EN PANNE'!$G$7:$G$50,'IB TRANSPORT'!A38))+(COUNTIF(JSL!$G$7:$G$50,'IB TRANSPORT'!A38))+(COUNTIF(KIFAITOUT!$G$7:$G$50,'IB TRANSPORT'!A38))+(COUNTIF('LUXE DRIVE'!$G$7:$G$50,'IB TRANSPORT'!A38))+(COUNTIF(SSN!$G$7:$G$50,'IB TRANSPORT'!A38))+(COUNTIF('W3'!$G$7:$G$50,'IB TRANSPORT'!A38))+(COUNTIF('ATHIS MONS'!$G$7:$G$50,'IB TRANSPORT'!A38))+(COUNTIF('L HAY LES ROSES'!$G$7:$G$50,'IB TRANSPORT'!A38))+(COUNTIF(RUNGIS!$G$7:$G$50,'IB TRANSPORT'!A38))+(COUNTIF(SCEAUX!$G$7:$G$50,'IB TRANSPORT'!A38))+(COUNTIF('INSTANCE C1'!$G$7:$G$50,'IB TRANSPORT'!A38))+(COUNTIF('INSTANCE C2'!$G$7:$G$50,'IB TRANSPORT'!A38))+(COUNTIF(INTERNES!$G$7:$G$50,'IB TRANSPORT'!A38))+(COUNTIF('EN PANNE'!$G$7:$G$50,'IB TRANSPORT'!A38))+(COUNTIF(TJM!$G$7:$G$50,'IB TRANSPORT'!A38))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EXPRESS'!$G$7:$G$50,'IB TRANSPORT'!G38))+(COUNTIF('2 ZT'!$G$7:$G$50,'IB TRANSPORT'!G38))+(COUNTIF('GO TRANSPORT'!$G$7:$G$50,'IB TRANSPORT'!G38))+(COUNTIF('HMZ - KAIS'!$G$7:$G$50,'IB TRANSPORT'!G38))+(COUNTIF('IB TRANSPORT'!$G$7:$G$50,'IB TRANSPORT'!G38))+(COUNTIF(JSL!$G$7:$G$50,'IB TRANSPORT'!G38))+(COUNTIF(KIFAITOUT!$G$7:$G$50,'IB TRANSPORT'!G38))+(COUNTIF('LUXE DRIVE'!$G$7:$G$50,'IB TRANSPORT'!G38))+(COUNTIF(SSN!$G$7:$G$50,'IB TRANSPORT'!G38))+(COUNTIF('W3'!$G$7:$G$50,'IB TRANSPORT'!G38))+(COUNTIF('ATHIS MONS'!$G$7:$G$50,'IB TRANSPORT'!G38))+(COUNTIF('L HAY LES ROSES'!$G$7:$G$50,'IB TRANSPORT'!G38))+(COUNTIF(RUNGIS!$G$7:$G$50,'IB TRANSPORT'!G38))+(COUNTIF(SCEAUX!$G$7:$G$50,'IB TRANSPORT'!G38))+(COUNTIF('INSTANCE C1'!$G$7:$G$50,'IB TRANSPORT'!G38))+(COUNTIF('INSTANCE C2'!$G$7:$G$50,'IB TRANSPORT'!G38))+(COUNTIF(INTERNES!$G$7:$G$50,'IB TRANSPORT'!G38))+(COUNTIF('EN PANNE'!$G$7:$G$50,'IB TRANSPORT'!G38))+(COUNTIF(TJM!$G$7:$G$50,'IB TRANSPORT'!G38))-I38</f>
        <v>0</v>
      </c>
      <c r="I38" s="23">
        <f>(COUNTIF('2S EXPRESS'!$A$7:$A$50,'IB TRANSPORT'!G38))+(COUNTIF('2 ZT'!$A$7:$A$50,'IB TRANSPORT'!G38))+(COUNTIF('GO TRANSPORT'!$A$7:$A$50,'IB TRANSPORT'!G38))+(COUNTIF('HMZ - KAIS'!$A$7:$A$50,'IB TRANSPORT'!G38))+(COUNTIF('IB TRANSPORT'!$A$7:$A$50,'IB TRANSPORT'!G38))+(COUNTIF(JSL!$A$7:$A$50,'IB TRANSPORT'!G38))+(COUNTIF(KIFAITOUT!$A$7:$A$50,'IB TRANSPORT'!G38))+(COUNTIF('LUXE DRIVE'!$A$7:$A$50,'IB TRANSPORT'!G38))+(COUNTIF(SSN!$A$7:$A$50,'IB TRANSPORT'!G38))+(COUNTIF('W3'!$A$7:$A$50,'IB TRANSPORT'!G38))+(COUNTIF('ATHIS MONS'!$A$7:$A$50,'IB TRANSPORT'!G38))+(COUNTIF('L HAY LES ROSES'!$A$7:$A$50,'IB TRANSPORT'!G38))+(COUNTIF(RUNGIS!$A$7:$A$50,'IB TRANSPORT'!G38))+(COUNTIF(SCEAUX!$A$7:$A$50,'IB TRANSPORT'!G38))+(COUNTIF('INSTANCE C1'!$A$7:$A$50,'IB TRANSPORT'!G38))+(COUNTIF('INSTANCE C2'!$A$7:$A$50,'IB TRANSPORT'!G38))+(COUNTIF(INTERNES!$A$7:$A$50,'IB TRANSPORT'!G38))+(COUNTIF('EN PANNE'!$A$7:$A$50,'IB TRANSPORT'!G38))+(COUNTIF(TJM!$A$7:$A$50,'IB TRANSPORT'!G38))</f>
        <v>0</v>
      </c>
      <c r="J38" s="28">
        <f t="shared" si="4"/>
        <v>0</v>
      </c>
      <c r="K38" s="2"/>
      <c r="L38" s="47"/>
      <c r="S38" s="60">
        <f t="shared" si="1"/>
        <v>0</v>
      </c>
      <c r="T38" s="67">
        <f t="shared" si="2"/>
        <v>0</v>
      </c>
    </row>
    <row r="39" spans="1:20" ht="24.95" customHeight="1" x14ac:dyDescent="0.2">
      <c r="A39" s="20"/>
      <c r="B39" s="23">
        <f>(COUNTIF('2S EXPRESS'!$A$7:$A$50,'IB TRANSPORT'!A39))+(COUNTIF('2 ZT'!$A$7:$A$50,'IB TRANSPORT'!A39))+(COUNTIF('GO TRANSPORT'!$A$7:$A$50,'IB TRANSPORT'!A39))+(COUNTIF('HMZ - KAIS'!$A$7:$A$50,'IB TRANSPORT'!A39))+(COUNTIF('IB TRANSPORT'!$A$7:$A$50,'IB TRANSPORT'!A39))+(COUNTIF(JSL!$A$7:$A$50,'IB TRANSPORT'!A39))+(COUNTIF(KIFAITOUT!$A$7:$A$50,'IB TRANSPORT'!A39))+(COUNTIF('LUXE DRIVE'!$A$7:$A$50,'IB TRANSPORT'!A39))+(COUNTIF(SSN!$A$7:$A$50,'IB TRANSPORT'!A39))+(COUNTIF('W3'!$A$7:$A$50,'IB TRANSPORT'!A39))+(COUNTIF('ATHIS MONS'!$A$7:$A$50,'IB TRANSPORT'!A39))+(COUNTIF('L HAY LES ROSES'!$A$7:$A$50,'IB TRANSPORT'!A39))+(COUNTIF(RUNGIS!$A$7:$A$50,'IB TRANSPORT'!A39))+(COUNTIF(SCEAUX!$A$7:$A$50,'IB TRANSPORT'!A39))+(COUNTIF('INSTANCE C1'!$A$7:$A$50,'IB TRANSPORT'!A39))+(COUNTIF('INSTANCE C2'!$A$7:$A$50,'IB TRANSPORT'!A39))+(COUNTIF(INTERNES!$A$7:$A$50,'IB TRANSPORT'!A39))+(COUNTIF('EN PANNE'!$A$7:$A$50,'IB TRANSPORT'!A39))+(COUNTIF(TJM!$A$7:$A$50,'IB TRANSPORT'!A39))-C39</f>
        <v>0</v>
      </c>
      <c r="C39" s="23">
        <f>(COUNTIF('2S EXPRESS'!$G$7:$G$50,'IB TRANSPORT'!A39))+(COUNTIF('2 ZT'!$G$7:$G$50,'IB TRANSPORT'!A39))+(COUNTIF('GO TRANSPORT'!$G$7:$G$50,'IB TRANSPORT'!A39))+(COUNTIF('IB TRANSPORT'!$G$7:$G$50,'IB TRANSPORT'!A39))+(COUNTIF('EN PANNE'!$G$7:$G$50,'IB TRANSPORT'!A39))+(COUNTIF(JSL!$G$7:$G$50,'IB TRANSPORT'!A39))+(COUNTIF(KIFAITOUT!$G$7:$G$50,'IB TRANSPORT'!A39))+(COUNTIF('LUXE DRIVE'!$G$7:$G$50,'IB TRANSPORT'!A39))+(COUNTIF(SSN!$G$7:$G$50,'IB TRANSPORT'!A39))+(COUNTIF('W3'!$G$7:$G$50,'IB TRANSPORT'!A39))+(COUNTIF('ATHIS MONS'!$G$7:$G$50,'IB TRANSPORT'!A39))+(COUNTIF('L HAY LES ROSES'!$G$7:$G$50,'IB TRANSPORT'!A39))+(COUNTIF(RUNGIS!$G$7:$G$50,'IB TRANSPORT'!A39))+(COUNTIF(SCEAUX!$G$7:$G$50,'IB TRANSPORT'!A39))+(COUNTIF('INSTANCE C1'!$G$7:$G$50,'IB TRANSPORT'!A39))+(COUNTIF('INSTANCE C2'!$G$7:$G$50,'IB TRANSPORT'!A39))+(COUNTIF(INTERNES!$G$7:$G$50,'IB TRANSPORT'!A39))+(COUNTIF('EN PANNE'!$G$7:$G$50,'IB TRANSPORT'!A39))+(COUNTIF(TJM!$G$7:$G$50,'IB TRANSPORT'!A39))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EXPRESS'!$G$7:$G$50,'IB TRANSPORT'!G39))+(COUNTIF('2 ZT'!$G$7:$G$50,'IB TRANSPORT'!G39))+(COUNTIF('GO TRANSPORT'!$G$7:$G$50,'IB TRANSPORT'!G39))+(COUNTIF('HMZ - KAIS'!$G$7:$G$50,'IB TRANSPORT'!G39))+(COUNTIF('IB TRANSPORT'!$G$7:$G$50,'IB TRANSPORT'!G39))+(COUNTIF(JSL!$G$7:$G$50,'IB TRANSPORT'!G39))+(COUNTIF(KIFAITOUT!$G$7:$G$50,'IB TRANSPORT'!G39))+(COUNTIF('LUXE DRIVE'!$G$7:$G$50,'IB TRANSPORT'!G39))+(COUNTIF(SSN!$G$7:$G$50,'IB TRANSPORT'!G39))+(COUNTIF('W3'!$G$7:$G$50,'IB TRANSPORT'!G39))+(COUNTIF('ATHIS MONS'!$G$7:$G$50,'IB TRANSPORT'!G39))+(COUNTIF('L HAY LES ROSES'!$G$7:$G$50,'IB TRANSPORT'!G39))+(COUNTIF(RUNGIS!$G$7:$G$50,'IB TRANSPORT'!G39))+(COUNTIF(SCEAUX!$G$7:$G$50,'IB TRANSPORT'!G39))+(COUNTIF('INSTANCE C1'!$G$7:$G$50,'IB TRANSPORT'!G39))+(COUNTIF('INSTANCE C2'!$G$7:$G$50,'IB TRANSPORT'!G39))+(COUNTIF(INTERNES!$G$7:$G$50,'IB TRANSPORT'!G39))+(COUNTIF('EN PANNE'!$G$7:$G$50,'IB TRANSPORT'!G39))+(COUNTIF(TJM!$G$7:$G$50,'IB TRANSPORT'!G39))-I39</f>
        <v>0</v>
      </c>
      <c r="I39" s="23">
        <f>(COUNTIF('2S EXPRESS'!$A$7:$A$50,'IB TRANSPORT'!G39))+(COUNTIF('2 ZT'!$A$7:$A$50,'IB TRANSPORT'!G39))+(COUNTIF('GO TRANSPORT'!$A$7:$A$50,'IB TRANSPORT'!G39))+(COUNTIF('HMZ - KAIS'!$A$7:$A$50,'IB TRANSPORT'!G39))+(COUNTIF('IB TRANSPORT'!$A$7:$A$50,'IB TRANSPORT'!G39))+(COUNTIF(JSL!$A$7:$A$50,'IB TRANSPORT'!G39))+(COUNTIF(KIFAITOUT!$A$7:$A$50,'IB TRANSPORT'!G39))+(COUNTIF('LUXE DRIVE'!$A$7:$A$50,'IB TRANSPORT'!G39))+(COUNTIF(SSN!$A$7:$A$50,'IB TRANSPORT'!G39))+(COUNTIF('W3'!$A$7:$A$50,'IB TRANSPORT'!G39))+(COUNTIF('ATHIS MONS'!$A$7:$A$50,'IB TRANSPORT'!G39))+(COUNTIF('L HAY LES ROSES'!$A$7:$A$50,'IB TRANSPORT'!G39))+(COUNTIF(RUNGIS!$A$7:$A$50,'IB TRANSPORT'!G39))+(COUNTIF(SCEAUX!$A$7:$A$50,'IB TRANSPORT'!G39))+(COUNTIF('INSTANCE C1'!$A$7:$A$50,'IB TRANSPORT'!G39))+(COUNTIF('INSTANCE C2'!$A$7:$A$50,'IB TRANSPORT'!G39))+(COUNTIF(INTERNES!$A$7:$A$50,'IB TRANSPORT'!G39))+(COUNTIF('EN PANNE'!$A$7:$A$50,'IB TRANSPORT'!G39))+(COUNTIF(TJM!$A$7:$A$50,'IB TRANSPORT'!G39))</f>
        <v>0</v>
      </c>
      <c r="J39" s="28">
        <f t="shared" si="4"/>
        <v>0</v>
      </c>
      <c r="K39" s="2"/>
      <c r="L39" s="47"/>
      <c r="S39" s="60">
        <f t="shared" si="1"/>
        <v>0</v>
      </c>
      <c r="T39" s="67">
        <f t="shared" si="2"/>
        <v>0</v>
      </c>
    </row>
    <row r="40" spans="1:20" ht="24.95" customHeight="1" x14ac:dyDescent="0.2">
      <c r="A40" s="20"/>
      <c r="B40" s="23">
        <f>(COUNTIF('2S EXPRESS'!$A$7:$A$50,'IB TRANSPORT'!A40))+(COUNTIF('2 ZT'!$A$7:$A$50,'IB TRANSPORT'!A40))+(COUNTIF('GO TRANSPORT'!$A$7:$A$50,'IB TRANSPORT'!A40))+(COUNTIF('HMZ - KAIS'!$A$7:$A$50,'IB TRANSPORT'!A40))+(COUNTIF('IB TRANSPORT'!$A$7:$A$50,'IB TRANSPORT'!A40))+(COUNTIF(JSL!$A$7:$A$50,'IB TRANSPORT'!A40))+(COUNTIF(KIFAITOUT!$A$7:$A$50,'IB TRANSPORT'!A40))+(COUNTIF('LUXE DRIVE'!$A$7:$A$50,'IB TRANSPORT'!A40))+(COUNTIF(SSN!$A$7:$A$50,'IB TRANSPORT'!A40))+(COUNTIF('W3'!$A$7:$A$50,'IB TRANSPORT'!A40))+(COUNTIF('ATHIS MONS'!$A$7:$A$50,'IB TRANSPORT'!A40))+(COUNTIF('L HAY LES ROSES'!$A$7:$A$50,'IB TRANSPORT'!A40))+(COUNTIF(RUNGIS!$A$7:$A$50,'IB TRANSPORT'!A40))+(COUNTIF(SCEAUX!$A$7:$A$50,'IB TRANSPORT'!A40))+(COUNTIF('INSTANCE C1'!$A$7:$A$50,'IB TRANSPORT'!A40))+(COUNTIF('INSTANCE C2'!$A$7:$A$50,'IB TRANSPORT'!A40))+(COUNTIF(INTERNES!$A$7:$A$50,'IB TRANSPORT'!A40))+(COUNTIF('EN PANNE'!$A$7:$A$50,'IB TRANSPORT'!A40))+(COUNTIF(TJM!$A$7:$A$50,'IB TRANSPORT'!A40))-C40</f>
        <v>0</v>
      </c>
      <c r="C40" s="23">
        <f>(COUNTIF('2S EXPRESS'!$G$7:$G$50,'IB TRANSPORT'!A40))+(COUNTIF('2 ZT'!$G$7:$G$50,'IB TRANSPORT'!A40))+(COUNTIF('GO TRANSPORT'!$G$7:$G$50,'IB TRANSPORT'!A40))+(COUNTIF('IB TRANSPORT'!$G$7:$G$50,'IB TRANSPORT'!A40))+(COUNTIF('EN PANNE'!$G$7:$G$50,'IB TRANSPORT'!A40))+(COUNTIF(JSL!$G$7:$G$50,'IB TRANSPORT'!A40))+(COUNTIF(KIFAITOUT!$G$7:$G$50,'IB TRANSPORT'!A40))+(COUNTIF('LUXE DRIVE'!$G$7:$G$50,'IB TRANSPORT'!A40))+(COUNTIF(SSN!$G$7:$G$50,'IB TRANSPORT'!A40))+(COUNTIF('W3'!$G$7:$G$50,'IB TRANSPORT'!A40))+(COUNTIF('ATHIS MONS'!$G$7:$G$50,'IB TRANSPORT'!A40))+(COUNTIF('L HAY LES ROSES'!$G$7:$G$50,'IB TRANSPORT'!A40))+(COUNTIF(RUNGIS!$G$7:$G$50,'IB TRANSPORT'!A40))+(COUNTIF(SCEAUX!$G$7:$G$50,'IB TRANSPORT'!A40))+(COUNTIF('INSTANCE C1'!$G$7:$G$50,'IB TRANSPORT'!A40))+(COUNTIF('INSTANCE C2'!$G$7:$G$50,'IB TRANSPORT'!A40))+(COUNTIF(INTERNES!$G$7:$G$50,'IB TRANSPORT'!A40))+(COUNTIF('EN PANNE'!$G$7:$G$50,'IB TRANSPORT'!A40))+(COUNTIF(TJM!$G$7:$G$50,'IB TRANSPORT'!A40))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EXPRESS'!$G$7:$G$50,'IB TRANSPORT'!G40))+(COUNTIF('2 ZT'!$G$7:$G$50,'IB TRANSPORT'!G40))+(COUNTIF('GO TRANSPORT'!$G$7:$G$50,'IB TRANSPORT'!G40))+(COUNTIF('HMZ - KAIS'!$G$7:$G$50,'IB TRANSPORT'!G40))+(COUNTIF('IB TRANSPORT'!$G$7:$G$50,'IB TRANSPORT'!G40))+(COUNTIF(JSL!$G$7:$G$50,'IB TRANSPORT'!G40))+(COUNTIF(KIFAITOUT!$G$7:$G$50,'IB TRANSPORT'!G40))+(COUNTIF('LUXE DRIVE'!$G$7:$G$50,'IB TRANSPORT'!G40))+(COUNTIF(SSN!$G$7:$G$50,'IB TRANSPORT'!G40))+(COUNTIF('W3'!$G$7:$G$50,'IB TRANSPORT'!G40))+(COUNTIF('ATHIS MONS'!$G$7:$G$50,'IB TRANSPORT'!G40))+(COUNTIF('L HAY LES ROSES'!$G$7:$G$50,'IB TRANSPORT'!G40))+(COUNTIF(RUNGIS!$G$7:$G$50,'IB TRANSPORT'!G40))+(COUNTIF(SCEAUX!$G$7:$G$50,'IB TRANSPORT'!G40))+(COUNTIF('INSTANCE C1'!$G$7:$G$50,'IB TRANSPORT'!G40))+(COUNTIF('INSTANCE C2'!$G$7:$G$50,'IB TRANSPORT'!G40))+(COUNTIF(INTERNES!$G$7:$G$50,'IB TRANSPORT'!G40))+(COUNTIF('EN PANNE'!$G$7:$G$50,'IB TRANSPORT'!G40))+(COUNTIF(TJM!$G$7:$G$50,'IB TRANSPORT'!G40))-I40</f>
        <v>0</v>
      </c>
      <c r="I40" s="23">
        <f>(COUNTIF('2S EXPRESS'!$A$7:$A$50,'IB TRANSPORT'!G40))+(COUNTIF('2 ZT'!$A$7:$A$50,'IB TRANSPORT'!G40))+(COUNTIF('GO TRANSPORT'!$A$7:$A$50,'IB TRANSPORT'!G40))+(COUNTIF('HMZ - KAIS'!$A$7:$A$50,'IB TRANSPORT'!G40))+(COUNTIF('IB TRANSPORT'!$A$7:$A$50,'IB TRANSPORT'!G40))+(COUNTIF(JSL!$A$7:$A$50,'IB TRANSPORT'!G40))+(COUNTIF(KIFAITOUT!$A$7:$A$50,'IB TRANSPORT'!G40))+(COUNTIF('LUXE DRIVE'!$A$7:$A$50,'IB TRANSPORT'!G40))+(COUNTIF(SSN!$A$7:$A$50,'IB TRANSPORT'!G40))+(COUNTIF('W3'!$A$7:$A$50,'IB TRANSPORT'!G40))+(COUNTIF('ATHIS MONS'!$A$7:$A$50,'IB TRANSPORT'!G40))+(COUNTIF('L HAY LES ROSES'!$A$7:$A$50,'IB TRANSPORT'!G40))+(COUNTIF(RUNGIS!$A$7:$A$50,'IB TRANSPORT'!G40))+(COUNTIF(SCEAUX!$A$7:$A$50,'IB TRANSPORT'!G40))+(COUNTIF('INSTANCE C1'!$A$7:$A$50,'IB TRANSPORT'!G40))+(COUNTIF('INSTANCE C2'!$A$7:$A$50,'IB TRANSPORT'!G40))+(COUNTIF(INTERNES!$A$7:$A$50,'IB TRANSPORT'!G40))+(COUNTIF('EN PANNE'!$A$7:$A$50,'IB TRANSPORT'!G40))+(COUNTIF(TJM!$A$7:$A$50,'IB TRANSPORT'!G40))</f>
        <v>0</v>
      </c>
      <c r="J40" s="28">
        <f t="shared" si="4"/>
        <v>0</v>
      </c>
      <c r="K40" s="2"/>
      <c r="L40" s="47"/>
      <c r="S40" s="60">
        <f t="shared" si="1"/>
        <v>0</v>
      </c>
      <c r="T40" s="67">
        <f t="shared" si="2"/>
        <v>0</v>
      </c>
    </row>
    <row r="41" spans="1:20" ht="24.95" customHeight="1" x14ac:dyDescent="0.2">
      <c r="A41" s="20"/>
      <c r="B41" s="23">
        <f>(COUNTIF('2S EXPRESS'!$A$7:$A$50,'IB TRANSPORT'!A41))+(COUNTIF('2 ZT'!$A$7:$A$50,'IB TRANSPORT'!A41))+(COUNTIF('GO TRANSPORT'!$A$7:$A$50,'IB TRANSPORT'!A41))+(COUNTIF('HMZ - KAIS'!$A$7:$A$50,'IB TRANSPORT'!A41))+(COUNTIF('IB TRANSPORT'!$A$7:$A$50,'IB TRANSPORT'!A41))+(COUNTIF(JSL!$A$7:$A$50,'IB TRANSPORT'!A41))+(COUNTIF(KIFAITOUT!$A$7:$A$50,'IB TRANSPORT'!A41))+(COUNTIF('LUXE DRIVE'!$A$7:$A$50,'IB TRANSPORT'!A41))+(COUNTIF(SSN!$A$7:$A$50,'IB TRANSPORT'!A41))+(COUNTIF('W3'!$A$7:$A$50,'IB TRANSPORT'!A41))+(COUNTIF('ATHIS MONS'!$A$7:$A$50,'IB TRANSPORT'!A41))+(COUNTIF('L HAY LES ROSES'!$A$7:$A$50,'IB TRANSPORT'!A41))+(COUNTIF(RUNGIS!$A$7:$A$50,'IB TRANSPORT'!A41))+(COUNTIF(SCEAUX!$A$7:$A$50,'IB TRANSPORT'!A41))+(COUNTIF('INSTANCE C1'!$A$7:$A$50,'IB TRANSPORT'!A41))+(COUNTIF('INSTANCE C2'!$A$7:$A$50,'IB TRANSPORT'!A41))+(COUNTIF(INTERNES!$A$7:$A$50,'IB TRANSPORT'!A41))+(COUNTIF('EN PANNE'!$A$7:$A$50,'IB TRANSPORT'!A41))+(COUNTIF(TJM!$A$7:$A$50,'IB TRANSPORT'!A41))-C41</f>
        <v>0</v>
      </c>
      <c r="C41" s="23">
        <f>(COUNTIF('2S EXPRESS'!$G$7:$G$50,'IB TRANSPORT'!A41))+(COUNTIF('2 ZT'!$G$7:$G$50,'IB TRANSPORT'!A41))+(COUNTIF('GO TRANSPORT'!$G$7:$G$50,'IB TRANSPORT'!A41))+(COUNTIF('IB TRANSPORT'!$G$7:$G$50,'IB TRANSPORT'!A41))+(COUNTIF('EN PANNE'!$G$7:$G$50,'IB TRANSPORT'!A41))+(COUNTIF(JSL!$G$7:$G$50,'IB TRANSPORT'!A41))+(COUNTIF(KIFAITOUT!$G$7:$G$50,'IB TRANSPORT'!A41))+(COUNTIF('LUXE DRIVE'!$G$7:$G$50,'IB TRANSPORT'!A41))+(COUNTIF(SSN!$G$7:$G$50,'IB TRANSPORT'!A41))+(COUNTIF('W3'!$G$7:$G$50,'IB TRANSPORT'!A41))+(COUNTIF('ATHIS MONS'!$G$7:$G$50,'IB TRANSPORT'!A41))+(COUNTIF('L HAY LES ROSES'!$G$7:$G$50,'IB TRANSPORT'!A41))+(COUNTIF(RUNGIS!$G$7:$G$50,'IB TRANSPORT'!A41))+(COUNTIF(SCEAUX!$G$7:$G$50,'IB TRANSPORT'!A41))+(COUNTIF('INSTANCE C1'!$G$7:$G$50,'IB TRANSPORT'!A41))+(COUNTIF('INSTANCE C2'!$G$7:$G$50,'IB TRANSPORT'!A41))+(COUNTIF(INTERNES!$G$7:$G$50,'IB TRANSPORT'!A41))+(COUNTIF('EN PANNE'!$G$7:$G$50,'IB TRANSPORT'!A41))+(COUNTIF(TJM!$G$7:$G$50,'IB TRANSPORT'!A41))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EXPRESS'!$G$7:$G$50,'IB TRANSPORT'!G41))+(COUNTIF('2 ZT'!$G$7:$G$50,'IB TRANSPORT'!G41))+(COUNTIF('GO TRANSPORT'!$G$7:$G$50,'IB TRANSPORT'!G41))+(COUNTIF('HMZ - KAIS'!$G$7:$G$50,'IB TRANSPORT'!G41))+(COUNTIF('IB TRANSPORT'!$G$7:$G$50,'IB TRANSPORT'!G41))+(COUNTIF(JSL!$G$7:$G$50,'IB TRANSPORT'!G41))+(COUNTIF(KIFAITOUT!$G$7:$G$50,'IB TRANSPORT'!G41))+(COUNTIF('LUXE DRIVE'!$G$7:$G$50,'IB TRANSPORT'!G41))+(COUNTIF(SSN!$G$7:$G$50,'IB TRANSPORT'!G41))+(COUNTIF('W3'!$G$7:$G$50,'IB TRANSPORT'!G41))+(COUNTIF('ATHIS MONS'!$G$7:$G$50,'IB TRANSPORT'!G41))+(COUNTIF('L HAY LES ROSES'!$G$7:$G$50,'IB TRANSPORT'!G41))+(COUNTIF(RUNGIS!$G$7:$G$50,'IB TRANSPORT'!G41))+(COUNTIF(SCEAUX!$G$7:$G$50,'IB TRANSPORT'!G41))+(COUNTIF('INSTANCE C1'!$G$7:$G$50,'IB TRANSPORT'!G41))+(COUNTIF('INSTANCE C2'!$G$7:$G$50,'IB TRANSPORT'!G41))+(COUNTIF(INTERNES!$G$7:$G$50,'IB TRANSPORT'!G41))+(COUNTIF('EN PANNE'!$G$7:$G$50,'IB TRANSPORT'!G41))+(COUNTIF(TJM!$G$7:$G$50,'IB TRANSPORT'!G41))-I41</f>
        <v>0</v>
      </c>
      <c r="I41" s="23">
        <f>(COUNTIF('2S EXPRESS'!$A$7:$A$50,'IB TRANSPORT'!G41))+(COUNTIF('2 ZT'!$A$7:$A$50,'IB TRANSPORT'!G41))+(COUNTIF('GO TRANSPORT'!$A$7:$A$50,'IB TRANSPORT'!G41))+(COUNTIF('HMZ - KAIS'!$A$7:$A$50,'IB TRANSPORT'!G41))+(COUNTIF('IB TRANSPORT'!$A$7:$A$50,'IB TRANSPORT'!G41))+(COUNTIF(JSL!$A$7:$A$50,'IB TRANSPORT'!G41))+(COUNTIF(KIFAITOUT!$A$7:$A$50,'IB TRANSPORT'!G41))+(COUNTIF('LUXE DRIVE'!$A$7:$A$50,'IB TRANSPORT'!G41))+(COUNTIF(SSN!$A$7:$A$50,'IB TRANSPORT'!G41))+(COUNTIF('W3'!$A$7:$A$50,'IB TRANSPORT'!G41))+(COUNTIF('ATHIS MONS'!$A$7:$A$50,'IB TRANSPORT'!G41))+(COUNTIF('L HAY LES ROSES'!$A$7:$A$50,'IB TRANSPORT'!G41))+(COUNTIF(RUNGIS!$A$7:$A$50,'IB TRANSPORT'!G41))+(COUNTIF(SCEAUX!$A$7:$A$50,'IB TRANSPORT'!G41))+(COUNTIF('INSTANCE C1'!$A$7:$A$50,'IB TRANSPORT'!G41))+(COUNTIF('INSTANCE C2'!$A$7:$A$50,'IB TRANSPORT'!G41))+(COUNTIF(INTERNES!$A$7:$A$50,'IB TRANSPORT'!G41))+(COUNTIF('EN PANNE'!$A$7:$A$50,'IB TRANSPORT'!G41))+(COUNTIF(TJM!$A$7:$A$50,'IB TRANSPORT'!G41))</f>
        <v>0</v>
      </c>
      <c r="J41" s="28">
        <f t="shared" si="4"/>
        <v>0</v>
      </c>
      <c r="K41" s="2"/>
      <c r="L41" s="47"/>
      <c r="S41" s="60">
        <f t="shared" si="1"/>
        <v>0</v>
      </c>
      <c r="T41" s="67">
        <f t="shared" si="2"/>
        <v>0</v>
      </c>
    </row>
    <row r="42" spans="1:20" ht="24.95" customHeight="1" x14ac:dyDescent="0.2">
      <c r="A42" s="20"/>
      <c r="B42" s="23">
        <f>(COUNTIF('2S EXPRESS'!$A$7:$A$50,'IB TRANSPORT'!A42))+(COUNTIF('2 ZT'!$A$7:$A$50,'IB TRANSPORT'!A42))+(COUNTIF('GO TRANSPORT'!$A$7:$A$50,'IB TRANSPORT'!A42))+(COUNTIF('HMZ - KAIS'!$A$7:$A$50,'IB TRANSPORT'!A42))+(COUNTIF('IB TRANSPORT'!$A$7:$A$50,'IB TRANSPORT'!A42))+(COUNTIF(JSL!$A$7:$A$50,'IB TRANSPORT'!A42))+(COUNTIF(KIFAITOUT!$A$7:$A$50,'IB TRANSPORT'!A42))+(COUNTIF('LUXE DRIVE'!$A$7:$A$50,'IB TRANSPORT'!A42))+(COUNTIF(SSN!$A$7:$A$50,'IB TRANSPORT'!A42))+(COUNTIF('W3'!$A$7:$A$50,'IB TRANSPORT'!A42))+(COUNTIF('ATHIS MONS'!$A$7:$A$50,'IB TRANSPORT'!A42))+(COUNTIF('L HAY LES ROSES'!$A$7:$A$50,'IB TRANSPORT'!A42))+(COUNTIF(RUNGIS!$A$7:$A$50,'IB TRANSPORT'!A42))+(COUNTIF(SCEAUX!$A$7:$A$50,'IB TRANSPORT'!A42))+(COUNTIF('INSTANCE C1'!$A$7:$A$50,'IB TRANSPORT'!A42))+(COUNTIF('INSTANCE C2'!$A$7:$A$50,'IB TRANSPORT'!A42))+(COUNTIF(INTERNES!$A$7:$A$50,'IB TRANSPORT'!A42))+(COUNTIF('EN PANNE'!$A$7:$A$50,'IB TRANSPORT'!A42))+(COUNTIF(TJM!$A$7:$A$50,'IB TRANSPORT'!A42))-C42</f>
        <v>0</v>
      </c>
      <c r="C42" s="23">
        <f>(COUNTIF('2S EXPRESS'!$G$7:$G$50,'IB TRANSPORT'!A42))+(COUNTIF('2 ZT'!$G$7:$G$50,'IB TRANSPORT'!A42))+(COUNTIF('GO TRANSPORT'!$G$7:$G$50,'IB TRANSPORT'!A42))+(COUNTIF('IB TRANSPORT'!$G$7:$G$50,'IB TRANSPORT'!A42))+(COUNTIF('EN PANNE'!$G$7:$G$50,'IB TRANSPORT'!A42))+(COUNTIF(JSL!$G$7:$G$50,'IB TRANSPORT'!A42))+(COUNTIF(KIFAITOUT!$G$7:$G$50,'IB TRANSPORT'!A42))+(COUNTIF('LUXE DRIVE'!$G$7:$G$50,'IB TRANSPORT'!A42))+(COUNTIF(SSN!$G$7:$G$50,'IB TRANSPORT'!A42))+(COUNTIF('W3'!$G$7:$G$50,'IB TRANSPORT'!A42))+(COUNTIF('ATHIS MONS'!$G$7:$G$50,'IB TRANSPORT'!A42))+(COUNTIF('L HAY LES ROSES'!$G$7:$G$50,'IB TRANSPORT'!A42))+(COUNTIF(RUNGIS!$G$7:$G$50,'IB TRANSPORT'!A42))+(COUNTIF(SCEAUX!$G$7:$G$50,'IB TRANSPORT'!A42))+(COUNTIF('INSTANCE C1'!$G$7:$G$50,'IB TRANSPORT'!A42))+(COUNTIF('INSTANCE C2'!$G$7:$G$50,'IB TRANSPORT'!A42))+(COUNTIF(INTERNES!$G$7:$G$50,'IB TRANSPORT'!A42))+(COUNTIF('EN PANNE'!$G$7:$G$50,'IB TRANSPORT'!A42))+(COUNTIF(TJM!$G$7:$G$50,'IB TRANSPORT'!A42))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EXPRESS'!$G$7:$G$50,'IB TRANSPORT'!G42))+(COUNTIF('2 ZT'!$G$7:$G$50,'IB TRANSPORT'!G42))+(COUNTIF('GO TRANSPORT'!$G$7:$G$50,'IB TRANSPORT'!G42))+(COUNTIF('HMZ - KAIS'!$G$7:$G$50,'IB TRANSPORT'!G42))+(COUNTIF('IB TRANSPORT'!$G$7:$G$50,'IB TRANSPORT'!G42))+(COUNTIF(JSL!$G$7:$G$50,'IB TRANSPORT'!G42))+(COUNTIF(KIFAITOUT!$G$7:$G$50,'IB TRANSPORT'!G42))+(COUNTIF('LUXE DRIVE'!$G$7:$G$50,'IB TRANSPORT'!G42))+(COUNTIF(SSN!$G$7:$G$50,'IB TRANSPORT'!G42))+(COUNTIF('W3'!$G$7:$G$50,'IB TRANSPORT'!G42))+(COUNTIF('ATHIS MONS'!$G$7:$G$50,'IB TRANSPORT'!G42))+(COUNTIF('L HAY LES ROSES'!$G$7:$G$50,'IB TRANSPORT'!G42))+(COUNTIF(RUNGIS!$G$7:$G$50,'IB TRANSPORT'!G42))+(COUNTIF(SCEAUX!$G$7:$G$50,'IB TRANSPORT'!G42))+(COUNTIF('INSTANCE C1'!$G$7:$G$50,'IB TRANSPORT'!G42))+(COUNTIF('INSTANCE C2'!$G$7:$G$50,'IB TRANSPORT'!G42))+(COUNTIF(INTERNES!$G$7:$G$50,'IB TRANSPORT'!G42))+(COUNTIF('EN PANNE'!$G$7:$G$50,'IB TRANSPORT'!G42))+(COUNTIF(TJM!$G$7:$G$50,'IB TRANSPORT'!G42))-I42</f>
        <v>0</v>
      </c>
      <c r="I42" s="23">
        <f>(COUNTIF('2S EXPRESS'!$A$7:$A$50,'IB TRANSPORT'!G42))+(COUNTIF('2 ZT'!$A$7:$A$50,'IB TRANSPORT'!G42))+(COUNTIF('GO TRANSPORT'!$A$7:$A$50,'IB TRANSPORT'!G42))+(COUNTIF('HMZ - KAIS'!$A$7:$A$50,'IB TRANSPORT'!G42))+(COUNTIF('IB TRANSPORT'!$A$7:$A$50,'IB TRANSPORT'!G42))+(COUNTIF(JSL!$A$7:$A$50,'IB TRANSPORT'!G42))+(COUNTIF(KIFAITOUT!$A$7:$A$50,'IB TRANSPORT'!G42))+(COUNTIF('LUXE DRIVE'!$A$7:$A$50,'IB TRANSPORT'!G42))+(COUNTIF(SSN!$A$7:$A$50,'IB TRANSPORT'!G42))+(COUNTIF('W3'!$A$7:$A$50,'IB TRANSPORT'!G42))+(COUNTIF('ATHIS MONS'!$A$7:$A$50,'IB TRANSPORT'!G42))+(COUNTIF('L HAY LES ROSES'!$A$7:$A$50,'IB TRANSPORT'!G42))+(COUNTIF(RUNGIS!$A$7:$A$50,'IB TRANSPORT'!G42))+(COUNTIF(SCEAUX!$A$7:$A$50,'IB TRANSPORT'!G42))+(COUNTIF('INSTANCE C1'!$A$7:$A$50,'IB TRANSPORT'!G42))+(COUNTIF('INSTANCE C2'!$A$7:$A$50,'IB TRANSPORT'!G42))+(COUNTIF(INTERNES!$A$7:$A$50,'IB TRANSPORT'!G42))+(COUNTIF('EN PANNE'!$A$7:$A$50,'IB TRANSPORT'!G42))+(COUNTIF(TJM!$A$7:$A$50,'IB TRANSPORT'!G42))</f>
        <v>0</v>
      </c>
      <c r="J42" s="28">
        <f t="shared" si="4"/>
        <v>0</v>
      </c>
      <c r="K42" s="2"/>
      <c r="L42" s="47"/>
      <c r="S42" s="60">
        <f t="shared" si="1"/>
        <v>0</v>
      </c>
      <c r="T42" s="67">
        <f t="shared" si="2"/>
        <v>0</v>
      </c>
    </row>
    <row r="43" spans="1:20" ht="24.95" customHeight="1" x14ac:dyDescent="0.2">
      <c r="A43" s="20"/>
      <c r="B43" s="23">
        <f>(COUNTIF('2S EXPRESS'!$A$7:$A$50,'IB TRANSPORT'!A43))+(COUNTIF('2 ZT'!$A$7:$A$50,'IB TRANSPORT'!A43))+(COUNTIF('GO TRANSPORT'!$A$7:$A$50,'IB TRANSPORT'!A43))+(COUNTIF('HMZ - KAIS'!$A$7:$A$50,'IB TRANSPORT'!A43))+(COUNTIF('IB TRANSPORT'!$A$7:$A$50,'IB TRANSPORT'!A43))+(COUNTIF(JSL!$A$7:$A$50,'IB TRANSPORT'!A43))+(COUNTIF(KIFAITOUT!$A$7:$A$50,'IB TRANSPORT'!A43))+(COUNTIF('LUXE DRIVE'!$A$7:$A$50,'IB TRANSPORT'!A43))+(COUNTIF(SSN!$A$7:$A$50,'IB TRANSPORT'!A43))+(COUNTIF('W3'!$A$7:$A$50,'IB TRANSPORT'!A43))+(COUNTIF('ATHIS MONS'!$A$7:$A$50,'IB TRANSPORT'!A43))+(COUNTIF('L HAY LES ROSES'!$A$7:$A$50,'IB TRANSPORT'!A43))+(COUNTIF(RUNGIS!$A$7:$A$50,'IB TRANSPORT'!A43))+(COUNTIF(SCEAUX!$A$7:$A$50,'IB TRANSPORT'!A43))+(COUNTIF('INSTANCE C1'!$A$7:$A$50,'IB TRANSPORT'!A43))+(COUNTIF('INSTANCE C2'!$A$7:$A$50,'IB TRANSPORT'!A43))+(COUNTIF(INTERNES!$A$7:$A$50,'IB TRANSPORT'!A43))+(COUNTIF('EN PANNE'!$A$7:$A$50,'IB TRANSPORT'!A43))+(COUNTIF(TJM!$A$7:$A$50,'IB TRANSPORT'!A43))-C43</f>
        <v>0</v>
      </c>
      <c r="C43" s="23">
        <f>(COUNTIF('2S EXPRESS'!$G$7:$G$50,'IB TRANSPORT'!A43))+(COUNTIF('2 ZT'!$G$7:$G$50,'IB TRANSPORT'!A43))+(COUNTIF('GO TRANSPORT'!$G$7:$G$50,'IB TRANSPORT'!A43))+(COUNTIF('IB TRANSPORT'!$G$7:$G$50,'IB TRANSPORT'!A43))+(COUNTIF('EN PANNE'!$G$7:$G$50,'IB TRANSPORT'!A43))+(COUNTIF(JSL!$G$7:$G$50,'IB TRANSPORT'!A43))+(COUNTIF(KIFAITOUT!$G$7:$G$50,'IB TRANSPORT'!A43))+(COUNTIF('LUXE DRIVE'!$G$7:$G$50,'IB TRANSPORT'!A43))+(COUNTIF(SSN!$G$7:$G$50,'IB TRANSPORT'!A43))+(COUNTIF('W3'!$G$7:$G$50,'IB TRANSPORT'!A43))+(COUNTIF('ATHIS MONS'!$G$7:$G$50,'IB TRANSPORT'!A43))+(COUNTIF('L HAY LES ROSES'!$G$7:$G$50,'IB TRANSPORT'!A43))+(COUNTIF(RUNGIS!$G$7:$G$50,'IB TRANSPORT'!A43))+(COUNTIF(SCEAUX!$G$7:$G$50,'IB TRANSPORT'!A43))+(COUNTIF('INSTANCE C1'!$G$7:$G$50,'IB TRANSPORT'!A43))+(COUNTIF('INSTANCE C2'!$G$7:$G$50,'IB TRANSPORT'!A43))+(COUNTIF(INTERNES!$G$7:$G$50,'IB TRANSPORT'!A43))+(COUNTIF('EN PANNE'!$G$7:$G$50,'IB TRANSPORT'!A43))+(COUNTIF(TJM!$G$7:$G$50,'IB TRANSPORT'!A43))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EXPRESS'!$G$7:$G$50,'IB TRANSPORT'!G43))+(COUNTIF('2 ZT'!$G$7:$G$50,'IB TRANSPORT'!G43))+(COUNTIF('GO TRANSPORT'!$G$7:$G$50,'IB TRANSPORT'!G43))+(COUNTIF('HMZ - KAIS'!$G$7:$G$50,'IB TRANSPORT'!G43))+(COUNTIF('IB TRANSPORT'!$G$7:$G$50,'IB TRANSPORT'!G43))+(COUNTIF(JSL!$G$7:$G$50,'IB TRANSPORT'!G43))+(COUNTIF(KIFAITOUT!$G$7:$G$50,'IB TRANSPORT'!G43))+(COUNTIF('LUXE DRIVE'!$G$7:$G$50,'IB TRANSPORT'!G43))+(COUNTIF(SSN!$G$7:$G$50,'IB TRANSPORT'!G43))+(COUNTIF('W3'!$G$7:$G$50,'IB TRANSPORT'!G43))+(COUNTIF('ATHIS MONS'!$G$7:$G$50,'IB TRANSPORT'!G43))+(COUNTIF('L HAY LES ROSES'!$G$7:$G$50,'IB TRANSPORT'!G43))+(COUNTIF(RUNGIS!$G$7:$G$50,'IB TRANSPORT'!G43))+(COUNTIF(SCEAUX!$G$7:$G$50,'IB TRANSPORT'!G43))+(COUNTIF('INSTANCE C1'!$G$7:$G$50,'IB TRANSPORT'!G43))+(COUNTIF('INSTANCE C2'!$G$7:$G$50,'IB TRANSPORT'!G43))+(COUNTIF(INTERNES!$G$7:$G$50,'IB TRANSPORT'!G43))+(COUNTIF('EN PANNE'!$G$7:$G$50,'IB TRANSPORT'!G43))+(COUNTIF(TJM!$G$7:$G$50,'IB TRANSPORT'!G43))-I43</f>
        <v>0</v>
      </c>
      <c r="I43" s="23">
        <f>(COUNTIF('2S EXPRESS'!$A$7:$A$50,'IB TRANSPORT'!G43))+(COUNTIF('2 ZT'!$A$7:$A$50,'IB TRANSPORT'!G43))+(COUNTIF('GO TRANSPORT'!$A$7:$A$50,'IB TRANSPORT'!G43))+(COUNTIF('HMZ - KAIS'!$A$7:$A$50,'IB TRANSPORT'!G43))+(COUNTIF('IB TRANSPORT'!$A$7:$A$50,'IB TRANSPORT'!G43))+(COUNTIF(JSL!$A$7:$A$50,'IB TRANSPORT'!G43))+(COUNTIF(KIFAITOUT!$A$7:$A$50,'IB TRANSPORT'!G43))+(COUNTIF('LUXE DRIVE'!$A$7:$A$50,'IB TRANSPORT'!G43))+(COUNTIF(SSN!$A$7:$A$50,'IB TRANSPORT'!G43))+(COUNTIF('W3'!$A$7:$A$50,'IB TRANSPORT'!G43))+(COUNTIF('ATHIS MONS'!$A$7:$A$50,'IB TRANSPORT'!G43))+(COUNTIF('L HAY LES ROSES'!$A$7:$A$50,'IB TRANSPORT'!G43))+(COUNTIF(RUNGIS!$A$7:$A$50,'IB TRANSPORT'!G43))+(COUNTIF(SCEAUX!$A$7:$A$50,'IB TRANSPORT'!G43))+(COUNTIF('INSTANCE C1'!$A$7:$A$50,'IB TRANSPORT'!G43))+(COUNTIF('INSTANCE C2'!$A$7:$A$50,'IB TRANSPORT'!G43))+(COUNTIF(INTERNES!$A$7:$A$50,'IB TRANSPORT'!G43))+(COUNTIF('EN PANNE'!$A$7:$A$50,'IB TRANSPORT'!G43))+(COUNTIF(TJM!$A$7:$A$50,'IB TRANSPORT'!G43))</f>
        <v>0</v>
      </c>
      <c r="J43" s="28">
        <f t="shared" si="4"/>
        <v>0</v>
      </c>
      <c r="K43" s="2"/>
      <c r="L43" s="47"/>
      <c r="S43" s="60">
        <f t="shared" si="1"/>
        <v>0</v>
      </c>
      <c r="T43" s="67">
        <f t="shared" si="2"/>
        <v>0</v>
      </c>
    </row>
    <row r="44" spans="1:20" ht="24.95" customHeight="1" x14ac:dyDescent="0.2">
      <c r="A44" s="20"/>
      <c r="B44" s="23">
        <f>(COUNTIF('2S EXPRESS'!$A$7:$A$50,'IB TRANSPORT'!A44))+(COUNTIF('2 ZT'!$A$7:$A$50,'IB TRANSPORT'!A44))+(COUNTIF('GO TRANSPORT'!$A$7:$A$50,'IB TRANSPORT'!A44))+(COUNTIF('HMZ - KAIS'!$A$7:$A$50,'IB TRANSPORT'!A44))+(COUNTIF('IB TRANSPORT'!$A$7:$A$50,'IB TRANSPORT'!A44))+(COUNTIF(JSL!$A$7:$A$50,'IB TRANSPORT'!A44))+(COUNTIF(KIFAITOUT!$A$7:$A$50,'IB TRANSPORT'!A44))+(COUNTIF('LUXE DRIVE'!$A$7:$A$50,'IB TRANSPORT'!A44))+(COUNTIF(SSN!$A$7:$A$50,'IB TRANSPORT'!A44))+(COUNTIF('W3'!$A$7:$A$50,'IB TRANSPORT'!A44))+(COUNTIF('ATHIS MONS'!$A$7:$A$50,'IB TRANSPORT'!A44))+(COUNTIF('L HAY LES ROSES'!$A$7:$A$50,'IB TRANSPORT'!A44))+(COUNTIF(RUNGIS!$A$7:$A$50,'IB TRANSPORT'!A44))+(COUNTIF(SCEAUX!$A$7:$A$50,'IB TRANSPORT'!A44))+(COUNTIF('INSTANCE C1'!$A$7:$A$50,'IB TRANSPORT'!A44))+(COUNTIF('INSTANCE C2'!$A$7:$A$50,'IB TRANSPORT'!A44))+(COUNTIF(INTERNES!$A$7:$A$50,'IB TRANSPORT'!A44))+(COUNTIF('EN PANNE'!$A$7:$A$50,'IB TRANSPORT'!A44))+(COUNTIF(TJM!$A$7:$A$50,'IB TRANSPORT'!A44))-C44</f>
        <v>0</v>
      </c>
      <c r="C44" s="23">
        <f>(COUNTIF('2S EXPRESS'!$G$7:$G$50,'IB TRANSPORT'!A44))+(COUNTIF('2 ZT'!$G$7:$G$50,'IB TRANSPORT'!A44))+(COUNTIF('GO TRANSPORT'!$G$7:$G$50,'IB TRANSPORT'!A44))+(COUNTIF('IB TRANSPORT'!$G$7:$G$50,'IB TRANSPORT'!A44))+(COUNTIF('EN PANNE'!$G$7:$G$50,'IB TRANSPORT'!A44))+(COUNTIF(JSL!$G$7:$G$50,'IB TRANSPORT'!A44))+(COUNTIF(KIFAITOUT!$G$7:$G$50,'IB TRANSPORT'!A44))+(COUNTIF('LUXE DRIVE'!$G$7:$G$50,'IB TRANSPORT'!A44))+(COUNTIF(SSN!$G$7:$G$50,'IB TRANSPORT'!A44))+(COUNTIF('W3'!$G$7:$G$50,'IB TRANSPORT'!A44))+(COUNTIF('ATHIS MONS'!$G$7:$G$50,'IB TRANSPORT'!A44))+(COUNTIF('L HAY LES ROSES'!$G$7:$G$50,'IB TRANSPORT'!A44))+(COUNTIF(RUNGIS!$G$7:$G$50,'IB TRANSPORT'!A44))+(COUNTIF(SCEAUX!$G$7:$G$50,'IB TRANSPORT'!A44))+(COUNTIF('INSTANCE C1'!$G$7:$G$50,'IB TRANSPORT'!A44))+(COUNTIF('INSTANCE C2'!$G$7:$G$50,'IB TRANSPORT'!A44))+(COUNTIF(INTERNES!$G$7:$G$50,'IB TRANSPORT'!A44))+(COUNTIF('EN PANNE'!$G$7:$G$50,'IB TRANSPORT'!A44))+(COUNTIF(TJM!$G$7:$G$50,'IB TRANSPORT'!A44))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EXPRESS'!$G$7:$G$50,'IB TRANSPORT'!G44))+(COUNTIF('2 ZT'!$G$7:$G$50,'IB TRANSPORT'!G44))+(COUNTIF('GO TRANSPORT'!$G$7:$G$50,'IB TRANSPORT'!G44))+(COUNTIF('HMZ - KAIS'!$G$7:$G$50,'IB TRANSPORT'!G44))+(COUNTIF('IB TRANSPORT'!$G$7:$G$50,'IB TRANSPORT'!G44))+(COUNTIF(JSL!$G$7:$G$50,'IB TRANSPORT'!G44))+(COUNTIF(KIFAITOUT!$G$7:$G$50,'IB TRANSPORT'!G44))+(COUNTIF('LUXE DRIVE'!$G$7:$G$50,'IB TRANSPORT'!G44))+(COUNTIF(SSN!$G$7:$G$50,'IB TRANSPORT'!G44))+(COUNTIF('W3'!$G$7:$G$50,'IB TRANSPORT'!G44))+(COUNTIF('ATHIS MONS'!$G$7:$G$50,'IB TRANSPORT'!G44))+(COUNTIF('L HAY LES ROSES'!$G$7:$G$50,'IB TRANSPORT'!G44))+(COUNTIF(RUNGIS!$G$7:$G$50,'IB TRANSPORT'!G44))+(COUNTIF(SCEAUX!$G$7:$G$50,'IB TRANSPORT'!G44))+(COUNTIF('INSTANCE C1'!$G$7:$G$50,'IB TRANSPORT'!G44))+(COUNTIF('INSTANCE C2'!$G$7:$G$50,'IB TRANSPORT'!G44))+(COUNTIF(INTERNES!$G$7:$G$50,'IB TRANSPORT'!G44))+(COUNTIF('EN PANNE'!$G$7:$G$50,'IB TRANSPORT'!G44))+(COUNTIF(TJM!$G$7:$G$50,'IB TRANSPORT'!G44))-I44</f>
        <v>0</v>
      </c>
      <c r="I44" s="23">
        <f>(COUNTIF('2S EXPRESS'!$A$7:$A$50,'IB TRANSPORT'!G44))+(COUNTIF('2 ZT'!$A$7:$A$50,'IB TRANSPORT'!G44))+(COUNTIF('GO TRANSPORT'!$A$7:$A$50,'IB TRANSPORT'!G44))+(COUNTIF('HMZ - KAIS'!$A$7:$A$50,'IB TRANSPORT'!G44))+(COUNTIF('IB TRANSPORT'!$A$7:$A$50,'IB TRANSPORT'!G44))+(COUNTIF(JSL!$A$7:$A$50,'IB TRANSPORT'!G44))+(COUNTIF(KIFAITOUT!$A$7:$A$50,'IB TRANSPORT'!G44))+(COUNTIF('LUXE DRIVE'!$A$7:$A$50,'IB TRANSPORT'!G44))+(COUNTIF(SSN!$A$7:$A$50,'IB TRANSPORT'!G44))+(COUNTIF('W3'!$A$7:$A$50,'IB TRANSPORT'!G44))+(COUNTIF('ATHIS MONS'!$A$7:$A$50,'IB TRANSPORT'!G44))+(COUNTIF('L HAY LES ROSES'!$A$7:$A$50,'IB TRANSPORT'!G44))+(COUNTIF(RUNGIS!$A$7:$A$50,'IB TRANSPORT'!G44))+(COUNTIF(SCEAUX!$A$7:$A$50,'IB TRANSPORT'!G44))+(COUNTIF('INSTANCE C1'!$A$7:$A$50,'IB TRANSPORT'!G44))+(COUNTIF('INSTANCE C2'!$A$7:$A$50,'IB TRANSPORT'!G44))+(COUNTIF(INTERNES!$A$7:$A$50,'IB TRANSPORT'!G44))+(COUNTIF('EN PANNE'!$A$7:$A$50,'IB TRANSPORT'!G44))+(COUNTIF(TJM!$A$7:$A$50,'IB TRANSPORT'!G44))</f>
        <v>0</v>
      </c>
      <c r="J44" s="28">
        <f t="shared" si="4"/>
        <v>0</v>
      </c>
      <c r="K44" s="2"/>
      <c r="L44" s="47"/>
      <c r="S44" s="60">
        <f t="shared" si="1"/>
        <v>0</v>
      </c>
      <c r="T44" s="67">
        <f t="shared" si="2"/>
        <v>0</v>
      </c>
    </row>
    <row r="45" spans="1:20" ht="24.95" customHeight="1" x14ac:dyDescent="0.2">
      <c r="A45" s="20"/>
      <c r="B45" s="23">
        <f>(COUNTIF('2S EXPRESS'!$A$7:$A$50,'IB TRANSPORT'!A45))+(COUNTIF('2 ZT'!$A$7:$A$50,'IB TRANSPORT'!A45))+(COUNTIF('GO TRANSPORT'!$A$7:$A$50,'IB TRANSPORT'!A45))+(COUNTIF('HMZ - KAIS'!$A$7:$A$50,'IB TRANSPORT'!A45))+(COUNTIF('IB TRANSPORT'!$A$7:$A$50,'IB TRANSPORT'!A45))+(COUNTIF(JSL!$A$7:$A$50,'IB TRANSPORT'!A45))+(COUNTIF(KIFAITOUT!$A$7:$A$50,'IB TRANSPORT'!A45))+(COUNTIF('LUXE DRIVE'!$A$7:$A$50,'IB TRANSPORT'!A45))+(COUNTIF(SSN!$A$7:$A$50,'IB TRANSPORT'!A45))+(COUNTIF('W3'!$A$7:$A$50,'IB TRANSPORT'!A45))+(COUNTIF('ATHIS MONS'!$A$7:$A$50,'IB TRANSPORT'!A45))+(COUNTIF('L HAY LES ROSES'!$A$7:$A$50,'IB TRANSPORT'!A45))+(COUNTIF(RUNGIS!$A$7:$A$50,'IB TRANSPORT'!A45))+(COUNTIF(SCEAUX!$A$7:$A$50,'IB TRANSPORT'!A45))+(COUNTIF('INSTANCE C1'!$A$7:$A$50,'IB TRANSPORT'!A45))+(COUNTIF('INSTANCE C2'!$A$7:$A$50,'IB TRANSPORT'!A45))+(COUNTIF(INTERNES!$A$7:$A$50,'IB TRANSPORT'!A45))+(COUNTIF('EN PANNE'!$A$7:$A$50,'IB TRANSPORT'!A45))+(COUNTIF(TJM!$A$7:$A$50,'IB TRANSPORT'!A45))-C45</f>
        <v>0</v>
      </c>
      <c r="C45" s="23">
        <f>(COUNTIF('2S EXPRESS'!$G$7:$G$50,'IB TRANSPORT'!A45))+(COUNTIF('2 ZT'!$G$7:$G$50,'IB TRANSPORT'!A45))+(COUNTIF('GO TRANSPORT'!$G$7:$G$50,'IB TRANSPORT'!A45))+(COUNTIF('IB TRANSPORT'!$G$7:$G$50,'IB TRANSPORT'!A45))+(COUNTIF('EN PANNE'!$G$7:$G$50,'IB TRANSPORT'!A45))+(COUNTIF(JSL!$G$7:$G$50,'IB TRANSPORT'!A45))+(COUNTIF(KIFAITOUT!$G$7:$G$50,'IB TRANSPORT'!A45))+(COUNTIF('LUXE DRIVE'!$G$7:$G$50,'IB TRANSPORT'!A45))+(COUNTIF(SSN!$G$7:$G$50,'IB TRANSPORT'!A45))+(COUNTIF('W3'!$G$7:$G$50,'IB TRANSPORT'!A45))+(COUNTIF('ATHIS MONS'!$G$7:$G$50,'IB TRANSPORT'!A45))+(COUNTIF('L HAY LES ROSES'!$G$7:$G$50,'IB TRANSPORT'!A45))+(COUNTIF(RUNGIS!$G$7:$G$50,'IB TRANSPORT'!A45))+(COUNTIF(SCEAUX!$G$7:$G$50,'IB TRANSPORT'!A45))+(COUNTIF('INSTANCE C1'!$G$7:$G$50,'IB TRANSPORT'!A45))+(COUNTIF('INSTANCE C2'!$G$7:$G$50,'IB TRANSPORT'!A45))+(COUNTIF(INTERNES!$G$7:$G$50,'IB TRANSPORT'!A45))+(COUNTIF('EN PANNE'!$G$7:$G$50,'IB TRANSPORT'!A45))+(COUNTIF(TJM!$G$7:$G$50,'IB TRANSPORT'!A45))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EXPRESS'!$G$7:$G$50,'IB TRANSPORT'!G45))+(COUNTIF('2 ZT'!$G$7:$G$50,'IB TRANSPORT'!G45))+(COUNTIF('GO TRANSPORT'!$G$7:$G$50,'IB TRANSPORT'!G45))+(COUNTIF('HMZ - KAIS'!$G$7:$G$50,'IB TRANSPORT'!G45))+(COUNTIF('IB TRANSPORT'!$G$7:$G$50,'IB TRANSPORT'!G45))+(COUNTIF(JSL!$G$7:$G$50,'IB TRANSPORT'!G45))+(COUNTIF(KIFAITOUT!$G$7:$G$50,'IB TRANSPORT'!G45))+(COUNTIF('LUXE DRIVE'!$G$7:$G$50,'IB TRANSPORT'!G45))+(COUNTIF(SSN!$G$7:$G$50,'IB TRANSPORT'!G45))+(COUNTIF('W3'!$G$7:$G$50,'IB TRANSPORT'!G45))+(COUNTIF('ATHIS MONS'!$G$7:$G$50,'IB TRANSPORT'!G45))+(COUNTIF('L HAY LES ROSES'!$G$7:$G$50,'IB TRANSPORT'!G45))+(COUNTIF(RUNGIS!$G$7:$G$50,'IB TRANSPORT'!G45))+(COUNTIF(SCEAUX!$G$7:$G$50,'IB TRANSPORT'!G45))+(COUNTIF('INSTANCE C1'!$G$7:$G$50,'IB TRANSPORT'!G45))+(COUNTIF('INSTANCE C2'!$G$7:$G$50,'IB TRANSPORT'!G45))+(COUNTIF(INTERNES!$G$7:$G$50,'IB TRANSPORT'!G45))+(COUNTIF('EN PANNE'!$G$7:$G$50,'IB TRANSPORT'!G45))+(COUNTIF(TJM!$G$7:$G$50,'IB TRANSPORT'!G45))-I45</f>
        <v>0</v>
      </c>
      <c r="I45" s="23">
        <f>(COUNTIF('2S EXPRESS'!$A$7:$A$50,'IB TRANSPORT'!G45))+(COUNTIF('2 ZT'!$A$7:$A$50,'IB TRANSPORT'!G45))+(COUNTIF('GO TRANSPORT'!$A$7:$A$50,'IB TRANSPORT'!G45))+(COUNTIF('HMZ - KAIS'!$A$7:$A$50,'IB TRANSPORT'!G45))+(COUNTIF('IB TRANSPORT'!$A$7:$A$50,'IB TRANSPORT'!G45))+(COUNTIF(JSL!$A$7:$A$50,'IB TRANSPORT'!G45))+(COUNTIF(KIFAITOUT!$A$7:$A$50,'IB TRANSPORT'!G45))+(COUNTIF('LUXE DRIVE'!$A$7:$A$50,'IB TRANSPORT'!G45))+(COUNTIF(SSN!$A$7:$A$50,'IB TRANSPORT'!G45))+(COUNTIF('W3'!$A$7:$A$50,'IB TRANSPORT'!G45))+(COUNTIF('ATHIS MONS'!$A$7:$A$50,'IB TRANSPORT'!G45))+(COUNTIF('L HAY LES ROSES'!$A$7:$A$50,'IB TRANSPORT'!G45))+(COUNTIF(RUNGIS!$A$7:$A$50,'IB TRANSPORT'!G45))+(COUNTIF(SCEAUX!$A$7:$A$50,'IB TRANSPORT'!G45))+(COUNTIF('INSTANCE C1'!$A$7:$A$50,'IB TRANSPORT'!G45))+(COUNTIF('INSTANCE C2'!$A$7:$A$50,'IB TRANSPORT'!G45))+(COUNTIF(INTERNES!$A$7:$A$50,'IB TRANSPORT'!G45))+(COUNTIF('EN PANNE'!$A$7:$A$50,'IB TRANSPORT'!G45))+(COUNTIF(TJM!$A$7:$A$50,'IB TRANSPORT'!G45))</f>
        <v>0</v>
      </c>
      <c r="J45" s="28">
        <f t="shared" si="4"/>
        <v>0</v>
      </c>
      <c r="K45" s="2"/>
      <c r="L45" s="47"/>
      <c r="S45" s="60">
        <f t="shared" si="1"/>
        <v>0</v>
      </c>
      <c r="T45" s="67">
        <f t="shared" si="2"/>
        <v>0</v>
      </c>
    </row>
    <row r="46" spans="1:20" ht="24.95" customHeight="1" x14ac:dyDescent="0.2">
      <c r="A46" s="20"/>
      <c r="B46" s="23">
        <f>(COUNTIF('2S EXPRESS'!$A$7:$A$50,'IB TRANSPORT'!A46))+(COUNTIF('2 ZT'!$A$7:$A$50,'IB TRANSPORT'!A46))+(COUNTIF('GO TRANSPORT'!$A$7:$A$50,'IB TRANSPORT'!A46))+(COUNTIF('HMZ - KAIS'!$A$7:$A$50,'IB TRANSPORT'!A46))+(COUNTIF('IB TRANSPORT'!$A$7:$A$50,'IB TRANSPORT'!A46))+(COUNTIF(JSL!$A$7:$A$50,'IB TRANSPORT'!A46))+(COUNTIF(KIFAITOUT!$A$7:$A$50,'IB TRANSPORT'!A46))+(COUNTIF('LUXE DRIVE'!$A$7:$A$50,'IB TRANSPORT'!A46))+(COUNTIF(SSN!$A$7:$A$50,'IB TRANSPORT'!A46))+(COUNTIF('W3'!$A$7:$A$50,'IB TRANSPORT'!A46))+(COUNTIF('ATHIS MONS'!$A$7:$A$50,'IB TRANSPORT'!A46))+(COUNTIF('L HAY LES ROSES'!$A$7:$A$50,'IB TRANSPORT'!A46))+(COUNTIF(RUNGIS!$A$7:$A$50,'IB TRANSPORT'!A46))+(COUNTIF(SCEAUX!$A$7:$A$50,'IB TRANSPORT'!A46))+(COUNTIF('INSTANCE C1'!$A$7:$A$50,'IB TRANSPORT'!A46))+(COUNTIF('INSTANCE C2'!$A$7:$A$50,'IB TRANSPORT'!A46))+(COUNTIF(INTERNES!$A$7:$A$50,'IB TRANSPORT'!A46))+(COUNTIF('EN PANNE'!$A$7:$A$50,'IB TRANSPORT'!A46))+(COUNTIF(TJM!$A$7:$A$50,'IB TRANSPORT'!A46))-C46</f>
        <v>0</v>
      </c>
      <c r="C46" s="23">
        <f>(COUNTIF('2S EXPRESS'!$G$7:$G$50,'IB TRANSPORT'!A46))+(COUNTIF('2 ZT'!$G$7:$G$50,'IB TRANSPORT'!A46))+(COUNTIF('GO TRANSPORT'!$G$7:$G$50,'IB TRANSPORT'!A46))+(COUNTIF('IB TRANSPORT'!$G$7:$G$50,'IB TRANSPORT'!A46))+(COUNTIF('EN PANNE'!$G$7:$G$50,'IB TRANSPORT'!A46))+(COUNTIF(JSL!$G$7:$G$50,'IB TRANSPORT'!A46))+(COUNTIF(KIFAITOUT!$G$7:$G$50,'IB TRANSPORT'!A46))+(COUNTIF('LUXE DRIVE'!$G$7:$G$50,'IB TRANSPORT'!A46))+(COUNTIF(SSN!$G$7:$G$50,'IB TRANSPORT'!A46))+(COUNTIF('W3'!$G$7:$G$50,'IB TRANSPORT'!A46))+(COUNTIF('ATHIS MONS'!$G$7:$G$50,'IB TRANSPORT'!A46))+(COUNTIF('L HAY LES ROSES'!$G$7:$G$50,'IB TRANSPORT'!A46))+(COUNTIF(RUNGIS!$G$7:$G$50,'IB TRANSPORT'!A46))+(COUNTIF(SCEAUX!$G$7:$G$50,'IB TRANSPORT'!A46))+(COUNTIF('INSTANCE C1'!$G$7:$G$50,'IB TRANSPORT'!A46))+(COUNTIF('INSTANCE C2'!$G$7:$G$50,'IB TRANSPORT'!A46))+(COUNTIF(INTERNES!$G$7:$G$50,'IB TRANSPORT'!A46))+(COUNTIF('EN PANNE'!$G$7:$G$50,'IB TRANSPORT'!A46))+(COUNTIF(TJM!$G$7:$G$50,'IB TRANSPORT'!A46))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EXPRESS'!$G$7:$G$50,'IB TRANSPORT'!G46))+(COUNTIF('2 ZT'!$G$7:$G$50,'IB TRANSPORT'!G46))+(COUNTIF('GO TRANSPORT'!$G$7:$G$50,'IB TRANSPORT'!G46))+(COUNTIF('HMZ - KAIS'!$G$7:$G$50,'IB TRANSPORT'!G46))+(COUNTIF('IB TRANSPORT'!$G$7:$G$50,'IB TRANSPORT'!G46))+(COUNTIF(JSL!$G$7:$G$50,'IB TRANSPORT'!G46))+(COUNTIF(KIFAITOUT!$G$7:$G$50,'IB TRANSPORT'!G46))+(COUNTIF('LUXE DRIVE'!$G$7:$G$50,'IB TRANSPORT'!G46))+(COUNTIF(SSN!$G$7:$G$50,'IB TRANSPORT'!G46))+(COUNTIF('W3'!$G$7:$G$50,'IB TRANSPORT'!G46))+(COUNTIF('ATHIS MONS'!$G$7:$G$50,'IB TRANSPORT'!G46))+(COUNTIF('L HAY LES ROSES'!$G$7:$G$50,'IB TRANSPORT'!G46))+(COUNTIF(RUNGIS!$G$7:$G$50,'IB TRANSPORT'!G46))+(COUNTIF(SCEAUX!$G$7:$G$50,'IB TRANSPORT'!G46))+(COUNTIF('INSTANCE C1'!$G$7:$G$50,'IB TRANSPORT'!G46))+(COUNTIF('INSTANCE C2'!$G$7:$G$50,'IB TRANSPORT'!G46))+(COUNTIF(INTERNES!$G$7:$G$50,'IB TRANSPORT'!G46))+(COUNTIF('EN PANNE'!$G$7:$G$50,'IB TRANSPORT'!G46))+(COUNTIF(TJM!$G$7:$G$50,'IB TRANSPORT'!G46))-I46</f>
        <v>0</v>
      </c>
      <c r="I46" s="23">
        <f>(COUNTIF('2S EXPRESS'!$A$7:$A$50,'IB TRANSPORT'!G46))+(COUNTIF('2 ZT'!$A$7:$A$50,'IB TRANSPORT'!G46))+(COUNTIF('GO TRANSPORT'!$A$7:$A$50,'IB TRANSPORT'!G46))+(COUNTIF('HMZ - KAIS'!$A$7:$A$50,'IB TRANSPORT'!G46))+(COUNTIF('IB TRANSPORT'!$A$7:$A$50,'IB TRANSPORT'!G46))+(COUNTIF(JSL!$A$7:$A$50,'IB TRANSPORT'!G46))+(COUNTIF(KIFAITOUT!$A$7:$A$50,'IB TRANSPORT'!G46))+(COUNTIF('LUXE DRIVE'!$A$7:$A$50,'IB TRANSPORT'!G46))+(COUNTIF(SSN!$A$7:$A$50,'IB TRANSPORT'!G46))+(COUNTIF('W3'!$A$7:$A$50,'IB TRANSPORT'!G46))+(COUNTIF('ATHIS MONS'!$A$7:$A$50,'IB TRANSPORT'!G46))+(COUNTIF('L HAY LES ROSES'!$A$7:$A$50,'IB TRANSPORT'!G46))+(COUNTIF(RUNGIS!$A$7:$A$50,'IB TRANSPORT'!G46))+(COUNTIF(SCEAUX!$A$7:$A$50,'IB TRANSPORT'!G46))+(COUNTIF('INSTANCE C1'!$A$7:$A$50,'IB TRANSPORT'!G46))+(COUNTIF('INSTANCE C2'!$A$7:$A$50,'IB TRANSPORT'!G46))+(COUNTIF(INTERNES!$A$7:$A$50,'IB TRANSPORT'!G46))+(COUNTIF('EN PANNE'!$A$7:$A$50,'IB TRANSPORT'!G46))+(COUNTIF(TJM!$A$7:$A$50,'IB TRANSPORT'!G46))</f>
        <v>0</v>
      </c>
      <c r="J46" s="28">
        <f t="shared" si="4"/>
        <v>0</v>
      </c>
      <c r="K46" s="2"/>
      <c r="L46" s="47"/>
      <c r="S46" s="60">
        <f t="shared" si="1"/>
        <v>0</v>
      </c>
      <c r="T46" s="67">
        <f t="shared" si="2"/>
        <v>0</v>
      </c>
    </row>
    <row r="47" spans="1:20" ht="24.95" customHeight="1" x14ac:dyDescent="0.2">
      <c r="A47" s="20"/>
      <c r="B47" s="23">
        <f>(COUNTIF('2S EXPRESS'!$A$7:$A$50,'IB TRANSPORT'!A47))+(COUNTIF('2 ZT'!$A$7:$A$50,'IB TRANSPORT'!A47))+(COUNTIF('GO TRANSPORT'!$A$7:$A$50,'IB TRANSPORT'!A47))+(COUNTIF('HMZ - KAIS'!$A$7:$A$50,'IB TRANSPORT'!A47))+(COUNTIF('IB TRANSPORT'!$A$7:$A$50,'IB TRANSPORT'!A47))+(COUNTIF(JSL!$A$7:$A$50,'IB TRANSPORT'!A47))+(COUNTIF(KIFAITOUT!$A$7:$A$50,'IB TRANSPORT'!A47))+(COUNTIF('LUXE DRIVE'!$A$7:$A$50,'IB TRANSPORT'!A47))+(COUNTIF(SSN!$A$7:$A$50,'IB TRANSPORT'!A47))+(COUNTIF('W3'!$A$7:$A$50,'IB TRANSPORT'!A47))+(COUNTIF('ATHIS MONS'!$A$7:$A$50,'IB TRANSPORT'!A47))+(COUNTIF('L HAY LES ROSES'!$A$7:$A$50,'IB TRANSPORT'!A47))+(COUNTIF(RUNGIS!$A$7:$A$50,'IB TRANSPORT'!A47))+(COUNTIF(SCEAUX!$A$7:$A$50,'IB TRANSPORT'!A47))+(COUNTIF('INSTANCE C1'!$A$7:$A$50,'IB TRANSPORT'!A47))+(COUNTIF('INSTANCE C2'!$A$7:$A$50,'IB TRANSPORT'!A47))+(COUNTIF(INTERNES!$A$7:$A$50,'IB TRANSPORT'!A47))+(COUNTIF('EN PANNE'!$A$7:$A$50,'IB TRANSPORT'!A47))+(COUNTIF(TJM!$A$7:$A$50,'IB TRANSPORT'!A47))-C47</f>
        <v>0</v>
      </c>
      <c r="C47" s="23">
        <f>(COUNTIF('2S EXPRESS'!$G$7:$G$50,'IB TRANSPORT'!A47))+(COUNTIF('2 ZT'!$G$7:$G$50,'IB TRANSPORT'!A47))+(COUNTIF('GO TRANSPORT'!$G$7:$G$50,'IB TRANSPORT'!A47))+(COUNTIF('IB TRANSPORT'!$G$7:$G$50,'IB TRANSPORT'!A47))+(COUNTIF('EN PANNE'!$G$7:$G$50,'IB TRANSPORT'!A47))+(COUNTIF(JSL!$G$7:$G$50,'IB TRANSPORT'!A47))+(COUNTIF(KIFAITOUT!$G$7:$G$50,'IB TRANSPORT'!A47))+(COUNTIF('LUXE DRIVE'!$G$7:$G$50,'IB TRANSPORT'!A47))+(COUNTIF(SSN!$G$7:$G$50,'IB TRANSPORT'!A47))+(COUNTIF('W3'!$G$7:$G$50,'IB TRANSPORT'!A47))+(COUNTIF('ATHIS MONS'!$G$7:$G$50,'IB TRANSPORT'!A47))+(COUNTIF('L HAY LES ROSES'!$G$7:$G$50,'IB TRANSPORT'!A47))+(COUNTIF(RUNGIS!$G$7:$G$50,'IB TRANSPORT'!A47))+(COUNTIF(SCEAUX!$G$7:$G$50,'IB TRANSPORT'!A47))+(COUNTIF('INSTANCE C1'!$G$7:$G$50,'IB TRANSPORT'!A47))+(COUNTIF('INSTANCE C2'!$G$7:$G$50,'IB TRANSPORT'!A47))+(COUNTIF(INTERNES!$G$7:$G$50,'IB TRANSPORT'!A47))+(COUNTIF('EN PANNE'!$G$7:$G$50,'IB TRANSPORT'!A47))+(COUNTIF(TJM!$G$7:$G$50,'IB TRANSPORT'!A47))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EXPRESS'!$G$7:$G$50,'IB TRANSPORT'!G47))+(COUNTIF('2 ZT'!$G$7:$G$50,'IB TRANSPORT'!G47))+(COUNTIF('GO TRANSPORT'!$G$7:$G$50,'IB TRANSPORT'!G47))+(COUNTIF('HMZ - KAIS'!$G$7:$G$50,'IB TRANSPORT'!G47))+(COUNTIF('IB TRANSPORT'!$G$7:$G$50,'IB TRANSPORT'!G47))+(COUNTIF(JSL!$G$7:$G$50,'IB TRANSPORT'!G47))+(COUNTIF(KIFAITOUT!$G$7:$G$50,'IB TRANSPORT'!G47))+(COUNTIF('LUXE DRIVE'!$G$7:$G$50,'IB TRANSPORT'!G47))+(COUNTIF(SSN!$G$7:$G$50,'IB TRANSPORT'!G47))+(COUNTIF('W3'!$G$7:$G$50,'IB TRANSPORT'!G47))+(COUNTIF('ATHIS MONS'!$G$7:$G$50,'IB TRANSPORT'!G47))+(COUNTIF('L HAY LES ROSES'!$G$7:$G$50,'IB TRANSPORT'!G47))+(COUNTIF(RUNGIS!$G$7:$G$50,'IB TRANSPORT'!G47))+(COUNTIF(SCEAUX!$G$7:$G$50,'IB TRANSPORT'!G47))+(COUNTIF('INSTANCE C1'!$G$7:$G$50,'IB TRANSPORT'!G47))+(COUNTIF('INSTANCE C2'!$G$7:$G$50,'IB TRANSPORT'!G47))+(COUNTIF(INTERNES!$G$7:$G$50,'IB TRANSPORT'!G47))+(COUNTIF('EN PANNE'!$G$7:$G$50,'IB TRANSPORT'!G47))+(COUNTIF(TJM!$G$7:$G$50,'IB TRANSPORT'!G47))-I47</f>
        <v>0</v>
      </c>
      <c r="I47" s="23">
        <f>(COUNTIF('2S EXPRESS'!$A$7:$A$50,'IB TRANSPORT'!G47))+(COUNTIF('2 ZT'!$A$7:$A$50,'IB TRANSPORT'!G47))+(COUNTIF('GO TRANSPORT'!$A$7:$A$50,'IB TRANSPORT'!G47))+(COUNTIF('HMZ - KAIS'!$A$7:$A$50,'IB TRANSPORT'!G47))+(COUNTIF('IB TRANSPORT'!$A$7:$A$50,'IB TRANSPORT'!G47))+(COUNTIF(JSL!$A$7:$A$50,'IB TRANSPORT'!G47))+(COUNTIF(KIFAITOUT!$A$7:$A$50,'IB TRANSPORT'!G47))+(COUNTIF('LUXE DRIVE'!$A$7:$A$50,'IB TRANSPORT'!G47))+(COUNTIF(SSN!$A$7:$A$50,'IB TRANSPORT'!G47))+(COUNTIF('W3'!$A$7:$A$50,'IB TRANSPORT'!G47))+(COUNTIF('ATHIS MONS'!$A$7:$A$50,'IB TRANSPORT'!G47))+(COUNTIF('L HAY LES ROSES'!$A$7:$A$50,'IB TRANSPORT'!G47))+(COUNTIF(RUNGIS!$A$7:$A$50,'IB TRANSPORT'!G47))+(COUNTIF(SCEAUX!$A$7:$A$50,'IB TRANSPORT'!G47))+(COUNTIF('INSTANCE C1'!$A$7:$A$50,'IB TRANSPORT'!G47))+(COUNTIF('INSTANCE C2'!$A$7:$A$50,'IB TRANSPORT'!G47))+(COUNTIF(INTERNES!$A$7:$A$50,'IB TRANSPORT'!G47))+(COUNTIF('EN PANNE'!$A$7:$A$50,'IB TRANSPORT'!G47))+(COUNTIF(TJM!$A$7:$A$50,'IB TRANSPORT'!G47))</f>
        <v>0</v>
      </c>
      <c r="J47" s="28">
        <f t="shared" si="4"/>
        <v>0</v>
      </c>
      <c r="K47" s="2"/>
      <c r="L47" s="47"/>
      <c r="S47" s="60">
        <f t="shared" si="1"/>
        <v>0</v>
      </c>
      <c r="T47" s="67">
        <f t="shared" si="2"/>
        <v>0</v>
      </c>
    </row>
    <row r="48" spans="1:20" ht="24.95" customHeight="1" x14ac:dyDescent="0.2">
      <c r="A48" s="20"/>
      <c r="B48" s="23">
        <f>(COUNTIF('2S EXPRESS'!$A$7:$A$50,'IB TRANSPORT'!A48))+(COUNTIF('2 ZT'!$A$7:$A$50,'IB TRANSPORT'!A48))+(COUNTIF('GO TRANSPORT'!$A$7:$A$50,'IB TRANSPORT'!A48))+(COUNTIF('HMZ - KAIS'!$A$7:$A$50,'IB TRANSPORT'!A48))+(COUNTIF('IB TRANSPORT'!$A$7:$A$50,'IB TRANSPORT'!A48))+(COUNTIF(JSL!$A$7:$A$50,'IB TRANSPORT'!A48))+(COUNTIF(KIFAITOUT!$A$7:$A$50,'IB TRANSPORT'!A48))+(COUNTIF('LUXE DRIVE'!$A$7:$A$50,'IB TRANSPORT'!A48))+(COUNTIF(SSN!$A$7:$A$50,'IB TRANSPORT'!A48))+(COUNTIF('W3'!$A$7:$A$50,'IB TRANSPORT'!A48))+(COUNTIF('ATHIS MONS'!$A$7:$A$50,'IB TRANSPORT'!A48))+(COUNTIF('L HAY LES ROSES'!$A$7:$A$50,'IB TRANSPORT'!A48))+(COUNTIF(RUNGIS!$A$7:$A$50,'IB TRANSPORT'!A48))+(COUNTIF(SCEAUX!$A$7:$A$50,'IB TRANSPORT'!A48))+(COUNTIF('INSTANCE C1'!$A$7:$A$50,'IB TRANSPORT'!A48))+(COUNTIF('INSTANCE C2'!$A$7:$A$50,'IB TRANSPORT'!A48))+(COUNTIF(INTERNES!$A$7:$A$50,'IB TRANSPORT'!A48))+(COUNTIF('EN PANNE'!$A$7:$A$50,'IB TRANSPORT'!A48))+(COUNTIF(TJM!$A$7:$A$50,'IB TRANSPORT'!A48))-C48</f>
        <v>0</v>
      </c>
      <c r="C48" s="23">
        <f>(COUNTIF('2S EXPRESS'!$G$7:$G$50,'IB TRANSPORT'!A48))+(COUNTIF('2 ZT'!$G$7:$G$50,'IB TRANSPORT'!A48))+(COUNTIF('GO TRANSPORT'!$G$7:$G$50,'IB TRANSPORT'!A48))+(COUNTIF('IB TRANSPORT'!$G$7:$G$50,'IB TRANSPORT'!A48))+(COUNTIF('EN PANNE'!$G$7:$G$50,'IB TRANSPORT'!A48))+(COUNTIF(JSL!$G$7:$G$50,'IB TRANSPORT'!A48))+(COUNTIF(KIFAITOUT!$G$7:$G$50,'IB TRANSPORT'!A48))+(COUNTIF('LUXE DRIVE'!$G$7:$G$50,'IB TRANSPORT'!A48))+(COUNTIF(SSN!$G$7:$G$50,'IB TRANSPORT'!A48))+(COUNTIF('W3'!$G$7:$G$50,'IB TRANSPORT'!A48))+(COUNTIF('ATHIS MONS'!$G$7:$G$50,'IB TRANSPORT'!A48))+(COUNTIF('L HAY LES ROSES'!$G$7:$G$50,'IB TRANSPORT'!A48))+(COUNTIF(RUNGIS!$G$7:$G$50,'IB TRANSPORT'!A48))+(COUNTIF(SCEAUX!$G$7:$G$50,'IB TRANSPORT'!A48))+(COUNTIF('INSTANCE C1'!$G$7:$G$50,'IB TRANSPORT'!A48))+(COUNTIF('INSTANCE C2'!$G$7:$G$50,'IB TRANSPORT'!A48))+(COUNTIF(INTERNES!$G$7:$G$50,'IB TRANSPORT'!A48))+(COUNTIF('EN PANNE'!$G$7:$G$50,'IB TRANSPORT'!A48))+(COUNTIF(TJM!$G$7:$G$50,'IB TRANSPORT'!A48))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EXPRESS'!$G$7:$G$50,'IB TRANSPORT'!G48))+(COUNTIF('2 ZT'!$G$7:$G$50,'IB TRANSPORT'!G48))+(COUNTIF('GO TRANSPORT'!$G$7:$G$50,'IB TRANSPORT'!G48))+(COUNTIF('HMZ - KAIS'!$G$7:$G$50,'IB TRANSPORT'!G48))+(COUNTIF('IB TRANSPORT'!$G$7:$G$50,'IB TRANSPORT'!G48))+(COUNTIF(JSL!$G$7:$G$50,'IB TRANSPORT'!G48))+(COUNTIF(KIFAITOUT!$G$7:$G$50,'IB TRANSPORT'!G48))+(COUNTIF('LUXE DRIVE'!$G$7:$G$50,'IB TRANSPORT'!G48))+(COUNTIF(SSN!$G$7:$G$50,'IB TRANSPORT'!G48))+(COUNTIF('W3'!$G$7:$G$50,'IB TRANSPORT'!G48))+(COUNTIF('ATHIS MONS'!$G$7:$G$50,'IB TRANSPORT'!G48))+(COUNTIF('L HAY LES ROSES'!$G$7:$G$50,'IB TRANSPORT'!G48))+(COUNTIF(RUNGIS!$G$7:$G$50,'IB TRANSPORT'!G48))+(COUNTIF(SCEAUX!$G$7:$G$50,'IB TRANSPORT'!G48))+(COUNTIF('INSTANCE C1'!$G$7:$G$50,'IB TRANSPORT'!G48))+(COUNTIF('INSTANCE C2'!$G$7:$G$50,'IB TRANSPORT'!G48))+(COUNTIF(INTERNES!$G$7:$G$50,'IB TRANSPORT'!G48))+(COUNTIF('EN PANNE'!$G$7:$G$50,'IB TRANSPORT'!G48))+(COUNTIF(TJM!$G$7:$G$50,'IB TRANSPORT'!G48))-I48</f>
        <v>0</v>
      </c>
      <c r="I48" s="23">
        <f>(COUNTIF('2S EXPRESS'!$A$7:$A$50,'IB TRANSPORT'!G48))+(COUNTIF('2 ZT'!$A$7:$A$50,'IB TRANSPORT'!G48))+(COUNTIF('GO TRANSPORT'!$A$7:$A$50,'IB TRANSPORT'!G48))+(COUNTIF('HMZ - KAIS'!$A$7:$A$50,'IB TRANSPORT'!G48))+(COUNTIF('IB TRANSPORT'!$A$7:$A$50,'IB TRANSPORT'!G48))+(COUNTIF(JSL!$A$7:$A$50,'IB TRANSPORT'!G48))+(COUNTIF(KIFAITOUT!$A$7:$A$50,'IB TRANSPORT'!G48))+(COUNTIF('LUXE DRIVE'!$A$7:$A$50,'IB TRANSPORT'!G48))+(COUNTIF(SSN!$A$7:$A$50,'IB TRANSPORT'!G48))+(COUNTIF('W3'!$A$7:$A$50,'IB TRANSPORT'!G48))+(COUNTIF('ATHIS MONS'!$A$7:$A$50,'IB TRANSPORT'!G48))+(COUNTIF('L HAY LES ROSES'!$A$7:$A$50,'IB TRANSPORT'!G48))+(COUNTIF(RUNGIS!$A$7:$A$50,'IB TRANSPORT'!G48))+(COUNTIF(SCEAUX!$A$7:$A$50,'IB TRANSPORT'!G48))+(COUNTIF('INSTANCE C1'!$A$7:$A$50,'IB TRANSPORT'!G48))+(COUNTIF('INSTANCE C2'!$A$7:$A$50,'IB TRANSPORT'!G48))+(COUNTIF(INTERNES!$A$7:$A$50,'IB TRANSPORT'!G48))+(COUNTIF('EN PANNE'!$A$7:$A$50,'IB TRANSPORT'!G48))+(COUNTIF(TJM!$A$7:$A$50,'IB TRANSPORT'!G48))</f>
        <v>0</v>
      </c>
      <c r="J48" s="28">
        <f t="shared" si="4"/>
        <v>0</v>
      </c>
      <c r="K48" s="2"/>
      <c r="L48" s="47"/>
      <c r="S48" s="60">
        <f t="shared" si="1"/>
        <v>0</v>
      </c>
      <c r="T48" s="67">
        <f t="shared" si="2"/>
        <v>0</v>
      </c>
    </row>
    <row r="49" spans="1:20" ht="24.95" customHeight="1" x14ac:dyDescent="0.2">
      <c r="A49" s="20"/>
      <c r="B49" s="23">
        <f>(COUNTIF('2S EXPRESS'!$A$7:$A$50,'IB TRANSPORT'!A49))+(COUNTIF('2 ZT'!$A$7:$A$50,'IB TRANSPORT'!A49))+(COUNTIF('GO TRANSPORT'!$A$7:$A$50,'IB TRANSPORT'!A49))+(COUNTIF('HMZ - KAIS'!$A$7:$A$50,'IB TRANSPORT'!A49))+(COUNTIF('IB TRANSPORT'!$A$7:$A$50,'IB TRANSPORT'!A49))+(COUNTIF(JSL!$A$7:$A$50,'IB TRANSPORT'!A49))+(COUNTIF(KIFAITOUT!$A$7:$A$50,'IB TRANSPORT'!A49))+(COUNTIF('LUXE DRIVE'!$A$7:$A$50,'IB TRANSPORT'!A49))+(COUNTIF(SSN!$A$7:$A$50,'IB TRANSPORT'!A49))+(COUNTIF('W3'!$A$7:$A$50,'IB TRANSPORT'!A49))+(COUNTIF('ATHIS MONS'!$A$7:$A$50,'IB TRANSPORT'!A49))+(COUNTIF('L HAY LES ROSES'!$A$7:$A$50,'IB TRANSPORT'!A49))+(COUNTIF(RUNGIS!$A$7:$A$50,'IB TRANSPORT'!A49))+(COUNTIF(SCEAUX!$A$7:$A$50,'IB TRANSPORT'!A49))+(COUNTIF('INSTANCE C1'!$A$7:$A$50,'IB TRANSPORT'!A49))+(COUNTIF('INSTANCE C2'!$A$7:$A$50,'IB TRANSPORT'!A49))+(COUNTIF(INTERNES!$A$7:$A$50,'IB TRANSPORT'!A49))+(COUNTIF('EN PANNE'!$A$7:$A$50,'IB TRANSPORT'!A49))+(COUNTIF(TJM!$A$7:$A$50,'IB TRANSPORT'!A49))-C49</f>
        <v>0</v>
      </c>
      <c r="C49" s="23">
        <f>(COUNTIF('2S EXPRESS'!$G$7:$G$50,'IB TRANSPORT'!A49))+(COUNTIF('2 ZT'!$G$7:$G$50,'IB TRANSPORT'!A49))+(COUNTIF('GO TRANSPORT'!$G$7:$G$50,'IB TRANSPORT'!A49))+(COUNTIF('IB TRANSPORT'!$G$7:$G$50,'IB TRANSPORT'!A49))+(COUNTIF('EN PANNE'!$G$7:$G$50,'IB TRANSPORT'!A49))+(COUNTIF(JSL!$G$7:$G$50,'IB TRANSPORT'!A49))+(COUNTIF(KIFAITOUT!$G$7:$G$50,'IB TRANSPORT'!A49))+(COUNTIF('LUXE DRIVE'!$G$7:$G$50,'IB TRANSPORT'!A49))+(COUNTIF(SSN!$G$7:$G$50,'IB TRANSPORT'!A49))+(COUNTIF('W3'!$G$7:$G$50,'IB TRANSPORT'!A49))+(COUNTIF('ATHIS MONS'!$G$7:$G$50,'IB TRANSPORT'!A49))+(COUNTIF('L HAY LES ROSES'!$G$7:$G$50,'IB TRANSPORT'!A49))+(COUNTIF(RUNGIS!$G$7:$G$50,'IB TRANSPORT'!A49))+(COUNTIF(SCEAUX!$G$7:$G$50,'IB TRANSPORT'!A49))+(COUNTIF('INSTANCE C1'!$G$7:$G$50,'IB TRANSPORT'!A49))+(COUNTIF('INSTANCE C2'!$G$7:$G$50,'IB TRANSPORT'!A49))+(COUNTIF(INTERNES!$G$7:$G$50,'IB TRANSPORT'!A49))+(COUNTIF('EN PANNE'!$G$7:$G$50,'IB TRANSPORT'!A49))+(COUNTIF(TJM!$G$7:$G$50,'IB TRANSPORT'!A49))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EXPRESS'!$G$7:$G$50,'IB TRANSPORT'!G49))+(COUNTIF('2 ZT'!$G$7:$G$50,'IB TRANSPORT'!G49))+(COUNTIF('GO TRANSPORT'!$G$7:$G$50,'IB TRANSPORT'!G49))+(COUNTIF('HMZ - KAIS'!$G$7:$G$50,'IB TRANSPORT'!G49))+(COUNTIF('IB TRANSPORT'!$G$7:$G$50,'IB TRANSPORT'!G49))+(COUNTIF(JSL!$G$7:$G$50,'IB TRANSPORT'!G49))+(COUNTIF(KIFAITOUT!$G$7:$G$50,'IB TRANSPORT'!G49))+(COUNTIF('LUXE DRIVE'!$G$7:$G$50,'IB TRANSPORT'!G49))+(COUNTIF(SSN!$G$7:$G$50,'IB TRANSPORT'!G49))+(COUNTIF('W3'!$G$7:$G$50,'IB TRANSPORT'!G49))+(COUNTIF('ATHIS MONS'!$G$7:$G$50,'IB TRANSPORT'!G49))+(COUNTIF('L HAY LES ROSES'!$G$7:$G$50,'IB TRANSPORT'!G49))+(COUNTIF(RUNGIS!$G$7:$G$50,'IB TRANSPORT'!G49))+(COUNTIF(SCEAUX!$G$7:$G$50,'IB TRANSPORT'!G49))+(COUNTIF('INSTANCE C1'!$G$7:$G$50,'IB TRANSPORT'!G49))+(COUNTIF('INSTANCE C2'!$G$7:$G$50,'IB TRANSPORT'!G49))+(COUNTIF(INTERNES!$G$7:$G$50,'IB TRANSPORT'!G49))+(COUNTIF('EN PANNE'!$G$7:$G$50,'IB TRANSPORT'!G49))+(COUNTIF(TJM!$G$7:$G$50,'IB TRANSPORT'!G49))-I49</f>
        <v>0</v>
      </c>
      <c r="I49" s="23">
        <f>(COUNTIF('2S EXPRESS'!$A$7:$A$50,'IB TRANSPORT'!G49))+(COUNTIF('2 ZT'!$A$7:$A$50,'IB TRANSPORT'!G49))+(COUNTIF('GO TRANSPORT'!$A$7:$A$50,'IB TRANSPORT'!G49))+(COUNTIF('HMZ - KAIS'!$A$7:$A$50,'IB TRANSPORT'!G49))+(COUNTIF('IB TRANSPORT'!$A$7:$A$50,'IB TRANSPORT'!G49))+(COUNTIF(JSL!$A$7:$A$50,'IB TRANSPORT'!G49))+(COUNTIF(KIFAITOUT!$A$7:$A$50,'IB TRANSPORT'!G49))+(COUNTIF('LUXE DRIVE'!$A$7:$A$50,'IB TRANSPORT'!G49))+(COUNTIF(SSN!$A$7:$A$50,'IB TRANSPORT'!G49))+(COUNTIF('W3'!$A$7:$A$50,'IB TRANSPORT'!G49))+(COUNTIF('ATHIS MONS'!$A$7:$A$50,'IB TRANSPORT'!G49))+(COUNTIF('L HAY LES ROSES'!$A$7:$A$50,'IB TRANSPORT'!G49))+(COUNTIF(RUNGIS!$A$7:$A$50,'IB TRANSPORT'!G49))+(COUNTIF(SCEAUX!$A$7:$A$50,'IB TRANSPORT'!G49))+(COUNTIF('INSTANCE C1'!$A$7:$A$50,'IB TRANSPORT'!G49))+(COUNTIF('INSTANCE C2'!$A$7:$A$50,'IB TRANSPORT'!G49))+(COUNTIF(INTERNES!$A$7:$A$50,'IB TRANSPORT'!G49))+(COUNTIF('EN PANNE'!$A$7:$A$50,'IB TRANSPORT'!G49))+(COUNTIF(TJM!$A$7:$A$50,'IB TRANSPORT'!G49))</f>
        <v>0</v>
      </c>
      <c r="J49" s="28">
        <f t="shared" si="4"/>
        <v>0</v>
      </c>
      <c r="K49" s="2"/>
      <c r="L49" s="47"/>
      <c r="S49" s="60">
        <f t="shared" si="1"/>
        <v>0</v>
      </c>
      <c r="T49" s="67">
        <f t="shared" si="2"/>
        <v>0</v>
      </c>
    </row>
    <row r="50" spans="1:20" ht="24.95" customHeight="1" thickBot="1" x14ac:dyDescent="0.25">
      <c r="A50" s="21"/>
      <c r="B50" s="25">
        <f>(COUNTIF('2S EXPRESS'!$A$7:$A$50,'IB TRANSPORT'!A50))+(COUNTIF('2 ZT'!$A$7:$A$50,'IB TRANSPORT'!A50))+(COUNTIF('GO TRANSPORT'!$A$7:$A$50,'IB TRANSPORT'!A50))+(COUNTIF('HMZ - KAIS'!$A$7:$A$50,'IB TRANSPORT'!A50))+(COUNTIF('IB TRANSPORT'!$A$7:$A$50,'IB TRANSPORT'!A50))+(COUNTIF(JSL!$A$7:$A$50,'IB TRANSPORT'!A50))+(COUNTIF(KIFAITOUT!$A$7:$A$50,'IB TRANSPORT'!A50))+(COUNTIF('LUXE DRIVE'!$A$7:$A$50,'IB TRANSPORT'!A50))+(COUNTIF(SSN!$A$7:$A$50,'IB TRANSPORT'!A50))+(COUNTIF('W3'!$A$7:$A$50,'IB TRANSPORT'!A50))+(COUNTIF('ATHIS MONS'!$A$7:$A$50,'IB TRANSPORT'!A50))+(COUNTIF('L HAY LES ROSES'!$A$7:$A$50,'IB TRANSPORT'!A50))+(COUNTIF(RUNGIS!$A$7:$A$50,'IB TRANSPORT'!A50))+(COUNTIF(SCEAUX!$A$7:$A$50,'IB TRANSPORT'!A50))+(COUNTIF('INSTANCE C1'!$A$7:$A$50,'IB TRANSPORT'!A50))+(COUNTIF('INSTANCE C2'!$A$7:$A$50,'IB TRANSPORT'!A50))+(COUNTIF(INTERNES!$A$7:$A$50,'IB TRANSPORT'!A50))+(COUNTIF('EN PANNE'!$A$7:$A$50,'IB TRANSPORT'!A50))+(COUNTIF(TJM!$A$7:$A$50,'IB TRANSPORT'!A50))-C50</f>
        <v>0</v>
      </c>
      <c r="C50" s="23">
        <f>(COUNTIF('2S EXPRESS'!$G$7:$G$50,'IB TRANSPORT'!A50))+(COUNTIF('2 ZT'!$G$7:$G$50,'IB TRANSPORT'!A50))+(COUNTIF('GO TRANSPORT'!$G$7:$G$50,'IB TRANSPORT'!A50))+(COUNTIF('IB TRANSPORT'!$G$7:$G$50,'IB TRANSPORT'!A50))+(COUNTIF('EN PANNE'!$G$7:$G$50,'IB TRANSPORT'!A50))+(COUNTIF(JSL!$G$7:$G$50,'IB TRANSPORT'!A50))+(COUNTIF(KIFAITOUT!$G$7:$G$50,'IB TRANSPORT'!A50))+(COUNTIF('LUXE DRIVE'!$G$7:$G$50,'IB TRANSPORT'!A50))+(COUNTIF(SSN!$G$7:$G$50,'IB TRANSPORT'!A50))+(COUNTIF('W3'!$G$7:$G$50,'IB TRANSPORT'!A50))+(COUNTIF('ATHIS MONS'!$G$7:$G$50,'IB TRANSPORT'!A50))+(COUNTIF('L HAY LES ROSES'!$G$7:$G$50,'IB TRANSPORT'!A50))+(COUNTIF(RUNGIS!$G$7:$G$50,'IB TRANSPORT'!A50))+(COUNTIF(SCEAUX!$G$7:$G$50,'IB TRANSPORT'!A50))+(COUNTIF('INSTANCE C1'!$G$7:$G$50,'IB TRANSPORT'!A50))+(COUNTIF('INSTANCE C2'!$G$7:$G$50,'IB TRANSPORT'!A50))+(COUNTIF(INTERNES!$G$7:$G$50,'IB TRANSPORT'!A50))+(COUNTIF('EN PANNE'!$G$7:$G$50,'IB TRANSPORT'!A50))+(COUNTIF(TJM!$G$7:$G$50,'IB TRANSPORT'!A50))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EXPRESS'!$G$7:$G$50,'IB TRANSPORT'!G50))+(COUNTIF('2 ZT'!$G$7:$G$50,'IB TRANSPORT'!G50))+(COUNTIF('GO TRANSPORT'!$G$7:$G$50,'IB TRANSPORT'!G50))+(COUNTIF('HMZ - KAIS'!$G$7:$G$50,'IB TRANSPORT'!G50))+(COUNTIF('IB TRANSPORT'!$G$7:$G$50,'IB TRANSPORT'!G50))+(COUNTIF(JSL!$G$7:$G$50,'IB TRANSPORT'!G50))+(COUNTIF(KIFAITOUT!$G$7:$G$50,'IB TRANSPORT'!G50))+(COUNTIF('LUXE DRIVE'!$G$7:$G$50,'IB TRANSPORT'!G50))+(COUNTIF(SSN!$G$7:$G$50,'IB TRANSPORT'!G50))+(COUNTIF('W3'!$G$7:$G$50,'IB TRANSPORT'!G50))+(COUNTIF('ATHIS MONS'!$G$7:$G$50,'IB TRANSPORT'!G50))+(COUNTIF('L HAY LES ROSES'!$G$7:$G$50,'IB TRANSPORT'!G50))+(COUNTIF(RUNGIS!$G$7:$G$50,'IB TRANSPORT'!G50))+(COUNTIF(SCEAUX!$G$7:$G$50,'IB TRANSPORT'!G50))+(COUNTIF('INSTANCE C1'!$G$7:$G$50,'IB TRANSPORT'!G50))+(COUNTIF('INSTANCE C2'!$G$7:$G$50,'IB TRANSPORT'!G50))+(COUNTIF(INTERNES!$G$7:$G$50,'IB TRANSPORT'!G50))+(COUNTIF('EN PANNE'!$G$7:$G$50,'IB TRANSPORT'!G50))+(COUNTIF(TJM!$G$7:$G$50,'IB TRANSPORT'!G50))-I50</f>
        <v>0</v>
      </c>
      <c r="I50" s="25">
        <f>(COUNTIF('2S EXPRESS'!$A$7:$A$50,'IB TRANSPORT'!G50))+(COUNTIF('2 ZT'!$A$7:$A$50,'IB TRANSPORT'!G50))+(COUNTIF('GO TRANSPORT'!$A$7:$A$50,'IB TRANSPORT'!G50))+(COUNTIF('HMZ - KAIS'!$A$7:$A$50,'IB TRANSPORT'!G50))+(COUNTIF('IB TRANSPORT'!$A$7:$A$50,'IB TRANSPORT'!G50))+(COUNTIF(JSL!$A$7:$A$50,'IB TRANSPORT'!G50))+(COUNTIF(KIFAITOUT!$A$7:$A$50,'IB TRANSPORT'!G50))+(COUNTIF('LUXE DRIVE'!$A$7:$A$50,'IB TRANSPORT'!G50))+(COUNTIF(SSN!$A$7:$A$50,'IB TRANSPORT'!G50))+(COUNTIF('W3'!$A$7:$A$50,'IB TRANSPORT'!G50))+(COUNTIF('ATHIS MONS'!$A$7:$A$50,'IB TRANSPORT'!G50))+(COUNTIF('L HAY LES ROSES'!$A$7:$A$50,'IB TRANSPORT'!G50))+(COUNTIF(RUNGIS!$A$7:$A$50,'IB TRANSPORT'!G50))+(COUNTIF(SCEAUX!$A$7:$A$50,'IB TRANSPORT'!G50))+(COUNTIF('INSTANCE C1'!$A$7:$A$50,'IB TRANSPORT'!G50))+(COUNTIF('INSTANCE C2'!$A$7:$A$50,'IB TRANSPORT'!G50))+(COUNTIF(INTERNES!$A$7:$A$50,'IB TRANSPORT'!G50))+(COUNTIF('EN PANNE'!$A$7:$A$50,'IB TRANSPORT'!G50))+(COUNTIF(TJM!$A$7:$A$50,'IB TRANSPORT'!G50))</f>
        <v>0</v>
      </c>
      <c r="J50" s="29">
        <f t="shared" si="4"/>
        <v>0</v>
      </c>
      <c r="K50" s="3"/>
      <c r="L50" s="47"/>
      <c r="S50" s="60">
        <f t="shared" si="1"/>
        <v>0</v>
      </c>
      <c r="T50" s="67">
        <f t="shared" si="2"/>
        <v>0</v>
      </c>
    </row>
    <row r="51" spans="1:20" x14ac:dyDescent="0.2">
      <c r="A51" s="9"/>
    </row>
    <row r="52" spans="1:20" x14ac:dyDescent="0.2">
      <c r="A52" s="9"/>
    </row>
    <row r="53" spans="1:20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</row>
  </sheetData>
  <mergeCells count="13">
    <mergeCell ref="M12:P12"/>
    <mergeCell ref="B2:E3"/>
    <mergeCell ref="G2:K3"/>
    <mergeCell ref="A4:E4"/>
    <mergeCell ref="G4:K4"/>
    <mergeCell ref="G5:G6"/>
    <mergeCell ref="K5:K6"/>
    <mergeCell ref="M8:P8"/>
    <mergeCell ref="M9:P9"/>
    <mergeCell ref="M11:P11"/>
    <mergeCell ref="E5:E6"/>
    <mergeCell ref="F5:F6"/>
    <mergeCell ref="A5:A6"/>
  </mergeCells>
  <conditionalFormatting sqref="F7:F50">
    <cfRule type="cellIs" dxfId="151" priority="10" operator="equal">
      <formula>1</formula>
    </cfRule>
  </conditionalFormatting>
  <conditionalFormatting sqref="A7:A50">
    <cfRule type="duplicateValues" dxfId="150" priority="8"/>
  </conditionalFormatting>
  <conditionalFormatting sqref="L7:L50">
    <cfRule type="cellIs" dxfId="149" priority="7" operator="greaterThan">
      <formula>0</formula>
    </cfRule>
  </conditionalFormatting>
  <conditionalFormatting sqref="D7">
    <cfRule type="cellIs" dxfId="148" priority="6" operator="greaterThan">
      <formula>0</formula>
    </cfRule>
  </conditionalFormatting>
  <conditionalFormatting sqref="D8:D50">
    <cfRule type="cellIs" dxfId="147" priority="5" operator="greaterThan">
      <formula>0</formula>
    </cfRule>
  </conditionalFormatting>
  <conditionalFormatting sqref="G7:G50">
    <cfRule type="duplicateValues" dxfId="146" priority="4"/>
  </conditionalFormatting>
  <conditionalFormatting sqref="J7">
    <cfRule type="cellIs" dxfId="145" priority="3" operator="greaterThan">
      <formula>0</formula>
    </cfRule>
  </conditionalFormatting>
  <conditionalFormatting sqref="J8:J50">
    <cfRule type="cellIs" dxfId="144" priority="2" operator="greaterThan">
      <formula>0</formula>
    </cfRule>
  </conditionalFormatting>
  <conditionalFormatting sqref="S7:S50">
    <cfRule type="cellIs" dxfId="143" priority="1" operator="greaterThan">
      <formula>0</formula>
    </cfRule>
  </conditionalFormatting>
  <dataValidations count="1">
    <dataValidation type="list" allowBlank="1" showInputMessage="1" showErrorMessage="1" sqref="K7:K50 E7:E50" xr:uid="{51592279-18AA-4C2F-8C56-6455CFDC8EF7}">
      <formula1>$Q$9:$Q$17</formula1>
    </dataValidation>
  </dataValidations>
  <pageMargins left="0.25" right="0.25" top="0.75" bottom="0.75" header="0.3" footer="0.3"/>
  <pageSetup paperSize="9" scale="88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DD7957AD-395D-49F6-A936-3522D7C0D697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7">
    <tabColor rgb="FF92D050"/>
    <pageSetUpPr fitToPage="1"/>
  </sheetPr>
  <dimension ref="A1:Z53"/>
  <sheetViews>
    <sheetView showGridLines="0" zoomScaleNormal="100" workbookViewId="0">
      <selection activeCell="AA9" sqref="AA9"/>
    </sheetView>
  </sheetViews>
  <sheetFormatPr baseColWidth="10" defaultColWidth="11.42578125" defaultRowHeight="12.75" x14ac:dyDescent="0.2"/>
  <cols>
    <col min="1" max="1" width="25.7109375" style="53" customWidth="1"/>
    <col min="2" max="3" width="10.7109375" style="9" hidden="1" customWidth="1"/>
    <col min="4" max="4" width="7.7109375" style="9" customWidth="1"/>
    <col min="5" max="5" width="50.7109375" style="9" customWidth="1"/>
    <col min="6" max="6" width="13.7109375" style="9" customWidth="1"/>
    <col min="7" max="7" width="25.7109375" style="9" customWidth="1"/>
    <col min="8" max="9" width="10.7109375" style="9" hidden="1" customWidth="1"/>
    <col min="10" max="10" width="7.7109375" style="9" customWidth="1"/>
    <col min="11" max="11" width="50.7109375" style="9" customWidth="1"/>
    <col min="12" max="16" width="7.7109375" style="9" customWidth="1"/>
    <col min="17" max="17" width="22.7109375" style="9" hidden="1" customWidth="1"/>
    <col min="18" max="18" width="17.5703125" style="56" hidden="1" customWidth="1"/>
    <col min="19" max="20" width="11.42578125" style="56" hidden="1" customWidth="1"/>
    <col min="21" max="21" width="11.42578125" style="56" customWidth="1"/>
    <col min="22" max="26" width="11.42578125" style="56"/>
    <col min="27" max="16384" width="11.42578125" style="9"/>
  </cols>
  <sheetData>
    <row r="1" spans="1:26" ht="13.5" thickBot="1" x14ac:dyDescent="0.25">
      <c r="A1" s="33"/>
      <c r="B1" s="35"/>
      <c r="C1" s="35"/>
      <c r="D1" s="35"/>
      <c r="E1" s="10"/>
      <c r="F1" s="34"/>
      <c r="I1" s="10"/>
    </row>
    <row r="2" spans="1:26" s="39" customFormat="1" ht="24.95" customHeight="1" x14ac:dyDescent="0.2">
      <c r="A2" s="36"/>
      <c r="B2" s="194" t="s">
        <v>38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1"/>
      <c r="S2" s="71"/>
      <c r="T2" s="71"/>
      <c r="U2" s="71"/>
      <c r="V2" s="71"/>
      <c r="W2" s="71"/>
      <c r="X2" s="71"/>
      <c r="Y2" s="71"/>
      <c r="Z2" s="71"/>
    </row>
    <row r="3" spans="1:26" s="39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1"/>
      <c r="S3" s="71"/>
      <c r="T3" s="71"/>
      <c r="U3" s="71"/>
      <c r="V3" s="71"/>
      <c r="W3" s="71"/>
      <c r="X3" s="71"/>
      <c r="Y3" s="71"/>
      <c r="Z3" s="71"/>
    </row>
    <row r="4" spans="1:26" s="39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1"/>
      <c r="T4" s="71"/>
      <c r="U4" s="71"/>
      <c r="V4" s="71"/>
      <c r="W4" s="71"/>
      <c r="X4" s="71"/>
      <c r="Y4" s="71"/>
      <c r="Z4" s="71"/>
    </row>
    <row r="5" spans="1:26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</row>
    <row r="6" spans="1:26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</row>
    <row r="7" spans="1:26" ht="24.95" customHeight="1" thickBot="1" x14ac:dyDescent="0.25">
      <c r="A7" s="19"/>
      <c r="B7" s="22">
        <f>(COUNTIF('2S EXPRESS'!$A$7:$A$50,JSL!A7))+(COUNTIF('2 ZT'!$A$7:$A$50,JSL!A7))+(COUNTIF('GO TRANSPORT'!$A$7:$A$50,JSL!A7))+(COUNTIF('HMZ - KAIS'!$A$7:$A$50,JSL!A7))+(COUNTIF('IB TRANSPORT'!$A$7:$A$50,JSL!A7))+(COUNTIF(JSL!$A$7:$A$50,JSL!A7))+(COUNTIF(KIFAITOUT!$A$7:$A$50,JSL!A7))+(COUNTIF('LUXE DRIVE'!$A$7:$A$50,JSL!A7))+(COUNTIF(SSN!$A$7:$A$50,JSL!A7))+(COUNTIF('W3'!$A$7:$A$50,JSL!A7))+(COUNTIF('ATHIS MONS'!$A$7:$A$50,JSL!A7))+(COUNTIF('L HAY LES ROSES'!$A$7:$A$50,JSL!A7))+(COUNTIF(RUNGIS!$A$7:$A$50,JSL!A7))+(COUNTIF(SCEAUX!$A$7:$A$50,JSL!A7))+(COUNTIF('INSTANCE C1'!$A$7:$A$50,JSL!A7))+(COUNTIF('INSTANCE C2'!$A$7:$A$50,JSL!A7))+(COUNTIF(INTERNES!$A$7:$A$50,JSL!A7))+(COUNTIF('EN PANNE'!$A$7:$A$50,JSL!A7))+(COUNTIF(TJM!$A$7:$A$50,JSL!A7))-C7</f>
        <v>0</v>
      </c>
      <c r="C7" s="23">
        <f>(COUNTIF('2S EXPRESS'!$G$7:$G$50,JSL!A7))+(COUNTIF('2 ZT'!$G$7:$G$50,JSL!A7))+(COUNTIF('GO TRANSPORT'!$G$7:$G$50,JSL!A7))+(COUNTIF(JSL!$G$7:$G$50,JSL!A7))+(COUNTIF('IB TRANSPORT'!$G$7:$G$50,JSL!A7))+(COUNTIF(JSL!$G$7:$G$50,JSL!A7))+(COUNTIF(KIFAITOUT!$G$7:$G$50,JSL!A7))+(COUNTIF('LUXE DRIVE'!$G$7:$G$50,JSL!A7))+(COUNTIF(SSN!$G$7:$G$50,JSL!A7))+(COUNTIF('W3'!$G$7:$G$50,JSL!A7))+(COUNTIF('ATHIS MONS'!$G$7:$G$50,JSL!A7))+(COUNTIF('L HAY LES ROSES'!$G$7:$G$50,JSL!A7))+(COUNTIF(RUNGIS!$G$7:$G$50,JSL!A7))+(COUNTIF(SCEAUX!$G$7:$G$50,JSL!A7))+(COUNTIF('INSTANCE C1'!$G$7:$G$50,JSL!A7))+(COUNTIF('INSTANCE C2'!$G$7:$G$50,JSL!A7))+(COUNTIF(INTERNES!$G$7:$G$50,JSL!A7))+(COUNTIF('EN PANNE'!$G$7:$G$50,JSL!A7))+(COUNTIF(TJM!$G$7:$G$50,JSL!A7))</f>
        <v>0</v>
      </c>
      <c r="D7" s="27">
        <f t="shared" ref="D7:D50" si="0">IF(B7&gt;=2,1,0)</f>
        <v>0</v>
      </c>
      <c r="E7" s="1"/>
      <c r="F7" s="4">
        <f t="shared" ref="F7:F50" si="1">COUNTIF($A$7:$A$50,G7)</f>
        <v>0</v>
      </c>
      <c r="G7" s="19"/>
      <c r="H7" s="22">
        <f>(COUNTIF('2S EXPRESS'!$G$7:$G$50,JSL!G7))+(COUNTIF('2 ZT'!$G$7:$G$50,JSL!G7))+(COUNTIF('GO TRANSPORT'!$G$7:$G$50,JSL!G7))+(COUNTIF('HMZ - KAIS'!$G$7:$G$50,JSL!G7))+(COUNTIF('IB TRANSPORT'!$G$7:$G$50,JSL!G7))+(COUNTIF(JSL!$G$7:$G$50,JSL!G7))+(COUNTIF(KIFAITOUT!$G$7:$G$50,JSL!G7))+(COUNTIF('LUXE DRIVE'!$G$7:$G$50,JSL!G7))+(COUNTIF(SSN!$G$7:$G$50,JSL!G7))+(COUNTIF('W3'!$G$7:$G$50,JSL!G7))+(COUNTIF('ATHIS MONS'!$G$7:$G$50,JSL!G7))+(COUNTIF('L HAY LES ROSES'!$G$7:$G$50,JSL!G7))+(COUNTIF(RUNGIS!$G$7:$G$50,JSL!G7))+(COUNTIF(SCEAUX!$G$7:$G$50,JSL!G7))+(COUNTIF('INSTANCE C1'!$G$7:$G$50,JSL!G7))+(COUNTIF('INSTANCE C2'!$G$7:$G$50,JSL!G7))+(COUNTIF(INTERNES!$G$7:$G$50,JSL!G7))+(COUNTIF('EN PANNE'!$G$7:$G$50,JSL!G7))+(COUNTIF(TJM!$G$7:$G$50,JSL!G7))-I7</f>
        <v>0</v>
      </c>
      <c r="I7" s="22">
        <f>(COUNTIF('2S EXPRESS'!$A$7:$A$50,JSL!G7))+(COUNTIF('2 ZT'!$A$7:$A$50,JSL!G7))+(COUNTIF('GO TRANSPORT'!$A$7:$A$50,JSL!G7))+(COUNTIF('HMZ - KAIS'!$A$7:$A$50,JSL!G7))+(COUNTIF('IB TRANSPORT'!$A$7:$A$50,JSL!G7))+(COUNTIF(JSL!$A$7:$A$50,JSL!G7))+(COUNTIF(KIFAITOUT!$A$7:$A$50,JSL!G7))+(COUNTIF('LUXE DRIVE'!$A$7:$A$50,JSL!G7))+(COUNTIF(SSN!$A$7:$A$50,JSL!G7))+(COUNTIF('W3'!$A$7:$A$50,JSL!G7))+(COUNTIF('ATHIS MONS'!$A$7:$A$50,JSL!G7))+(COUNTIF('L HAY LES ROSES'!$A$7:$A$50,JSL!G7))+(COUNTIF(RUNGIS!$A$7:$A$50,JSL!G7))+(COUNTIF(SCEAUX!$A$7:$A$50,JSL!G7))+(COUNTIF('INSTANCE C1'!$A$7:$A$50,JSL!G7))+(COUNTIF('INSTANCE C2'!$A$7:$A$50,JSL!G7))+(COUNTIF(INTERNES!$A$7:$A$50,JSL!G7))+(COUNTIF('EN PANNE'!$A$7:$A$50,JSL!G7))+(COUNTIF(TJM!$A$7:$A$50,JSL!G7))</f>
        <v>0</v>
      </c>
      <c r="J7" s="27">
        <f>IF(H7&gt;=2,1,0)</f>
        <v>0</v>
      </c>
      <c r="K7" s="1"/>
      <c r="L7" s="47"/>
      <c r="M7" s="48"/>
      <c r="O7" s="48"/>
      <c r="P7" s="48"/>
      <c r="Q7" s="48"/>
      <c r="R7" s="50"/>
      <c r="S7" s="60">
        <f t="shared" ref="S7:S50" si="2">COUNTIF($G$7:$G$50,$A7)</f>
        <v>0</v>
      </c>
      <c r="T7" s="67">
        <f t="shared" ref="T7:T50" si="3">IF($S7=1,"",$A7)</f>
        <v>0</v>
      </c>
    </row>
    <row r="8" spans="1:26" ht="24.95" customHeight="1" thickBot="1" x14ac:dyDescent="0.25">
      <c r="A8" s="20"/>
      <c r="B8" s="23">
        <f>(COUNTIF('2S EXPRESS'!$A$7:$A$50,JSL!A8))+(COUNTIF('2 ZT'!$A$7:$A$50,JSL!A8))+(COUNTIF('GO TRANSPORT'!$A$7:$A$50,JSL!A8))+(COUNTIF('HMZ - KAIS'!$A$7:$A$50,JSL!A8))+(COUNTIF('IB TRANSPORT'!$A$7:$A$50,JSL!A8))+(COUNTIF(JSL!$A$7:$A$50,JSL!A8))+(COUNTIF(KIFAITOUT!$A$7:$A$50,JSL!A8))+(COUNTIF('LUXE DRIVE'!$A$7:$A$50,JSL!A8))+(COUNTIF(SSN!$A$7:$A$50,JSL!A8))+(COUNTIF('W3'!$A$7:$A$50,JSL!A8))+(COUNTIF('ATHIS MONS'!$A$7:$A$50,JSL!A8))+(COUNTIF('L HAY LES ROSES'!$A$7:$A$50,JSL!A8))+(COUNTIF(RUNGIS!$A$7:$A$50,JSL!A8))+(COUNTIF(SCEAUX!$A$7:$A$50,JSL!A8))+(COUNTIF('INSTANCE C1'!$A$7:$A$50,JSL!A8))+(COUNTIF('INSTANCE C2'!$A$7:$A$50,JSL!A8))+(COUNTIF(INTERNES!$A$7:$A$50,JSL!A8))+(COUNTIF('EN PANNE'!$A$7:$A$50,JSL!A8))+(COUNTIF(TJM!$A$7:$A$50,JSL!A8))-C8</f>
        <v>0</v>
      </c>
      <c r="C8" s="23">
        <f>(COUNTIF('2S EXPRESS'!$G$7:$G$50,JSL!A8))+(COUNTIF('2 ZT'!$G$7:$G$50,JSL!A8))+(COUNTIF('GO TRANSPORT'!$G$7:$G$50,JSL!A8))+(COUNTIF(JSL!$G$7:$G$50,JSL!A8))+(COUNTIF('IB TRANSPORT'!$G$7:$G$50,JSL!A8))+(COUNTIF(JSL!$G$7:$G$50,JSL!A8))+(COUNTIF(KIFAITOUT!$G$7:$G$50,JSL!A8))+(COUNTIF('LUXE DRIVE'!$G$7:$G$50,JSL!A8))+(COUNTIF(SSN!$G$7:$G$50,JSL!A8))+(COUNTIF('W3'!$G$7:$G$50,JSL!A8))+(COUNTIF('ATHIS MONS'!$G$7:$G$50,JSL!A8))+(COUNTIF('L HAY LES ROSES'!$G$7:$G$50,JSL!A8))+(COUNTIF(RUNGIS!$G$7:$G$50,JSL!A8))+(COUNTIF(SCEAUX!$G$7:$G$50,JSL!A8))+(COUNTIF('INSTANCE C1'!$G$7:$G$50,JSL!A8))+(COUNTIF('INSTANCE C2'!$G$7:$G$50,JSL!A8))+(COUNTIF(INTERNES!$G$7:$G$50,JSL!A8))+(COUNTIF('EN PANNE'!$G$7:$G$50,JSL!A8))+(COUNTIF(TJM!$G$7:$G$50,JSL!A8))</f>
        <v>0</v>
      </c>
      <c r="D8" s="28">
        <f t="shared" si="0"/>
        <v>0</v>
      </c>
      <c r="E8" s="2"/>
      <c r="F8" s="5">
        <f t="shared" si="1"/>
        <v>0</v>
      </c>
      <c r="G8" s="20"/>
      <c r="H8" s="23">
        <f>(COUNTIF('2S EXPRESS'!$G$7:$G$50,JSL!G8))+(COUNTIF('2 ZT'!$G$7:$G$50,JSL!G8))+(COUNTIF('GO TRANSPORT'!$G$7:$G$50,JSL!G8))+(COUNTIF('HMZ - KAIS'!$G$7:$G$50,JSL!G8))+(COUNTIF('IB TRANSPORT'!$G$7:$G$50,JSL!G8))+(COUNTIF(JSL!$G$7:$G$50,JSL!G8))+(COUNTIF(KIFAITOUT!$G$7:$G$50,JSL!G8))+(COUNTIF('LUXE DRIVE'!$G$7:$G$50,JSL!G8))+(COUNTIF(SSN!$G$7:$G$50,JSL!G8))+(COUNTIF('W3'!$G$7:$G$50,JSL!G8))+(COUNTIF('ATHIS MONS'!$G$7:$G$50,JSL!G8))+(COUNTIF('L HAY LES ROSES'!$G$7:$G$50,JSL!G8))+(COUNTIF(RUNGIS!$G$7:$G$50,JSL!G8))+(COUNTIF(SCEAUX!$G$7:$G$50,JSL!G8))+(COUNTIF('INSTANCE C1'!$G$7:$G$50,JSL!G8))+(COUNTIF('INSTANCE C2'!$G$7:$G$50,JSL!G8))+(COUNTIF(INTERNES!$G$7:$G$50,JSL!G8))+(COUNTIF('EN PANNE'!$G$7:$G$50,JSL!G8))+(COUNTIF(TJM!$G$7:$G$50,JSL!G8))-I8</f>
        <v>0</v>
      </c>
      <c r="I8" s="23">
        <f>(COUNTIF('2S EXPRESS'!$A$7:$A$50,JSL!G8))+(COUNTIF('2 ZT'!$A$7:$A$50,JSL!G8))+(COUNTIF('GO TRANSPORT'!$A$7:$A$50,JSL!G8))+(COUNTIF('HMZ - KAIS'!$A$7:$A$50,JSL!G8))+(COUNTIF('IB TRANSPORT'!$A$7:$A$50,JSL!G8))+(COUNTIF(JSL!$A$7:$A$50,JSL!G8))+(COUNTIF(KIFAITOUT!$A$7:$A$50,JSL!G8))+(COUNTIF('LUXE DRIVE'!$A$7:$A$50,JSL!G8))+(COUNTIF(SSN!$A$7:$A$50,JSL!G8))+(COUNTIF('W3'!$A$7:$A$50,JSL!G8))+(COUNTIF('ATHIS MONS'!$A$7:$A$50,JSL!G8))+(COUNTIF('L HAY LES ROSES'!$A$7:$A$50,JSL!G8))+(COUNTIF(RUNGIS!$A$7:$A$50,JSL!G8))+(COUNTIF(SCEAUX!$A$7:$A$50,JSL!G8))+(COUNTIF('INSTANCE C1'!$A$7:$A$50,JSL!G8))+(COUNTIF('INSTANCE C2'!$A$7:$A$50,JSL!G8))+(COUNTIF(INTERNES!$A$7:$A$50,JSL!G8))+(COUNTIF('EN PANNE'!$A$7:$A$50,JSL!G8))+(COUNTIF(TJM!$A$7:$A$50,JSL!G8))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50"/>
      <c r="S8" s="60">
        <f t="shared" si="2"/>
        <v>0</v>
      </c>
      <c r="T8" s="67">
        <f t="shared" si="3"/>
        <v>0</v>
      </c>
    </row>
    <row r="9" spans="1:26" ht="24.95" customHeight="1" thickBot="1" x14ac:dyDescent="0.25">
      <c r="A9" s="20"/>
      <c r="B9" s="23">
        <f>(COUNTIF('2S EXPRESS'!$A$7:$A$50,JSL!A9))+(COUNTIF('2 ZT'!$A$7:$A$50,JSL!A9))+(COUNTIF('GO TRANSPORT'!$A$7:$A$50,JSL!A9))+(COUNTIF('HMZ - KAIS'!$A$7:$A$50,JSL!A9))+(COUNTIF('IB TRANSPORT'!$A$7:$A$50,JSL!A9))+(COUNTIF(JSL!$A$7:$A$50,JSL!A9))+(COUNTIF(KIFAITOUT!$A$7:$A$50,JSL!A9))+(COUNTIF('LUXE DRIVE'!$A$7:$A$50,JSL!A9))+(COUNTIF(SSN!$A$7:$A$50,JSL!A9))+(COUNTIF('W3'!$A$7:$A$50,JSL!A9))+(COUNTIF('ATHIS MONS'!$A$7:$A$50,JSL!A9))+(COUNTIF('L HAY LES ROSES'!$A$7:$A$50,JSL!A9))+(COUNTIF(RUNGIS!$A$7:$A$50,JSL!A9))+(COUNTIF(SCEAUX!$A$7:$A$50,JSL!A9))+(COUNTIF('INSTANCE C1'!$A$7:$A$50,JSL!A9))+(COUNTIF('INSTANCE C2'!$A$7:$A$50,JSL!A9))+(COUNTIF(INTERNES!$A$7:$A$50,JSL!A9))+(COUNTIF('EN PANNE'!$A$7:$A$50,JSL!A9))+(COUNTIF(TJM!$A$7:$A$50,JSL!A9))-C9</f>
        <v>0</v>
      </c>
      <c r="C9" s="23">
        <f>(COUNTIF('2S EXPRESS'!$G$7:$G$50,JSL!A9))+(COUNTIF('2 ZT'!$G$7:$G$50,JSL!A9))+(COUNTIF('GO TRANSPORT'!$G$7:$G$50,JSL!A9))+(COUNTIF(JSL!$G$7:$G$50,JSL!A9))+(COUNTIF('IB TRANSPORT'!$G$7:$G$50,JSL!A9))+(COUNTIF(JSL!$G$7:$G$50,JSL!A9))+(COUNTIF(KIFAITOUT!$G$7:$G$50,JSL!A9))+(COUNTIF('LUXE DRIVE'!$G$7:$G$50,JSL!A9))+(COUNTIF(SSN!$G$7:$G$50,JSL!A9))+(COUNTIF('W3'!$G$7:$G$50,JSL!A9))+(COUNTIF('ATHIS MONS'!$G$7:$G$50,JSL!A9))+(COUNTIF('L HAY LES ROSES'!$G$7:$G$50,JSL!A9))+(COUNTIF(RUNGIS!$G$7:$G$50,JSL!A9))+(COUNTIF(SCEAUX!$G$7:$G$50,JSL!A9))+(COUNTIF('INSTANCE C1'!$G$7:$G$50,JSL!A9))+(COUNTIF('INSTANCE C2'!$G$7:$G$50,JSL!A9))+(COUNTIF(INTERNES!$G$7:$G$50,JSL!A9))+(COUNTIF('EN PANNE'!$G$7:$G$50,JSL!A9))+(COUNTIF(TJM!$G$7:$G$50,JSL!A9))</f>
        <v>0</v>
      </c>
      <c r="D9" s="28">
        <f t="shared" si="0"/>
        <v>0</v>
      </c>
      <c r="E9" s="2"/>
      <c r="F9" s="5">
        <f t="shared" si="1"/>
        <v>0</v>
      </c>
      <c r="G9" s="20"/>
      <c r="H9" s="23">
        <f>(COUNTIF('2S EXPRESS'!$G$7:$G$50,JSL!G9))+(COUNTIF('2 ZT'!$G$7:$G$50,JSL!G9))+(COUNTIF('GO TRANSPORT'!$G$7:$G$50,JSL!G9))+(COUNTIF('HMZ - KAIS'!$G$7:$G$50,JSL!G9))+(COUNTIF('IB TRANSPORT'!$G$7:$G$50,JSL!G9))+(COUNTIF(JSL!$G$7:$G$50,JSL!G9))+(COUNTIF(KIFAITOUT!$G$7:$G$50,JSL!G9))+(COUNTIF('LUXE DRIVE'!$G$7:$G$50,JSL!G9))+(COUNTIF(SSN!$G$7:$G$50,JSL!G9))+(COUNTIF('W3'!$G$7:$G$50,JSL!G9))+(COUNTIF('ATHIS MONS'!$G$7:$G$50,JSL!G9))+(COUNTIF('L HAY LES ROSES'!$G$7:$G$50,JSL!G9))+(COUNTIF(RUNGIS!$G$7:$G$50,JSL!G9))+(COUNTIF(SCEAUX!$G$7:$G$50,JSL!G9))+(COUNTIF('INSTANCE C1'!$G$7:$G$50,JSL!G9))+(COUNTIF('INSTANCE C2'!$G$7:$G$50,JSL!G9))+(COUNTIF(INTERNES!$G$7:$G$50,JSL!G9))+(COUNTIF('EN PANNE'!$G$7:$G$50,JSL!G9))+(COUNTIF(TJM!$G$7:$G$50,JSL!G9))-I9</f>
        <v>0</v>
      </c>
      <c r="I9" s="23">
        <f>(COUNTIF('2S EXPRESS'!$A$7:$A$50,JSL!G9))+(COUNTIF('2 ZT'!$A$7:$A$50,JSL!G9))+(COUNTIF('GO TRANSPORT'!$A$7:$A$50,JSL!G9))+(COUNTIF('HMZ - KAIS'!$A$7:$A$50,JSL!G9))+(COUNTIF('IB TRANSPORT'!$A$7:$A$50,JSL!G9))+(COUNTIF(JSL!$A$7:$A$50,JSL!G9))+(COUNTIF(KIFAITOUT!$A$7:$A$50,JSL!G9))+(COUNTIF('LUXE DRIVE'!$A$7:$A$50,JSL!G9))+(COUNTIF(SSN!$A$7:$A$50,JSL!G9))+(COUNTIF('W3'!$A$7:$A$50,JSL!G9))+(COUNTIF('ATHIS MONS'!$A$7:$A$50,JSL!G9))+(COUNTIF('L HAY LES ROSES'!$A$7:$A$50,JSL!G9))+(COUNTIF(RUNGIS!$A$7:$A$50,JSL!G9))+(COUNTIF(SCEAUX!$A$7:$A$50,JSL!G9))+(COUNTIF('INSTANCE C1'!$A$7:$A$50,JSL!G9))+(COUNTIF('INSTANCE C2'!$A$7:$A$50,JSL!G9))+(COUNTIF(INTERNES!$A$7:$A$50,JSL!G9))+(COUNTIF('EN PANNE'!$A$7:$A$50,JSL!G9))+(COUNTIF(TJM!$A$7:$A$50,JSL!G9))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50"/>
      <c r="S9" s="60">
        <f t="shared" si="2"/>
        <v>0</v>
      </c>
      <c r="T9" s="67">
        <f t="shared" si="3"/>
        <v>0</v>
      </c>
    </row>
    <row r="10" spans="1:26" ht="24.95" customHeight="1" thickBot="1" x14ac:dyDescent="0.25">
      <c r="A10" s="20"/>
      <c r="B10" s="23">
        <f>(COUNTIF('2S EXPRESS'!$A$7:$A$50,JSL!A10))+(COUNTIF('2 ZT'!$A$7:$A$50,JSL!A10))+(COUNTIF('GO TRANSPORT'!$A$7:$A$50,JSL!A10))+(COUNTIF('HMZ - KAIS'!$A$7:$A$50,JSL!A10))+(COUNTIF('IB TRANSPORT'!$A$7:$A$50,JSL!A10))+(COUNTIF(JSL!$A$7:$A$50,JSL!A10))+(COUNTIF(KIFAITOUT!$A$7:$A$50,JSL!A10))+(COUNTIF('LUXE DRIVE'!$A$7:$A$50,JSL!A10))+(COUNTIF(SSN!$A$7:$A$50,JSL!A10))+(COUNTIF('W3'!$A$7:$A$50,JSL!A10))+(COUNTIF('ATHIS MONS'!$A$7:$A$50,JSL!A10))+(COUNTIF('L HAY LES ROSES'!$A$7:$A$50,JSL!A10))+(COUNTIF(RUNGIS!$A$7:$A$50,JSL!A10))+(COUNTIF(SCEAUX!$A$7:$A$50,JSL!A10))+(COUNTIF('INSTANCE C1'!$A$7:$A$50,JSL!A10))+(COUNTIF('INSTANCE C2'!$A$7:$A$50,JSL!A10))+(COUNTIF(INTERNES!$A$7:$A$50,JSL!A10))+(COUNTIF('EN PANNE'!$A$7:$A$50,JSL!A10))+(COUNTIF(TJM!$A$7:$A$50,JSL!A10))-C10</f>
        <v>0</v>
      </c>
      <c r="C10" s="23">
        <f>(COUNTIF('2S EXPRESS'!$G$7:$G$50,JSL!A10))+(COUNTIF('2 ZT'!$G$7:$G$50,JSL!A10))+(COUNTIF('GO TRANSPORT'!$G$7:$G$50,JSL!A10))+(COUNTIF(JSL!$G$7:$G$50,JSL!A10))+(COUNTIF('IB TRANSPORT'!$G$7:$G$50,JSL!A10))+(COUNTIF(JSL!$G$7:$G$50,JSL!A10))+(COUNTIF(KIFAITOUT!$G$7:$G$50,JSL!A10))+(COUNTIF('LUXE DRIVE'!$G$7:$G$50,JSL!A10))+(COUNTIF(SSN!$G$7:$G$50,JSL!A10))+(COUNTIF('W3'!$G$7:$G$50,JSL!A10))+(COUNTIF('ATHIS MONS'!$G$7:$G$50,JSL!A10))+(COUNTIF('L HAY LES ROSES'!$G$7:$G$50,JSL!A10))+(COUNTIF(RUNGIS!$G$7:$G$50,JSL!A10))+(COUNTIF(SCEAUX!$G$7:$G$50,JSL!A10))+(COUNTIF('INSTANCE C1'!$G$7:$G$50,JSL!A10))+(COUNTIF('INSTANCE C2'!$G$7:$G$50,JSL!A10))+(COUNTIF(INTERNES!$G$7:$G$50,JSL!A10))+(COUNTIF('EN PANNE'!$G$7:$G$50,JSL!A10))+(COUNTIF(TJM!$G$7:$G$50,JSL!A10))</f>
        <v>0</v>
      </c>
      <c r="D10" s="28">
        <f t="shared" si="0"/>
        <v>0</v>
      </c>
      <c r="E10" s="2"/>
      <c r="F10" s="5">
        <f t="shared" si="1"/>
        <v>0</v>
      </c>
      <c r="G10" s="20"/>
      <c r="H10" s="23">
        <f>(COUNTIF('2S EXPRESS'!$G$7:$G$50,JSL!G10))+(COUNTIF('2 ZT'!$G$7:$G$50,JSL!G10))+(COUNTIF('GO TRANSPORT'!$G$7:$G$50,JSL!G10))+(COUNTIF('HMZ - KAIS'!$G$7:$G$50,JSL!G10))+(COUNTIF('IB TRANSPORT'!$G$7:$G$50,JSL!G10))+(COUNTIF(JSL!$G$7:$G$50,JSL!G10))+(COUNTIF(KIFAITOUT!$G$7:$G$50,JSL!G10))+(COUNTIF('LUXE DRIVE'!$G$7:$G$50,JSL!G10))+(COUNTIF(SSN!$G$7:$G$50,JSL!G10))+(COUNTIF('W3'!$G$7:$G$50,JSL!G10))+(COUNTIF('ATHIS MONS'!$G$7:$G$50,JSL!G10))+(COUNTIF('L HAY LES ROSES'!$G$7:$G$50,JSL!G10))+(COUNTIF(RUNGIS!$G$7:$G$50,JSL!G10))+(COUNTIF(SCEAUX!$G$7:$G$50,JSL!G10))+(COUNTIF('INSTANCE C1'!$G$7:$G$50,JSL!G10))+(COUNTIF('INSTANCE C2'!$G$7:$G$50,JSL!G10))+(COUNTIF(INTERNES!$G$7:$G$50,JSL!G10))+(COUNTIF('EN PANNE'!$G$7:$G$50,JSL!G10))+(COUNTIF(TJM!$G$7:$G$50,JSL!G10))-I10</f>
        <v>0</v>
      </c>
      <c r="I10" s="23">
        <f>(COUNTIF('2S EXPRESS'!$A$7:$A$50,JSL!G10))+(COUNTIF('2 ZT'!$A$7:$A$50,JSL!G10))+(COUNTIF('GO TRANSPORT'!$A$7:$A$50,JSL!G10))+(COUNTIF('HMZ - KAIS'!$A$7:$A$50,JSL!G10))+(COUNTIF('IB TRANSPORT'!$A$7:$A$50,JSL!G10))+(COUNTIF(JSL!$A$7:$A$50,JSL!G10))+(COUNTIF(KIFAITOUT!$A$7:$A$50,JSL!G10))+(COUNTIF('LUXE DRIVE'!$A$7:$A$50,JSL!G10))+(COUNTIF(SSN!$A$7:$A$50,JSL!G10))+(COUNTIF('W3'!$A$7:$A$50,JSL!G10))+(COUNTIF('ATHIS MONS'!$A$7:$A$50,JSL!G10))+(COUNTIF('L HAY LES ROSES'!$A$7:$A$50,JSL!G10))+(COUNTIF(RUNGIS!$A$7:$A$50,JSL!G10))+(COUNTIF(SCEAUX!$A$7:$A$50,JSL!G10))+(COUNTIF('INSTANCE C1'!$A$7:$A$50,JSL!G10))+(COUNTIF('INSTANCE C2'!$A$7:$A$50,JSL!G10))+(COUNTIF(INTERNES!$A$7:$A$50,JSL!G10))+(COUNTIF('EN PANNE'!$A$7:$A$50,JSL!G10))+(COUNTIF(TJM!$A$7:$A$50,JSL!G10))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R10" s="50"/>
      <c r="S10" s="60">
        <f t="shared" si="2"/>
        <v>0</v>
      </c>
      <c r="T10" s="67">
        <f t="shared" si="3"/>
        <v>0</v>
      </c>
    </row>
    <row r="11" spans="1:26" ht="24.95" customHeight="1" thickBot="1" x14ac:dyDescent="0.25">
      <c r="A11" s="20"/>
      <c r="B11" s="23">
        <f>(COUNTIF('2S EXPRESS'!$A$7:$A$50,JSL!A11))+(COUNTIF('2 ZT'!$A$7:$A$50,JSL!A11))+(COUNTIF('GO TRANSPORT'!$A$7:$A$50,JSL!A11))+(COUNTIF('HMZ - KAIS'!$A$7:$A$50,JSL!A11))+(COUNTIF('IB TRANSPORT'!$A$7:$A$50,JSL!A11))+(COUNTIF(JSL!$A$7:$A$50,JSL!A11))+(COUNTIF(KIFAITOUT!$A$7:$A$50,JSL!A11))+(COUNTIF('LUXE DRIVE'!$A$7:$A$50,JSL!A11))+(COUNTIF(SSN!$A$7:$A$50,JSL!A11))+(COUNTIF('W3'!$A$7:$A$50,JSL!A11))+(COUNTIF('ATHIS MONS'!$A$7:$A$50,JSL!A11))+(COUNTIF('L HAY LES ROSES'!$A$7:$A$50,JSL!A11))+(COUNTIF(RUNGIS!$A$7:$A$50,JSL!A11))+(COUNTIF(SCEAUX!$A$7:$A$50,JSL!A11))+(COUNTIF('INSTANCE C1'!$A$7:$A$50,JSL!A11))+(COUNTIF('INSTANCE C2'!$A$7:$A$50,JSL!A11))+(COUNTIF(INTERNES!$A$7:$A$50,JSL!A11))+(COUNTIF('EN PANNE'!$A$7:$A$50,JSL!A11))+(COUNTIF(TJM!$A$7:$A$50,JSL!A11))-C11</f>
        <v>0</v>
      </c>
      <c r="C11" s="23">
        <f>(COUNTIF('2S EXPRESS'!$G$7:$G$50,JSL!A11))+(COUNTIF('2 ZT'!$G$7:$G$50,JSL!A11))+(COUNTIF('GO TRANSPORT'!$G$7:$G$50,JSL!A11))+(COUNTIF(JSL!$G$7:$G$50,JSL!A11))+(COUNTIF('IB TRANSPORT'!$G$7:$G$50,JSL!A11))+(COUNTIF(JSL!$G$7:$G$50,JSL!A11))+(COUNTIF(KIFAITOUT!$G$7:$G$50,JSL!A11))+(COUNTIF('LUXE DRIVE'!$G$7:$G$50,JSL!A11))+(COUNTIF(SSN!$G$7:$G$50,JSL!A11))+(COUNTIF('W3'!$G$7:$G$50,JSL!A11))+(COUNTIF('ATHIS MONS'!$G$7:$G$50,JSL!A11))+(COUNTIF('L HAY LES ROSES'!$G$7:$G$50,JSL!A11))+(COUNTIF(RUNGIS!$G$7:$G$50,JSL!A11))+(COUNTIF(SCEAUX!$G$7:$G$50,JSL!A11))+(COUNTIF('INSTANCE C1'!$G$7:$G$50,JSL!A11))+(COUNTIF('INSTANCE C2'!$G$7:$G$50,JSL!A11))+(COUNTIF(INTERNES!$G$7:$G$50,JSL!A11))+(COUNTIF('EN PANNE'!$G$7:$G$50,JSL!A11))+(COUNTIF(TJM!$G$7:$G$50,JSL!A11))</f>
        <v>0</v>
      </c>
      <c r="D11" s="28">
        <f t="shared" si="0"/>
        <v>0</v>
      </c>
      <c r="E11" s="2"/>
      <c r="F11" s="5">
        <f t="shared" si="1"/>
        <v>0</v>
      </c>
      <c r="G11" s="20"/>
      <c r="H11" s="23">
        <f>(COUNTIF('2S EXPRESS'!$G$7:$G$50,JSL!G11))+(COUNTIF('2 ZT'!$G$7:$G$50,JSL!G11))+(COUNTIF('GO TRANSPORT'!$G$7:$G$50,JSL!G11))+(COUNTIF('HMZ - KAIS'!$G$7:$G$50,JSL!G11))+(COUNTIF('IB TRANSPORT'!$G$7:$G$50,JSL!G11))+(COUNTIF(JSL!$G$7:$G$50,JSL!G11))+(COUNTIF(KIFAITOUT!$G$7:$G$50,JSL!G11))+(COUNTIF('LUXE DRIVE'!$G$7:$G$50,JSL!G11))+(COUNTIF(SSN!$G$7:$G$50,JSL!G11))+(COUNTIF('W3'!$G$7:$G$50,JSL!G11))+(COUNTIF('ATHIS MONS'!$G$7:$G$50,JSL!G11))+(COUNTIF('L HAY LES ROSES'!$G$7:$G$50,JSL!G11))+(COUNTIF(RUNGIS!$G$7:$G$50,JSL!G11))+(COUNTIF(SCEAUX!$G$7:$G$50,JSL!G11))+(COUNTIF('INSTANCE C1'!$G$7:$G$50,JSL!G11))+(COUNTIF('INSTANCE C2'!$G$7:$G$50,JSL!G11))+(COUNTIF(INTERNES!$G$7:$G$50,JSL!G11))+(COUNTIF('EN PANNE'!$G$7:$G$50,JSL!G11))+(COUNTIF(TJM!$G$7:$G$50,JSL!G11))-I11</f>
        <v>0</v>
      </c>
      <c r="I11" s="23">
        <f>(COUNTIF('2S EXPRESS'!$A$7:$A$50,JSL!G11))+(COUNTIF('2 ZT'!$A$7:$A$50,JSL!G11))+(COUNTIF('GO TRANSPORT'!$A$7:$A$50,JSL!G11))+(COUNTIF('HMZ - KAIS'!$A$7:$A$50,JSL!G11))+(COUNTIF('IB TRANSPORT'!$A$7:$A$50,JSL!G11))+(COUNTIF(JSL!$A$7:$A$50,JSL!G11))+(COUNTIF(KIFAITOUT!$A$7:$A$50,JSL!G11))+(COUNTIF('LUXE DRIVE'!$A$7:$A$50,JSL!G11))+(COUNTIF(SSN!$A$7:$A$50,JSL!G11))+(COUNTIF('W3'!$A$7:$A$50,JSL!G11))+(COUNTIF('ATHIS MONS'!$A$7:$A$50,JSL!G11))+(COUNTIF('L HAY LES ROSES'!$A$7:$A$50,JSL!G11))+(COUNTIF(RUNGIS!$A$7:$A$50,JSL!G11))+(COUNTIF(SCEAUX!$A$7:$A$50,JSL!G11))+(COUNTIF('INSTANCE C1'!$A$7:$A$50,JSL!G11))+(COUNTIF('INSTANCE C2'!$A$7:$A$50,JSL!G11))+(COUNTIF(INTERNES!$A$7:$A$50,JSL!G11))+(COUNTIF('EN PANNE'!$A$7:$A$50,JSL!G11))+(COUNTIF(TJM!$A$7:$A$50,JSL!G11))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R11" s="50"/>
      <c r="S11" s="60">
        <f t="shared" si="2"/>
        <v>0</v>
      </c>
      <c r="T11" s="67">
        <f t="shared" si="3"/>
        <v>0</v>
      </c>
    </row>
    <row r="12" spans="1:26" ht="24.95" customHeight="1" thickBot="1" x14ac:dyDescent="0.25">
      <c r="A12" s="20"/>
      <c r="B12" s="23">
        <f>(COUNTIF('2S EXPRESS'!$A$7:$A$50,JSL!A12))+(COUNTIF('2 ZT'!$A$7:$A$50,JSL!A12))+(COUNTIF('GO TRANSPORT'!$A$7:$A$50,JSL!A12))+(COUNTIF('HMZ - KAIS'!$A$7:$A$50,JSL!A12))+(COUNTIF('IB TRANSPORT'!$A$7:$A$50,JSL!A12))+(COUNTIF(JSL!$A$7:$A$50,JSL!A12))+(COUNTIF(KIFAITOUT!$A$7:$A$50,JSL!A12))+(COUNTIF('LUXE DRIVE'!$A$7:$A$50,JSL!A12))+(COUNTIF(SSN!$A$7:$A$50,JSL!A12))+(COUNTIF('W3'!$A$7:$A$50,JSL!A12))+(COUNTIF('ATHIS MONS'!$A$7:$A$50,JSL!A12))+(COUNTIF('L HAY LES ROSES'!$A$7:$A$50,JSL!A12))+(COUNTIF(RUNGIS!$A$7:$A$50,JSL!A12))+(COUNTIF(SCEAUX!$A$7:$A$50,JSL!A12))+(COUNTIF('INSTANCE C1'!$A$7:$A$50,JSL!A12))+(COUNTIF('INSTANCE C2'!$A$7:$A$50,JSL!A12))+(COUNTIF(INTERNES!$A$7:$A$50,JSL!A12))+(COUNTIF('EN PANNE'!$A$7:$A$50,JSL!A12))+(COUNTIF(TJM!$A$7:$A$50,JSL!A12))-C12</f>
        <v>0</v>
      </c>
      <c r="C12" s="23">
        <f>(COUNTIF('2S EXPRESS'!$G$7:$G$50,JSL!A12))+(COUNTIF('2 ZT'!$G$7:$G$50,JSL!A12))+(COUNTIF('GO TRANSPORT'!$G$7:$G$50,JSL!A12))+(COUNTIF(JSL!$G$7:$G$50,JSL!A12))+(COUNTIF('IB TRANSPORT'!$G$7:$G$50,JSL!A12))+(COUNTIF(JSL!$G$7:$G$50,JSL!A12))+(COUNTIF(KIFAITOUT!$G$7:$G$50,JSL!A12))+(COUNTIF('LUXE DRIVE'!$G$7:$G$50,JSL!A12))+(COUNTIF(SSN!$G$7:$G$50,JSL!A12))+(COUNTIF('W3'!$G$7:$G$50,JSL!A12))+(COUNTIF('ATHIS MONS'!$G$7:$G$50,JSL!A12))+(COUNTIF('L HAY LES ROSES'!$G$7:$G$50,JSL!A12))+(COUNTIF(RUNGIS!$G$7:$G$50,JSL!A12))+(COUNTIF(SCEAUX!$G$7:$G$50,JSL!A12))+(COUNTIF('INSTANCE C1'!$G$7:$G$50,JSL!A12))+(COUNTIF('INSTANCE C2'!$G$7:$G$50,JSL!A12))+(COUNTIF(INTERNES!$G$7:$G$50,JSL!A12))+(COUNTIF('EN PANNE'!$G$7:$G$50,JSL!A12))+(COUNTIF(TJM!$G$7:$G$50,JSL!A12))</f>
        <v>0</v>
      </c>
      <c r="D12" s="28">
        <f t="shared" si="0"/>
        <v>0</v>
      </c>
      <c r="E12" s="2"/>
      <c r="F12" s="5">
        <f t="shared" si="1"/>
        <v>0</v>
      </c>
      <c r="G12" s="20"/>
      <c r="H12" s="23">
        <f>(COUNTIF('2S EXPRESS'!$G$7:$G$50,JSL!G12))+(COUNTIF('2 ZT'!$G$7:$G$50,JSL!G12))+(COUNTIF('GO TRANSPORT'!$G$7:$G$50,JSL!G12))+(COUNTIF('HMZ - KAIS'!$G$7:$G$50,JSL!G12))+(COUNTIF('IB TRANSPORT'!$G$7:$G$50,JSL!G12))+(COUNTIF(JSL!$G$7:$G$50,JSL!G12))+(COUNTIF(KIFAITOUT!$G$7:$G$50,JSL!G12))+(COUNTIF('LUXE DRIVE'!$G$7:$G$50,JSL!G12))+(COUNTIF(SSN!$G$7:$G$50,JSL!G12))+(COUNTIF('W3'!$G$7:$G$50,JSL!G12))+(COUNTIF('ATHIS MONS'!$G$7:$G$50,JSL!G12))+(COUNTIF('L HAY LES ROSES'!$G$7:$G$50,JSL!G12))+(COUNTIF(RUNGIS!$G$7:$G$50,JSL!G12))+(COUNTIF(SCEAUX!$G$7:$G$50,JSL!G12))+(COUNTIF('INSTANCE C1'!$G$7:$G$50,JSL!G12))+(COUNTIF('INSTANCE C2'!$G$7:$G$50,JSL!G12))+(COUNTIF(INTERNES!$G$7:$G$50,JSL!G12))+(COUNTIF('EN PANNE'!$G$7:$G$50,JSL!G12))+(COUNTIF(TJM!$G$7:$G$50,JSL!G12))-I12</f>
        <v>0</v>
      </c>
      <c r="I12" s="23">
        <f>(COUNTIF('2S EXPRESS'!$A$7:$A$50,JSL!G12))+(COUNTIF('2 ZT'!$A$7:$A$50,JSL!G12))+(COUNTIF('GO TRANSPORT'!$A$7:$A$50,JSL!G12))+(COUNTIF('HMZ - KAIS'!$A$7:$A$50,JSL!G12))+(COUNTIF('IB TRANSPORT'!$A$7:$A$50,JSL!G12))+(COUNTIF(JSL!$A$7:$A$50,JSL!G12))+(COUNTIF(KIFAITOUT!$A$7:$A$50,JSL!G12))+(COUNTIF('LUXE DRIVE'!$A$7:$A$50,JSL!G12))+(COUNTIF(SSN!$A$7:$A$50,JSL!G12))+(COUNTIF('W3'!$A$7:$A$50,JSL!G12))+(COUNTIF('ATHIS MONS'!$A$7:$A$50,JSL!G12))+(COUNTIF('L HAY LES ROSES'!$A$7:$A$50,JSL!G12))+(COUNTIF(RUNGIS!$A$7:$A$50,JSL!G12))+(COUNTIF(SCEAUX!$A$7:$A$50,JSL!G12))+(COUNTIF('INSTANCE C1'!$A$7:$A$50,JSL!G12))+(COUNTIF('INSTANCE C2'!$A$7:$A$50,JSL!G12))+(COUNTIF(INTERNES!$A$7:$A$50,JSL!G12))+(COUNTIF('EN PANNE'!$A$7:$A$50,JSL!G12))+(COUNTIF(TJM!$A$7:$A$50,JSL!G12))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S12" s="60">
        <f t="shared" si="2"/>
        <v>0</v>
      </c>
      <c r="T12" s="67">
        <f t="shared" si="3"/>
        <v>0</v>
      </c>
    </row>
    <row r="13" spans="1:26" ht="24.95" customHeight="1" x14ac:dyDescent="0.2">
      <c r="A13" s="20"/>
      <c r="B13" s="23">
        <f>(COUNTIF('2S EXPRESS'!$A$7:$A$50,JSL!A13))+(COUNTIF('2 ZT'!$A$7:$A$50,JSL!A13))+(COUNTIF('GO TRANSPORT'!$A$7:$A$50,JSL!A13))+(COUNTIF('HMZ - KAIS'!$A$7:$A$50,JSL!A13))+(COUNTIF('IB TRANSPORT'!$A$7:$A$50,JSL!A13))+(COUNTIF(JSL!$A$7:$A$50,JSL!A13))+(COUNTIF(KIFAITOUT!$A$7:$A$50,JSL!A13))+(COUNTIF('LUXE DRIVE'!$A$7:$A$50,JSL!A13))+(COUNTIF(SSN!$A$7:$A$50,JSL!A13))+(COUNTIF('W3'!$A$7:$A$50,JSL!A13))+(COUNTIF('ATHIS MONS'!$A$7:$A$50,JSL!A13))+(COUNTIF('L HAY LES ROSES'!$A$7:$A$50,JSL!A13))+(COUNTIF(RUNGIS!$A$7:$A$50,JSL!A13))+(COUNTIF(SCEAUX!$A$7:$A$50,JSL!A13))+(COUNTIF('INSTANCE C1'!$A$7:$A$50,JSL!A13))+(COUNTIF('INSTANCE C2'!$A$7:$A$50,JSL!A13))+(COUNTIF(INTERNES!$A$7:$A$50,JSL!A13))+(COUNTIF('EN PANNE'!$A$7:$A$50,JSL!A13))+(COUNTIF(TJM!$A$7:$A$50,JSL!A13))-C13</f>
        <v>0</v>
      </c>
      <c r="C13" s="23">
        <f>(COUNTIF('2S EXPRESS'!$G$7:$G$50,JSL!A13))+(COUNTIF('2 ZT'!$G$7:$G$50,JSL!A13))+(COUNTIF('GO TRANSPORT'!$G$7:$G$50,JSL!A13))+(COUNTIF(JSL!$G$7:$G$50,JSL!A13))+(COUNTIF('IB TRANSPORT'!$G$7:$G$50,JSL!A13))+(COUNTIF(JSL!$G$7:$G$50,JSL!A13))+(COUNTIF(KIFAITOUT!$G$7:$G$50,JSL!A13))+(COUNTIF('LUXE DRIVE'!$G$7:$G$50,JSL!A13))+(COUNTIF(SSN!$G$7:$G$50,JSL!A13))+(COUNTIF('W3'!$G$7:$G$50,JSL!A13))+(COUNTIF('ATHIS MONS'!$G$7:$G$50,JSL!A13))+(COUNTIF('L HAY LES ROSES'!$G$7:$G$50,JSL!A13))+(COUNTIF(RUNGIS!$G$7:$G$50,JSL!A13))+(COUNTIF(SCEAUX!$G$7:$G$50,JSL!A13))+(COUNTIF('INSTANCE C1'!$G$7:$G$50,JSL!A13))+(COUNTIF('INSTANCE C2'!$G$7:$G$50,JSL!A13))+(COUNTIF(INTERNES!$G$7:$G$50,JSL!A13))+(COUNTIF('EN PANNE'!$G$7:$G$50,JSL!A13))+(COUNTIF(TJM!$G$7:$G$50,JSL!A13))</f>
        <v>0</v>
      </c>
      <c r="D13" s="28">
        <f t="shared" si="0"/>
        <v>0</v>
      </c>
      <c r="E13" s="2"/>
      <c r="F13" s="5">
        <f t="shared" si="1"/>
        <v>0</v>
      </c>
      <c r="G13" s="20"/>
      <c r="H13" s="23">
        <f>(COUNTIF('2S EXPRESS'!$G$7:$G$50,JSL!G13))+(COUNTIF('2 ZT'!$G$7:$G$50,JSL!G13))+(COUNTIF('GO TRANSPORT'!$G$7:$G$50,JSL!G13))+(COUNTIF('HMZ - KAIS'!$G$7:$G$50,JSL!G13))+(COUNTIF('IB TRANSPORT'!$G$7:$G$50,JSL!G13))+(COUNTIF(JSL!$G$7:$G$50,JSL!G13))+(COUNTIF(KIFAITOUT!$G$7:$G$50,JSL!G13))+(COUNTIF('LUXE DRIVE'!$G$7:$G$50,JSL!G13))+(COUNTIF(SSN!$G$7:$G$50,JSL!G13))+(COUNTIF('W3'!$G$7:$G$50,JSL!G13))+(COUNTIF('ATHIS MONS'!$G$7:$G$50,JSL!G13))+(COUNTIF('L HAY LES ROSES'!$G$7:$G$50,JSL!G13))+(COUNTIF(RUNGIS!$G$7:$G$50,JSL!G13))+(COUNTIF(SCEAUX!$G$7:$G$50,JSL!G13))+(COUNTIF('INSTANCE C1'!$G$7:$G$50,JSL!G13))+(COUNTIF('INSTANCE C2'!$G$7:$G$50,JSL!G13))+(COUNTIF(INTERNES!$G$7:$G$50,JSL!G13))+(COUNTIF('EN PANNE'!$G$7:$G$50,JSL!G13))+(COUNTIF(TJM!$G$7:$G$50,JSL!G13))-I13</f>
        <v>0</v>
      </c>
      <c r="I13" s="23">
        <f>(COUNTIF('2S EXPRESS'!$A$7:$A$50,JSL!G13))+(COUNTIF('2 ZT'!$A$7:$A$50,JSL!G13))+(COUNTIF('GO TRANSPORT'!$A$7:$A$50,JSL!G13))+(COUNTIF('HMZ - KAIS'!$A$7:$A$50,JSL!G13))+(COUNTIF('IB TRANSPORT'!$A$7:$A$50,JSL!G13))+(COUNTIF(JSL!$A$7:$A$50,JSL!G13))+(COUNTIF(KIFAITOUT!$A$7:$A$50,JSL!G13))+(COUNTIF('LUXE DRIVE'!$A$7:$A$50,JSL!G13))+(COUNTIF(SSN!$A$7:$A$50,JSL!G13))+(COUNTIF('W3'!$A$7:$A$50,JSL!G13))+(COUNTIF('ATHIS MONS'!$A$7:$A$50,JSL!G13))+(COUNTIF('L HAY LES ROSES'!$A$7:$A$50,JSL!G13))+(COUNTIF(RUNGIS!$A$7:$A$50,JSL!G13))+(COUNTIF(SCEAUX!$A$7:$A$50,JSL!G13))+(COUNTIF('INSTANCE C1'!$A$7:$A$50,JSL!G13))+(COUNTIF('INSTANCE C2'!$A$7:$A$50,JSL!G13))+(COUNTIF(INTERNES!$A$7:$A$50,JSL!G13))+(COUNTIF('EN PANNE'!$A$7:$A$50,JSL!G13))+(COUNTIF(TJM!$A$7:$A$50,JSL!G13))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S13" s="60">
        <f t="shared" si="2"/>
        <v>0</v>
      </c>
      <c r="T13" s="67">
        <f t="shared" si="3"/>
        <v>0</v>
      </c>
    </row>
    <row r="14" spans="1:26" ht="24.95" customHeight="1" x14ac:dyDescent="0.2">
      <c r="A14" s="20"/>
      <c r="B14" s="23">
        <f>(COUNTIF('2S EXPRESS'!$A$7:$A$50,JSL!A14))+(COUNTIF('2 ZT'!$A$7:$A$50,JSL!A14))+(COUNTIF('GO TRANSPORT'!$A$7:$A$50,JSL!A14))+(COUNTIF('HMZ - KAIS'!$A$7:$A$50,JSL!A14))+(COUNTIF('IB TRANSPORT'!$A$7:$A$50,JSL!A14))+(COUNTIF(JSL!$A$7:$A$50,JSL!A14))+(COUNTIF(KIFAITOUT!$A$7:$A$50,JSL!A14))+(COUNTIF('LUXE DRIVE'!$A$7:$A$50,JSL!A14))+(COUNTIF(SSN!$A$7:$A$50,JSL!A14))+(COUNTIF('W3'!$A$7:$A$50,JSL!A14))+(COUNTIF('ATHIS MONS'!$A$7:$A$50,JSL!A14))+(COUNTIF('L HAY LES ROSES'!$A$7:$A$50,JSL!A14))+(COUNTIF(RUNGIS!$A$7:$A$50,JSL!A14))+(COUNTIF(SCEAUX!$A$7:$A$50,JSL!A14))+(COUNTIF('INSTANCE C1'!$A$7:$A$50,JSL!A14))+(COUNTIF('INSTANCE C2'!$A$7:$A$50,JSL!A14))+(COUNTIF(INTERNES!$A$7:$A$50,JSL!A14))+(COUNTIF('EN PANNE'!$A$7:$A$50,JSL!A14))+(COUNTIF(TJM!$A$7:$A$50,JSL!A14))-C14</f>
        <v>0</v>
      </c>
      <c r="C14" s="23">
        <f>(COUNTIF('2S EXPRESS'!$G$7:$G$50,JSL!A14))+(COUNTIF('2 ZT'!$G$7:$G$50,JSL!A14))+(COUNTIF('GO TRANSPORT'!$G$7:$G$50,JSL!A14))+(COUNTIF(JSL!$G$7:$G$50,JSL!A14))+(COUNTIF('IB TRANSPORT'!$G$7:$G$50,JSL!A14))+(COUNTIF(JSL!$G$7:$G$50,JSL!A14))+(COUNTIF(KIFAITOUT!$G$7:$G$50,JSL!A14))+(COUNTIF('LUXE DRIVE'!$G$7:$G$50,JSL!A14))+(COUNTIF(SSN!$G$7:$G$50,JSL!A14))+(COUNTIF('W3'!$G$7:$G$50,JSL!A14))+(COUNTIF('ATHIS MONS'!$G$7:$G$50,JSL!A14))+(COUNTIF('L HAY LES ROSES'!$G$7:$G$50,JSL!A14))+(COUNTIF(RUNGIS!$G$7:$G$50,JSL!A14))+(COUNTIF(SCEAUX!$G$7:$G$50,JSL!A14))+(COUNTIF('INSTANCE C1'!$G$7:$G$50,JSL!A14))+(COUNTIF('INSTANCE C2'!$G$7:$G$50,JSL!A14))+(COUNTIF(INTERNES!$G$7:$G$50,JSL!A14))+(COUNTIF('EN PANNE'!$G$7:$G$50,JSL!A14))+(COUNTIF(TJM!$G$7:$G$50,JSL!A14))</f>
        <v>0</v>
      </c>
      <c r="D14" s="28">
        <f t="shared" si="0"/>
        <v>0</v>
      </c>
      <c r="E14" s="2"/>
      <c r="F14" s="5">
        <f t="shared" si="1"/>
        <v>0</v>
      </c>
      <c r="G14" s="20"/>
      <c r="H14" s="23">
        <f>(COUNTIF('2S EXPRESS'!$G$7:$G$50,JSL!G14))+(COUNTIF('2 ZT'!$G$7:$G$50,JSL!G14))+(COUNTIF('GO TRANSPORT'!$G$7:$G$50,JSL!G14))+(COUNTIF('HMZ - KAIS'!$G$7:$G$50,JSL!G14))+(COUNTIF('IB TRANSPORT'!$G$7:$G$50,JSL!G14))+(COUNTIF(JSL!$G$7:$G$50,JSL!G14))+(COUNTIF(KIFAITOUT!$G$7:$G$50,JSL!G14))+(COUNTIF('LUXE DRIVE'!$G$7:$G$50,JSL!G14))+(COUNTIF(SSN!$G$7:$G$50,JSL!G14))+(COUNTIF('W3'!$G$7:$G$50,JSL!G14))+(COUNTIF('ATHIS MONS'!$G$7:$G$50,JSL!G14))+(COUNTIF('L HAY LES ROSES'!$G$7:$G$50,JSL!G14))+(COUNTIF(RUNGIS!$G$7:$G$50,JSL!G14))+(COUNTIF(SCEAUX!$G$7:$G$50,JSL!G14))+(COUNTIF('INSTANCE C1'!$G$7:$G$50,JSL!G14))+(COUNTIF('INSTANCE C2'!$G$7:$G$50,JSL!G14))+(COUNTIF(INTERNES!$G$7:$G$50,JSL!G14))+(COUNTIF('EN PANNE'!$G$7:$G$50,JSL!G14))+(COUNTIF(TJM!$G$7:$G$50,JSL!G14))-I14</f>
        <v>0</v>
      </c>
      <c r="I14" s="23">
        <f>(COUNTIF('2S EXPRESS'!$A$7:$A$50,JSL!G14))+(COUNTIF('2 ZT'!$A$7:$A$50,JSL!G14))+(COUNTIF('GO TRANSPORT'!$A$7:$A$50,JSL!G14))+(COUNTIF('HMZ - KAIS'!$A$7:$A$50,JSL!G14))+(COUNTIF('IB TRANSPORT'!$A$7:$A$50,JSL!G14))+(COUNTIF(JSL!$A$7:$A$50,JSL!G14))+(COUNTIF(KIFAITOUT!$A$7:$A$50,JSL!G14))+(COUNTIF('LUXE DRIVE'!$A$7:$A$50,JSL!G14))+(COUNTIF(SSN!$A$7:$A$50,JSL!G14))+(COUNTIF('W3'!$A$7:$A$50,JSL!G14))+(COUNTIF('ATHIS MONS'!$A$7:$A$50,JSL!G14))+(COUNTIF('L HAY LES ROSES'!$A$7:$A$50,JSL!G14))+(COUNTIF(RUNGIS!$A$7:$A$50,JSL!G14))+(COUNTIF(SCEAUX!$A$7:$A$50,JSL!G14))+(COUNTIF('INSTANCE C1'!$A$7:$A$50,JSL!G14))+(COUNTIF('INSTANCE C2'!$A$7:$A$50,JSL!G14))+(COUNTIF(INTERNES!$A$7:$A$50,JSL!G14))+(COUNTIF('EN PANNE'!$A$7:$A$50,JSL!G14))+(COUNTIF(TJM!$A$7:$A$50,JSL!G14))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S14" s="60">
        <f t="shared" si="2"/>
        <v>0</v>
      </c>
      <c r="T14" s="67">
        <f t="shared" si="3"/>
        <v>0</v>
      </c>
    </row>
    <row r="15" spans="1:26" ht="24.95" customHeight="1" x14ac:dyDescent="0.2">
      <c r="A15" s="20"/>
      <c r="B15" s="23">
        <f>(COUNTIF('2S EXPRESS'!$A$7:$A$50,JSL!A15))+(COUNTIF('2 ZT'!$A$7:$A$50,JSL!A15))+(COUNTIF('GO TRANSPORT'!$A$7:$A$50,JSL!A15))+(COUNTIF('HMZ - KAIS'!$A$7:$A$50,JSL!A15))+(COUNTIF('IB TRANSPORT'!$A$7:$A$50,JSL!A15))+(COUNTIF(JSL!$A$7:$A$50,JSL!A15))+(COUNTIF(KIFAITOUT!$A$7:$A$50,JSL!A15))+(COUNTIF('LUXE DRIVE'!$A$7:$A$50,JSL!A15))+(COUNTIF(SSN!$A$7:$A$50,JSL!A15))+(COUNTIF('W3'!$A$7:$A$50,JSL!A15))+(COUNTIF('ATHIS MONS'!$A$7:$A$50,JSL!A15))+(COUNTIF('L HAY LES ROSES'!$A$7:$A$50,JSL!A15))+(COUNTIF(RUNGIS!$A$7:$A$50,JSL!A15))+(COUNTIF(SCEAUX!$A$7:$A$50,JSL!A15))+(COUNTIF('INSTANCE C1'!$A$7:$A$50,JSL!A15))+(COUNTIF('INSTANCE C2'!$A$7:$A$50,JSL!A15))+(COUNTIF(INTERNES!$A$7:$A$50,JSL!A15))+(COUNTIF('EN PANNE'!$A$7:$A$50,JSL!A15))+(COUNTIF(TJM!$A$7:$A$50,JSL!A15))-C15</f>
        <v>0</v>
      </c>
      <c r="C15" s="23">
        <f>(COUNTIF('2S EXPRESS'!$G$7:$G$50,JSL!A15))+(COUNTIF('2 ZT'!$G$7:$G$50,JSL!A15))+(COUNTIF('GO TRANSPORT'!$G$7:$G$50,JSL!A15))+(COUNTIF(JSL!$G$7:$G$50,JSL!A15))+(COUNTIF('IB TRANSPORT'!$G$7:$G$50,JSL!A15))+(COUNTIF(JSL!$G$7:$G$50,JSL!A15))+(COUNTIF(KIFAITOUT!$G$7:$G$50,JSL!A15))+(COUNTIF('LUXE DRIVE'!$G$7:$G$50,JSL!A15))+(COUNTIF(SSN!$G$7:$G$50,JSL!A15))+(COUNTIF('W3'!$G$7:$G$50,JSL!A15))+(COUNTIF('ATHIS MONS'!$G$7:$G$50,JSL!A15))+(COUNTIF('L HAY LES ROSES'!$G$7:$G$50,JSL!A15))+(COUNTIF(RUNGIS!$G$7:$G$50,JSL!A15))+(COUNTIF(SCEAUX!$G$7:$G$50,JSL!A15))+(COUNTIF('INSTANCE C1'!$G$7:$G$50,JSL!A15))+(COUNTIF('INSTANCE C2'!$G$7:$G$50,JSL!A15))+(COUNTIF(INTERNES!$G$7:$G$50,JSL!A15))+(COUNTIF('EN PANNE'!$G$7:$G$50,JSL!A15))+(COUNTIF(TJM!$G$7:$G$50,JSL!A15))</f>
        <v>0</v>
      </c>
      <c r="D15" s="28">
        <f t="shared" si="0"/>
        <v>0</v>
      </c>
      <c r="E15" s="2"/>
      <c r="F15" s="5">
        <f t="shared" si="1"/>
        <v>0</v>
      </c>
      <c r="G15" s="20"/>
      <c r="H15" s="23">
        <f>(COUNTIF('2S EXPRESS'!$G$7:$G$50,JSL!G15))+(COUNTIF('2 ZT'!$G$7:$G$50,JSL!G15))+(COUNTIF('GO TRANSPORT'!$G$7:$G$50,JSL!G15))+(COUNTIF('HMZ - KAIS'!$G$7:$G$50,JSL!G15))+(COUNTIF('IB TRANSPORT'!$G$7:$G$50,JSL!G15))+(COUNTIF(JSL!$G$7:$G$50,JSL!G15))+(COUNTIF(KIFAITOUT!$G$7:$G$50,JSL!G15))+(COUNTIF('LUXE DRIVE'!$G$7:$G$50,JSL!G15))+(COUNTIF(SSN!$G$7:$G$50,JSL!G15))+(COUNTIF('W3'!$G$7:$G$50,JSL!G15))+(COUNTIF('ATHIS MONS'!$G$7:$G$50,JSL!G15))+(COUNTIF('L HAY LES ROSES'!$G$7:$G$50,JSL!G15))+(COUNTIF(RUNGIS!$G$7:$G$50,JSL!G15))+(COUNTIF(SCEAUX!$G$7:$G$50,JSL!G15))+(COUNTIF('INSTANCE C1'!$G$7:$G$50,JSL!G15))+(COUNTIF('INSTANCE C2'!$G$7:$G$50,JSL!G15))+(COUNTIF(INTERNES!$G$7:$G$50,JSL!G15))+(COUNTIF('EN PANNE'!$G$7:$G$50,JSL!G15))+(COUNTIF(TJM!$G$7:$G$50,JSL!G15))-I15</f>
        <v>0</v>
      </c>
      <c r="I15" s="23">
        <f>(COUNTIF('2S EXPRESS'!$A$7:$A$50,JSL!G15))+(COUNTIF('2 ZT'!$A$7:$A$50,JSL!G15))+(COUNTIF('GO TRANSPORT'!$A$7:$A$50,JSL!G15))+(COUNTIF('HMZ - KAIS'!$A$7:$A$50,JSL!G15))+(COUNTIF('IB TRANSPORT'!$A$7:$A$50,JSL!G15))+(COUNTIF(JSL!$A$7:$A$50,JSL!G15))+(COUNTIF(KIFAITOUT!$A$7:$A$50,JSL!G15))+(COUNTIF('LUXE DRIVE'!$A$7:$A$50,JSL!G15))+(COUNTIF(SSN!$A$7:$A$50,JSL!G15))+(COUNTIF('W3'!$A$7:$A$50,JSL!G15))+(COUNTIF('ATHIS MONS'!$A$7:$A$50,JSL!G15))+(COUNTIF('L HAY LES ROSES'!$A$7:$A$50,JSL!G15))+(COUNTIF(RUNGIS!$A$7:$A$50,JSL!G15))+(COUNTIF(SCEAUX!$A$7:$A$50,JSL!G15))+(COUNTIF('INSTANCE C1'!$A$7:$A$50,JSL!G15))+(COUNTIF('INSTANCE C2'!$A$7:$A$50,JSL!G15))+(COUNTIF(INTERNES!$A$7:$A$50,JSL!G15))+(COUNTIF('EN PANNE'!$A$7:$A$50,JSL!G15))+(COUNTIF(TJM!$A$7:$A$50,JSL!G15))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S15" s="60">
        <f t="shared" si="2"/>
        <v>0</v>
      </c>
      <c r="T15" s="67">
        <f t="shared" si="3"/>
        <v>0</v>
      </c>
    </row>
    <row r="16" spans="1:26" ht="24.95" customHeight="1" x14ac:dyDescent="0.2">
      <c r="A16" s="20"/>
      <c r="B16" s="23">
        <f>(COUNTIF('2S EXPRESS'!$A$7:$A$50,JSL!A16))+(COUNTIF('2 ZT'!$A$7:$A$50,JSL!A16))+(COUNTIF('GO TRANSPORT'!$A$7:$A$50,JSL!A16))+(COUNTIF('HMZ - KAIS'!$A$7:$A$50,JSL!A16))+(COUNTIF('IB TRANSPORT'!$A$7:$A$50,JSL!A16))+(COUNTIF(JSL!$A$7:$A$50,JSL!A16))+(COUNTIF(KIFAITOUT!$A$7:$A$50,JSL!A16))+(COUNTIF('LUXE DRIVE'!$A$7:$A$50,JSL!A16))+(COUNTIF(SSN!$A$7:$A$50,JSL!A16))+(COUNTIF('W3'!$A$7:$A$50,JSL!A16))+(COUNTIF('ATHIS MONS'!$A$7:$A$50,JSL!A16))+(COUNTIF('L HAY LES ROSES'!$A$7:$A$50,JSL!A16))+(COUNTIF(RUNGIS!$A$7:$A$50,JSL!A16))+(COUNTIF(SCEAUX!$A$7:$A$50,JSL!A16))+(COUNTIF('INSTANCE C1'!$A$7:$A$50,JSL!A16))+(COUNTIF('INSTANCE C2'!$A$7:$A$50,JSL!A16))+(COUNTIF(INTERNES!$A$7:$A$50,JSL!A16))+(COUNTIF('EN PANNE'!$A$7:$A$50,JSL!A16))+(COUNTIF(TJM!$A$7:$A$50,JSL!A16))-C16</f>
        <v>0</v>
      </c>
      <c r="C16" s="23">
        <f>(COUNTIF('2S EXPRESS'!$G$7:$G$50,JSL!A16))+(COUNTIF('2 ZT'!$G$7:$G$50,JSL!A16))+(COUNTIF('GO TRANSPORT'!$G$7:$G$50,JSL!A16))+(COUNTIF(JSL!$G$7:$G$50,JSL!A16))+(COUNTIF('IB TRANSPORT'!$G$7:$G$50,JSL!A16))+(COUNTIF(JSL!$G$7:$G$50,JSL!A16))+(COUNTIF(KIFAITOUT!$G$7:$G$50,JSL!A16))+(COUNTIF('LUXE DRIVE'!$G$7:$G$50,JSL!A16))+(COUNTIF(SSN!$G$7:$G$50,JSL!A16))+(COUNTIF('W3'!$G$7:$G$50,JSL!A16))+(COUNTIF('ATHIS MONS'!$G$7:$G$50,JSL!A16))+(COUNTIF('L HAY LES ROSES'!$G$7:$G$50,JSL!A16))+(COUNTIF(RUNGIS!$G$7:$G$50,JSL!A16))+(COUNTIF(SCEAUX!$G$7:$G$50,JSL!A16))+(COUNTIF('INSTANCE C1'!$G$7:$G$50,JSL!A16))+(COUNTIF('INSTANCE C2'!$G$7:$G$50,JSL!A16))+(COUNTIF(INTERNES!$G$7:$G$50,JSL!A16))+(COUNTIF('EN PANNE'!$G$7:$G$50,JSL!A16))+(COUNTIF(TJM!$G$7:$G$50,JSL!A16))</f>
        <v>0</v>
      </c>
      <c r="D16" s="28">
        <f t="shared" si="0"/>
        <v>0</v>
      </c>
      <c r="E16" s="2"/>
      <c r="F16" s="5">
        <f t="shared" si="1"/>
        <v>0</v>
      </c>
      <c r="G16" s="20"/>
      <c r="H16" s="23">
        <f>(COUNTIF('2S EXPRESS'!$G$7:$G$50,JSL!G16))+(COUNTIF('2 ZT'!$G$7:$G$50,JSL!G16))+(COUNTIF('GO TRANSPORT'!$G$7:$G$50,JSL!G16))+(COUNTIF('HMZ - KAIS'!$G$7:$G$50,JSL!G16))+(COUNTIF('IB TRANSPORT'!$G$7:$G$50,JSL!G16))+(COUNTIF(JSL!$G$7:$G$50,JSL!G16))+(COUNTIF(KIFAITOUT!$G$7:$G$50,JSL!G16))+(COUNTIF('LUXE DRIVE'!$G$7:$G$50,JSL!G16))+(COUNTIF(SSN!$G$7:$G$50,JSL!G16))+(COUNTIF('W3'!$G$7:$G$50,JSL!G16))+(COUNTIF('ATHIS MONS'!$G$7:$G$50,JSL!G16))+(COUNTIF('L HAY LES ROSES'!$G$7:$G$50,JSL!G16))+(COUNTIF(RUNGIS!$G$7:$G$50,JSL!G16))+(COUNTIF(SCEAUX!$G$7:$G$50,JSL!G16))+(COUNTIF('INSTANCE C1'!$G$7:$G$50,JSL!G16))+(COUNTIF('INSTANCE C2'!$G$7:$G$50,JSL!G16))+(COUNTIF(INTERNES!$G$7:$G$50,JSL!G16))+(COUNTIF('EN PANNE'!$G$7:$G$50,JSL!G16))+(COUNTIF(TJM!$G$7:$G$50,JSL!G16))-I16</f>
        <v>0</v>
      </c>
      <c r="I16" s="23">
        <f>(COUNTIF('2S EXPRESS'!$A$7:$A$50,JSL!G16))+(COUNTIF('2 ZT'!$A$7:$A$50,JSL!G16))+(COUNTIF('GO TRANSPORT'!$A$7:$A$50,JSL!G16))+(COUNTIF('HMZ - KAIS'!$A$7:$A$50,JSL!G16))+(COUNTIF('IB TRANSPORT'!$A$7:$A$50,JSL!G16))+(COUNTIF(JSL!$A$7:$A$50,JSL!G16))+(COUNTIF(KIFAITOUT!$A$7:$A$50,JSL!G16))+(COUNTIF('LUXE DRIVE'!$A$7:$A$50,JSL!G16))+(COUNTIF(SSN!$A$7:$A$50,JSL!G16))+(COUNTIF('W3'!$A$7:$A$50,JSL!G16))+(COUNTIF('ATHIS MONS'!$A$7:$A$50,JSL!G16))+(COUNTIF('L HAY LES ROSES'!$A$7:$A$50,JSL!G16))+(COUNTIF(RUNGIS!$A$7:$A$50,JSL!G16))+(COUNTIF(SCEAUX!$A$7:$A$50,JSL!G16))+(COUNTIF('INSTANCE C1'!$A$7:$A$50,JSL!G16))+(COUNTIF('INSTANCE C2'!$A$7:$A$50,JSL!G16))+(COUNTIF(INTERNES!$A$7:$A$50,JSL!G16))+(COUNTIF('EN PANNE'!$A$7:$A$50,JSL!G16))+(COUNTIF(TJM!$A$7:$A$50,JSL!G16))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S16" s="60">
        <f t="shared" si="2"/>
        <v>0</v>
      </c>
      <c r="T16" s="67">
        <f t="shared" si="3"/>
        <v>0</v>
      </c>
    </row>
    <row r="17" spans="1:20" ht="24.95" customHeight="1" x14ac:dyDescent="0.2">
      <c r="A17" s="20"/>
      <c r="B17" s="23">
        <f>(COUNTIF('2S EXPRESS'!$A$7:$A$50,JSL!A17))+(COUNTIF('2 ZT'!$A$7:$A$50,JSL!A17))+(COUNTIF('GO TRANSPORT'!$A$7:$A$50,JSL!A17))+(COUNTIF('HMZ - KAIS'!$A$7:$A$50,JSL!A17))+(COUNTIF('IB TRANSPORT'!$A$7:$A$50,JSL!A17))+(COUNTIF(JSL!$A$7:$A$50,JSL!A17))+(COUNTIF(KIFAITOUT!$A$7:$A$50,JSL!A17))+(COUNTIF('LUXE DRIVE'!$A$7:$A$50,JSL!A17))+(COUNTIF(SSN!$A$7:$A$50,JSL!A17))+(COUNTIF('W3'!$A$7:$A$50,JSL!A17))+(COUNTIF('ATHIS MONS'!$A$7:$A$50,JSL!A17))+(COUNTIF('L HAY LES ROSES'!$A$7:$A$50,JSL!A17))+(COUNTIF(RUNGIS!$A$7:$A$50,JSL!A17))+(COUNTIF(SCEAUX!$A$7:$A$50,JSL!A17))+(COUNTIF('INSTANCE C1'!$A$7:$A$50,JSL!A17))+(COUNTIF('INSTANCE C2'!$A$7:$A$50,JSL!A17))+(COUNTIF(INTERNES!$A$7:$A$50,JSL!A17))+(COUNTIF('EN PANNE'!$A$7:$A$50,JSL!A17))+(COUNTIF(TJM!$A$7:$A$50,JSL!A17))-C17</f>
        <v>0</v>
      </c>
      <c r="C17" s="23">
        <f>(COUNTIF('2S EXPRESS'!$G$7:$G$50,JSL!A17))+(COUNTIF('2 ZT'!$G$7:$G$50,JSL!A17))+(COUNTIF('GO TRANSPORT'!$G$7:$G$50,JSL!A17))+(COUNTIF(JSL!$G$7:$G$50,JSL!A17))+(COUNTIF('IB TRANSPORT'!$G$7:$G$50,JSL!A17))+(COUNTIF(JSL!$G$7:$G$50,JSL!A17))+(COUNTIF(KIFAITOUT!$G$7:$G$50,JSL!A17))+(COUNTIF('LUXE DRIVE'!$G$7:$G$50,JSL!A17))+(COUNTIF(SSN!$G$7:$G$50,JSL!A17))+(COUNTIF('W3'!$G$7:$G$50,JSL!A17))+(COUNTIF('ATHIS MONS'!$G$7:$G$50,JSL!A17))+(COUNTIF('L HAY LES ROSES'!$G$7:$G$50,JSL!A17))+(COUNTIF(RUNGIS!$G$7:$G$50,JSL!A17))+(COUNTIF(SCEAUX!$G$7:$G$50,JSL!A17))+(COUNTIF('INSTANCE C1'!$G$7:$G$50,JSL!A17))+(COUNTIF('INSTANCE C2'!$G$7:$G$50,JSL!A17))+(COUNTIF(INTERNES!$G$7:$G$50,JSL!A17))+(COUNTIF('EN PANNE'!$G$7:$G$50,JSL!A17))+(COUNTIF(TJM!$G$7:$G$50,JSL!A17))</f>
        <v>0</v>
      </c>
      <c r="D17" s="28">
        <f t="shared" si="0"/>
        <v>0</v>
      </c>
      <c r="E17" s="2"/>
      <c r="F17" s="5">
        <f t="shared" si="1"/>
        <v>0</v>
      </c>
      <c r="G17" s="20"/>
      <c r="H17" s="23">
        <f>(COUNTIF('2S EXPRESS'!$G$7:$G$50,JSL!G17))+(COUNTIF('2 ZT'!$G$7:$G$50,JSL!G17))+(COUNTIF('GO TRANSPORT'!$G$7:$G$50,JSL!G17))+(COUNTIF('HMZ - KAIS'!$G$7:$G$50,JSL!G17))+(COUNTIF('IB TRANSPORT'!$G$7:$G$50,JSL!G17))+(COUNTIF(JSL!$G$7:$G$50,JSL!G17))+(COUNTIF(KIFAITOUT!$G$7:$G$50,JSL!G17))+(COUNTIF('LUXE DRIVE'!$G$7:$G$50,JSL!G17))+(COUNTIF(SSN!$G$7:$G$50,JSL!G17))+(COUNTIF('W3'!$G$7:$G$50,JSL!G17))+(COUNTIF('ATHIS MONS'!$G$7:$G$50,JSL!G17))+(COUNTIF('L HAY LES ROSES'!$G$7:$G$50,JSL!G17))+(COUNTIF(RUNGIS!$G$7:$G$50,JSL!G17))+(COUNTIF(SCEAUX!$G$7:$G$50,JSL!G17))+(COUNTIF('INSTANCE C1'!$G$7:$G$50,JSL!G17))+(COUNTIF('INSTANCE C2'!$G$7:$G$50,JSL!G17))+(COUNTIF(INTERNES!$G$7:$G$50,JSL!G17))+(COUNTIF('EN PANNE'!$G$7:$G$50,JSL!G17))+(COUNTIF(TJM!$G$7:$G$50,JSL!G17))-I17</f>
        <v>0</v>
      </c>
      <c r="I17" s="23">
        <f>(COUNTIF('2S EXPRESS'!$A$7:$A$50,JSL!G17))+(COUNTIF('2 ZT'!$A$7:$A$50,JSL!G17))+(COUNTIF('GO TRANSPORT'!$A$7:$A$50,JSL!G17))+(COUNTIF('HMZ - KAIS'!$A$7:$A$50,JSL!G17))+(COUNTIF('IB TRANSPORT'!$A$7:$A$50,JSL!G17))+(COUNTIF(JSL!$A$7:$A$50,JSL!G17))+(COUNTIF(KIFAITOUT!$A$7:$A$50,JSL!G17))+(COUNTIF('LUXE DRIVE'!$A$7:$A$50,JSL!G17))+(COUNTIF(SSN!$A$7:$A$50,JSL!G17))+(COUNTIF('W3'!$A$7:$A$50,JSL!G17))+(COUNTIF('ATHIS MONS'!$A$7:$A$50,JSL!G17))+(COUNTIF('L HAY LES ROSES'!$A$7:$A$50,JSL!G17))+(COUNTIF(RUNGIS!$A$7:$A$50,JSL!G17))+(COUNTIF(SCEAUX!$A$7:$A$50,JSL!G17))+(COUNTIF('INSTANCE C1'!$A$7:$A$50,JSL!G17))+(COUNTIF('INSTANCE C2'!$A$7:$A$50,JSL!G17))+(COUNTIF(INTERNES!$A$7:$A$50,JSL!G17))+(COUNTIF('EN PANNE'!$A$7:$A$50,JSL!G17))+(COUNTIF(TJM!$A$7:$A$50,JSL!G17))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S17" s="60">
        <f t="shared" si="2"/>
        <v>0</v>
      </c>
      <c r="T17" s="67">
        <f t="shared" si="3"/>
        <v>0</v>
      </c>
    </row>
    <row r="18" spans="1:20" ht="24.95" customHeight="1" x14ac:dyDescent="0.2">
      <c r="A18" s="20"/>
      <c r="B18" s="23">
        <f>(COUNTIF('2S EXPRESS'!$A$7:$A$50,JSL!A18))+(COUNTIF('2 ZT'!$A$7:$A$50,JSL!A18))+(COUNTIF('GO TRANSPORT'!$A$7:$A$50,JSL!A18))+(COUNTIF('HMZ - KAIS'!$A$7:$A$50,JSL!A18))+(COUNTIF('IB TRANSPORT'!$A$7:$A$50,JSL!A18))+(COUNTIF(JSL!$A$7:$A$50,JSL!A18))+(COUNTIF(KIFAITOUT!$A$7:$A$50,JSL!A18))+(COUNTIF('LUXE DRIVE'!$A$7:$A$50,JSL!A18))+(COUNTIF(SSN!$A$7:$A$50,JSL!A18))+(COUNTIF('W3'!$A$7:$A$50,JSL!A18))+(COUNTIF('ATHIS MONS'!$A$7:$A$50,JSL!A18))+(COUNTIF('L HAY LES ROSES'!$A$7:$A$50,JSL!A18))+(COUNTIF(RUNGIS!$A$7:$A$50,JSL!A18))+(COUNTIF(SCEAUX!$A$7:$A$50,JSL!A18))+(COUNTIF('INSTANCE C1'!$A$7:$A$50,JSL!A18))+(COUNTIF('INSTANCE C2'!$A$7:$A$50,JSL!A18))+(COUNTIF(INTERNES!$A$7:$A$50,JSL!A18))+(COUNTIF('EN PANNE'!$A$7:$A$50,JSL!A18))+(COUNTIF(TJM!$A$7:$A$50,JSL!A18))-C18</f>
        <v>0</v>
      </c>
      <c r="C18" s="23">
        <f>(COUNTIF('2S EXPRESS'!$G$7:$G$50,JSL!A18))+(COUNTIF('2 ZT'!$G$7:$G$50,JSL!A18))+(COUNTIF('GO TRANSPORT'!$G$7:$G$50,JSL!A18))+(COUNTIF(JSL!$G$7:$G$50,JSL!A18))+(COUNTIF('IB TRANSPORT'!$G$7:$G$50,JSL!A18))+(COUNTIF(JSL!$G$7:$G$50,JSL!A18))+(COUNTIF(KIFAITOUT!$G$7:$G$50,JSL!A18))+(COUNTIF('LUXE DRIVE'!$G$7:$G$50,JSL!A18))+(COUNTIF(SSN!$G$7:$G$50,JSL!A18))+(COUNTIF('W3'!$G$7:$G$50,JSL!A18))+(COUNTIF('ATHIS MONS'!$G$7:$G$50,JSL!A18))+(COUNTIF('L HAY LES ROSES'!$G$7:$G$50,JSL!A18))+(COUNTIF(RUNGIS!$G$7:$G$50,JSL!A18))+(COUNTIF(SCEAUX!$G$7:$G$50,JSL!A18))+(COUNTIF('INSTANCE C1'!$G$7:$G$50,JSL!A18))+(COUNTIF('INSTANCE C2'!$G$7:$G$50,JSL!A18))+(COUNTIF(INTERNES!$G$7:$G$50,JSL!A18))+(COUNTIF('EN PANNE'!$G$7:$G$50,JSL!A18))+(COUNTIF(TJM!$G$7:$G$50,JSL!A18))</f>
        <v>0</v>
      </c>
      <c r="D18" s="28">
        <f t="shared" si="0"/>
        <v>0</v>
      </c>
      <c r="E18" s="2"/>
      <c r="F18" s="5">
        <f t="shared" si="1"/>
        <v>0</v>
      </c>
      <c r="G18" s="20"/>
      <c r="H18" s="23">
        <f>(COUNTIF('2S EXPRESS'!$G$7:$G$50,JSL!G18))+(COUNTIF('2 ZT'!$G$7:$G$50,JSL!G18))+(COUNTIF('GO TRANSPORT'!$G$7:$G$50,JSL!G18))+(COUNTIF('HMZ - KAIS'!$G$7:$G$50,JSL!G18))+(COUNTIF('IB TRANSPORT'!$G$7:$G$50,JSL!G18))+(COUNTIF(JSL!$G$7:$G$50,JSL!G18))+(COUNTIF(KIFAITOUT!$G$7:$G$50,JSL!G18))+(COUNTIF('LUXE DRIVE'!$G$7:$G$50,JSL!G18))+(COUNTIF(SSN!$G$7:$G$50,JSL!G18))+(COUNTIF('W3'!$G$7:$G$50,JSL!G18))+(COUNTIF('ATHIS MONS'!$G$7:$G$50,JSL!G18))+(COUNTIF('L HAY LES ROSES'!$G$7:$G$50,JSL!G18))+(COUNTIF(RUNGIS!$G$7:$G$50,JSL!G18))+(COUNTIF(SCEAUX!$G$7:$G$50,JSL!G18))+(COUNTIF('INSTANCE C1'!$G$7:$G$50,JSL!G18))+(COUNTIF('INSTANCE C2'!$G$7:$G$50,JSL!G18))+(COUNTIF(INTERNES!$G$7:$G$50,JSL!G18))+(COUNTIF('EN PANNE'!$G$7:$G$50,JSL!G18))+(COUNTIF(TJM!$G$7:$G$50,JSL!G18))-I18</f>
        <v>0</v>
      </c>
      <c r="I18" s="23">
        <f>(COUNTIF('2S EXPRESS'!$A$7:$A$50,JSL!G18))+(COUNTIF('2 ZT'!$A$7:$A$50,JSL!G18))+(COUNTIF('GO TRANSPORT'!$A$7:$A$50,JSL!G18))+(COUNTIF('HMZ - KAIS'!$A$7:$A$50,JSL!G18))+(COUNTIF('IB TRANSPORT'!$A$7:$A$50,JSL!G18))+(COUNTIF(JSL!$A$7:$A$50,JSL!G18))+(COUNTIF(KIFAITOUT!$A$7:$A$50,JSL!G18))+(COUNTIF('LUXE DRIVE'!$A$7:$A$50,JSL!G18))+(COUNTIF(SSN!$A$7:$A$50,JSL!G18))+(COUNTIF('W3'!$A$7:$A$50,JSL!G18))+(COUNTIF('ATHIS MONS'!$A$7:$A$50,JSL!G18))+(COUNTIF('L HAY LES ROSES'!$A$7:$A$50,JSL!G18))+(COUNTIF(RUNGIS!$A$7:$A$50,JSL!G18))+(COUNTIF(SCEAUX!$A$7:$A$50,JSL!G18))+(COUNTIF('INSTANCE C1'!$A$7:$A$50,JSL!G18))+(COUNTIF('INSTANCE C2'!$A$7:$A$50,JSL!G18))+(COUNTIF(INTERNES!$A$7:$A$50,JSL!G18))+(COUNTIF('EN PANNE'!$A$7:$A$50,JSL!G18))+(COUNTIF(TJM!$A$7:$A$50,JSL!G18))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S18" s="60">
        <f t="shared" si="2"/>
        <v>0</v>
      </c>
      <c r="T18" s="67">
        <f t="shared" si="3"/>
        <v>0</v>
      </c>
    </row>
    <row r="19" spans="1:20" ht="24.95" customHeight="1" x14ac:dyDescent="0.2">
      <c r="A19" s="20"/>
      <c r="B19" s="23">
        <f>(COUNTIF('2S EXPRESS'!$A$7:$A$50,JSL!A19))+(COUNTIF('2 ZT'!$A$7:$A$50,JSL!A19))+(COUNTIF('GO TRANSPORT'!$A$7:$A$50,JSL!A19))+(COUNTIF('HMZ - KAIS'!$A$7:$A$50,JSL!A19))+(COUNTIF('IB TRANSPORT'!$A$7:$A$50,JSL!A19))+(COUNTIF(JSL!$A$7:$A$50,JSL!A19))+(COUNTIF(KIFAITOUT!$A$7:$A$50,JSL!A19))+(COUNTIF('LUXE DRIVE'!$A$7:$A$50,JSL!A19))+(COUNTIF(SSN!$A$7:$A$50,JSL!A19))+(COUNTIF('W3'!$A$7:$A$50,JSL!A19))+(COUNTIF('ATHIS MONS'!$A$7:$A$50,JSL!A19))+(COUNTIF('L HAY LES ROSES'!$A$7:$A$50,JSL!A19))+(COUNTIF(RUNGIS!$A$7:$A$50,JSL!A19))+(COUNTIF(SCEAUX!$A$7:$A$50,JSL!A19))+(COUNTIF('INSTANCE C1'!$A$7:$A$50,JSL!A19))+(COUNTIF('INSTANCE C2'!$A$7:$A$50,JSL!A19))+(COUNTIF(INTERNES!$A$7:$A$50,JSL!A19))+(COUNTIF('EN PANNE'!$A$7:$A$50,JSL!A19))+(COUNTIF(TJM!$A$7:$A$50,JSL!A19))-C19</f>
        <v>0</v>
      </c>
      <c r="C19" s="23">
        <f>(COUNTIF('2S EXPRESS'!$G$7:$G$50,JSL!A19))+(COUNTIF('2 ZT'!$G$7:$G$50,JSL!A19))+(COUNTIF('GO TRANSPORT'!$G$7:$G$50,JSL!A19))+(COUNTIF(JSL!$G$7:$G$50,JSL!A19))+(COUNTIF('IB TRANSPORT'!$G$7:$G$50,JSL!A19))+(COUNTIF(JSL!$G$7:$G$50,JSL!A19))+(COUNTIF(KIFAITOUT!$G$7:$G$50,JSL!A19))+(COUNTIF('LUXE DRIVE'!$G$7:$G$50,JSL!A19))+(COUNTIF(SSN!$G$7:$G$50,JSL!A19))+(COUNTIF('W3'!$G$7:$G$50,JSL!A19))+(COUNTIF('ATHIS MONS'!$G$7:$G$50,JSL!A19))+(COUNTIF('L HAY LES ROSES'!$G$7:$G$50,JSL!A19))+(COUNTIF(RUNGIS!$G$7:$G$50,JSL!A19))+(COUNTIF(SCEAUX!$G$7:$G$50,JSL!A19))+(COUNTIF('INSTANCE C1'!$G$7:$G$50,JSL!A19))+(COUNTIF('INSTANCE C2'!$G$7:$G$50,JSL!A19))+(COUNTIF(INTERNES!$G$7:$G$50,JSL!A19))+(COUNTIF('EN PANNE'!$G$7:$G$50,JSL!A19))+(COUNTIF(TJM!$G$7:$G$50,JSL!A19))</f>
        <v>0</v>
      </c>
      <c r="D19" s="28">
        <f t="shared" si="0"/>
        <v>0</v>
      </c>
      <c r="E19" s="2"/>
      <c r="F19" s="5">
        <f t="shared" si="1"/>
        <v>0</v>
      </c>
      <c r="G19" s="20"/>
      <c r="H19" s="23">
        <f>(COUNTIF('2S EXPRESS'!$G$7:$G$50,JSL!G19))+(COUNTIF('2 ZT'!$G$7:$G$50,JSL!G19))+(COUNTIF('GO TRANSPORT'!$G$7:$G$50,JSL!G19))+(COUNTIF('HMZ - KAIS'!$G$7:$G$50,JSL!G19))+(COUNTIF('IB TRANSPORT'!$G$7:$G$50,JSL!G19))+(COUNTIF(JSL!$G$7:$G$50,JSL!G19))+(COUNTIF(KIFAITOUT!$G$7:$G$50,JSL!G19))+(COUNTIF('LUXE DRIVE'!$G$7:$G$50,JSL!G19))+(COUNTIF(SSN!$G$7:$G$50,JSL!G19))+(COUNTIF('W3'!$G$7:$G$50,JSL!G19))+(COUNTIF('ATHIS MONS'!$G$7:$G$50,JSL!G19))+(COUNTIF('L HAY LES ROSES'!$G$7:$G$50,JSL!G19))+(COUNTIF(RUNGIS!$G$7:$G$50,JSL!G19))+(COUNTIF(SCEAUX!$G$7:$G$50,JSL!G19))+(COUNTIF('INSTANCE C1'!$G$7:$G$50,JSL!G19))+(COUNTIF('INSTANCE C2'!$G$7:$G$50,JSL!G19))+(COUNTIF(INTERNES!$G$7:$G$50,JSL!G19))+(COUNTIF('EN PANNE'!$G$7:$G$50,JSL!G19))+(COUNTIF(TJM!$G$7:$G$50,JSL!G19))-I19</f>
        <v>0</v>
      </c>
      <c r="I19" s="23">
        <f>(COUNTIF('2S EXPRESS'!$A$7:$A$50,JSL!G19))+(COUNTIF('2 ZT'!$A$7:$A$50,JSL!G19))+(COUNTIF('GO TRANSPORT'!$A$7:$A$50,JSL!G19))+(COUNTIF('HMZ - KAIS'!$A$7:$A$50,JSL!G19))+(COUNTIF('IB TRANSPORT'!$A$7:$A$50,JSL!G19))+(COUNTIF(JSL!$A$7:$A$50,JSL!G19))+(COUNTIF(KIFAITOUT!$A$7:$A$50,JSL!G19))+(COUNTIF('LUXE DRIVE'!$A$7:$A$50,JSL!G19))+(COUNTIF(SSN!$A$7:$A$50,JSL!G19))+(COUNTIF('W3'!$A$7:$A$50,JSL!G19))+(COUNTIF('ATHIS MONS'!$A$7:$A$50,JSL!G19))+(COUNTIF('L HAY LES ROSES'!$A$7:$A$50,JSL!G19))+(COUNTIF(RUNGIS!$A$7:$A$50,JSL!G19))+(COUNTIF(SCEAUX!$A$7:$A$50,JSL!G19))+(COUNTIF('INSTANCE C1'!$A$7:$A$50,JSL!G19))+(COUNTIF('INSTANCE C2'!$A$7:$A$50,JSL!G19))+(COUNTIF(INTERNES!$A$7:$A$50,JSL!G19))+(COUNTIF('EN PANNE'!$A$7:$A$50,JSL!G19))+(COUNTIF(TJM!$A$7:$A$50,JSL!G19))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S19" s="60">
        <f t="shared" si="2"/>
        <v>0</v>
      </c>
      <c r="T19" s="67">
        <f t="shared" si="3"/>
        <v>0</v>
      </c>
    </row>
    <row r="20" spans="1:20" ht="24.95" customHeight="1" x14ac:dyDescent="0.2">
      <c r="A20" s="20"/>
      <c r="B20" s="23">
        <f>(COUNTIF('2S EXPRESS'!$A$7:$A$50,JSL!A20))+(COUNTIF('2 ZT'!$A$7:$A$50,JSL!A20))+(COUNTIF('GO TRANSPORT'!$A$7:$A$50,JSL!A20))+(COUNTIF('HMZ - KAIS'!$A$7:$A$50,JSL!A20))+(COUNTIF('IB TRANSPORT'!$A$7:$A$50,JSL!A20))+(COUNTIF(JSL!$A$7:$A$50,JSL!A20))+(COUNTIF(KIFAITOUT!$A$7:$A$50,JSL!A20))+(COUNTIF('LUXE DRIVE'!$A$7:$A$50,JSL!A20))+(COUNTIF(SSN!$A$7:$A$50,JSL!A20))+(COUNTIF('W3'!$A$7:$A$50,JSL!A20))+(COUNTIF('ATHIS MONS'!$A$7:$A$50,JSL!A20))+(COUNTIF('L HAY LES ROSES'!$A$7:$A$50,JSL!A20))+(COUNTIF(RUNGIS!$A$7:$A$50,JSL!A20))+(COUNTIF(SCEAUX!$A$7:$A$50,JSL!A20))+(COUNTIF('INSTANCE C1'!$A$7:$A$50,JSL!A20))+(COUNTIF('INSTANCE C2'!$A$7:$A$50,JSL!A20))+(COUNTIF(INTERNES!$A$7:$A$50,JSL!A20))+(COUNTIF('EN PANNE'!$A$7:$A$50,JSL!A20))+(COUNTIF(TJM!$A$7:$A$50,JSL!A20))-C20</f>
        <v>0</v>
      </c>
      <c r="C20" s="23">
        <f>(COUNTIF('2S EXPRESS'!$G$7:$G$50,JSL!A20))+(COUNTIF('2 ZT'!$G$7:$G$50,JSL!A20))+(COUNTIF('GO TRANSPORT'!$G$7:$G$50,JSL!A20))+(COUNTIF(JSL!$G$7:$G$50,JSL!A20))+(COUNTIF('IB TRANSPORT'!$G$7:$G$50,JSL!A20))+(COUNTIF(JSL!$G$7:$G$50,JSL!A20))+(COUNTIF(KIFAITOUT!$G$7:$G$50,JSL!A20))+(COUNTIF('LUXE DRIVE'!$G$7:$G$50,JSL!A20))+(COUNTIF(SSN!$G$7:$G$50,JSL!A20))+(COUNTIF('W3'!$G$7:$G$50,JSL!A20))+(COUNTIF('ATHIS MONS'!$G$7:$G$50,JSL!A20))+(COUNTIF('L HAY LES ROSES'!$G$7:$G$50,JSL!A20))+(COUNTIF(RUNGIS!$G$7:$G$50,JSL!A20))+(COUNTIF(SCEAUX!$G$7:$G$50,JSL!A20))+(COUNTIF('INSTANCE C1'!$G$7:$G$50,JSL!A20))+(COUNTIF('INSTANCE C2'!$G$7:$G$50,JSL!A20))+(COUNTIF(INTERNES!$G$7:$G$50,JSL!A20))+(COUNTIF('EN PANNE'!$G$7:$G$50,JSL!A20))+(COUNTIF(TJM!$G$7:$G$50,JSL!A20))</f>
        <v>0</v>
      </c>
      <c r="D20" s="28">
        <f t="shared" si="0"/>
        <v>0</v>
      </c>
      <c r="E20" s="2"/>
      <c r="F20" s="5">
        <f t="shared" si="1"/>
        <v>0</v>
      </c>
      <c r="G20" s="20"/>
      <c r="H20" s="23">
        <f>(COUNTIF('2S EXPRESS'!$G$7:$G$50,JSL!G20))+(COUNTIF('2 ZT'!$G$7:$G$50,JSL!G20))+(COUNTIF('GO TRANSPORT'!$G$7:$G$50,JSL!G20))+(COUNTIF('HMZ - KAIS'!$G$7:$G$50,JSL!G20))+(COUNTIF('IB TRANSPORT'!$G$7:$G$50,JSL!G20))+(COUNTIF(JSL!$G$7:$G$50,JSL!G20))+(COUNTIF(KIFAITOUT!$G$7:$G$50,JSL!G20))+(COUNTIF('LUXE DRIVE'!$G$7:$G$50,JSL!G20))+(COUNTIF(SSN!$G$7:$G$50,JSL!G20))+(COUNTIF('W3'!$G$7:$G$50,JSL!G20))+(COUNTIF('ATHIS MONS'!$G$7:$G$50,JSL!G20))+(COUNTIF('L HAY LES ROSES'!$G$7:$G$50,JSL!G20))+(COUNTIF(RUNGIS!$G$7:$G$50,JSL!G20))+(COUNTIF(SCEAUX!$G$7:$G$50,JSL!G20))+(COUNTIF('INSTANCE C1'!$G$7:$G$50,JSL!G20))+(COUNTIF('INSTANCE C2'!$G$7:$G$50,JSL!G20))+(COUNTIF(INTERNES!$G$7:$G$50,JSL!G20))+(COUNTIF('EN PANNE'!$G$7:$G$50,JSL!G20))+(COUNTIF(TJM!$G$7:$G$50,JSL!G20))-I20</f>
        <v>0</v>
      </c>
      <c r="I20" s="23">
        <f>(COUNTIF('2S EXPRESS'!$A$7:$A$50,JSL!G20))+(COUNTIF('2 ZT'!$A$7:$A$50,JSL!G20))+(COUNTIF('GO TRANSPORT'!$A$7:$A$50,JSL!G20))+(COUNTIF('HMZ - KAIS'!$A$7:$A$50,JSL!G20))+(COUNTIF('IB TRANSPORT'!$A$7:$A$50,JSL!G20))+(COUNTIF(JSL!$A$7:$A$50,JSL!G20))+(COUNTIF(KIFAITOUT!$A$7:$A$50,JSL!G20))+(COUNTIF('LUXE DRIVE'!$A$7:$A$50,JSL!G20))+(COUNTIF(SSN!$A$7:$A$50,JSL!G20))+(COUNTIF('W3'!$A$7:$A$50,JSL!G20))+(COUNTIF('ATHIS MONS'!$A$7:$A$50,JSL!G20))+(COUNTIF('L HAY LES ROSES'!$A$7:$A$50,JSL!G20))+(COUNTIF(RUNGIS!$A$7:$A$50,JSL!G20))+(COUNTIF(SCEAUX!$A$7:$A$50,JSL!G20))+(COUNTIF('INSTANCE C1'!$A$7:$A$50,JSL!G20))+(COUNTIF('INSTANCE C2'!$A$7:$A$50,JSL!G20))+(COUNTIF(INTERNES!$A$7:$A$50,JSL!G20))+(COUNTIF('EN PANNE'!$A$7:$A$50,JSL!G20))+(COUNTIF(TJM!$A$7:$A$50,JSL!G20))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S20" s="60">
        <f t="shared" si="2"/>
        <v>0</v>
      </c>
      <c r="T20" s="67">
        <f t="shared" si="3"/>
        <v>0</v>
      </c>
    </row>
    <row r="21" spans="1:20" ht="24.95" customHeight="1" x14ac:dyDescent="0.2">
      <c r="A21" s="20"/>
      <c r="B21" s="23">
        <f>(COUNTIF('2S EXPRESS'!$A$7:$A$50,JSL!A21))+(COUNTIF('2 ZT'!$A$7:$A$50,JSL!A21))+(COUNTIF('GO TRANSPORT'!$A$7:$A$50,JSL!A21))+(COUNTIF('HMZ - KAIS'!$A$7:$A$50,JSL!A21))+(COUNTIF('IB TRANSPORT'!$A$7:$A$50,JSL!A21))+(COUNTIF(JSL!$A$7:$A$50,JSL!A21))+(COUNTIF(KIFAITOUT!$A$7:$A$50,JSL!A21))+(COUNTIF('LUXE DRIVE'!$A$7:$A$50,JSL!A21))+(COUNTIF(SSN!$A$7:$A$50,JSL!A21))+(COUNTIF('W3'!$A$7:$A$50,JSL!A21))+(COUNTIF('ATHIS MONS'!$A$7:$A$50,JSL!A21))+(COUNTIF('L HAY LES ROSES'!$A$7:$A$50,JSL!A21))+(COUNTIF(RUNGIS!$A$7:$A$50,JSL!A21))+(COUNTIF(SCEAUX!$A$7:$A$50,JSL!A21))+(COUNTIF('INSTANCE C1'!$A$7:$A$50,JSL!A21))+(COUNTIF('INSTANCE C2'!$A$7:$A$50,JSL!A21))+(COUNTIF(INTERNES!$A$7:$A$50,JSL!A21))+(COUNTIF('EN PANNE'!$A$7:$A$50,JSL!A21))+(COUNTIF(TJM!$A$7:$A$50,JSL!A21))-C21</f>
        <v>0</v>
      </c>
      <c r="C21" s="23">
        <f>(COUNTIF('2S EXPRESS'!$G$7:$G$50,JSL!A21))+(COUNTIF('2 ZT'!$G$7:$G$50,JSL!A21))+(COUNTIF('GO TRANSPORT'!$G$7:$G$50,JSL!A21))+(COUNTIF(JSL!$G$7:$G$50,JSL!A21))+(COUNTIF('IB TRANSPORT'!$G$7:$G$50,JSL!A21))+(COUNTIF(JSL!$G$7:$G$50,JSL!A21))+(COUNTIF(KIFAITOUT!$G$7:$G$50,JSL!A21))+(COUNTIF('LUXE DRIVE'!$G$7:$G$50,JSL!A21))+(COUNTIF(SSN!$G$7:$G$50,JSL!A21))+(COUNTIF('W3'!$G$7:$G$50,JSL!A21))+(COUNTIF('ATHIS MONS'!$G$7:$G$50,JSL!A21))+(COUNTIF('L HAY LES ROSES'!$G$7:$G$50,JSL!A21))+(COUNTIF(RUNGIS!$G$7:$G$50,JSL!A21))+(COUNTIF(SCEAUX!$G$7:$G$50,JSL!A21))+(COUNTIF('INSTANCE C1'!$G$7:$G$50,JSL!A21))+(COUNTIF('INSTANCE C2'!$G$7:$G$50,JSL!A21))+(COUNTIF(INTERNES!$G$7:$G$50,JSL!A21))+(COUNTIF('EN PANNE'!$G$7:$G$50,JSL!A21))+(COUNTIF(TJM!$G$7:$G$50,JSL!A21))</f>
        <v>0</v>
      </c>
      <c r="D21" s="28">
        <f t="shared" si="0"/>
        <v>0</v>
      </c>
      <c r="E21" s="2"/>
      <c r="F21" s="5">
        <f t="shared" si="1"/>
        <v>0</v>
      </c>
      <c r="G21" s="20"/>
      <c r="H21" s="23">
        <f>(COUNTIF('2S EXPRESS'!$G$7:$G$50,JSL!G21))+(COUNTIF('2 ZT'!$G$7:$G$50,JSL!G21))+(COUNTIF('GO TRANSPORT'!$G$7:$G$50,JSL!G21))+(COUNTIF('HMZ - KAIS'!$G$7:$G$50,JSL!G21))+(COUNTIF('IB TRANSPORT'!$G$7:$G$50,JSL!G21))+(COUNTIF(JSL!$G$7:$G$50,JSL!G21))+(COUNTIF(KIFAITOUT!$G$7:$G$50,JSL!G21))+(COUNTIF('LUXE DRIVE'!$G$7:$G$50,JSL!G21))+(COUNTIF(SSN!$G$7:$G$50,JSL!G21))+(COUNTIF('W3'!$G$7:$G$50,JSL!G21))+(COUNTIF('ATHIS MONS'!$G$7:$G$50,JSL!G21))+(COUNTIF('L HAY LES ROSES'!$G$7:$G$50,JSL!G21))+(COUNTIF(RUNGIS!$G$7:$G$50,JSL!G21))+(COUNTIF(SCEAUX!$G$7:$G$50,JSL!G21))+(COUNTIF('INSTANCE C1'!$G$7:$G$50,JSL!G21))+(COUNTIF('INSTANCE C2'!$G$7:$G$50,JSL!G21))+(COUNTIF(INTERNES!$G$7:$G$50,JSL!G21))+(COUNTIF('EN PANNE'!$G$7:$G$50,JSL!G21))+(COUNTIF(TJM!$G$7:$G$50,JSL!G21))-I21</f>
        <v>0</v>
      </c>
      <c r="I21" s="23">
        <f>(COUNTIF('2S EXPRESS'!$A$7:$A$50,JSL!G21))+(COUNTIF('2 ZT'!$A$7:$A$50,JSL!G21))+(COUNTIF('GO TRANSPORT'!$A$7:$A$50,JSL!G21))+(COUNTIF('HMZ - KAIS'!$A$7:$A$50,JSL!G21))+(COUNTIF('IB TRANSPORT'!$A$7:$A$50,JSL!G21))+(COUNTIF(JSL!$A$7:$A$50,JSL!G21))+(COUNTIF(KIFAITOUT!$A$7:$A$50,JSL!G21))+(COUNTIF('LUXE DRIVE'!$A$7:$A$50,JSL!G21))+(COUNTIF(SSN!$A$7:$A$50,JSL!G21))+(COUNTIF('W3'!$A$7:$A$50,JSL!G21))+(COUNTIF('ATHIS MONS'!$A$7:$A$50,JSL!G21))+(COUNTIF('L HAY LES ROSES'!$A$7:$A$50,JSL!G21))+(COUNTIF(RUNGIS!$A$7:$A$50,JSL!G21))+(COUNTIF(SCEAUX!$A$7:$A$50,JSL!G21))+(COUNTIF('INSTANCE C1'!$A$7:$A$50,JSL!G21))+(COUNTIF('INSTANCE C2'!$A$7:$A$50,JSL!G21))+(COUNTIF(INTERNES!$A$7:$A$50,JSL!G21))+(COUNTIF('EN PANNE'!$A$7:$A$50,JSL!G21))+(COUNTIF(TJM!$A$7:$A$50,JSL!G21))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S21" s="60">
        <f t="shared" si="2"/>
        <v>0</v>
      </c>
      <c r="T21" s="67">
        <f t="shared" si="3"/>
        <v>0</v>
      </c>
    </row>
    <row r="22" spans="1:20" ht="24.95" customHeight="1" x14ac:dyDescent="0.2">
      <c r="A22" s="20"/>
      <c r="B22" s="23">
        <f>(COUNTIF('2S EXPRESS'!$A$7:$A$50,JSL!A22))+(COUNTIF('2 ZT'!$A$7:$A$50,JSL!A22))+(COUNTIF('GO TRANSPORT'!$A$7:$A$50,JSL!A22))+(COUNTIF('HMZ - KAIS'!$A$7:$A$50,JSL!A22))+(COUNTIF('IB TRANSPORT'!$A$7:$A$50,JSL!A22))+(COUNTIF(JSL!$A$7:$A$50,JSL!A22))+(COUNTIF(KIFAITOUT!$A$7:$A$50,JSL!A22))+(COUNTIF('LUXE DRIVE'!$A$7:$A$50,JSL!A22))+(COUNTIF(SSN!$A$7:$A$50,JSL!A22))+(COUNTIF('W3'!$A$7:$A$50,JSL!A22))+(COUNTIF('ATHIS MONS'!$A$7:$A$50,JSL!A22))+(COUNTIF('L HAY LES ROSES'!$A$7:$A$50,JSL!A22))+(COUNTIF(RUNGIS!$A$7:$A$50,JSL!A22))+(COUNTIF(SCEAUX!$A$7:$A$50,JSL!A22))+(COUNTIF('INSTANCE C1'!$A$7:$A$50,JSL!A22))+(COUNTIF('INSTANCE C2'!$A$7:$A$50,JSL!A22))+(COUNTIF(INTERNES!$A$7:$A$50,JSL!A22))+(COUNTIF('EN PANNE'!$A$7:$A$50,JSL!A22))+(COUNTIF(TJM!$A$7:$A$50,JSL!A22))-C22</f>
        <v>0</v>
      </c>
      <c r="C22" s="23">
        <f>(COUNTIF('2S EXPRESS'!$G$7:$G$50,JSL!A22))+(COUNTIF('2 ZT'!$G$7:$G$50,JSL!A22))+(COUNTIF('GO TRANSPORT'!$G$7:$G$50,JSL!A22))+(COUNTIF(JSL!$G$7:$G$50,JSL!A22))+(COUNTIF('IB TRANSPORT'!$G$7:$G$50,JSL!A22))+(COUNTIF(JSL!$G$7:$G$50,JSL!A22))+(COUNTIF(KIFAITOUT!$G$7:$G$50,JSL!A22))+(COUNTIF('LUXE DRIVE'!$G$7:$G$50,JSL!A22))+(COUNTIF(SSN!$G$7:$G$50,JSL!A22))+(COUNTIF('W3'!$G$7:$G$50,JSL!A22))+(COUNTIF('ATHIS MONS'!$G$7:$G$50,JSL!A22))+(COUNTIF('L HAY LES ROSES'!$G$7:$G$50,JSL!A22))+(COUNTIF(RUNGIS!$G$7:$G$50,JSL!A22))+(COUNTIF(SCEAUX!$G$7:$G$50,JSL!A22))+(COUNTIF('INSTANCE C1'!$G$7:$G$50,JSL!A22))+(COUNTIF('INSTANCE C2'!$G$7:$G$50,JSL!A22))+(COUNTIF(INTERNES!$G$7:$G$50,JSL!A22))+(COUNTIF('EN PANNE'!$G$7:$G$50,JSL!A22))+(COUNTIF(TJM!$G$7:$G$50,JSL!A22))</f>
        <v>0</v>
      </c>
      <c r="D22" s="28">
        <f t="shared" si="0"/>
        <v>0</v>
      </c>
      <c r="E22" s="2"/>
      <c r="F22" s="5">
        <f t="shared" si="1"/>
        <v>0</v>
      </c>
      <c r="G22" s="20"/>
      <c r="H22" s="23">
        <f>(COUNTIF('2S EXPRESS'!$G$7:$G$50,JSL!G22))+(COUNTIF('2 ZT'!$G$7:$G$50,JSL!G22))+(COUNTIF('GO TRANSPORT'!$G$7:$G$50,JSL!G22))+(COUNTIF('HMZ - KAIS'!$G$7:$G$50,JSL!G22))+(COUNTIF('IB TRANSPORT'!$G$7:$G$50,JSL!G22))+(COUNTIF(JSL!$G$7:$G$50,JSL!G22))+(COUNTIF(KIFAITOUT!$G$7:$G$50,JSL!G22))+(COUNTIF('LUXE DRIVE'!$G$7:$G$50,JSL!G22))+(COUNTIF(SSN!$G$7:$G$50,JSL!G22))+(COUNTIF('W3'!$G$7:$G$50,JSL!G22))+(COUNTIF('ATHIS MONS'!$G$7:$G$50,JSL!G22))+(COUNTIF('L HAY LES ROSES'!$G$7:$G$50,JSL!G22))+(COUNTIF(RUNGIS!$G$7:$G$50,JSL!G22))+(COUNTIF(SCEAUX!$G$7:$G$50,JSL!G22))+(COUNTIF('INSTANCE C1'!$G$7:$G$50,JSL!G22))+(COUNTIF('INSTANCE C2'!$G$7:$G$50,JSL!G22))+(COUNTIF(INTERNES!$G$7:$G$50,JSL!G22))+(COUNTIF('EN PANNE'!$G$7:$G$50,JSL!G22))+(COUNTIF(TJM!$G$7:$G$50,JSL!G22))-I22</f>
        <v>0</v>
      </c>
      <c r="I22" s="23">
        <f>(COUNTIF('2S EXPRESS'!$A$7:$A$50,JSL!G22))+(COUNTIF('2 ZT'!$A$7:$A$50,JSL!G22))+(COUNTIF('GO TRANSPORT'!$A$7:$A$50,JSL!G22))+(COUNTIF('HMZ - KAIS'!$A$7:$A$50,JSL!G22))+(COUNTIF('IB TRANSPORT'!$A$7:$A$50,JSL!G22))+(COUNTIF(JSL!$A$7:$A$50,JSL!G22))+(COUNTIF(KIFAITOUT!$A$7:$A$50,JSL!G22))+(COUNTIF('LUXE DRIVE'!$A$7:$A$50,JSL!G22))+(COUNTIF(SSN!$A$7:$A$50,JSL!G22))+(COUNTIF('W3'!$A$7:$A$50,JSL!G22))+(COUNTIF('ATHIS MONS'!$A$7:$A$50,JSL!G22))+(COUNTIF('L HAY LES ROSES'!$A$7:$A$50,JSL!G22))+(COUNTIF(RUNGIS!$A$7:$A$50,JSL!G22))+(COUNTIF(SCEAUX!$A$7:$A$50,JSL!G22))+(COUNTIF('INSTANCE C1'!$A$7:$A$50,JSL!G22))+(COUNTIF('INSTANCE C2'!$A$7:$A$50,JSL!G22))+(COUNTIF(INTERNES!$A$7:$A$50,JSL!G22))+(COUNTIF('EN PANNE'!$A$7:$A$50,JSL!G22))+(COUNTIF(TJM!$A$7:$A$50,JSL!G22))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S22" s="60">
        <f t="shared" si="2"/>
        <v>0</v>
      </c>
      <c r="T22" s="67">
        <f t="shared" si="3"/>
        <v>0</v>
      </c>
    </row>
    <row r="23" spans="1:20" ht="24.95" customHeight="1" x14ac:dyDescent="0.2">
      <c r="A23" s="20"/>
      <c r="B23" s="23">
        <f>(COUNTIF('2S EXPRESS'!$A$7:$A$50,JSL!A23))+(COUNTIF('2 ZT'!$A$7:$A$50,JSL!A23))+(COUNTIF('GO TRANSPORT'!$A$7:$A$50,JSL!A23))+(COUNTIF('HMZ - KAIS'!$A$7:$A$50,JSL!A23))+(COUNTIF('IB TRANSPORT'!$A$7:$A$50,JSL!A23))+(COUNTIF(JSL!$A$7:$A$50,JSL!A23))+(COUNTIF(KIFAITOUT!$A$7:$A$50,JSL!A23))+(COUNTIF('LUXE DRIVE'!$A$7:$A$50,JSL!A23))+(COUNTIF(SSN!$A$7:$A$50,JSL!A23))+(COUNTIF('W3'!$A$7:$A$50,JSL!A23))+(COUNTIF('ATHIS MONS'!$A$7:$A$50,JSL!A23))+(COUNTIF('L HAY LES ROSES'!$A$7:$A$50,JSL!A23))+(COUNTIF(RUNGIS!$A$7:$A$50,JSL!A23))+(COUNTIF(SCEAUX!$A$7:$A$50,JSL!A23))+(COUNTIF('INSTANCE C1'!$A$7:$A$50,JSL!A23))+(COUNTIF('INSTANCE C2'!$A$7:$A$50,JSL!A23))+(COUNTIF(INTERNES!$A$7:$A$50,JSL!A23))+(COUNTIF('EN PANNE'!$A$7:$A$50,JSL!A23))+(COUNTIF(TJM!$A$7:$A$50,JSL!A23))-C23</f>
        <v>0</v>
      </c>
      <c r="C23" s="23">
        <f>(COUNTIF('2S EXPRESS'!$G$7:$G$50,JSL!A23))+(COUNTIF('2 ZT'!$G$7:$G$50,JSL!A23))+(COUNTIF('GO TRANSPORT'!$G$7:$G$50,JSL!A23))+(COUNTIF(JSL!$G$7:$G$50,JSL!A23))+(COUNTIF('IB TRANSPORT'!$G$7:$G$50,JSL!A23))+(COUNTIF(JSL!$G$7:$G$50,JSL!A23))+(COUNTIF(KIFAITOUT!$G$7:$G$50,JSL!A23))+(COUNTIF('LUXE DRIVE'!$G$7:$G$50,JSL!A23))+(COUNTIF(SSN!$G$7:$G$50,JSL!A23))+(COUNTIF('W3'!$G$7:$G$50,JSL!A23))+(COUNTIF('ATHIS MONS'!$G$7:$G$50,JSL!A23))+(COUNTIF('L HAY LES ROSES'!$G$7:$G$50,JSL!A23))+(COUNTIF(RUNGIS!$G$7:$G$50,JSL!A23))+(COUNTIF(SCEAUX!$G$7:$G$50,JSL!A23))+(COUNTIF('INSTANCE C1'!$G$7:$G$50,JSL!A23))+(COUNTIF('INSTANCE C2'!$G$7:$G$50,JSL!A23))+(COUNTIF(INTERNES!$G$7:$G$50,JSL!A23))+(COUNTIF('EN PANNE'!$G$7:$G$50,JSL!A23))+(COUNTIF(TJM!$G$7:$G$50,JSL!A23))</f>
        <v>0</v>
      </c>
      <c r="D23" s="28">
        <f t="shared" si="0"/>
        <v>0</v>
      </c>
      <c r="E23" s="2"/>
      <c r="F23" s="6">
        <f t="shared" si="1"/>
        <v>0</v>
      </c>
      <c r="G23" s="20"/>
      <c r="H23" s="23">
        <f>(COUNTIF('2S EXPRESS'!$G$7:$G$50,JSL!G23))+(COUNTIF('2 ZT'!$G$7:$G$50,JSL!G23))+(COUNTIF('GO TRANSPORT'!$G$7:$G$50,JSL!G23))+(COUNTIF('HMZ - KAIS'!$G$7:$G$50,JSL!G23))+(COUNTIF('IB TRANSPORT'!$G$7:$G$50,JSL!G23))+(COUNTIF(JSL!$G$7:$G$50,JSL!G23))+(COUNTIF(KIFAITOUT!$G$7:$G$50,JSL!G23))+(COUNTIF('LUXE DRIVE'!$G$7:$G$50,JSL!G23))+(COUNTIF(SSN!$G$7:$G$50,JSL!G23))+(COUNTIF('W3'!$G$7:$G$50,JSL!G23))+(COUNTIF('ATHIS MONS'!$G$7:$G$50,JSL!G23))+(COUNTIF('L HAY LES ROSES'!$G$7:$G$50,JSL!G23))+(COUNTIF(RUNGIS!$G$7:$G$50,JSL!G23))+(COUNTIF(SCEAUX!$G$7:$G$50,JSL!G23))+(COUNTIF('INSTANCE C1'!$G$7:$G$50,JSL!G23))+(COUNTIF('INSTANCE C2'!$G$7:$G$50,JSL!G23))+(COUNTIF(INTERNES!$G$7:$G$50,JSL!G23))+(COUNTIF('EN PANNE'!$G$7:$G$50,JSL!G23))+(COUNTIF(TJM!$G$7:$G$50,JSL!G23))-I23</f>
        <v>0</v>
      </c>
      <c r="I23" s="23">
        <f>(COUNTIF('2S EXPRESS'!$A$7:$A$50,JSL!G23))+(COUNTIF('2 ZT'!$A$7:$A$50,JSL!G23))+(COUNTIF('GO TRANSPORT'!$A$7:$A$50,JSL!G23))+(COUNTIF('HMZ - KAIS'!$A$7:$A$50,JSL!G23))+(COUNTIF('IB TRANSPORT'!$A$7:$A$50,JSL!G23))+(COUNTIF(JSL!$A$7:$A$50,JSL!G23))+(COUNTIF(KIFAITOUT!$A$7:$A$50,JSL!G23))+(COUNTIF('LUXE DRIVE'!$A$7:$A$50,JSL!G23))+(COUNTIF(SSN!$A$7:$A$50,JSL!G23))+(COUNTIF('W3'!$A$7:$A$50,JSL!G23))+(COUNTIF('ATHIS MONS'!$A$7:$A$50,JSL!G23))+(COUNTIF('L HAY LES ROSES'!$A$7:$A$50,JSL!G23))+(COUNTIF(RUNGIS!$A$7:$A$50,JSL!G23))+(COUNTIF(SCEAUX!$A$7:$A$50,JSL!G23))+(COUNTIF('INSTANCE C1'!$A$7:$A$50,JSL!G23))+(COUNTIF('INSTANCE C2'!$A$7:$A$50,JSL!G23))+(COUNTIF(INTERNES!$A$7:$A$50,JSL!G23))+(COUNTIF('EN PANNE'!$A$7:$A$50,JSL!G23))+(COUNTIF(TJM!$A$7:$A$50,JSL!G23))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S23" s="60">
        <f t="shared" si="2"/>
        <v>0</v>
      </c>
      <c r="T23" s="67">
        <f t="shared" si="3"/>
        <v>0</v>
      </c>
    </row>
    <row r="24" spans="1:20" ht="24.95" customHeight="1" x14ac:dyDescent="0.2">
      <c r="A24" s="20"/>
      <c r="B24" s="23">
        <f>(COUNTIF('2S EXPRESS'!$A$7:$A$50,JSL!A24))+(COUNTIF('2 ZT'!$A$7:$A$50,JSL!A24))+(COUNTIF('GO TRANSPORT'!$A$7:$A$50,JSL!A24))+(COUNTIF('HMZ - KAIS'!$A$7:$A$50,JSL!A24))+(COUNTIF('IB TRANSPORT'!$A$7:$A$50,JSL!A24))+(COUNTIF(JSL!$A$7:$A$50,JSL!A24))+(COUNTIF(KIFAITOUT!$A$7:$A$50,JSL!A24))+(COUNTIF('LUXE DRIVE'!$A$7:$A$50,JSL!A24))+(COUNTIF(SSN!$A$7:$A$50,JSL!A24))+(COUNTIF('W3'!$A$7:$A$50,JSL!A24))+(COUNTIF('ATHIS MONS'!$A$7:$A$50,JSL!A24))+(COUNTIF('L HAY LES ROSES'!$A$7:$A$50,JSL!A24))+(COUNTIF(RUNGIS!$A$7:$A$50,JSL!A24))+(COUNTIF(SCEAUX!$A$7:$A$50,JSL!A24))+(COUNTIF('INSTANCE C1'!$A$7:$A$50,JSL!A24))+(COUNTIF('INSTANCE C2'!$A$7:$A$50,JSL!A24))+(COUNTIF(INTERNES!$A$7:$A$50,JSL!A24))+(COUNTIF('EN PANNE'!$A$7:$A$50,JSL!A24))+(COUNTIF(TJM!$A$7:$A$50,JSL!A24))-C24</f>
        <v>0</v>
      </c>
      <c r="C24" s="23">
        <f>(COUNTIF('2S EXPRESS'!$G$7:$G$50,JSL!A24))+(COUNTIF('2 ZT'!$G$7:$G$50,JSL!A24))+(COUNTIF('GO TRANSPORT'!$G$7:$G$50,JSL!A24))+(COUNTIF(JSL!$G$7:$G$50,JSL!A24))+(COUNTIF('IB TRANSPORT'!$G$7:$G$50,JSL!A24))+(COUNTIF(JSL!$G$7:$G$50,JSL!A24))+(COUNTIF(KIFAITOUT!$G$7:$G$50,JSL!A24))+(COUNTIF('LUXE DRIVE'!$G$7:$G$50,JSL!A24))+(COUNTIF(SSN!$G$7:$G$50,JSL!A24))+(COUNTIF('W3'!$G$7:$G$50,JSL!A24))+(COUNTIF('ATHIS MONS'!$G$7:$G$50,JSL!A24))+(COUNTIF('L HAY LES ROSES'!$G$7:$G$50,JSL!A24))+(COUNTIF(RUNGIS!$G$7:$G$50,JSL!A24))+(COUNTIF(SCEAUX!$G$7:$G$50,JSL!A24))+(COUNTIF('INSTANCE C1'!$G$7:$G$50,JSL!A24))+(COUNTIF('INSTANCE C2'!$G$7:$G$50,JSL!A24))+(COUNTIF(INTERNES!$G$7:$G$50,JSL!A24))+(COUNTIF('EN PANNE'!$G$7:$G$50,JSL!A24))+(COUNTIF(TJM!$G$7:$G$50,JSL!A24))</f>
        <v>0</v>
      </c>
      <c r="D24" s="28">
        <f t="shared" si="0"/>
        <v>0</v>
      </c>
      <c r="E24" s="2"/>
      <c r="F24" s="6">
        <f t="shared" si="1"/>
        <v>0</v>
      </c>
      <c r="G24" s="20"/>
      <c r="H24" s="23">
        <f>(COUNTIF('2S EXPRESS'!$G$7:$G$50,JSL!G24))+(COUNTIF('2 ZT'!$G$7:$G$50,JSL!G24))+(COUNTIF('GO TRANSPORT'!$G$7:$G$50,JSL!G24))+(COUNTIF('HMZ - KAIS'!$G$7:$G$50,JSL!G24))+(COUNTIF('IB TRANSPORT'!$G$7:$G$50,JSL!G24))+(COUNTIF(JSL!$G$7:$G$50,JSL!G24))+(COUNTIF(KIFAITOUT!$G$7:$G$50,JSL!G24))+(COUNTIF('LUXE DRIVE'!$G$7:$G$50,JSL!G24))+(COUNTIF(SSN!$G$7:$G$50,JSL!G24))+(COUNTIF('W3'!$G$7:$G$50,JSL!G24))+(COUNTIF('ATHIS MONS'!$G$7:$G$50,JSL!G24))+(COUNTIF('L HAY LES ROSES'!$G$7:$G$50,JSL!G24))+(COUNTIF(RUNGIS!$G$7:$G$50,JSL!G24))+(COUNTIF(SCEAUX!$G$7:$G$50,JSL!G24))+(COUNTIF('INSTANCE C1'!$G$7:$G$50,JSL!G24))+(COUNTIF('INSTANCE C2'!$G$7:$G$50,JSL!G24))+(COUNTIF(INTERNES!$G$7:$G$50,JSL!G24))+(COUNTIF('EN PANNE'!$G$7:$G$50,JSL!G24))+(COUNTIF(TJM!$G$7:$G$50,JSL!G24))-I24</f>
        <v>0</v>
      </c>
      <c r="I24" s="23">
        <f>(COUNTIF('2S EXPRESS'!$A$7:$A$50,JSL!G24))+(COUNTIF('2 ZT'!$A$7:$A$50,JSL!G24))+(COUNTIF('GO TRANSPORT'!$A$7:$A$50,JSL!G24))+(COUNTIF('HMZ - KAIS'!$A$7:$A$50,JSL!G24))+(COUNTIF('IB TRANSPORT'!$A$7:$A$50,JSL!G24))+(COUNTIF(JSL!$A$7:$A$50,JSL!G24))+(COUNTIF(KIFAITOUT!$A$7:$A$50,JSL!G24))+(COUNTIF('LUXE DRIVE'!$A$7:$A$50,JSL!G24))+(COUNTIF(SSN!$A$7:$A$50,JSL!G24))+(COUNTIF('W3'!$A$7:$A$50,JSL!G24))+(COUNTIF('ATHIS MONS'!$A$7:$A$50,JSL!G24))+(COUNTIF('L HAY LES ROSES'!$A$7:$A$50,JSL!G24))+(COUNTIF(RUNGIS!$A$7:$A$50,JSL!G24))+(COUNTIF(SCEAUX!$A$7:$A$50,JSL!G24))+(COUNTIF('INSTANCE C1'!$A$7:$A$50,JSL!G24))+(COUNTIF('INSTANCE C2'!$A$7:$A$50,JSL!G24))+(COUNTIF(INTERNES!$A$7:$A$50,JSL!G24))+(COUNTIF('EN PANNE'!$A$7:$A$50,JSL!G24))+(COUNTIF(TJM!$A$7:$A$50,JSL!G24))</f>
        <v>0</v>
      </c>
      <c r="J24" s="28">
        <f t="shared" si="4"/>
        <v>0</v>
      </c>
      <c r="K24" s="2"/>
      <c r="L24" s="47"/>
      <c r="S24" s="60">
        <f t="shared" si="2"/>
        <v>0</v>
      </c>
      <c r="T24" s="67">
        <f t="shared" si="3"/>
        <v>0</v>
      </c>
    </row>
    <row r="25" spans="1:20" ht="24.95" customHeight="1" x14ac:dyDescent="0.2">
      <c r="A25" s="20"/>
      <c r="B25" s="23">
        <f>(COUNTIF('2S EXPRESS'!$A$7:$A$50,JSL!A25))+(COUNTIF('2 ZT'!$A$7:$A$50,JSL!A25))+(COUNTIF('GO TRANSPORT'!$A$7:$A$50,JSL!A25))+(COUNTIF('HMZ - KAIS'!$A$7:$A$50,JSL!A25))+(COUNTIF('IB TRANSPORT'!$A$7:$A$50,JSL!A25))+(COUNTIF(JSL!$A$7:$A$50,JSL!A25))+(COUNTIF(KIFAITOUT!$A$7:$A$50,JSL!A25))+(COUNTIF('LUXE DRIVE'!$A$7:$A$50,JSL!A25))+(COUNTIF(SSN!$A$7:$A$50,JSL!A25))+(COUNTIF('W3'!$A$7:$A$50,JSL!A25))+(COUNTIF('ATHIS MONS'!$A$7:$A$50,JSL!A25))+(COUNTIF('L HAY LES ROSES'!$A$7:$A$50,JSL!A25))+(COUNTIF(RUNGIS!$A$7:$A$50,JSL!A25))+(COUNTIF(SCEAUX!$A$7:$A$50,JSL!A25))+(COUNTIF('INSTANCE C1'!$A$7:$A$50,JSL!A25))+(COUNTIF('INSTANCE C2'!$A$7:$A$50,JSL!A25))+(COUNTIF(INTERNES!$A$7:$A$50,JSL!A25))+(COUNTIF('EN PANNE'!$A$7:$A$50,JSL!A25))+(COUNTIF(TJM!$A$7:$A$50,JSL!A25))-C25</f>
        <v>0</v>
      </c>
      <c r="C25" s="23">
        <f>(COUNTIF('2S EXPRESS'!$G$7:$G$50,JSL!A25))+(COUNTIF('2 ZT'!$G$7:$G$50,JSL!A25))+(COUNTIF('GO TRANSPORT'!$G$7:$G$50,JSL!A25))+(COUNTIF(JSL!$G$7:$G$50,JSL!A25))+(COUNTIF('IB TRANSPORT'!$G$7:$G$50,JSL!A25))+(COUNTIF(JSL!$G$7:$G$50,JSL!A25))+(COUNTIF(KIFAITOUT!$G$7:$G$50,JSL!A25))+(COUNTIF('LUXE DRIVE'!$G$7:$G$50,JSL!A25))+(COUNTIF(SSN!$G$7:$G$50,JSL!A25))+(COUNTIF('W3'!$G$7:$G$50,JSL!A25))+(COUNTIF('ATHIS MONS'!$G$7:$G$50,JSL!A25))+(COUNTIF('L HAY LES ROSES'!$G$7:$G$50,JSL!A25))+(COUNTIF(RUNGIS!$G$7:$G$50,JSL!A25))+(COUNTIF(SCEAUX!$G$7:$G$50,JSL!A25))+(COUNTIF('INSTANCE C1'!$G$7:$G$50,JSL!A25))+(COUNTIF('INSTANCE C2'!$G$7:$G$50,JSL!A25))+(COUNTIF(INTERNES!$G$7:$G$50,JSL!A25))+(COUNTIF('EN PANNE'!$G$7:$G$50,JSL!A25))+(COUNTIF(TJM!$G$7:$G$50,JSL!A25))</f>
        <v>0</v>
      </c>
      <c r="D25" s="28">
        <f t="shared" si="0"/>
        <v>0</v>
      </c>
      <c r="E25" s="2"/>
      <c r="F25" s="6">
        <f t="shared" si="1"/>
        <v>0</v>
      </c>
      <c r="G25" s="20"/>
      <c r="H25" s="23">
        <f>(COUNTIF('2S EXPRESS'!$G$7:$G$50,JSL!G25))+(COUNTIF('2 ZT'!$G$7:$G$50,JSL!G25))+(COUNTIF('GO TRANSPORT'!$G$7:$G$50,JSL!G25))+(COUNTIF('HMZ - KAIS'!$G$7:$G$50,JSL!G25))+(COUNTIF('IB TRANSPORT'!$G$7:$G$50,JSL!G25))+(COUNTIF(JSL!$G$7:$G$50,JSL!G25))+(COUNTIF(KIFAITOUT!$G$7:$G$50,JSL!G25))+(COUNTIF('LUXE DRIVE'!$G$7:$G$50,JSL!G25))+(COUNTIF(SSN!$G$7:$G$50,JSL!G25))+(COUNTIF('W3'!$G$7:$G$50,JSL!G25))+(COUNTIF('ATHIS MONS'!$G$7:$G$50,JSL!G25))+(COUNTIF('L HAY LES ROSES'!$G$7:$G$50,JSL!G25))+(COUNTIF(RUNGIS!$G$7:$G$50,JSL!G25))+(COUNTIF(SCEAUX!$G$7:$G$50,JSL!G25))+(COUNTIF('INSTANCE C1'!$G$7:$G$50,JSL!G25))+(COUNTIF('INSTANCE C2'!$G$7:$G$50,JSL!G25))+(COUNTIF(INTERNES!$G$7:$G$50,JSL!G25))+(COUNTIF('EN PANNE'!$G$7:$G$50,JSL!G25))+(COUNTIF(TJM!$G$7:$G$50,JSL!G25))-I25</f>
        <v>0</v>
      </c>
      <c r="I25" s="23">
        <f>(COUNTIF('2S EXPRESS'!$A$7:$A$50,JSL!G25))+(COUNTIF('2 ZT'!$A$7:$A$50,JSL!G25))+(COUNTIF('GO TRANSPORT'!$A$7:$A$50,JSL!G25))+(COUNTIF('HMZ - KAIS'!$A$7:$A$50,JSL!G25))+(COUNTIF('IB TRANSPORT'!$A$7:$A$50,JSL!G25))+(COUNTIF(JSL!$A$7:$A$50,JSL!G25))+(COUNTIF(KIFAITOUT!$A$7:$A$50,JSL!G25))+(COUNTIF('LUXE DRIVE'!$A$7:$A$50,JSL!G25))+(COUNTIF(SSN!$A$7:$A$50,JSL!G25))+(COUNTIF('W3'!$A$7:$A$50,JSL!G25))+(COUNTIF('ATHIS MONS'!$A$7:$A$50,JSL!G25))+(COUNTIF('L HAY LES ROSES'!$A$7:$A$50,JSL!G25))+(COUNTIF(RUNGIS!$A$7:$A$50,JSL!G25))+(COUNTIF(SCEAUX!$A$7:$A$50,JSL!G25))+(COUNTIF('INSTANCE C1'!$A$7:$A$50,JSL!G25))+(COUNTIF('INSTANCE C2'!$A$7:$A$50,JSL!G25))+(COUNTIF(INTERNES!$A$7:$A$50,JSL!G25))+(COUNTIF('EN PANNE'!$A$7:$A$50,JSL!G25))+(COUNTIF(TJM!$A$7:$A$50,JSL!G25))</f>
        <v>0</v>
      </c>
      <c r="J25" s="28">
        <f t="shared" si="4"/>
        <v>0</v>
      </c>
      <c r="K25" s="2"/>
      <c r="L25" s="47"/>
      <c r="S25" s="60">
        <f t="shared" si="2"/>
        <v>0</v>
      </c>
      <c r="T25" s="67">
        <f t="shared" si="3"/>
        <v>0</v>
      </c>
    </row>
    <row r="26" spans="1:20" ht="24.95" customHeight="1" x14ac:dyDescent="0.2">
      <c r="A26" s="20"/>
      <c r="B26" s="23">
        <f>(COUNTIF('2S EXPRESS'!$A$7:$A$50,JSL!A26))+(COUNTIF('2 ZT'!$A$7:$A$50,JSL!A26))+(COUNTIF('GO TRANSPORT'!$A$7:$A$50,JSL!A26))+(COUNTIF('HMZ - KAIS'!$A$7:$A$50,JSL!A26))+(COUNTIF('IB TRANSPORT'!$A$7:$A$50,JSL!A26))+(COUNTIF(JSL!$A$7:$A$50,JSL!A26))+(COUNTIF(KIFAITOUT!$A$7:$A$50,JSL!A26))+(COUNTIF('LUXE DRIVE'!$A$7:$A$50,JSL!A26))+(COUNTIF(SSN!$A$7:$A$50,JSL!A26))+(COUNTIF('W3'!$A$7:$A$50,JSL!A26))+(COUNTIF('ATHIS MONS'!$A$7:$A$50,JSL!A26))+(COUNTIF('L HAY LES ROSES'!$A$7:$A$50,JSL!A26))+(COUNTIF(RUNGIS!$A$7:$A$50,JSL!A26))+(COUNTIF(SCEAUX!$A$7:$A$50,JSL!A26))+(COUNTIF('INSTANCE C1'!$A$7:$A$50,JSL!A26))+(COUNTIF('INSTANCE C2'!$A$7:$A$50,JSL!A26))+(COUNTIF(INTERNES!$A$7:$A$50,JSL!A26))+(COUNTIF('EN PANNE'!$A$7:$A$50,JSL!A26))+(COUNTIF(TJM!$A$7:$A$50,JSL!A26))-C26</f>
        <v>0</v>
      </c>
      <c r="C26" s="23">
        <f>(COUNTIF('2S EXPRESS'!$G$7:$G$50,JSL!A26))+(COUNTIF('2 ZT'!$G$7:$G$50,JSL!A26))+(COUNTIF('GO TRANSPORT'!$G$7:$G$50,JSL!A26))+(COUNTIF(JSL!$G$7:$G$50,JSL!A26))+(COUNTIF('IB TRANSPORT'!$G$7:$G$50,JSL!A26))+(COUNTIF(JSL!$G$7:$G$50,JSL!A26))+(COUNTIF(KIFAITOUT!$G$7:$G$50,JSL!A26))+(COUNTIF('LUXE DRIVE'!$G$7:$G$50,JSL!A26))+(COUNTIF(SSN!$G$7:$G$50,JSL!A26))+(COUNTIF('W3'!$G$7:$G$50,JSL!A26))+(COUNTIF('ATHIS MONS'!$G$7:$G$50,JSL!A26))+(COUNTIF('L HAY LES ROSES'!$G$7:$G$50,JSL!A26))+(COUNTIF(RUNGIS!$G$7:$G$50,JSL!A26))+(COUNTIF(SCEAUX!$G$7:$G$50,JSL!A26))+(COUNTIF('INSTANCE C1'!$G$7:$G$50,JSL!A26))+(COUNTIF('INSTANCE C2'!$G$7:$G$50,JSL!A26))+(COUNTIF(INTERNES!$G$7:$G$50,JSL!A26))+(COUNTIF('EN PANNE'!$G$7:$G$50,JSL!A26))+(COUNTIF(TJM!$G$7:$G$50,JSL!A26))</f>
        <v>0</v>
      </c>
      <c r="D26" s="28">
        <f t="shared" si="0"/>
        <v>0</v>
      </c>
      <c r="E26" s="2"/>
      <c r="F26" s="6">
        <f t="shared" si="1"/>
        <v>0</v>
      </c>
      <c r="G26" s="20"/>
      <c r="H26" s="23">
        <f>(COUNTIF('2S EXPRESS'!$G$7:$G$50,JSL!G26))+(COUNTIF('2 ZT'!$G$7:$G$50,JSL!G26))+(COUNTIF('GO TRANSPORT'!$G$7:$G$50,JSL!G26))+(COUNTIF('HMZ - KAIS'!$G$7:$G$50,JSL!G26))+(COUNTIF('IB TRANSPORT'!$G$7:$G$50,JSL!G26))+(COUNTIF(JSL!$G$7:$G$50,JSL!G26))+(COUNTIF(KIFAITOUT!$G$7:$G$50,JSL!G26))+(COUNTIF('LUXE DRIVE'!$G$7:$G$50,JSL!G26))+(COUNTIF(SSN!$G$7:$G$50,JSL!G26))+(COUNTIF('W3'!$G$7:$G$50,JSL!G26))+(COUNTIF('ATHIS MONS'!$G$7:$G$50,JSL!G26))+(COUNTIF('L HAY LES ROSES'!$G$7:$G$50,JSL!G26))+(COUNTIF(RUNGIS!$G$7:$G$50,JSL!G26))+(COUNTIF(SCEAUX!$G$7:$G$50,JSL!G26))+(COUNTIF('INSTANCE C1'!$G$7:$G$50,JSL!G26))+(COUNTIF('INSTANCE C2'!$G$7:$G$50,JSL!G26))+(COUNTIF(INTERNES!$G$7:$G$50,JSL!G26))+(COUNTIF('EN PANNE'!$G$7:$G$50,JSL!G26))+(COUNTIF(TJM!$G$7:$G$50,JSL!G26))-I26</f>
        <v>0</v>
      </c>
      <c r="I26" s="23">
        <f>(COUNTIF('2S EXPRESS'!$A$7:$A$50,JSL!G26))+(COUNTIF('2 ZT'!$A$7:$A$50,JSL!G26))+(COUNTIF('GO TRANSPORT'!$A$7:$A$50,JSL!G26))+(COUNTIF('HMZ - KAIS'!$A$7:$A$50,JSL!G26))+(COUNTIF('IB TRANSPORT'!$A$7:$A$50,JSL!G26))+(COUNTIF(JSL!$A$7:$A$50,JSL!G26))+(COUNTIF(KIFAITOUT!$A$7:$A$50,JSL!G26))+(COUNTIF('LUXE DRIVE'!$A$7:$A$50,JSL!G26))+(COUNTIF(SSN!$A$7:$A$50,JSL!G26))+(COUNTIF('W3'!$A$7:$A$50,JSL!G26))+(COUNTIF('ATHIS MONS'!$A$7:$A$50,JSL!G26))+(COUNTIF('L HAY LES ROSES'!$A$7:$A$50,JSL!G26))+(COUNTIF(RUNGIS!$A$7:$A$50,JSL!G26))+(COUNTIF(SCEAUX!$A$7:$A$50,JSL!G26))+(COUNTIF('INSTANCE C1'!$A$7:$A$50,JSL!G26))+(COUNTIF('INSTANCE C2'!$A$7:$A$50,JSL!G26))+(COUNTIF(INTERNES!$A$7:$A$50,JSL!G26))+(COUNTIF('EN PANNE'!$A$7:$A$50,JSL!G26))+(COUNTIF(TJM!$A$7:$A$50,JSL!G26))</f>
        <v>0</v>
      </c>
      <c r="J26" s="28">
        <f t="shared" si="4"/>
        <v>0</v>
      </c>
      <c r="K26" s="2"/>
      <c r="L26" s="47"/>
      <c r="S26" s="60">
        <f t="shared" si="2"/>
        <v>0</v>
      </c>
      <c r="T26" s="67">
        <f t="shared" si="3"/>
        <v>0</v>
      </c>
    </row>
    <row r="27" spans="1:20" ht="24.95" customHeight="1" x14ac:dyDescent="0.2">
      <c r="A27" s="20"/>
      <c r="B27" s="23">
        <f>(COUNTIF('2S EXPRESS'!$A$7:$A$50,JSL!A27))+(COUNTIF('2 ZT'!$A$7:$A$50,JSL!A27))+(COUNTIF('GO TRANSPORT'!$A$7:$A$50,JSL!A27))+(COUNTIF('HMZ - KAIS'!$A$7:$A$50,JSL!A27))+(COUNTIF('IB TRANSPORT'!$A$7:$A$50,JSL!A27))+(COUNTIF(JSL!$A$7:$A$50,JSL!A27))+(COUNTIF(KIFAITOUT!$A$7:$A$50,JSL!A27))+(COUNTIF('LUXE DRIVE'!$A$7:$A$50,JSL!A27))+(COUNTIF(SSN!$A$7:$A$50,JSL!A27))+(COUNTIF('W3'!$A$7:$A$50,JSL!A27))+(COUNTIF('ATHIS MONS'!$A$7:$A$50,JSL!A27))+(COUNTIF('L HAY LES ROSES'!$A$7:$A$50,JSL!A27))+(COUNTIF(RUNGIS!$A$7:$A$50,JSL!A27))+(COUNTIF(SCEAUX!$A$7:$A$50,JSL!A27))+(COUNTIF('INSTANCE C1'!$A$7:$A$50,JSL!A27))+(COUNTIF('INSTANCE C2'!$A$7:$A$50,JSL!A27))+(COUNTIF(INTERNES!$A$7:$A$50,JSL!A27))+(COUNTIF('EN PANNE'!$A$7:$A$50,JSL!A27))+(COUNTIF(TJM!$A$7:$A$50,JSL!A27))-C27</f>
        <v>0</v>
      </c>
      <c r="C27" s="23">
        <f>(COUNTIF('2S EXPRESS'!$G$7:$G$50,JSL!A27))+(COUNTIF('2 ZT'!$G$7:$G$50,JSL!A27))+(COUNTIF('GO TRANSPORT'!$G$7:$G$50,JSL!A27))+(COUNTIF(JSL!$G$7:$G$50,JSL!A27))+(COUNTIF('IB TRANSPORT'!$G$7:$G$50,JSL!A27))+(COUNTIF(JSL!$G$7:$G$50,JSL!A27))+(COUNTIF(KIFAITOUT!$G$7:$G$50,JSL!A27))+(COUNTIF('LUXE DRIVE'!$G$7:$G$50,JSL!A27))+(COUNTIF(SSN!$G$7:$G$50,JSL!A27))+(COUNTIF('W3'!$G$7:$G$50,JSL!A27))+(COUNTIF('ATHIS MONS'!$G$7:$G$50,JSL!A27))+(COUNTIF('L HAY LES ROSES'!$G$7:$G$50,JSL!A27))+(COUNTIF(RUNGIS!$G$7:$G$50,JSL!A27))+(COUNTIF(SCEAUX!$G$7:$G$50,JSL!A27))+(COUNTIF('INSTANCE C1'!$G$7:$G$50,JSL!A27))+(COUNTIF('INSTANCE C2'!$G$7:$G$50,JSL!A27))+(COUNTIF(INTERNES!$G$7:$G$50,JSL!A27))+(COUNTIF('EN PANNE'!$G$7:$G$50,JSL!A27))+(COUNTIF(TJM!$G$7:$G$50,JSL!A27))</f>
        <v>0</v>
      </c>
      <c r="D27" s="28">
        <f t="shared" si="0"/>
        <v>0</v>
      </c>
      <c r="E27" s="2"/>
      <c r="F27" s="6">
        <f t="shared" si="1"/>
        <v>0</v>
      </c>
      <c r="G27" s="20"/>
      <c r="H27" s="23">
        <f>(COUNTIF('2S EXPRESS'!$G$7:$G$50,JSL!G27))+(COUNTIF('2 ZT'!$G$7:$G$50,JSL!G27))+(COUNTIF('GO TRANSPORT'!$G$7:$G$50,JSL!G27))+(COUNTIF('HMZ - KAIS'!$G$7:$G$50,JSL!G27))+(COUNTIF('IB TRANSPORT'!$G$7:$G$50,JSL!G27))+(COUNTIF(JSL!$G$7:$G$50,JSL!G27))+(COUNTIF(KIFAITOUT!$G$7:$G$50,JSL!G27))+(COUNTIF('LUXE DRIVE'!$G$7:$G$50,JSL!G27))+(COUNTIF(SSN!$G$7:$G$50,JSL!G27))+(COUNTIF('W3'!$G$7:$G$50,JSL!G27))+(COUNTIF('ATHIS MONS'!$G$7:$G$50,JSL!G27))+(COUNTIF('L HAY LES ROSES'!$G$7:$G$50,JSL!G27))+(COUNTIF(RUNGIS!$G$7:$G$50,JSL!G27))+(COUNTIF(SCEAUX!$G$7:$G$50,JSL!G27))+(COUNTIF('INSTANCE C1'!$G$7:$G$50,JSL!G27))+(COUNTIF('INSTANCE C2'!$G$7:$G$50,JSL!G27))+(COUNTIF(INTERNES!$G$7:$G$50,JSL!G27))+(COUNTIF('EN PANNE'!$G$7:$G$50,JSL!G27))+(COUNTIF(TJM!$G$7:$G$50,JSL!G27))-I27</f>
        <v>0</v>
      </c>
      <c r="I27" s="23">
        <f>(COUNTIF('2S EXPRESS'!$A$7:$A$50,JSL!G27))+(COUNTIF('2 ZT'!$A$7:$A$50,JSL!G27))+(COUNTIF('GO TRANSPORT'!$A$7:$A$50,JSL!G27))+(COUNTIF('HMZ - KAIS'!$A$7:$A$50,JSL!G27))+(COUNTIF('IB TRANSPORT'!$A$7:$A$50,JSL!G27))+(COUNTIF(JSL!$A$7:$A$50,JSL!G27))+(COUNTIF(KIFAITOUT!$A$7:$A$50,JSL!G27))+(COUNTIF('LUXE DRIVE'!$A$7:$A$50,JSL!G27))+(COUNTIF(SSN!$A$7:$A$50,JSL!G27))+(COUNTIF('W3'!$A$7:$A$50,JSL!G27))+(COUNTIF('ATHIS MONS'!$A$7:$A$50,JSL!G27))+(COUNTIF('L HAY LES ROSES'!$A$7:$A$50,JSL!G27))+(COUNTIF(RUNGIS!$A$7:$A$50,JSL!G27))+(COUNTIF(SCEAUX!$A$7:$A$50,JSL!G27))+(COUNTIF('INSTANCE C1'!$A$7:$A$50,JSL!G27))+(COUNTIF('INSTANCE C2'!$A$7:$A$50,JSL!G27))+(COUNTIF(INTERNES!$A$7:$A$50,JSL!G27))+(COUNTIF('EN PANNE'!$A$7:$A$50,JSL!G27))+(COUNTIF(TJM!$A$7:$A$50,JSL!G27))</f>
        <v>0</v>
      </c>
      <c r="J27" s="28">
        <f t="shared" si="4"/>
        <v>0</v>
      </c>
      <c r="K27" s="2"/>
      <c r="L27" s="47"/>
      <c r="S27" s="60">
        <f t="shared" si="2"/>
        <v>0</v>
      </c>
      <c r="T27" s="67">
        <f t="shared" si="3"/>
        <v>0</v>
      </c>
    </row>
    <row r="28" spans="1:20" ht="24.95" customHeight="1" x14ac:dyDescent="0.2">
      <c r="A28" s="20"/>
      <c r="B28" s="23">
        <f>(COUNTIF('2S EXPRESS'!$A$7:$A$50,JSL!A28))+(COUNTIF('2 ZT'!$A$7:$A$50,JSL!A28))+(COUNTIF('GO TRANSPORT'!$A$7:$A$50,JSL!A28))+(COUNTIF('HMZ - KAIS'!$A$7:$A$50,JSL!A28))+(COUNTIF('IB TRANSPORT'!$A$7:$A$50,JSL!A28))+(COUNTIF(JSL!$A$7:$A$50,JSL!A28))+(COUNTIF(KIFAITOUT!$A$7:$A$50,JSL!A28))+(COUNTIF('LUXE DRIVE'!$A$7:$A$50,JSL!A28))+(COUNTIF(SSN!$A$7:$A$50,JSL!A28))+(COUNTIF('W3'!$A$7:$A$50,JSL!A28))+(COUNTIF('ATHIS MONS'!$A$7:$A$50,JSL!A28))+(COUNTIF('L HAY LES ROSES'!$A$7:$A$50,JSL!A28))+(COUNTIF(RUNGIS!$A$7:$A$50,JSL!A28))+(COUNTIF(SCEAUX!$A$7:$A$50,JSL!A28))+(COUNTIF('INSTANCE C1'!$A$7:$A$50,JSL!A28))+(COUNTIF('INSTANCE C2'!$A$7:$A$50,JSL!A28))+(COUNTIF(INTERNES!$A$7:$A$50,JSL!A28))+(COUNTIF('EN PANNE'!$A$7:$A$50,JSL!A28))+(COUNTIF(TJM!$A$7:$A$50,JSL!A28))-C28</f>
        <v>0</v>
      </c>
      <c r="C28" s="23">
        <f>(COUNTIF('2S EXPRESS'!$G$7:$G$50,JSL!A28))+(COUNTIF('2 ZT'!$G$7:$G$50,JSL!A28))+(COUNTIF('GO TRANSPORT'!$G$7:$G$50,JSL!A28))+(COUNTIF(JSL!$G$7:$G$50,JSL!A28))+(COUNTIF('IB TRANSPORT'!$G$7:$G$50,JSL!A28))+(COUNTIF(JSL!$G$7:$G$50,JSL!A28))+(COUNTIF(KIFAITOUT!$G$7:$G$50,JSL!A28))+(COUNTIF('LUXE DRIVE'!$G$7:$G$50,JSL!A28))+(COUNTIF(SSN!$G$7:$G$50,JSL!A28))+(COUNTIF('W3'!$G$7:$G$50,JSL!A28))+(COUNTIF('ATHIS MONS'!$G$7:$G$50,JSL!A28))+(COUNTIF('L HAY LES ROSES'!$G$7:$G$50,JSL!A28))+(COUNTIF(RUNGIS!$G$7:$G$50,JSL!A28))+(COUNTIF(SCEAUX!$G$7:$G$50,JSL!A28))+(COUNTIF('INSTANCE C1'!$G$7:$G$50,JSL!A28))+(COUNTIF('INSTANCE C2'!$G$7:$G$50,JSL!A28))+(COUNTIF(INTERNES!$G$7:$G$50,JSL!A28))+(COUNTIF('EN PANNE'!$G$7:$G$50,JSL!A28))+(COUNTIF(TJM!$G$7:$G$50,JSL!A28))</f>
        <v>0</v>
      </c>
      <c r="D28" s="28">
        <f t="shared" si="0"/>
        <v>0</v>
      </c>
      <c r="E28" s="2"/>
      <c r="F28" s="6">
        <f t="shared" si="1"/>
        <v>0</v>
      </c>
      <c r="G28" s="20"/>
      <c r="H28" s="23">
        <f>(COUNTIF('2S EXPRESS'!$G$7:$G$50,JSL!G28))+(COUNTIF('2 ZT'!$G$7:$G$50,JSL!G28))+(COUNTIF('GO TRANSPORT'!$G$7:$G$50,JSL!G28))+(COUNTIF('HMZ - KAIS'!$G$7:$G$50,JSL!G28))+(COUNTIF('IB TRANSPORT'!$G$7:$G$50,JSL!G28))+(COUNTIF(JSL!$G$7:$G$50,JSL!G28))+(COUNTIF(KIFAITOUT!$G$7:$G$50,JSL!G28))+(COUNTIF('LUXE DRIVE'!$G$7:$G$50,JSL!G28))+(COUNTIF(SSN!$G$7:$G$50,JSL!G28))+(COUNTIF('W3'!$G$7:$G$50,JSL!G28))+(COUNTIF('ATHIS MONS'!$G$7:$G$50,JSL!G28))+(COUNTIF('L HAY LES ROSES'!$G$7:$G$50,JSL!G28))+(COUNTIF(RUNGIS!$G$7:$G$50,JSL!G28))+(COUNTIF(SCEAUX!$G$7:$G$50,JSL!G28))+(COUNTIF('INSTANCE C1'!$G$7:$G$50,JSL!G28))+(COUNTIF('INSTANCE C2'!$G$7:$G$50,JSL!G28))+(COUNTIF(INTERNES!$G$7:$G$50,JSL!G28))+(COUNTIF('EN PANNE'!$G$7:$G$50,JSL!G28))+(COUNTIF(TJM!$G$7:$G$50,JSL!G28))-I28</f>
        <v>0</v>
      </c>
      <c r="I28" s="23">
        <f>(COUNTIF('2S EXPRESS'!$A$7:$A$50,JSL!G28))+(COUNTIF('2 ZT'!$A$7:$A$50,JSL!G28))+(COUNTIF('GO TRANSPORT'!$A$7:$A$50,JSL!G28))+(COUNTIF('HMZ - KAIS'!$A$7:$A$50,JSL!G28))+(COUNTIF('IB TRANSPORT'!$A$7:$A$50,JSL!G28))+(COUNTIF(JSL!$A$7:$A$50,JSL!G28))+(COUNTIF(KIFAITOUT!$A$7:$A$50,JSL!G28))+(COUNTIF('LUXE DRIVE'!$A$7:$A$50,JSL!G28))+(COUNTIF(SSN!$A$7:$A$50,JSL!G28))+(COUNTIF('W3'!$A$7:$A$50,JSL!G28))+(COUNTIF('ATHIS MONS'!$A$7:$A$50,JSL!G28))+(COUNTIF('L HAY LES ROSES'!$A$7:$A$50,JSL!G28))+(COUNTIF(RUNGIS!$A$7:$A$50,JSL!G28))+(COUNTIF(SCEAUX!$A$7:$A$50,JSL!G28))+(COUNTIF('INSTANCE C1'!$A$7:$A$50,JSL!G28))+(COUNTIF('INSTANCE C2'!$A$7:$A$50,JSL!G28))+(COUNTIF(INTERNES!$A$7:$A$50,JSL!G28))+(COUNTIF('EN PANNE'!$A$7:$A$50,JSL!G28))+(COUNTIF(TJM!$A$7:$A$50,JSL!G28))</f>
        <v>0</v>
      </c>
      <c r="J28" s="28">
        <f t="shared" si="4"/>
        <v>0</v>
      </c>
      <c r="K28" s="2"/>
      <c r="L28" s="47"/>
      <c r="S28" s="60">
        <f t="shared" si="2"/>
        <v>0</v>
      </c>
      <c r="T28" s="67">
        <f t="shared" si="3"/>
        <v>0</v>
      </c>
    </row>
    <row r="29" spans="1:20" ht="24.95" customHeight="1" x14ac:dyDescent="0.2">
      <c r="A29" s="20"/>
      <c r="B29" s="23">
        <f>(COUNTIF('2S EXPRESS'!$A$7:$A$50,JSL!A29))+(COUNTIF('2 ZT'!$A$7:$A$50,JSL!A29))+(COUNTIF('GO TRANSPORT'!$A$7:$A$50,JSL!A29))+(COUNTIF('HMZ - KAIS'!$A$7:$A$50,JSL!A29))+(COUNTIF('IB TRANSPORT'!$A$7:$A$50,JSL!A29))+(COUNTIF(JSL!$A$7:$A$50,JSL!A29))+(COUNTIF(KIFAITOUT!$A$7:$A$50,JSL!A29))+(COUNTIF('LUXE DRIVE'!$A$7:$A$50,JSL!A29))+(COUNTIF(SSN!$A$7:$A$50,JSL!A29))+(COUNTIF('W3'!$A$7:$A$50,JSL!A29))+(COUNTIF('ATHIS MONS'!$A$7:$A$50,JSL!A29))+(COUNTIF('L HAY LES ROSES'!$A$7:$A$50,JSL!A29))+(COUNTIF(RUNGIS!$A$7:$A$50,JSL!A29))+(COUNTIF(SCEAUX!$A$7:$A$50,JSL!A29))+(COUNTIF('INSTANCE C1'!$A$7:$A$50,JSL!A29))+(COUNTIF('INSTANCE C2'!$A$7:$A$50,JSL!A29))+(COUNTIF(INTERNES!$A$7:$A$50,JSL!A29))+(COUNTIF('EN PANNE'!$A$7:$A$50,JSL!A29))+(COUNTIF(TJM!$A$7:$A$50,JSL!A29))-C29</f>
        <v>0</v>
      </c>
      <c r="C29" s="23">
        <f>(COUNTIF('2S EXPRESS'!$G$7:$G$50,JSL!A29))+(COUNTIF('2 ZT'!$G$7:$G$50,JSL!A29))+(COUNTIF('GO TRANSPORT'!$G$7:$G$50,JSL!A29))+(COUNTIF(JSL!$G$7:$G$50,JSL!A29))+(COUNTIF('IB TRANSPORT'!$G$7:$G$50,JSL!A29))+(COUNTIF(JSL!$G$7:$G$50,JSL!A29))+(COUNTIF(KIFAITOUT!$G$7:$G$50,JSL!A29))+(COUNTIF('LUXE DRIVE'!$G$7:$G$50,JSL!A29))+(COUNTIF(SSN!$G$7:$G$50,JSL!A29))+(COUNTIF('W3'!$G$7:$G$50,JSL!A29))+(COUNTIF('ATHIS MONS'!$G$7:$G$50,JSL!A29))+(COUNTIF('L HAY LES ROSES'!$G$7:$G$50,JSL!A29))+(COUNTIF(RUNGIS!$G$7:$G$50,JSL!A29))+(COUNTIF(SCEAUX!$G$7:$G$50,JSL!A29))+(COUNTIF('INSTANCE C1'!$G$7:$G$50,JSL!A29))+(COUNTIF('INSTANCE C2'!$G$7:$G$50,JSL!A29))+(COUNTIF(INTERNES!$G$7:$G$50,JSL!A29))+(COUNTIF('EN PANNE'!$G$7:$G$50,JSL!A29))+(COUNTIF(TJM!$G$7:$G$50,JSL!A29))</f>
        <v>0</v>
      </c>
      <c r="D29" s="28">
        <f t="shared" si="0"/>
        <v>0</v>
      </c>
      <c r="E29" s="2"/>
      <c r="F29" s="6">
        <f t="shared" si="1"/>
        <v>0</v>
      </c>
      <c r="G29" s="20"/>
      <c r="H29" s="23">
        <f>(COUNTIF('2S EXPRESS'!$G$7:$G$50,JSL!G29))+(COUNTIF('2 ZT'!$G$7:$G$50,JSL!G29))+(COUNTIF('GO TRANSPORT'!$G$7:$G$50,JSL!G29))+(COUNTIF('HMZ - KAIS'!$G$7:$G$50,JSL!G29))+(COUNTIF('IB TRANSPORT'!$G$7:$G$50,JSL!G29))+(COUNTIF(JSL!$G$7:$G$50,JSL!G29))+(COUNTIF(KIFAITOUT!$G$7:$G$50,JSL!G29))+(COUNTIF('LUXE DRIVE'!$G$7:$G$50,JSL!G29))+(COUNTIF(SSN!$G$7:$G$50,JSL!G29))+(COUNTIF('W3'!$G$7:$G$50,JSL!G29))+(COUNTIF('ATHIS MONS'!$G$7:$G$50,JSL!G29))+(COUNTIF('L HAY LES ROSES'!$G$7:$G$50,JSL!G29))+(COUNTIF(RUNGIS!$G$7:$G$50,JSL!G29))+(COUNTIF(SCEAUX!$G$7:$G$50,JSL!G29))+(COUNTIF('INSTANCE C1'!$G$7:$G$50,JSL!G29))+(COUNTIF('INSTANCE C2'!$G$7:$G$50,JSL!G29))+(COUNTIF(INTERNES!$G$7:$G$50,JSL!G29))+(COUNTIF('EN PANNE'!$G$7:$G$50,JSL!G29))+(COUNTIF(TJM!$G$7:$G$50,JSL!G29))-I29</f>
        <v>0</v>
      </c>
      <c r="I29" s="23">
        <f>(COUNTIF('2S EXPRESS'!$A$7:$A$50,JSL!G29))+(COUNTIF('2 ZT'!$A$7:$A$50,JSL!G29))+(COUNTIF('GO TRANSPORT'!$A$7:$A$50,JSL!G29))+(COUNTIF('HMZ - KAIS'!$A$7:$A$50,JSL!G29))+(COUNTIF('IB TRANSPORT'!$A$7:$A$50,JSL!G29))+(COUNTIF(JSL!$A$7:$A$50,JSL!G29))+(COUNTIF(KIFAITOUT!$A$7:$A$50,JSL!G29))+(COUNTIF('LUXE DRIVE'!$A$7:$A$50,JSL!G29))+(COUNTIF(SSN!$A$7:$A$50,JSL!G29))+(COUNTIF('W3'!$A$7:$A$50,JSL!G29))+(COUNTIF('ATHIS MONS'!$A$7:$A$50,JSL!G29))+(COUNTIF('L HAY LES ROSES'!$A$7:$A$50,JSL!G29))+(COUNTIF(RUNGIS!$A$7:$A$50,JSL!G29))+(COUNTIF(SCEAUX!$A$7:$A$50,JSL!G29))+(COUNTIF('INSTANCE C1'!$A$7:$A$50,JSL!G29))+(COUNTIF('INSTANCE C2'!$A$7:$A$50,JSL!G29))+(COUNTIF(INTERNES!$A$7:$A$50,JSL!G29))+(COUNTIF('EN PANNE'!$A$7:$A$50,JSL!G29))+(COUNTIF(TJM!$A$7:$A$50,JSL!G29))</f>
        <v>0</v>
      </c>
      <c r="J29" s="28">
        <f t="shared" si="4"/>
        <v>0</v>
      </c>
      <c r="K29" s="2"/>
      <c r="L29" s="47"/>
      <c r="S29" s="60">
        <f t="shared" si="2"/>
        <v>0</v>
      </c>
      <c r="T29" s="67">
        <f t="shared" si="3"/>
        <v>0</v>
      </c>
    </row>
    <row r="30" spans="1:20" ht="24.95" customHeight="1" x14ac:dyDescent="0.2">
      <c r="A30" s="20"/>
      <c r="B30" s="23">
        <f>(COUNTIF('2S EXPRESS'!$A$7:$A$50,JSL!A30))+(COUNTIF('2 ZT'!$A$7:$A$50,JSL!A30))+(COUNTIF('GO TRANSPORT'!$A$7:$A$50,JSL!A30))+(COUNTIF('HMZ - KAIS'!$A$7:$A$50,JSL!A30))+(COUNTIF('IB TRANSPORT'!$A$7:$A$50,JSL!A30))+(COUNTIF(JSL!$A$7:$A$50,JSL!A30))+(COUNTIF(KIFAITOUT!$A$7:$A$50,JSL!A30))+(COUNTIF('LUXE DRIVE'!$A$7:$A$50,JSL!A30))+(COUNTIF(SSN!$A$7:$A$50,JSL!A30))+(COUNTIF('W3'!$A$7:$A$50,JSL!A30))+(COUNTIF('ATHIS MONS'!$A$7:$A$50,JSL!A30))+(COUNTIF('L HAY LES ROSES'!$A$7:$A$50,JSL!A30))+(COUNTIF(RUNGIS!$A$7:$A$50,JSL!A30))+(COUNTIF(SCEAUX!$A$7:$A$50,JSL!A30))+(COUNTIF('INSTANCE C1'!$A$7:$A$50,JSL!A30))+(COUNTIF('INSTANCE C2'!$A$7:$A$50,JSL!A30))+(COUNTIF(INTERNES!$A$7:$A$50,JSL!A30))+(COUNTIF('EN PANNE'!$A$7:$A$50,JSL!A30))+(COUNTIF(TJM!$A$7:$A$50,JSL!A30))-C30</f>
        <v>0</v>
      </c>
      <c r="C30" s="23">
        <f>(COUNTIF('2S EXPRESS'!$G$7:$G$50,JSL!A30))+(COUNTIF('2 ZT'!$G$7:$G$50,JSL!A30))+(COUNTIF('GO TRANSPORT'!$G$7:$G$50,JSL!A30))+(COUNTIF(JSL!$G$7:$G$50,JSL!A30))+(COUNTIF('IB TRANSPORT'!$G$7:$G$50,JSL!A30))+(COUNTIF(JSL!$G$7:$G$50,JSL!A30))+(COUNTIF(KIFAITOUT!$G$7:$G$50,JSL!A30))+(COUNTIF('LUXE DRIVE'!$G$7:$G$50,JSL!A30))+(COUNTIF(SSN!$G$7:$G$50,JSL!A30))+(COUNTIF('W3'!$G$7:$G$50,JSL!A30))+(COUNTIF('ATHIS MONS'!$G$7:$G$50,JSL!A30))+(COUNTIF('L HAY LES ROSES'!$G$7:$G$50,JSL!A30))+(COUNTIF(RUNGIS!$G$7:$G$50,JSL!A30))+(COUNTIF(SCEAUX!$G$7:$G$50,JSL!A30))+(COUNTIF('INSTANCE C1'!$G$7:$G$50,JSL!A30))+(COUNTIF('INSTANCE C2'!$G$7:$G$50,JSL!A30))+(COUNTIF(INTERNES!$G$7:$G$50,JSL!A30))+(COUNTIF('EN PANNE'!$G$7:$G$50,JSL!A30))+(COUNTIF(TJM!$G$7:$G$50,JSL!A30))</f>
        <v>0</v>
      </c>
      <c r="D30" s="28">
        <f t="shared" si="0"/>
        <v>0</v>
      </c>
      <c r="E30" s="2"/>
      <c r="F30" s="6">
        <f t="shared" si="1"/>
        <v>0</v>
      </c>
      <c r="G30" s="20"/>
      <c r="H30" s="23">
        <f>(COUNTIF('2S EXPRESS'!$G$7:$G$50,JSL!G30))+(COUNTIF('2 ZT'!$G$7:$G$50,JSL!G30))+(COUNTIF('GO TRANSPORT'!$G$7:$G$50,JSL!G30))+(COUNTIF('HMZ - KAIS'!$G$7:$G$50,JSL!G30))+(COUNTIF('IB TRANSPORT'!$G$7:$G$50,JSL!G30))+(COUNTIF(JSL!$G$7:$G$50,JSL!G30))+(COUNTIF(KIFAITOUT!$G$7:$G$50,JSL!G30))+(COUNTIF('LUXE DRIVE'!$G$7:$G$50,JSL!G30))+(COUNTIF(SSN!$G$7:$G$50,JSL!G30))+(COUNTIF('W3'!$G$7:$G$50,JSL!G30))+(COUNTIF('ATHIS MONS'!$G$7:$G$50,JSL!G30))+(COUNTIF('L HAY LES ROSES'!$G$7:$G$50,JSL!G30))+(COUNTIF(RUNGIS!$G$7:$G$50,JSL!G30))+(COUNTIF(SCEAUX!$G$7:$G$50,JSL!G30))+(COUNTIF('INSTANCE C1'!$G$7:$G$50,JSL!G30))+(COUNTIF('INSTANCE C2'!$G$7:$G$50,JSL!G30))+(COUNTIF(INTERNES!$G$7:$G$50,JSL!G30))+(COUNTIF('EN PANNE'!$G$7:$G$50,JSL!G30))+(COUNTIF(TJM!$G$7:$G$50,JSL!G30))-I30</f>
        <v>0</v>
      </c>
      <c r="I30" s="23">
        <f>(COUNTIF('2S EXPRESS'!$A$7:$A$50,JSL!G30))+(COUNTIF('2 ZT'!$A$7:$A$50,JSL!G30))+(COUNTIF('GO TRANSPORT'!$A$7:$A$50,JSL!G30))+(COUNTIF('HMZ - KAIS'!$A$7:$A$50,JSL!G30))+(COUNTIF('IB TRANSPORT'!$A$7:$A$50,JSL!G30))+(COUNTIF(JSL!$A$7:$A$50,JSL!G30))+(COUNTIF(KIFAITOUT!$A$7:$A$50,JSL!G30))+(COUNTIF('LUXE DRIVE'!$A$7:$A$50,JSL!G30))+(COUNTIF(SSN!$A$7:$A$50,JSL!G30))+(COUNTIF('W3'!$A$7:$A$50,JSL!G30))+(COUNTIF('ATHIS MONS'!$A$7:$A$50,JSL!G30))+(COUNTIF('L HAY LES ROSES'!$A$7:$A$50,JSL!G30))+(COUNTIF(RUNGIS!$A$7:$A$50,JSL!G30))+(COUNTIF(SCEAUX!$A$7:$A$50,JSL!G30))+(COUNTIF('INSTANCE C1'!$A$7:$A$50,JSL!G30))+(COUNTIF('INSTANCE C2'!$A$7:$A$50,JSL!G30))+(COUNTIF(INTERNES!$A$7:$A$50,JSL!G30))+(COUNTIF('EN PANNE'!$A$7:$A$50,JSL!G30))+(COUNTIF(TJM!$A$7:$A$50,JSL!G30))</f>
        <v>0</v>
      </c>
      <c r="J30" s="28">
        <f t="shared" si="4"/>
        <v>0</v>
      </c>
      <c r="K30" s="2"/>
      <c r="L30" s="47"/>
      <c r="S30" s="60">
        <f t="shared" si="2"/>
        <v>0</v>
      </c>
      <c r="T30" s="67">
        <f t="shared" si="3"/>
        <v>0</v>
      </c>
    </row>
    <row r="31" spans="1:20" ht="24.95" customHeight="1" x14ac:dyDescent="0.2">
      <c r="A31" s="20"/>
      <c r="B31" s="23">
        <f>(COUNTIF('2S EXPRESS'!$A$7:$A$50,JSL!A31))+(COUNTIF('2 ZT'!$A$7:$A$50,JSL!A31))+(COUNTIF('GO TRANSPORT'!$A$7:$A$50,JSL!A31))+(COUNTIF('HMZ - KAIS'!$A$7:$A$50,JSL!A31))+(COUNTIF('IB TRANSPORT'!$A$7:$A$50,JSL!A31))+(COUNTIF(JSL!$A$7:$A$50,JSL!A31))+(COUNTIF(KIFAITOUT!$A$7:$A$50,JSL!A31))+(COUNTIF('LUXE DRIVE'!$A$7:$A$50,JSL!A31))+(COUNTIF(SSN!$A$7:$A$50,JSL!A31))+(COUNTIF('W3'!$A$7:$A$50,JSL!A31))+(COUNTIF('ATHIS MONS'!$A$7:$A$50,JSL!A31))+(COUNTIF('L HAY LES ROSES'!$A$7:$A$50,JSL!A31))+(COUNTIF(RUNGIS!$A$7:$A$50,JSL!A31))+(COUNTIF(SCEAUX!$A$7:$A$50,JSL!A31))+(COUNTIF('INSTANCE C1'!$A$7:$A$50,JSL!A31))+(COUNTIF('INSTANCE C2'!$A$7:$A$50,JSL!A31))+(COUNTIF(INTERNES!$A$7:$A$50,JSL!A31))+(COUNTIF('EN PANNE'!$A$7:$A$50,JSL!A31))+(COUNTIF(TJM!$A$7:$A$50,JSL!A31))-C31</f>
        <v>0</v>
      </c>
      <c r="C31" s="23">
        <f>(COUNTIF('2S EXPRESS'!$G$7:$G$50,JSL!A31))+(COUNTIF('2 ZT'!$G$7:$G$50,JSL!A31))+(COUNTIF('GO TRANSPORT'!$G$7:$G$50,JSL!A31))+(COUNTIF(JSL!$G$7:$G$50,JSL!A31))+(COUNTIF('IB TRANSPORT'!$G$7:$G$50,JSL!A31))+(COUNTIF(JSL!$G$7:$G$50,JSL!A31))+(COUNTIF(KIFAITOUT!$G$7:$G$50,JSL!A31))+(COUNTIF('LUXE DRIVE'!$G$7:$G$50,JSL!A31))+(COUNTIF(SSN!$G$7:$G$50,JSL!A31))+(COUNTIF('W3'!$G$7:$G$50,JSL!A31))+(COUNTIF('ATHIS MONS'!$G$7:$G$50,JSL!A31))+(COUNTIF('L HAY LES ROSES'!$G$7:$G$50,JSL!A31))+(COUNTIF(RUNGIS!$G$7:$G$50,JSL!A31))+(COUNTIF(SCEAUX!$G$7:$G$50,JSL!A31))+(COUNTIF('INSTANCE C1'!$G$7:$G$50,JSL!A31))+(COUNTIF('INSTANCE C2'!$G$7:$G$50,JSL!A31))+(COUNTIF(INTERNES!$G$7:$G$50,JSL!A31))+(COUNTIF('EN PANNE'!$G$7:$G$50,JSL!A31))+(COUNTIF(TJM!$G$7:$G$50,JSL!A31))</f>
        <v>0</v>
      </c>
      <c r="D31" s="28">
        <f t="shared" si="0"/>
        <v>0</v>
      </c>
      <c r="E31" s="2"/>
      <c r="F31" s="6">
        <f t="shared" si="1"/>
        <v>0</v>
      </c>
      <c r="G31" s="20"/>
      <c r="H31" s="23">
        <f>(COUNTIF('2S EXPRESS'!$G$7:$G$50,JSL!G31))+(COUNTIF('2 ZT'!$G$7:$G$50,JSL!G31))+(COUNTIF('GO TRANSPORT'!$G$7:$G$50,JSL!G31))+(COUNTIF('HMZ - KAIS'!$G$7:$G$50,JSL!G31))+(COUNTIF('IB TRANSPORT'!$G$7:$G$50,JSL!G31))+(COUNTIF(JSL!$G$7:$G$50,JSL!G31))+(COUNTIF(KIFAITOUT!$G$7:$G$50,JSL!G31))+(COUNTIF('LUXE DRIVE'!$G$7:$G$50,JSL!G31))+(COUNTIF(SSN!$G$7:$G$50,JSL!G31))+(COUNTIF('W3'!$G$7:$G$50,JSL!G31))+(COUNTIF('ATHIS MONS'!$G$7:$G$50,JSL!G31))+(COUNTIF('L HAY LES ROSES'!$G$7:$G$50,JSL!G31))+(COUNTIF(RUNGIS!$G$7:$G$50,JSL!G31))+(COUNTIF(SCEAUX!$G$7:$G$50,JSL!G31))+(COUNTIF('INSTANCE C1'!$G$7:$G$50,JSL!G31))+(COUNTIF('INSTANCE C2'!$G$7:$G$50,JSL!G31))+(COUNTIF(INTERNES!$G$7:$G$50,JSL!G31))+(COUNTIF('EN PANNE'!$G$7:$G$50,JSL!G31))+(COUNTIF(TJM!$G$7:$G$50,JSL!G31))-I31</f>
        <v>0</v>
      </c>
      <c r="I31" s="23">
        <f>(COUNTIF('2S EXPRESS'!$A$7:$A$50,JSL!G31))+(COUNTIF('2 ZT'!$A$7:$A$50,JSL!G31))+(COUNTIF('GO TRANSPORT'!$A$7:$A$50,JSL!G31))+(COUNTIF('HMZ - KAIS'!$A$7:$A$50,JSL!G31))+(COUNTIF('IB TRANSPORT'!$A$7:$A$50,JSL!G31))+(COUNTIF(JSL!$A$7:$A$50,JSL!G31))+(COUNTIF(KIFAITOUT!$A$7:$A$50,JSL!G31))+(COUNTIF('LUXE DRIVE'!$A$7:$A$50,JSL!G31))+(COUNTIF(SSN!$A$7:$A$50,JSL!G31))+(COUNTIF('W3'!$A$7:$A$50,JSL!G31))+(COUNTIF('ATHIS MONS'!$A$7:$A$50,JSL!G31))+(COUNTIF('L HAY LES ROSES'!$A$7:$A$50,JSL!G31))+(COUNTIF(RUNGIS!$A$7:$A$50,JSL!G31))+(COUNTIF(SCEAUX!$A$7:$A$50,JSL!G31))+(COUNTIF('INSTANCE C1'!$A$7:$A$50,JSL!G31))+(COUNTIF('INSTANCE C2'!$A$7:$A$50,JSL!G31))+(COUNTIF(INTERNES!$A$7:$A$50,JSL!G31))+(COUNTIF('EN PANNE'!$A$7:$A$50,JSL!G31))+(COUNTIF(TJM!$A$7:$A$50,JSL!G31))</f>
        <v>0</v>
      </c>
      <c r="J31" s="28">
        <f t="shared" si="4"/>
        <v>0</v>
      </c>
      <c r="K31" s="2"/>
      <c r="L31" s="47"/>
      <c r="S31" s="60">
        <f t="shared" si="2"/>
        <v>0</v>
      </c>
      <c r="T31" s="67">
        <f t="shared" si="3"/>
        <v>0</v>
      </c>
    </row>
    <row r="32" spans="1:20" ht="24.95" customHeight="1" x14ac:dyDescent="0.2">
      <c r="A32" s="20"/>
      <c r="B32" s="23">
        <f>(COUNTIF('2S EXPRESS'!$A$7:$A$50,JSL!A32))+(COUNTIF('2 ZT'!$A$7:$A$50,JSL!A32))+(COUNTIF('GO TRANSPORT'!$A$7:$A$50,JSL!A32))+(COUNTIF('HMZ - KAIS'!$A$7:$A$50,JSL!A32))+(COUNTIF('IB TRANSPORT'!$A$7:$A$50,JSL!A32))+(COUNTIF(JSL!$A$7:$A$50,JSL!A32))+(COUNTIF(KIFAITOUT!$A$7:$A$50,JSL!A32))+(COUNTIF('LUXE DRIVE'!$A$7:$A$50,JSL!A32))+(COUNTIF(SSN!$A$7:$A$50,JSL!A32))+(COUNTIF('W3'!$A$7:$A$50,JSL!A32))+(COUNTIF('ATHIS MONS'!$A$7:$A$50,JSL!A32))+(COUNTIF('L HAY LES ROSES'!$A$7:$A$50,JSL!A32))+(COUNTIF(RUNGIS!$A$7:$A$50,JSL!A32))+(COUNTIF(SCEAUX!$A$7:$A$50,JSL!A32))+(COUNTIF('INSTANCE C1'!$A$7:$A$50,JSL!A32))+(COUNTIF('INSTANCE C2'!$A$7:$A$50,JSL!A32))+(COUNTIF(INTERNES!$A$7:$A$50,JSL!A32))+(COUNTIF('EN PANNE'!$A$7:$A$50,JSL!A32))+(COUNTIF(TJM!$A$7:$A$50,JSL!A32))-C32</f>
        <v>0</v>
      </c>
      <c r="C32" s="23">
        <f>(COUNTIF('2S EXPRESS'!$G$7:$G$50,JSL!A32))+(COUNTIF('2 ZT'!$G$7:$G$50,JSL!A32))+(COUNTIF('GO TRANSPORT'!$G$7:$G$50,JSL!A32))+(COUNTIF(JSL!$G$7:$G$50,JSL!A32))+(COUNTIF('IB TRANSPORT'!$G$7:$G$50,JSL!A32))+(COUNTIF(JSL!$G$7:$G$50,JSL!A32))+(COUNTIF(KIFAITOUT!$G$7:$G$50,JSL!A32))+(COUNTIF('LUXE DRIVE'!$G$7:$G$50,JSL!A32))+(COUNTIF(SSN!$G$7:$G$50,JSL!A32))+(COUNTIF('W3'!$G$7:$G$50,JSL!A32))+(COUNTIF('ATHIS MONS'!$G$7:$G$50,JSL!A32))+(COUNTIF('L HAY LES ROSES'!$G$7:$G$50,JSL!A32))+(COUNTIF(RUNGIS!$G$7:$G$50,JSL!A32))+(COUNTIF(SCEAUX!$G$7:$G$50,JSL!A32))+(COUNTIF('INSTANCE C1'!$G$7:$G$50,JSL!A32))+(COUNTIF('INSTANCE C2'!$G$7:$G$50,JSL!A32))+(COUNTIF(INTERNES!$G$7:$G$50,JSL!A32))+(COUNTIF('EN PANNE'!$G$7:$G$50,JSL!A32))+(COUNTIF(TJM!$G$7:$G$50,JSL!A32))</f>
        <v>0</v>
      </c>
      <c r="D32" s="28">
        <f t="shared" si="0"/>
        <v>0</v>
      </c>
      <c r="E32" s="2"/>
      <c r="F32" s="6">
        <f t="shared" si="1"/>
        <v>0</v>
      </c>
      <c r="G32" s="20"/>
      <c r="H32" s="23">
        <f>(COUNTIF('2S EXPRESS'!$G$7:$G$50,JSL!G32))+(COUNTIF('2 ZT'!$G$7:$G$50,JSL!G32))+(COUNTIF('GO TRANSPORT'!$G$7:$G$50,JSL!G32))+(COUNTIF('HMZ - KAIS'!$G$7:$G$50,JSL!G32))+(COUNTIF('IB TRANSPORT'!$G$7:$G$50,JSL!G32))+(COUNTIF(JSL!$G$7:$G$50,JSL!G32))+(COUNTIF(KIFAITOUT!$G$7:$G$50,JSL!G32))+(COUNTIF('LUXE DRIVE'!$G$7:$G$50,JSL!G32))+(COUNTIF(SSN!$G$7:$G$50,JSL!G32))+(COUNTIF('W3'!$G$7:$G$50,JSL!G32))+(COUNTIF('ATHIS MONS'!$G$7:$G$50,JSL!G32))+(COUNTIF('L HAY LES ROSES'!$G$7:$G$50,JSL!G32))+(COUNTIF(RUNGIS!$G$7:$G$50,JSL!G32))+(COUNTIF(SCEAUX!$G$7:$G$50,JSL!G32))+(COUNTIF('INSTANCE C1'!$G$7:$G$50,JSL!G32))+(COUNTIF('INSTANCE C2'!$G$7:$G$50,JSL!G32))+(COUNTIF(INTERNES!$G$7:$G$50,JSL!G32))+(COUNTIF('EN PANNE'!$G$7:$G$50,JSL!G32))+(COUNTIF(TJM!$G$7:$G$50,JSL!G32))-I32</f>
        <v>0</v>
      </c>
      <c r="I32" s="23">
        <f>(COUNTIF('2S EXPRESS'!$A$7:$A$50,JSL!G32))+(COUNTIF('2 ZT'!$A$7:$A$50,JSL!G32))+(COUNTIF('GO TRANSPORT'!$A$7:$A$50,JSL!G32))+(COUNTIF('HMZ - KAIS'!$A$7:$A$50,JSL!G32))+(COUNTIF('IB TRANSPORT'!$A$7:$A$50,JSL!G32))+(COUNTIF(JSL!$A$7:$A$50,JSL!G32))+(COUNTIF(KIFAITOUT!$A$7:$A$50,JSL!G32))+(COUNTIF('LUXE DRIVE'!$A$7:$A$50,JSL!G32))+(COUNTIF(SSN!$A$7:$A$50,JSL!G32))+(COUNTIF('W3'!$A$7:$A$50,JSL!G32))+(COUNTIF('ATHIS MONS'!$A$7:$A$50,JSL!G32))+(COUNTIF('L HAY LES ROSES'!$A$7:$A$50,JSL!G32))+(COUNTIF(RUNGIS!$A$7:$A$50,JSL!G32))+(COUNTIF(SCEAUX!$A$7:$A$50,JSL!G32))+(COUNTIF('INSTANCE C1'!$A$7:$A$50,JSL!G32))+(COUNTIF('INSTANCE C2'!$A$7:$A$50,JSL!G32))+(COUNTIF(INTERNES!$A$7:$A$50,JSL!G32))+(COUNTIF('EN PANNE'!$A$7:$A$50,JSL!G32))+(COUNTIF(TJM!$A$7:$A$50,JSL!G32))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S32" s="60">
        <f t="shared" si="2"/>
        <v>0</v>
      </c>
      <c r="T32" s="67">
        <f t="shared" si="3"/>
        <v>0</v>
      </c>
    </row>
    <row r="33" spans="1:20" ht="24.95" customHeight="1" x14ac:dyDescent="0.2">
      <c r="A33" s="20"/>
      <c r="B33" s="23">
        <f>(COUNTIF('2S EXPRESS'!$A$7:$A$50,JSL!A33))+(COUNTIF('2 ZT'!$A$7:$A$50,JSL!A33))+(COUNTIF('GO TRANSPORT'!$A$7:$A$50,JSL!A33))+(COUNTIF('HMZ - KAIS'!$A$7:$A$50,JSL!A33))+(COUNTIF('IB TRANSPORT'!$A$7:$A$50,JSL!A33))+(COUNTIF(JSL!$A$7:$A$50,JSL!A33))+(COUNTIF(KIFAITOUT!$A$7:$A$50,JSL!A33))+(COUNTIF('LUXE DRIVE'!$A$7:$A$50,JSL!A33))+(COUNTIF(SSN!$A$7:$A$50,JSL!A33))+(COUNTIF('W3'!$A$7:$A$50,JSL!A33))+(COUNTIF('ATHIS MONS'!$A$7:$A$50,JSL!A33))+(COUNTIF('L HAY LES ROSES'!$A$7:$A$50,JSL!A33))+(COUNTIF(RUNGIS!$A$7:$A$50,JSL!A33))+(COUNTIF(SCEAUX!$A$7:$A$50,JSL!A33))+(COUNTIF('INSTANCE C1'!$A$7:$A$50,JSL!A33))+(COUNTIF('INSTANCE C2'!$A$7:$A$50,JSL!A33))+(COUNTIF(INTERNES!$A$7:$A$50,JSL!A33))+(COUNTIF('EN PANNE'!$A$7:$A$50,JSL!A33))+(COUNTIF(TJM!$A$7:$A$50,JSL!A33))-C33</f>
        <v>0</v>
      </c>
      <c r="C33" s="23">
        <f>(COUNTIF('2S EXPRESS'!$G$7:$G$50,JSL!A33))+(COUNTIF('2 ZT'!$G$7:$G$50,JSL!A33))+(COUNTIF('GO TRANSPORT'!$G$7:$G$50,JSL!A33))+(COUNTIF(JSL!$G$7:$G$50,JSL!A33))+(COUNTIF('IB TRANSPORT'!$G$7:$G$50,JSL!A33))+(COUNTIF(JSL!$G$7:$G$50,JSL!A33))+(COUNTIF(KIFAITOUT!$G$7:$G$50,JSL!A33))+(COUNTIF('LUXE DRIVE'!$G$7:$G$50,JSL!A33))+(COUNTIF(SSN!$G$7:$G$50,JSL!A33))+(COUNTIF('W3'!$G$7:$G$50,JSL!A33))+(COUNTIF('ATHIS MONS'!$G$7:$G$50,JSL!A33))+(COUNTIF('L HAY LES ROSES'!$G$7:$G$50,JSL!A33))+(COUNTIF(RUNGIS!$G$7:$G$50,JSL!A33))+(COUNTIF(SCEAUX!$G$7:$G$50,JSL!A33))+(COUNTIF('INSTANCE C1'!$G$7:$G$50,JSL!A33))+(COUNTIF('INSTANCE C2'!$G$7:$G$50,JSL!A33))+(COUNTIF(INTERNES!$G$7:$G$50,JSL!A33))+(COUNTIF('EN PANNE'!$G$7:$G$50,JSL!A33))+(COUNTIF(TJM!$G$7:$G$50,JSL!A33))</f>
        <v>0</v>
      </c>
      <c r="D33" s="28">
        <f t="shared" si="0"/>
        <v>0</v>
      </c>
      <c r="E33" s="2"/>
      <c r="F33" s="6">
        <f t="shared" si="1"/>
        <v>0</v>
      </c>
      <c r="G33" s="20"/>
      <c r="H33" s="23">
        <f>(COUNTIF('2S EXPRESS'!$G$7:$G$50,JSL!G33))+(COUNTIF('2 ZT'!$G$7:$G$50,JSL!G33))+(COUNTIF('GO TRANSPORT'!$G$7:$G$50,JSL!G33))+(COUNTIF('HMZ - KAIS'!$G$7:$G$50,JSL!G33))+(COUNTIF('IB TRANSPORT'!$G$7:$G$50,JSL!G33))+(COUNTIF(JSL!$G$7:$G$50,JSL!G33))+(COUNTIF(KIFAITOUT!$G$7:$G$50,JSL!G33))+(COUNTIF('LUXE DRIVE'!$G$7:$G$50,JSL!G33))+(COUNTIF(SSN!$G$7:$G$50,JSL!G33))+(COUNTIF('W3'!$G$7:$G$50,JSL!G33))+(COUNTIF('ATHIS MONS'!$G$7:$G$50,JSL!G33))+(COUNTIF('L HAY LES ROSES'!$G$7:$G$50,JSL!G33))+(COUNTIF(RUNGIS!$G$7:$G$50,JSL!G33))+(COUNTIF(SCEAUX!$G$7:$G$50,JSL!G33))+(COUNTIF('INSTANCE C1'!$G$7:$G$50,JSL!G33))+(COUNTIF('INSTANCE C2'!$G$7:$G$50,JSL!G33))+(COUNTIF(INTERNES!$G$7:$G$50,JSL!G33))+(COUNTIF('EN PANNE'!$G$7:$G$50,JSL!G33))+(COUNTIF(TJM!$G$7:$G$50,JSL!G33))-I33</f>
        <v>0</v>
      </c>
      <c r="I33" s="23">
        <f>(COUNTIF('2S EXPRESS'!$A$7:$A$50,JSL!G33))+(COUNTIF('2 ZT'!$A$7:$A$50,JSL!G33))+(COUNTIF('GO TRANSPORT'!$A$7:$A$50,JSL!G33))+(COUNTIF('HMZ - KAIS'!$A$7:$A$50,JSL!G33))+(COUNTIF('IB TRANSPORT'!$A$7:$A$50,JSL!G33))+(COUNTIF(JSL!$A$7:$A$50,JSL!G33))+(COUNTIF(KIFAITOUT!$A$7:$A$50,JSL!G33))+(COUNTIF('LUXE DRIVE'!$A$7:$A$50,JSL!G33))+(COUNTIF(SSN!$A$7:$A$50,JSL!G33))+(COUNTIF('W3'!$A$7:$A$50,JSL!G33))+(COUNTIF('ATHIS MONS'!$A$7:$A$50,JSL!G33))+(COUNTIF('L HAY LES ROSES'!$A$7:$A$50,JSL!G33))+(COUNTIF(RUNGIS!$A$7:$A$50,JSL!G33))+(COUNTIF(SCEAUX!$A$7:$A$50,JSL!G33))+(COUNTIF('INSTANCE C1'!$A$7:$A$50,JSL!G33))+(COUNTIF('INSTANCE C2'!$A$7:$A$50,JSL!G33))+(COUNTIF(INTERNES!$A$7:$A$50,JSL!G33))+(COUNTIF('EN PANNE'!$A$7:$A$50,JSL!G33))+(COUNTIF(TJM!$A$7:$A$50,JSL!G33))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S33" s="60">
        <f t="shared" si="2"/>
        <v>0</v>
      </c>
      <c r="T33" s="67">
        <f t="shared" si="3"/>
        <v>0</v>
      </c>
    </row>
    <row r="34" spans="1:20" ht="24.95" customHeight="1" x14ac:dyDescent="0.2">
      <c r="A34" s="20"/>
      <c r="B34" s="23">
        <f>(COUNTIF('2S EXPRESS'!$A$7:$A$50,JSL!A34))+(COUNTIF('2 ZT'!$A$7:$A$50,JSL!A34))+(COUNTIF('GO TRANSPORT'!$A$7:$A$50,JSL!A34))+(COUNTIF('HMZ - KAIS'!$A$7:$A$50,JSL!A34))+(COUNTIF('IB TRANSPORT'!$A$7:$A$50,JSL!A34))+(COUNTIF(JSL!$A$7:$A$50,JSL!A34))+(COUNTIF(KIFAITOUT!$A$7:$A$50,JSL!A34))+(COUNTIF('LUXE DRIVE'!$A$7:$A$50,JSL!A34))+(COUNTIF(SSN!$A$7:$A$50,JSL!A34))+(COUNTIF('W3'!$A$7:$A$50,JSL!A34))+(COUNTIF('ATHIS MONS'!$A$7:$A$50,JSL!A34))+(COUNTIF('L HAY LES ROSES'!$A$7:$A$50,JSL!A34))+(COUNTIF(RUNGIS!$A$7:$A$50,JSL!A34))+(COUNTIF(SCEAUX!$A$7:$A$50,JSL!A34))+(COUNTIF('INSTANCE C1'!$A$7:$A$50,JSL!A34))+(COUNTIF('INSTANCE C2'!$A$7:$A$50,JSL!A34))+(COUNTIF(INTERNES!$A$7:$A$50,JSL!A34))+(COUNTIF('EN PANNE'!$A$7:$A$50,JSL!A34))+(COUNTIF(TJM!$A$7:$A$50,JSL!A34))-C34</f>
        <v>0</v>
      </c>
      <c r="C34" s="23">
        <f>(COUNTIF('2S EXPRESS'!$G$7:$G$50,JSL!A34))+(COUNTIF('2 ZT'!$G$7:$G$50,JSL!A34))+(COUNTIF('GO TRANSPORT'!$G$7:$G$50,JSL!A34))+(COUNTIF(JSL!$G$7:$G$50,JSL!A34))+(COUNTIF('IB TRANSPORT'!$G$7:$G$50,JSL!A34))+(COUNTIF(JSL!$G$7:$G$50,JSL!A34))+(COUNTIF(KIFAITOUT!$G$7:$G$50,JSL!A34))+(COUNTIF('LUXE DRIVE'!$G$7:$G$50,JSL!A34))+(COUNTIF(SSN!$G$7:$G$50,JSL!A34))+(COUNTIF('W3'!$G$7:$G$50,JSL!A34))+(COUNTIF('ATHIS MONS'!$G$7:$G$50,JSL!A34))+(COUNTIF('L HAY LES ROSES'!$G$7:$G$50,JSL!A34))+(COUNTIF(RUNGIS!$G$7:$G$50,JSL!A34))+(COUNTIF(SCEAUX!$G$7:$G$50,JSL!A34))+(COUNTIF('INSTANCE C1'!$G$7:$G$50,JSL!A34))+(COUNTIF('INSTANCE C2'!$G$7:$G$50,JSL!A34))+(COUNTIF(INTERNES!$G$7:$G$50,JSL!A34))+(COUNTIF('EN PANNE'!$G$7:$G$50,JSL!A34))+(COUNTIF(TJM!$G$7:$G$50,JSL!A34))</f>
        <v>0</v>
      </c>
      <c r="D34" s="28">
        <f t="shared" si="0"/>
        <v>0</v>
      </c>
      <c r="E34" s="2"/>
      <c r="F34" s="6">
        <f t="shared" si="1"/>
        <v>0</v>
      </c>
      <c r="G34" s="20"/>
      <c r="H34" s="23">
        <f>(COUNTIF('2S EXPRESS'!$G$7:$G$50,JSL!G34))+(COUNTIF('2 ZT'!$G$7:$G$50,JSL!G34))+(COUNTIF('GO TRANSPORT'!$G$7:$G$50,JSL!G34))+(COUNTIF('HMZ - KAIS'!$G$7:$G$50,JSL!G34))+(COUNTIF('IB TRANSPORT'!$G$7:$G$50,JSL!G34))+(COUNTIF(JSL!$G$7:$G$50,JSL!G34))+(COUNTIF(KIFAITOUT!$G$7:$G$50,JSL!G34))+(COUNTIF('LUXE DRIVE'!$G$7:$G$50,JSL!G34))+(COUNTIF(SSN!$G$7:$G$50,JSL!G34))+(COUNTIF('W3'!$G$7:$G$50,JSL!G34))+(COUNTIF('ATHIS MONS'!$G$7:$G$50,JSL!G34))+(COUNTIF('L HAY LES ROSES'!$G$7:$G$50,JSL!G34))+(COUNTIF(RUNGIS!$G$7:$G$50,JSL!G34))+(COUNTIF(SCEAUX!$G$7:$G$50,JSL!G34))+(COUNTIF('INSTANCE C1'!$G$7:$G$50,JSL!G34))+(COUNTIF('INSTANCE C2'!$G$7:$G$50,JSL!G34))+(COUNTIF(INTERNES!$G$7:$G$50,JSL!G34))+(COUNTIF('EN PANNE'!$G$7:$G$50,JSL!G34))+(COUNTIF(TJM!$G$7:$G$50,JSL!G34))-I34</f>
        <v>0</v>
      </c>
      <c r="I34" s="23">
        <f>(COUNTIF('2S EXPRESS'!$A$7:$A$50,JSL!G34))+(COUNTIF('2 ZT'!$A$7:$A$50,JSL!G34))+(COUNTIF('GO TRANSPORT'!$A$7:$A$50,JSL!G34))+(COUNTIF('HMZ - KAIS'!$A$7:$A$50,JSL!G34))+(COUNTIF('IB TRANSPORT'!$A$7:$A$50,JSL!G34))+(COUNTIF(JSL!$A$7:$A$50,JSL!G34))+(COUNTIF(KIFAITOUT!$A$7:$A$50,JSL!G34))+(COUNTIF('LUXE DRIVE'!$A$7:$A$50,JSL!G34))+(COUNTIF(SSN!$A$7:$A$50,JSL!G34))+(COUNTIF('W3'!$A$7:$A$50,JSL!G34))+(COUNTIF('ATHIS MONS'!$A$7:$A$50,JSL!G34))+(COUNTIF('L HAY LES ROSES'!$A$7:$A$50,JSL!G34))+(COUNTIF(RUNGIS!$A$7:$A$50,JSL!G34))+(COUNTIF(SCEAUX!$A$7:$A$50,JSL!G34))+(COUNTIF('INSTANCE C1'!$A$7:$A$50,JSL!G34))+(COUNTIF('INSTANCE C2'!$A$7:$A$50,JSL!G34))+(COUNTIF(INTERNES!$A$7:$A$50,JSL!G34))+(COUNTIF('EN PANNE'!$A$7:$A$50,JSL!G34))+(COUNTIF(TJM!$A$7:$A$50,JSL!G34))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S34" s="60">
        <f t="shared" si="2"/>
        <v>0</v>
      </c>
      <c r="T34" s="67">
        <f t="shared" si="3"/>
        <v>0</v>
      </c>
    </row>
    <row r="35" spans="1:20" ht="24.95" customHeight="1" x14ac:dyDescent="0.2">
      <c r="A35" s="20"/>
      <c r="B35" s="23">
        <f>(COUNTIF('2S EXPRESS'!$A$7:$A$50,JSL!A35))+(COUNTIF('2 ZT'!$A$7:$A$50,JSL!A35))+(COUNTIF('GO TRANSPORT'!$A$7:$A$50,JSL!A35))+(COUNTIF('HMZ - KAIS'!$A$7:$A$50,JSL!A35))+(COUNTIF('IB TRANSPORT'!$A$7:$A$50,JSL!A35))+(COUNTIF(JSL!$A$7:$A$50,JSL!A35))+(COUNTIF(KIFAITOUT!$A$7:$A$50,JSL!A35))+(COUNTIF('LUXE DRIVE'!$A$7:$A$50,JSL!A35))+(COUNTIF(SSN!$A$7:$A$50,JSL!A35))+(COUNTIF('W3'!$A$7:$A$50,JSL!A35))+(COUNTIF('ATHIS MONS'!$A$7:$A$50,JSL!A35))+(COUNTIF('L HAY LES ROSES'!$A$7:$A$50,JSL!A35))+(COUNTIF(RUNGIS!$A$7:$A$50,JSL!A35))+(COUNTIF(SCEAUX!$A$7:$A$50,JSL!A35))+(COUNTIF('INSTANCE C1'!$A$7:$A$50,JSL!A35))+(COUNTIF('INSTANCE C2'!$A$7:$A$50,JSL!A35))+(COUNTIF(INTERNES!$A$7:$A$50,JSL!A35))+(COUNTIF('EN PANNE'!$A$7:$A$50,JSL!A35))+(COUNTIF(TJM!$A$7:$A$50,JSL!A35))-C35</f>
        <v>0</v>
      </c>
      <c r="C35" s="23">
        <f>(COUNTIF('2S EXPRESS'!$G$7:$G$50,JSL!A35))+(COUNTIF('2 ZT'!$G$7:$G$50,JSL!A35))+(COUNTIF('GO TRANSPORT'!$G$7:$G$50,JSL!A35))+(COUNTIF(JSL!$G$7:$G$50,JSL!A35))+(COUNTIF('IB TRANSPORT'!$G$7:$G$50,JSL!A35))+(COUNTIF(JSL!$G$7:$G$50,JSL!A35))+(COUNTIF(KIFAITOUT!$G$7:$G$50,JSL!A35))+(COUNTIF('LUXE DRIVE'!$G$7:$G$50,JSL!A35))+(COUNTIF(SSN!$G$7:$G$50,JSL!A35))+(COUNTIF('W3'!$G$7:$G$50,JSL!A35))+(COUNTIF('ATHIS MONS'!$G$7:$G$50,JSL!A35))+(COUNTIF('L HAY LES ROSES'!$G$7:$G$50,JSL!A35))+(COUNTIF(RUNGIS!$G$7:$G$50,JSL!A35))+(COUNTIF(SCEAUX!$G$7:$G$50,JSL!A35))+(COUNTIF('INSTANCE C1'!$G$7:$G$50,JSL!A35))+(COUNTIF('INSTANCE C2'!$G$7:$G$50,JSL!A35))+(COUNTIF(INTERNES!$G$7:$G$50,JSL!A35))+(COUNTIF('EN PANNE'!$G$7:$G$50,JSL!A35))+(COUNTIF(TJM!$G$7:$G$50,JSL!A35))</f>
        <v>0</v>
      </c>
      <c r="D35" s="28">
        <f t="shared" si="0"/>
        <v>0</v>
      </c>
      <c r="E35" s="2"/>
      <c r="F35" s="6">
        <f t="shared" si="1"/>
        <v>0</v>
      </c>
      <c r="G35" s="20"/>
      <c r="H35" s="23">
        <f>(COUNTIF('2S EXPRESS'!$G$7:$G$50,JSL!G35))+(COUNTIF('2 ZT'!$G$7:$G$50,JSL!G35))+(COUNTIF('GO TRANSPORT'!$G$7:$G$50,JSL!G35))+(COUNTIF('HMZ - KAIS'!$G$7:$G$50,JSL!G35))+(COUNTIF('IB TRANSPORT'!$G$7:$G$50,JSL!G35))+(COUNTIF(JSL!$G$7:$G$50,JSL!G35))+(COUNTIF(KIFAITOUT!$G$7:$G$50,JSL!G35))+(COUNTIF('LUXE DRIVE'!$G$7:$G$50,JSL!G35))+(COUNTIF(SSN!$G$7:$G$50,JSL!G35))+(COUNTIF('W3'!$G$7:$G$50,JSL!G35))+(COUNTIF('ATHIS MONS'!$G$7:$G$50,JSL!G35))+(COUNTIF('L HAY LES ROSES'!$G$7:$G$50,JSL!G35))+(COUNTIF(RUNGIS!$G$7:$G$50,JSL!G35))+(COUNTIF(SCEAUX!$G$7:$G$50,JSL!G35))+(COUNTIF('INSTANCE C1'!$G$7:$G$50,JSL!G35))+(COUNTIF('INSTANCE C2'!$G$7:$G$50,JSL!G35))+(COUNTIF(INTERNES!$G$7:$G$50,JSL!G35))+(COUNTIF('EN PANNE'!$G$7:$G$50,JSL!G35))+(COUNTIF(TJM!$G$7:$G$50,JSL!G35))-I35</f>
        <v>0</v>
      </c>
      <c r="I35" s="23">
        <f>(COUNTIF('2S EXPRESS'!$A$7:$A$50,JSL!G35))+(COUNTIF('2 ZT'!$A$7:$A$50,JSL!G35))+(COUNTIF('GO TRANSPORT'!$A$7:$A$50,JSL!G35))+(COUNTIF('HMZ - KAIS'!$A$7:$A$50,JSL!G35))+(COUNTIF('IB TRANSPORT'!$A$7:$A$50,JSL!G35))+(COUNTIF(JSL!$A$7:$A$50,JSL!G35))+(COUNTIF(KIFAITOUT!$A$7:$A$50,JSL!G35))+(COUNTIF('LUXE DRIVE'!$A$7:$A$50,JSL!G35))+(COUNTIF(SSN!$A$7:$A$50,JSL!G35))+(COUNTIF('W3'!$A$7:$A$50,JSL!G35))+(COUNTIF('ATHIS MONS'!$A$7:$A$50,JSL!G35))+(COUNTIF('L HAY LES ROSES'!$A$7:$A$50,JSL!G35))+(COUNTIF(RUNGIS!$A$7:$A$50,JSL!G35))+(COUNTIF(SCEAUX!$A$7:$A$50,JSL!G35))+(COUNTIF('INSTANCE C1'!$A$7:$A$50,JSL!G35))+(COUNTIF('INSTANCE C2'!$A$7:$A$50,JSL!G35))+(COUNTIF(INTERNES!$A$7:$A$50,JSL!G35))+(COUNTIF('EN PANNE'!$A$7:$A$50,JSL!G35))+(COUNTIF(TJM!$A$7:$A$50,JSL!G35))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S35" s="60">
        <f t="shared" si="2"/>
        <v>0</v>
      </c>
      <c r="T35" s="67">
        <f t="shared" si="3"/>
        <v>0</v>
      </c>
    </row>
    <row r="36" spans="1:20" ht="24.95" customHeight="1" x14ac:dyDescent="0.2">
      <c r="A36" s="20"/>
      <c r="B36" s="23">
        <f>(COUNTIF('2S EXPRESS'!$A$7:$A$50,JSL!A36))+(COUNTIF('2 ZT'!$A$7:$A$50,JSL!A36))+(COUNTIF('GO TRANSPORT'!$A$7:$A$50,JSL!A36))+(COUNTIF('HMZ - KAIS'!$A$7:$A$50,JSL!A36))+(COUNTIF('IB TRANSPORT'!$A$7:$A$50,JSL!A36))+(COUNTIF(JSL!$A$7:$A$50,JSL!A36))+(COUNTIF(KIFAITOUT!$A$7:$A$50,JSL!A36))+(COUNTIF('LUXE DRIVE'!$A$7:$A$50,JSL!A36))+(COUNTIF(SSN!$A$7:$A$50,JSL!A36))+(COUNTIF('W3'!$A$7:$A$50,JSL!A36))+(COUNTIF('ATHIS MONS'!$A$7:$A$50,JSL!A36))+(COUNTIF('L HAY LES ROSES'!$A$7:$A$50,JSL!A36))+(COUNTIF(RUNGIS!$A$7:$A$50,JSL!A36))+(COUNTIF(SCEAUX!$A$7:$A$50,JSL!A36))+(COUNTIF('INSTANCE C1'!$A$7:$A$50,JSL!A36))+(COUNTIF('INSTANCE C2'!$A$7:$A$50,JSL!A36))+(COUNTIF(INTERNES!$A$7:$A$50,JSL!A36))+(COUNTIF('EN PANNE'!$A$7:$A$50,JSL!A36))+(COUNTIF(TJM!$A$7:$A$50,JSL!A36))-C36</f>
        <v>0</v>
      </c>
      <c r="C36" s="23">
        <f>(COUNTIF('2S EXPRESS'!$G$7:$G$50,JSL!A36))+(COUNTIF('2 ZT'!$G$7:$G$50,JSL!A36))+(COUNTIF('GO TRANSPORT'!$G$7:$G$50,JSL!A36))+(COUNTIF(JSL!$G$7:$G$50,JSL!A36))+(COUNTIF('IB TRANSPORT'!$G$7:$G$50,JSL!A36))+(COUNTIF(JSL!$G$7:$G$50,JSL!A36))+(COUNTIF(KIFAITOUT!$G$7:$G$50,JSL!A36))+(COUNTIF('LUXE DRIVE'!$G$7:$G$50,JSL!A36))+(COUNTIF(SSN!$G$7:$G$50,JSL!A36))+(COUNTIF('W3'!$G$7:$G$50,JSL!A36))+(COUNTIF('ATHIS MONS'!$G$7:$G$50,JSL!A36))+(COUNTIF('L HAY LES ROSES'!$G$7:$G$50,JSL!A36))+(COUNTIF(RUNGIS!$G$7:$G$50,JSL!A36))+(COUNTIF(SCEAUX!$G$7:$G$50,JSL!A36))+(COUNTIF('INSTANCE C1'!$G$7:$G$50,JSL!A36))+(COUNTIF('INSTANCE C2'!$G$7:$G$50,JSL!A36))+(COUNTIF(INTERNES!$G$7:$G$50,JSL!A36))+(COUNTIF('EN PANNE'!$G$7:$G$50,JSL!A36))+(COUNTIF(TJM!$G$7:$G$50,JSL!A36))</f>
        <v>0</v>
      </c>
      <c r="D36" s="28">
        <f t="shared" si="0"/>
        <v>0</v>
      </c>
      <c r="E36" s="2"/>
      <c r="F36" s="6">
        <f t="shared" si="1"/>
        <v>0</v>
      </c>
      <c r="G36" s="20"/>
      <c r="H36" s="23">
        <f>(COUNTIF('2S EXPRESS'!$G$7:$G$50,JSL!G36))+(COUNTIF('2 ZT'!$G$7:$G$50,JSL!G36))+(COUNTIF('GO TRANSPORT'!$G$7:$G$50,JSL!G36))+(COUNTIF('HMZ - KAIS'!$G$7:$G$50,JSL!G36))+(COUNTIF('IB TRANSPORT'!$G$7:$G$50,JSL!G36))+(COUNTIF(JSL!$G$7:$G$50,JSL!G36))+(COUNTIF(KIFAITOUT!$G$7:$G$50,JSL!G36))+(COUNTIF('LUXE DRIVE'!$G$7:$G$50,JSL!G36))+(COUNTIF(SSN!$G$7:$G$50,JSL!G36))+(COUNTIF('W3'!$G$7:$G$50,JSL!G36))+(COUNTIF('ATHIS MONS'!$G$7:$G$50,JSL!G36))+(COUNTIF('L HAY LES ROSES'!$G$7:$G$50,JSL!G36))+(COUNTIF(RUNGIS!$G$7:$G$50,JSL!G36))+(COUNTIF(SCEAUX!$G$7:$G$50,JSL!G36))+(COUNTIF('INSTANCE C1'!$G$7:$G$50,JSL!G36))+(COUNTIF('INSTANCE C2'!$G$7:$G$50,JSL!G36))+(COUNTIF(INTERNES!$G$7:$G$50,JSL!G36))+(COUNTIF('EN PANNE'!$G$7:$G$50,JSL!G36))+(COUNTIF(TJM!$G$7:$G$50,JSL!G36))-I36</f>
        <v>0</v>
      </c>
      <c r="I36" s="23">
        <f>(COUNTIF('2S EXPRESS'!$A$7:$A$50,JSL!G36))+(COUNTIF('2 ZT'!$A$7:$A$50,JSL!G36))+(COUNTIF('GO TRANSPORT'!$A$7:$A$50,JSL!G36))+(COUNTIF('HMZ - KAIS'!$A$7:$A$50,JSL!G36))+(COUNTIF('IB TRANSPORT'!$A$7:$A$50,JSL!G36))+(COUNTIF(JSL!$A$7:$A$50,JSL!G36))+(COUNTIF(KIFAITOUT!$A$7:$A$50,JSL!G36))+(COUNTIF('LUXE DRIVE'!$A$7:$A$50,JSL!G36))+(COUNTIF(SSN!$A$7:$A$50,JSL!G36))+(COUNTIF('W3'!$A$7:$A$50,JSL!G36))+(COUNTIF('ATHIS MONS'!$A$7:$A$50,JSL!G36))+(COUNTIF('L HAY LES ROSES'!$A$7:$A$50,JSL!G36))+(COUNTIF(RUNGIS!$A$7:$A$50,JSL!G36))+(COUNTIF(SCEAUX!$A$7:$A$50,JSL!G36))+(COUNTIF('INSTANCE C1'!$A$7:$A$50,JSL!G36))+(COUNTIF('INSTANCE C2'!$A$7:$A$50,JSL!G36))+(COUNTIF(INTERNES!$A$7:$A$50,JSL!G36))+(COUNTIF('EN PANNE'!$A$7:$A$50,JSL!G36))+(COUNTIF(TJM!$A$7:$A$50,JSL!G36))</f>
        <v>0</v>
      </c>
      <c r="J36" s="28">
        <f t="shared" si="4"/>
        <v>0</v>
      </c>
      <c r="K36" s="2"/>
      <c r="L36" s="47"/>
      <c r="S36" s="60">
        <f t="shared" si="2"/>
        <v>0</v>
      </c>
      <c r="T36" s="67">
        <f t="shared" si="3"/>
        <v>0</v>
      </c>
    </row>
    <row r="37" spans="1:20" ht="24.95" customHeight="1" x14ac:dyDescent="0.2">
      <c r="A37" s="20"/>
      <c r="B37" s="23">
        <f>(COUNTIF('2S EXPRESS'!$A$7:$A$50,JSL!A37))+(COUNTIF('2 ZT'!$A$7:$A$50,JSL!A37))+(COUNTIF('GO TRANSPORT'!$A$7:$A$50,JSL!A37))+(COUNTIF('HMZ - KAIS'!$A$7:$A$50,JSL!A37))+(COUNTIF('IB TRANSPORT'!$A$7:$A$50,JSL!A37))+(COUNTIF(JSL!$A$7:$A$50,JSL!A37))+(COUNTIF(KIFAITOUT!$A$7:$A$50,JSL!A37))+(COUNTIF('LUXE DRIVE'!$A$7:$A$50,JSL!A37))+(COUNTIF(SSN!$A$7:$A$50,JSL!A37))+(COUNTIF('W3'!$A$7:$A$50,JSL!A37))+(COUNTIF('ATHIS MONS'!$A$7:$A$50,JSL!A37))+(COUNTIF('L HAY LES ROSES'!$A$7:$A$50,JSL!A37))+(COUNTIF(RUNGIS!$A$7:$A$50,JSL!A37))+(COUNTIF(SCEAUX!$A$7:$A$50,JSL!A37))+(COUNTIF('INSTANCE C1'!$A$7:$A$50,JSL!A37))+(COUNTIF('INSTANCE C2'!$A$7:$A$50,JSL!A37))+(COUNTIF(INTERNES!$A$7:$A$50,JSL!A37))+(COUNTIF('EN PANNE'!$A$7:$A$50,JSL!A37))+(COUNTIF(TJM!$A$7:$A$50,JSL!A37))-C37</f>
        <v>0</v>
      </c>
      <c r="C37" s="23">
        <f>(COUNTIF('2S EXPRESS'!$G$7:$G$50,JSL!A37))+(COUNTIF('2 ZT'!$G$7:$G$50,JSL!A37))+(COUNTIF('GO TRANSPORT'!$G$7:$G$50,JSL!A37))+(COUNTIF(JSL!$G$7:$G$50,JSL!A37))+(COUNTIF('IB TRANSPORT'!$G$7:$G$50,JSL!A37))+(COUNTIF(JSL!$G$7:$G$50,JSL!A37))+(COUNTIF(KIFAITOUT!$G$7:$G$50,JSL!A37))+(COUNTIF('LUXE DRIVE'!$G$7:$G$50,JSL!A37))+(COUNTIF(SSN!$G$7:$G$50,JSL!A37))+(COUNTIF('W3'!$G$7:$G$50,JSL!A37))+(COUNTIF('ATHIS MONS'!$G$7:$G$50,JSL!A37))+(COUNTIF('L HAY LES ROSES'!$G$7:$G$50,JSL!A37))+(COUNTIF(RUNGIS!$G$7:$G$50,JSL!A37))+(COUNTIF(SCEAUX!$G$7:$G$50,JSL!A37))+(COUNTIF('INSTANCE C1'!$G$7:$G$50,JSL!A37))+(COUNTIF('INSTANCE C2'!$G$7:$G$50,JSL!A37))+(COUNTIF(INTERNES!$G$7:$G$50,JSL!A37))+(COUNTIF('EN PANNE'!$G$7:$G$50,JSL!A37))+(COUNTIF(TJM!$G$7:$G$50,JSL!A37))</f>
        <v>0</v>
      </c>
      <c r="D37" s="28">
        <f t="shared" si="0"/>
        <v>0</v>
      </c>
      <c r="E37" s="2"/>
      <c r="F37" s="6">
        <f t="shared" si="1"/>
        <v>0</v>
      </c>
      <c r="G37" s="20"/>
      <c r="H37" s="23">
        <f>(COUNTIF('2S EXPRESS'!$G$7:$G$50,JSL!G37))+(COUNTIF('2 ZT'!$G$7:$G$50,JSL!G37))+(COUNTIF('GO TRANSPORT'!$G$7:$G$50,JSL!G37))+(COUNTIF('HMZ - KAIS'!$G$7:$G$50,JSL!G37))+(COUNTIF('IB TRANSPORT'!$G$7:$G$50,JSL!G37))+(COUNTIF(JSL!$G$7:$G$50,JSL!G37))+(COUNTIF(KIFAITOUT!$G$7:$G$50,JSL!G37))+(COUNTIF('LUXE DRIVE'!$G$7:$G$50,JSL!G37))+(COUNTIF(SSN!$G$7:$G$50,JSL!G37))+(COUNTIF('W3'!$G$7:$G$50,JSL!G37))+(COUNTIF('ATHIS MONS'!$G$7:$G$50,JSL!G37))+(COUNTIF('L HAY LES ROSES'!$G$7:$G$50,JSL!G37))+(COUNTIF(RUNGIS!$G$7:$G$50,JSL!G37))+(COUNTIF(SCEAUX!$G$7:$G$50,JSL!G37))+(COUNTIF('INSTANCE C1'!$G$7:$G$50,JSL!G37))+(COUNTIF('INSTANCE C2'!$G$7:$G$50,JSL!G37))+(COUNTIF(INTERNES!$G$7:$G$50,JSL!G37))+(COUNTIF('EN PANNE'!$G$7:$G$50,JSL!G37))+(COUNTIF(TJM!$G$7:$G$50,JSL!G37))-I37</f>
        <v>0</v>
      </c>
      <c r="I37" s="23">
        <f>(COUNTIF('2S EXPRESS'!$A$7:$A$50,JSL!G37))+(COUNTIF('2 ZT'!$A$7:$A$50,JSL!G37))+(COUNTIF('GO TRANSPORT'!$A$7:$A$50,JSL!G37))+(COUNTIF('HMZ - KAIS'!$A$7:$A$50,JSL!G37))+(COUNTIF('IB TRANSPORT'!$A$7:$A$50,JSL!G37))+(COUNTIF(JSL!$A$7:$A$50,JSL!G37))+(COUNTIF(KIFAITOUT!$A$7:$A$50,JSL!G37))+(COUNTIF('LUXE DRIVE'!$A$7:$A$50,JSL!G37))+(COUNTIF(SSN!$A$7:$A$50,JSL!G37))+(COUNTIF('W3'!$A$7:$A$50,JSL!G37))+(COUNTIF('ATHIS MONS'!$A$7:$A$50,JSL!G37))+(COUNTIF('L HAY LES ROSES'!$A$7:$A$50,JSL!G37))+(COUNTIF(RUNGIS!$A$7:$A$50,JSL!G37))+(COUNTIF(SCEAUX!$A$7:$A$50,JSL!G37))+(COUNTIF('INSTANCE C1'!$A$7:$A$50,JSL!G37))+(COUNTIF('INSTANCE C2'!$A$7:$A$50,JSL!G37))+(COUNTIF(INTERNES!$A$7:$A$50,JSL!G37))+(COUNTIF('EN PANNE'!$A$7:$A$50,JSL!G37))+(COUNTIF(TJM!$A$7:$A$50,JSL!G37))</f>
        <v>0</v>
      </c>
      <c r="J37" s="28">
        <f t="shared" si="4"/>
        <v>0</v>
      </c>
      <c r="K37" s="2"/>
      <c r="L37" s="47"/>
      <c r="S37" s="60">
        <f t="shared" si="2"/>
        <v>0</v>
      </c>
      <c r="T37" s="67">
        <f t="shared" si="3"/>
        <v>0</v>
      </c>
    </row>
    <row r="38" spans="1:20" ht="24.95" customHeight="1" x14ac:dyDescent="0.2">
      <c r="A38" s="20"/>
      <c r="B38" s="23">
        <f>(COUNTIF('2S EXPRESS'!$A$7:$A$50,JSL!A38))+(COUNTIF('2 ZT'!$A$7:$A$50,JSL!A38))+(COUNTIF('GO TRANSPORT'!$A$7:$A$50,JSL!A38))+(COUNTIF('HMZ - KAIS'!$A$7:$A$50,JSL!A38))+(COUNTIF('IB TRANSPORT'!$A$7:$A$50,JSL!A38))+(COUNTIF(JSL!$A$7:$A$50,JSL!A38))+(COUNTIF(KIFAITOUT!$A$7:$A$50,JSL!A38))+(COUNTIF('LUXE DRIVE'!$A$7:$A$50,JSL!A38))+(COUNTIF(SSN!$A$7:$A$50,JSL!A38))+(COUNTIF('W3'!$A$7:$A$50,JSL!A38))+(COUNTIF('ATHIS MONS'!$A$7:$A$50,JSL!A38))+(COUNTIF('L HAY LES ROSES'!$A$7:$A$50,JSL!A38))+(COUNTIF(RUNGIS!$A$7:$A$50,JSL!A38))+(COUNTIF(SCEAUX!$A$7:$A$50,JSL!A38))+(COUNTIF('INSTANCE C1'!$A$7:$A$50,JSL!A38))+(COUNTIF('INSTANCE C2'!$A$7:$A$50,JSL!A38))+(COUNTIF(INTERNES!$A$7:$A$50,JSL!A38))+(COUNTIF('EN PANNE'!$A$7:$A$50,JSL!A38))+(COUNTIF(TJM!$A$7:$A$50,JSL!A38))-C38</f>
        <v>0</v>
      </c>
      <c r="C38" s="23">
        <f>(COUNTIF('2S EXPRESS'!$G$7:$G$50,JSL!A38))+(COUNTIF('2 ZT'!$G$7:$G$50,JSL!A38))+(COUNTIF('GO TRANSPORT'!$G$7:$G$50,JSL!A38))+(COUNTIF(JSL!$G$7:$G$50,JSL!A38))+(COUNTIF('IB TRANSPORT'!$G$7:$G$50,JSL!A38))+(COUNTIF(JSL!$G$7:$G$50,JSL!A38))+(COUNTIF(KIFAITOUT!$G$7:$G$50,JSL!A38))+(COUNTIF('LUXE DRIVE'!$G$7:$G$50,JSL!A38))+(COUNTIF(SSN!$G$7:$G$50,JSL!A38))+(COUNTIF('W3'!$G$7:$G$50,JSL!A38))+(COUNTIF('ATHIS MONS'!$G$7:$G$50,JSL!A38))+(COUNTIF('L HAY LES ROSES'!$G$7:$G$50,JSL!A38))+(COUNTIF(RUNGIS!$G$7:$G$50,JSL!A38))+(COUNTIF(SCEAUX!$G$7:$G$50,JSL!A38))+(COUNTIF('INSTANCE C1'!$G$7:$G$50,JSL!A38))+(COUNTIF('INSTANCE C2'!$G$7:$G$50,JSL!A38))+(COUNTIF(INTERNES!$G$7:$G$50,JSL!A38))+(COUNTIF('EN PANNE'!$G$7:$G$50,JSL!A38))+(COUNTIF(TJM!$G$7:$G$50,JSL!A38))</f>
        <v>0</v>
      </c>
      <c r="D38" s="28">
        <f t="shared" si="0"/>
        <v>0</v>
      </c>
      <c r="E38" s="2"/>
      <c r="F38" s="6">
        <f t="shared" si="1"/>
        <v>0</v>
      </c>
      <c r="G38" s="20"/>
      <c r="H38" s="23">
        <f>(COUNTIF('2S EXPRESS'!$G$7:$G$50,JSL!G38))+(COUNTIF('2 ZT'!$G$7:$G$50,JSL!G38))+(COUNTIF('GO TRANSPORT'!$G$7:$G$50,JSL!G38))+(COUNTIF('HMZ - KAIS'!$G$7:$G$50,JSL!G38))+(COUNTIF('IB TRANSPORT'!$G$7:$G$50,JSL!G38))+(COUNTIF(JSL!$G$7:$G$50,JSL!G38))+(COUNTIF(KIFAITOUT!$G$7:$G$50,JSL!G38))+(COUNTIF('LUXE DRIVE'!$G$7:$G$50,JSL!G38))+(COUNTIF(SSN!$G$7:$G$50,JSL!G38))+(COUNTIF('W3'!$G$7:$G$50,JSL!G38))+(COUNTIF('ATHIS MONS'!$G$7:$G$50,JSL!G38))+(COUNTIF('L HAY LES ROSES'!$G$7:$G$50,JSL!G38))+(COUNTIF(RUNGIS!$G$7:$G$50,JSL!G38))+(COUNTIF(SCEAUX!$G$7:$G$50,JSL!G38))+(COUNTIF('INSTANCE C1'!$G$7:$G$50,JSL!G38))+(COUNTIF('INSTANCE C2'!$G$7:$G$50,JSL!G38))+(COUNTIF(INTERNES!$G$7:$G$50,JSL!G38))+(COUNTIF('EN PANNE'!$G$7:$G$50,JSL!G38))+(COUNTIF(TJM!$G$7:$G$50,JSL!G38))-I38</f>
        <v>0</v>
      </c>
      <c r="I38" s="23">
        <f>(COUNTIF('2S EXPRESS'!$A$7:$A$50,JSL!G38))+(COUNTIF('2 ZT'!$A$7:$A$50,JSL!G38))+(COUNTIF('GO TRANSPORT'!$A$7:$A$50,JSL!G38))+(COUNTIF('HMZ - KAIS'!$A$7:$A$50,JSL!G38))+(COUNTIF('IB TRANSPORT'!$A$7:$A$50,JSL!G38))+(COUNTIF(JSL!$A$7:$A$50,JSL!G38))+(COUNTIF(KIFAITOUT!$A$7:$A$50,JSL!G38))+(COUNTIF('LUXE DRIVE'!$A$7:$A$50,JSL!G38))+(COUNTIF(SSN!$A$7:$A$50,JSL!G38))+(COUNTIF('W3'!$A$7:$A$50,JSL!G38))+(COUNTIF('ATHIS MONS'!$A$7:$A$50,JSL!G38))+(COUNTIF('L HAY LES ROSES'!$A$7:$A$50,JSL!G38))+(COUNTIF(RUNGIS!$A$7:$A$50,JSL!G38))+(COUNTIF(SCEAUX!$A$7:$A$50,JSL!G38))+(COUNTIF('INSTANCE C1'!$A$7:$A$50,JSL!G38))+(COUNTIF('INSTANCE C2'!$A$7:$A$50,JSL!G38))+(COUNTIF(INTERNES!$A$7:$A$50,JSL!G38))+(COUNTIF('EN PANNE'!$A$7:$A$50,JSL!G38))+(COUNTIF(TJM!$A$7:$A$50,JSL!G38))</f>
        <v>0</v>
      </c>
      <c r="J38" s="28">
        <f t="shared" si="4"/>
        <v>0</v>
      </c>
      <c r="K38" s="2"/>
      <c r="L38" s="47"/>
      <c r="S38" s="60">
        <f t="shared" si="2"/>
        <v>0</v>
      </c>
      <c r="T38" s="67">
        <f t="shared" si="3"/>
        <v>0</v>
      </c>
    </row>
    <row r="39" spans="1:20" ht="24.95" customHeight="1" x14ac:dyDescent="0.2">
      <c r="A39" s="20"/>
      <c r="B39" s="23">
        <f>(COUNTIF('2S EXPRESS'!$A$7:$A$50,JSL!A39))+(COUNTIF('2 ZT'!$A$7:$A$50,JSL!A39))+(COUNTIF('GO TRANSPORT'!$A$7:$A$50,JSL!A39))+(COUNTIF('HMZ - KAIS'!$A$7:$A$50,JSL!A39))+(COUNTIF('IB TRANSPORT'!$A$7:$A$50,JSL!A39))+(COUNTIF(JSL!$A$7:$A$50,JSL!A39))+(COUNTIF(KIFAITOUT!$A$7:$A$50,JSL!A39))+(COUNTIF('LUXE DRIVE'!$A$7:$A$50,JSL!A39))+(COUNTIF(SSN!$A$7:$A$50,JSL!A39))+(COUNTIF('W3'!$A$7:$A$50,JSL!A39))+(COUNTIF('ATHIS MONS'!$A$7:$A$50,JSL!A39))+(COUNTIF('L HAY LES ROSES'!$A$7:$A$50,JSL!A39))+(COUNTIF(RUNGIS!$A$7:$A$50,JSL!A39))+(COUNTIF(SCEAUX!$A$7:$A$50,JSL!A39))+(COUNTIF('INSTANCE C1'!$A$7:$A$50,JSL!A39))+(COUNTIF('INSTANCE C2'!$A$7:$A$50,JSL!A39))+(COUNTIF(INTERNES!$A$7:$A$50,JSL!A39))+(COUNTIF('EN PANNE'!$A$7:$A$50,JSL!A39))+(COUNTIF(TJM!$A$7:$A$50,JSL!A39))-C39</f>
        <v>0</v>
      </c>
      <c r="C39" s="23">
        <f>(COUNTIF('2S EXPRESS'!$G$7:$G$50,JSL!A39))+(COUNTIF('2 ZT'!$G$7:$G$50,JSL!A39))+(COUNTIF('GO TRANSPORT'!$G$7:$G$50,JSL!A39))+(COUNTIF(JSL!$G$7:$G$50,JSL!A39))+(COUNTIF('IB TRANSPORT'!$G$7:$G$50,JSL!A39))+(COUNTIF(JSL!$G$7:$G$50,JSL!A39))+(COUNTIF(KIFAITOUT!$G$7:$G$50,JSL!A39))+(COUNTIF('LUXE DRIVE'!$G$7:$G$50,JSL!A39))+(COUNTIF(SSN!$G$7:$G$50,JSL!A39))+(COUNTIF('W3'!$G$7:$G$50,JSL!A39))+(COUNTIF('ATHIS MONS'!$G$7:$G$50,JSL!A39))+(COUNTIF('L HAY LES ROSES'!$G$7:$G$50,JSL!A39))+(COUNTIF(RUNGIS!$G$7:$G$50,JSL!A39))+(COUNTIF(SCEAUX!$G$7:$G$50,JSL!A39))+(COUNTIF('INSTANCE C1'!$G$7:$G$50,JSL!A39))+(COUNTIF('INSTANCE C2'!$G$7:$G$50,JSL!A39))+(COUNTIF(INTERNES!$G$7:$G$50,JSL!A39))+(COUNTIF('EN PANNE'!$G$7:$G$50,JSL!A39))+(COUNTIF(TJM!$G$7:$G$50,JSL!A39))</f>
        <v>0</v>
      </c>
      <c r="D39" s="28">
        <f t="shared" si="0"/>
        <v>0</v>
      </c>
      <c r="E39" s="2"/>
      <c r="F39" s="6">
        <f t="shared" si="1"/>
        <v>0</v>
      </c>
      <c r="G39" s="20"/>
      <c r="H39" s="23">
        <f>(COUNTIF('2S EXPRESS'!$G$7:$G$50,JSL!G39))+(COUNTIF('2 ZT'!$G$7:$G$50,JSL!G39))+(COUNTIF('GO TRANSPORT'!$G$7:$G$50,JSL!G39))+(COUNTIF('HMZ - KAIS'!$G$7:$G$50,JSL!G39))+(COUNTIF('IB TRANSPORT'!$G$7:$G$50,JSL!G39))+(COUNTIF(JSL!$G$7:$G$50,JSL!G39))+(COUNTIF(KIFAITOUT!$G$7:$G$50,JSL!G39))+(COUNTIF('LUXE DRIVE'!$G$7:$G$50,JSL!G39))+(COUNTIF(SSN!$G$7:$G$50,JSL!G39))+(COUNTIF('W3'!$G$7:$G$50,JSL!G39))+(COUNTIF('ATHIS MONS'!$G$7:$G$50,JSL!G39))+(COUNTIF('L HAY LES ROSES'!$G$7:$G$50,JSL!G39))+(COUNTIF(RUNGIS!$G$7:$G$50,JSL!G39))+(COUNTIF(SCEAUX!$G$7:$G$50,JSL!G39))+(COUNTIF('INSTANCE C1'!$G$7:$G$50,JSL!G39))+(COUNTIF('INSTANCE C2'!$G$7:$G$50,JSL!G39))+(COUNTIF(INTERNES!$G$7:$G$50,JSL!G39))+(COUNTIF('EN PANNE'!$G$7:$G$50,JSL!G39))+(COUNTIF(TJM!$G$7:$G$50,JSL!G39))-I39</f>
        <v>0</v>
      </c>
      <c r="I39" s="23">
        <f>(COUNTIF('2S EXPRESS'!$A$7:$A$50,JSL!G39))+(COUNTIF('2 ZT'!$A$7:$A$50,JSL!G39))+(COUNTIF('GO TRANSPORT'!$A$7:$A$50,JSL!G39))+(COUNTIF('HMZ - KAIS'!$A$7:$A$50,JSL!G39))+(COUNTIF('IB TRANSPORT'!$A$7:$A$50,JSL!G39))+(COUNTIF(JSL!$A$7:$A$50,JSL!G39))+(COUNTIF(KIFAITOUT!$A$7:$A$50,JSL!G39))+(COUNTIF('LUXE DRIVE'!$A$7:$A$50,JSL!G39))+(COUNTIF(SSN!$A$7:$A$50,JSL!G39))+(COUNTIF('W3'!$A$7:$A$50,JSL!G39))+(COUNTIF('ATHIS MONS'!$A$7:$A$50,JSL!G39))+(COUNTIF('L HAY LES ROSES'!$A$7:$A$50,JSL!G39))+(COUNTIF(RUNGIS!$A$7:$A$50,JSL!G39))+(COUNTIF(SCEAUX!$A$7:$A$50,JSL!G39))+(COUNTIF('INSTANCE C1'!$A$7:$A$50,JSL!G39))+(COUNTIF('INSTANCE C2'!$A$7:$A$50,JSL!G39))+(COUNTIF(INTERNES!$A$7:$A$50,JSL!G39))+(COUNTIF('EN PANNE'!$A$7:$A$50,JSL!G39))+(COUNTIF(TJM!$A$7:$A$50,JSL!G39))</f>
        <v>0</v>
      </c>
      <c r="J39" s="28">
        <f t="shared" si="4"/>
        <v>0</v>
      </c>
      <c r="K39" s="2"/>
      <c r="L39" s="47"/>
      <c r="S39" s="60">
        <f t="shared" si="2"/>
        <v>0</v>
      </c>
      <c r="T39" s="67">
        <f t="shared" si="3"/>
        <v>0</v>
      </c>
    </row>
    <row r="40" spans="1:20" ht="24.95" customHeight="1" x14ac:dyDescent="0.2">
      <c r="A40" s="20"/>
      <c r="B40" s="23">
        <f>(COUNTIF('2S EXPRESS'!$A$7:$A$50,JSL!A40))+(COUNTIF('2 ZT'!$A$7:$A$50,JSL!A40))+(COUNTIF('GO TRANSPORT'!$A$7:$A$50,JSL!A40))+(COUNTIF('HMZ - KAIS'!$A$7:$A$50,JSL!A40))+(COUNTIF('IB TRANSPORT'!$A$7:$A$50,JSL!A40))+(COUNTIF(JSL!$A$7:$A$50,JSL!A40))+(COUNTIF(KIFAITOUT!$A$7:$A$50,JSL!A40))+(COUNTIF('LUXE DRIVE'!$A$7:$A$50,JSL!A40))+(COUNTIF(SSN!$A$7:$A$50,JSL!A40))+(COUNTIF('W3'!$A$7:$A$50,JSL!A40))+(COUNTIF('ATHIS MONS'!$A$7:$A$50,JSL!A40))+(COUNTIF('L HAY LES ROSES'!$A$7:$A$50,JSL!A40))+(COUNTIF(RUNGIS!$A$7:$A$50,JSL!A40))+(COUNTIF(SCEAUX!$A$7:$A$50,JSL!A40))+(COUNTIF('INSTANCE C1'!$A$7:$A$50,JSL!A40))+(COUNTIF('INSTANCE C2'!$A$7:$A$50,JSL!A40))+(COUNTIF(INTERNES!$A$7:$A$50,JSL!A40))+(COUNTIF('EN PANNE'!$A$7:$A$50,JSL!A40))+(COUNTIF(TJM!$A$7:$A$50,JSL!A40))-C40</f>
        <v>0</v>
      </c>
      <c r="C40" s="23">
        <f>(COUNTIF('2S EXPRESS'!$G$7:$G$50,JSL!A40))+(COUNTIF('2 ZT'!$G$7:$G$50,JSL!A40))+(COUNTIF('GO TRANSPORT'!$G$7:$G$50,JSL!A40))+(COUNTIF(JSL!$G$7:$G$50,JSL!A40))+(COUNTIF('IB TRANSPORT'!$G$7:$G$50,JSL!A40))+(COUNTIF(JSL!$G$7:$G$50,JSL!A40))+(COUNTIF(KIFAITOUT!$G$7:$G$50,JSL!A40))+(COUNTIF('LUXE DRIVE'!$G$7:$G$50,JSL!A40))+(COUNTIF(SSN!$G$7:$G$50,JSL!A40))+(COUNTIF('W3'!$G$7:$G$50,JSL!A40))+(COUNTIF('ATHIS MONS'!$G$7:$G$50,JSL!A40))+(COUNTIF('L HAY LES ROSES'!$G$7:$G$50,JSL!A40))+(COUNTIF(RUNGIS!$G$7:$G$50,JSL!A40))+(COUNTIF(SCEAUX!$G$7:$G$50,JSL!A40))+(COUNTIF('INSTANCE C1'!$G$7:$G$50,JSL!A40))+(COUNTIF('INSTANCE C2'!$G$7:$G$50,JSL!A40))+(COUNTIF(INTERNES!$G$7:$G$50,JSL!A40))+(COUNTIF('EN PANNE'!$G$7:$G$50,JSL!A40))+(COUNTIF(TJM!$G$7:$G$50,JSL!A40))</f>
        <v>0</v>
      </c>
      <c r="D40" s="28">
        <f t="shared" si="0"/>
        <v>0</v>
      </c>
      <c r="E40" s="2"/>
      <c r="F40" s="6">
        <f t="shared" si="1"/>
        <v>0</v>
      </c>
      <c r="G40" s="20"/>
      <c r="H40" s="23">
        <f>(COUNTIF('2S EXPRESS'!$G$7:$G$50,JSL!G40))+(COUNTIF('2 ZT'!$G$7:$G$50,JSL!G40))+(COUNTIF('GO TRANSPORT'!$G$7:$G$50,JSL!G40))+(COUNTIF('HMZ - KAIS'!$G$7:$G$50,JSL!G40))+(COUNTIF('IB TRANSPORT'!$G$7:$G$50,JSL!G40))+(COUNTIF(JSL!$G$7:$G$50,JSL!G40))+(COUNTIF(KIFAITOUT!$G$7:$G$50,JSL!G40))+(COUNTIF('LUXE DRIVE'!$G$7:$G$50,JSL!G40))+(COUNTIF(SSN!$G$7:$G$50,JSL!G40))+(COUNTIF('W3'!$G$7:$G$50,JSL!G40))+(COUNTIF('ATHIS MONS'!$G$7:$G$50,JSL!G40))+(COUNTIF('L HAY LES ROSES'!$G$7:$G$50,JSL!G40))+(COUNTIF(RUNGIS!$G$7:$G$50,JSL!G40))+(COUNTIF(SCEAUX!$G$7:$G$50,JSL!G40))+(COUNTIF('INSTANCE C1'!$G$7:$G$50,JSL!G40))+(COUNTIF('INSTANCE C2'!$G$7:$G$50,JSL!G40))+(COUNTIF(INTERNES!$G$7:$G$50,JSL!G40))+(COUNTIF('EN PANNE'!$G$7:$G$50,JSL!G40))+(COUNTIF(TJM!$G$7:$G$50,JSL!G40))-I40</f>
        <v>0</v>
      </c>
      <c r="I40" s="23">
        <f>(COUNTIF('2S EXPRESS'!$A$7:$A$50,JSL!G40))+(COUNTIF('2 ZT'!$A$7:$A$50,JSL!G40))+(COUNTIF('GO TRANSPORT'!$A$7:$A$50,JSL!G40))+(COUNTIF('HMZ - KAIS'!$A$7:$A$50,JSL!G40))+(COUNTIF('IB TRANSPORT'!$A$7:$A$50,JSL!G40))+(COUNTIF(JSL!$A$7:$A$50,JSL!G40))+(COUNTIF(KIFAITOUT!$A$7:$A$50,JSL!G40))+(COUNTIF('LUXE DRIVE'!$A$7:$A$50,JSL!G40))+(COUNTIF(SSN!$A$7:$A$50,JSL!G40))+(COUNTIF('W3'!$A$7:$A$50,JSL!G40))+(COUNTIF('ATHIS MONS'!$A$7:$A$50,JSL!G40))+(COUNTIF('L HAY LES ROSES'!$A$7:$A$50,JSL!G40))+(COUNTIF(RUNGIS!$A$7:$A$50,JSL!G40))+(COUNTIF(SCEAUX!$A$7:$A$50,JSL!G40))+(COUNTIF('INSTANCE C1'!$A$7:$A$50,JSL!G40))+(COUNTIF('INSTANCE C2'!$A$7:$A$50,JSL!G40))+(COUNTIF(INTERNES!$A$7:$A$50,JSL!G40))+(COUNTIF('EN PANNE'!$A$7:$A$50,JSL!G40))+(COUNTIF(TJM!$A$7:$A$50,JSL!G40))</f>
        <v>0</v>
      </c>
      <c r="J40" s="28">
        <f t="shared" si="4"/>
        <v>0</v>
      </c>
      <c r="K40" s="2"/>
      <c r="L40" s="47"/>
      <c r="S40" s="60">
        <f t="shared" si="2"/>
        <v>0</v>
      </c>
      <c r="T40" s="67">
        <f t="shared" si="3"/>
        <v>0</v>
      </c>
    </row>
    <row r="41" spans="1:20" ht="24.95" customHeight="1" x14ac:dyDescent="0.2">
      <c r="A41" s="20"/>
      <c r="B41" s="23">
        <f>(COUNTIF('2S EXPRESS'!$A$7:$A$50,JSL!A41))+(COUNTIF('2 ZT'!$A$7:$A$50,JSL!A41))+(COUNTIF('GO TRANSPORT'!$A$7:$A$50,JSL!A41))+(COUNTIF('HMZ - KAIS'!$A$7:$A$50,JSL!A41))+(COUNTIF('IB TRANSPORT'!$A$7:$A$50,JSL!A41))+(COUNTIF(JSL!$A$7:$A$50,JSL!A41))+(COUNTIF(KIFAITOUT!$A$7:$A$50,JSL!A41))+(COUNTIF('LUXE DRIVE'!$A$7:$A$50,JSL!A41))+(COUNTIF(SSN!$A$7:$A$50,JSL!A41))+(COUNTIF('W3'!$A$7:$A$50,JSL!A41))+(COUNTIF('ATHIS MONS'!$A$7:$A$50,JSL!A41))+(COUNTIF('L HAY LES ROSES'!$A$7:$A$50,JSL!A41))+(COUNTIF(RUNGIS!$A$7:$A$50,JSL!A41))+(COUNTIF(SCEAUX!$A$7:$A$50,JSL!A41))+(COUNTIF('INSTANCE C1'!$A$7:$A$50,JSL!A41))+(COUNTIF('INSTANCE C2'!$A$7:$A$50,JSL!A41))+(COUNTIF(INTERNES!$A$7:$A$50,JSL!A41))+(COUNTIF('EN PANNE'!$A$7:$A$50,JSL!A41))+(COUNTIF(TJM!$A$7:$A$50,JSL!A41))-C41</f>
        <v>0</v>
      </c>
      <c r="C41" s="23">
        <f>(COUNTIF('2S EXPRESS'!$G$7:$G$50,JSL!A41))+(COUNTIF('2 ZT'!$G$7:$G$50,JSL!A41))+(COUNTIF('GO TRANSPORT'!$G$7:$G$50,JSL!A41))+(COUNTIF(JSL!$G$7:$G$50,JSL!A41))+(COUNTIF('IB TRANSPORT'!$G$7:$G$50,JSL!A41))+(COUNTIF(JSL!$G$7:$G$50,JSL!A41))+(COUNTIF(KIFAITOUT!$G$7:$G$50,JSL!A41))+(COUNTIF('LUXE DRIVE'!$G$7:$G$50,JSL!A41))+(COUNTIF(SSN!$G$7:$G$50,JSL!A41))+(COUNTIF('W3'!$G$7:$G$50,JSL!A41))+(COUNTIF('ATHIS MONS'!$G$7:$G$50,JSL!A41))+(COUNTIF('L HAY LES ROSES'!$G$7:$G$50,JSL!A41))+(COUNTIF(RUNGIS!$G$7:$G$50,JSL!A41))+(COUNTIF(SCEAUX!$G$7:$G$50,JSL!A41))+(COUNTIF('INSTANCE C1'!$G$7:$G$50,JSL!A41))+(COUNTIF('INSTANCE C2'!$G$7:$G$50,JSL!A41))+(COUNTIF(INTERNES!$G$7:$G$50,JSL!A41))+(COUNTIF('EN PANNE'!$G$7:$G$50,JSL!A41))+(COUNTIF(TJM!$G$7:$G$50,JSL!A41))</f>
        <v>0</v>
      </c>
      <c r="D41" s="28">
        <f t="shared" si="0"/>
        <v>0</v>
      </c>
      <c r="E41" s="2"/>
      <c r="F41" s="6">
        <f t="shared" si="1"/>
        <v>0</v>
      </c>
      <c r="G41" s="20"/>
      <c r="H41" s="23">
        <f>(COUNTIF('2S EXPRESS'!$G$7:$G$50,JSL!G41))+(COUNTIF('2 ZT'!$G$7:$G$50,JSL!G41))+(COUNTIF('GO TRANSPORT'!$G$7:$G$50,JSL!G41))+(COUNTIF('HMZ - KAIS'!$G$7:$G$50,JSL!G41))+(COUNTIF('IB TRANSPORT'!$G$7:$G$50,JSL!G41))+(COUNTIF(JSL!$G$7:$G$50,JSL!G41))+(COUNTIF(KIFAITOUT!$G$7:$G$50,JSL!G41))+(COUNTIF('LUXE DRIVE'!$G$7:$G$50,JSL!G41))+(COUNTIF(SSN!$G$7:$G$50,JSL!G41))+(COUNTIF('W3'!$G$7:$G$50,JSL!G41))+(COUNTIF('ATHIS MONS'!$G$7:$G$50,JSL!G41))+(COUNTIF('L HAY LES ROSES'!$G$7:$G$50,JSL!G41))+(COUNTIF(RUNGIS!$G$7:$G$50,JSL!G41))+(COUNTIF(SCEAUX!$G$7:$G$50,JSL!G41))+(COUNTIF('INSTANCE C1'!$G$7:$G$50,JSL!G41))+(COUNTIF('INSTANCE C2'!$G$7:$G$50,JSL!G41))+(COUNTIF(INTERNES!$G$7:$G$50,JSL!G41))+(COUNTIF('EN PANNE'!$G$7:$G$50,JSL!G41))+(COUNTIF(TJM!$G$7:$G$50,JSL!G41))-I41</f>
        <v>0</v>
      </c>
      <c r="I41" s="23">
        <f>(COUNTIF('2S EXPRESS'!$A$7:$A$50,JSL!G41))+(COUNTIF('2 ZT'!$A$7:$A$50,JSL!G41))+(COUNTIF('GO TRANSPORT'!$A$7:$A$50,JSL!G41))+(COUNTIF('HMZ - KAIS'!$A$7:$A$50,JSL!G41))+(COUNTIF('IB TRANSPORT'!$A$7:$A$50,JSL!G41))+(COUNTIF(JSL!$A$7:$A$50,JSL!G41))+(COUNTIF(KIFAITOUT!$A$7:$A$50,JSL!G41))+(COUNTIF('LUXE DRIVE'!$A$7:$A$50,JSL!G41))+(COUNTIF(SSN!$A$7:$A$50,JSL!G41))+(COUNTIF('W3'!$A$7:$A$50,JSL!G41))+(COUNTIF('ATHIS MONS'!$A$7:$A$50,JSL!G41))+(COUNTIF('L HAY LES ROSES'!$A$7:$A$50,JSL!G41))+(COUNTIF(RUNGIS!$A$7:$A$50,JSL!G41))+(COUNTIF(SCEAUX!$A$7:$A$50,JSL!G41))+(COUNTIF('INSTANCE C1'!$A$7:$A$50,JSL!G41))+(COUNTIF('INSTANCE C2'!$A$7:$A$50,JSL!G41))+(COUNTIF(INTERNES!$A$7:$A$50,JSL!G41))+(COUNTIF('EN PANNE'!$A$7:$A$50,JSL!G41))+(COUNTIF(TJM!$A$7:$A$50,JSL!G41))</f>
        <v>0</v>
      </c>
      <c r="J41" s="28">
        <f t="shared" si="4"/>
        <v>0</v>
      </c>
      <c r="K41" s="2"/>
      <c r="L41" s="47"/>
      <c r="S41" s="60">
        <f t="shared" si="2"/>
        <v>0</v>
      </c>
      <c r="T41" s="67">
        <f t="shared" si="3"/>
        <v>0</v>
      </c>
    </row>
    <row r="42" spans="1:20" ht="24.95" customHeight="1" x14ac:dyDescent="0.2">
      <c r="A42" s="20"/>
      <c r="B42" s="23">
        <f>(COUNTIF('2S EXPRESS'!$A$7:$A$50,JSL!A42))+(COUNTIF('2 ZT'!$A$7:$A$50,JSL!A42))+(COUNTIF('GO TRANSPORT'!$A$7:$A$50,JSL!A42))+(COUNTIF('HMZ - KAIS'!$A$7:$A$50,JSL!A42))+(COUNTIF('IB TRANSPORT'!$A$7:$A$50,JSL!A42))+(COUNTIF(JSL!$A$7:$A$50,JSL!A42))+(COUNTIF(KIFAITOUT!$A$7:$A$50,JSL!A42))+(COUNTIF('LUXE DRIVE'!$A$7:$A$50,JSL!A42))+(COUNTIF(SSN!$A$7:$A$50,JSL!A42))+(COUNTIF('W3'!$A$7:$A$50,JSL!A42))+(COUNTIF('ATHIS MONS'!$A$7:$A$50,JSL!A42))+(COUNTIF('L HAY LES ROSES'!$A$7:$A$50,JSL!A42))+(COUNTIF(RUNGIS!$A$7:$A$50,JSL!A42))+(COUNTIF(SCEAUX!$A$7:$A$50,JSL!A42))+(COUNTIF('INSTANCE C1'!$A$7:$A$50,JSL!A42))+(COUNTIF('INSTANCE C2'!$A$7:$A$50,JSL!A42))+(COUNTIF(INTERNES!$A$7:$A$50,JSL!A42))+(COUNTIF('EN PANNE'!$A$7:$A$50,JSL!A42))+(COUNTIF(TJM!$A$7:$A$50,JSL!A42))-C42</f>
        <v>0</v>
      </c>
      <c r="C42" s="23">
        <f>(COUNTIF('2S EXPRESS'!$G$7:$G$50,JSL!A42))+(COUNTIF('2 ZT'!$G$7:$G$50,JSL!A42))+(COUNTIF('GO TRANSPORT'!$G$7:$G$50,JSL!A42))+(COUNTIF(JSL!$G$7:$G$50,JSL!A42))+(COUNTIF('IB TRANSPORT'!$G$7:$G$50,JSL!A42))+(COUNTIF(JSL!$G$7:$G$50,JSL!A42))+(COUNTIF(KIFAITOUT!$G$7:$G$50,JSL!A42))+(COUNTIF('LUXE DRIVE'!$G$7:$G$50,JSL!A42))+(COUNTIF(SSN!$G$7:$G$50,JSL!A42))+(COUNTIF('W3'!$G$7:$G$50,JSL!A42))+(COUNTIF('ATHIS MONS'!$G$7:$G$50,JSL!A42))+(COUNTIF('L HAY LES ROSES'!$G$7:$G$50,JSL!A42))+(COUNTIF(RUNGIS!$G$7:$G$50,JSL!A42))+(COUNTIF(SCEAUX!$G$7:$G$50,JSL!A42))+(COUNTIF('INSTANCE C1'!$G$7:$G$50,JSL!A42))+(COUNTIF('INSTANCE C2'!$G$7:$G$50,JSL!A42))+(COUNTIF(INTERNES!$G$7:$G$50,JSL!A42))+(COUNTIF('EN PANNE'!$G$7:$G$50,JSL!A42))+(COUNTIF(TJM!$G$7:$G$50,JSL!A42))</f>
        <v>0</v>
      </c>
      <c r="D42" s="28">
        <f t="shared" si="0"/>
        <v>0</v>
      </c>
      <c r="E42" s="2"/>
      <c r="F42" s="6">
        <f t="shared" si="1"/>
        <v>0</v>
      </c>
      <c r="G42" s="20"/>
      <c r="H42" s="23">
        <f>(COUNTIF('2S EXPRESS'!$G$7:$G$50,JSL!G42))+(COUNTIF('2 ZT'!$G$7:$G$50,JSL!G42))+(COUNTIF('GO TRANSPORT'!$G$7:$G$50,JSL!G42))+(COUNTIF('HMZ - KAIS'!$G$7:$G$50,JSL!G42))+(COUNTIF('IB TRANSPORT'!$G$7:$G$50,JSL!G42))+(COUNTIF(JSL!$G$7:$G$50,JSL!G42))+(COUNTIF(KIFAITOUT!$G$7:$G$50,JSL!G42))+(COUNTIF('LUXE DRIVE'!$G$7:$G$50,JSL!G42))+(COUNTIF(SSN!$G$7:$G$50,JSL!G42))+(COUNTIF('W3'!$G$7:$G$50,JSL!G42))+(COUNTIF('ATHIS MONS'!$G$7:$G$50,JSL!G42))+(COUNTIF('L HAY LES ROSES'!$G$7:$G$50,JSL!G42))+(COUNTIF(RUNGIS!$G$7:$G$50,JSL!G42))+(COUNTIF(SCEAUX!$G$7:$G$50,JSL!G42))+(COUNTIF('INSTANCE C1'!$G$7:$G$50,JSL!G42))+(COUNTIF('INSTANCE C2'!$G$7:$G$50,JSL!G42))+(COUNTIF(INTERNES!$G$7:$G$50,JSL!G42))+(COUNTIF('EN PANNE'!$G$7:$G$50,JSL!G42))+(COUNTIF(TJM!$G$7:$G$50,JSL!G42))-I42</f>
        <v>0</v>
      </c>
      <c r="I42" s="23">
        <f>(COUNTIF('2S EXPRESS'!$A$7:$A$50,JSL!G42))+(COUNTIF('2 ZT'!$A$7:$A$50,JSL!G42))+(COUNTIF('GO TRANSPORT'!$A$7:$A$50,JSL!G42))+(COUNTIF('HMZ - KAIS'!$A$7:$A$50,JSL!G42))+(COUNTIF('IB TRANSPORT'!$A$7:$A$50,JSL!G42))+(COUNTIF(JSL!$A$7:$A$50,JSL!G42))+(COUNTIF(KIFAITOUT!$A$7:$A$50,JSL!G42))+(COUNTIF('LUXE DRIVE'!$A$7:$A$50,JSL!G42))+(COUNTIF(SSN!$A$7:$A$50,JSL!G42))+(COUNTIF('W3'!$A$7:$A$50,JSL!G42))+(COUNTIF('ATHIS MONS'!$A$7:$A$50,JSL!G42))+(COUNTIF('L HAY LES ROSES'!$A$7:$A$50,JSL!G42))+(COUNTIF(RUNGIS!$A$7:$A$50,JSL!G42))+(COUNTIF(SCEAUX!$A$7:$A$50,JSL!G42))+(COUNTIF('INSTANCE C1'!$A$7:$A$50,JSL!G42))+(COUNTIF('INSTANCE C2'!$A$7:$A$50,JSL!G42))+(COUNTIF(INTERNES!$A$7:$A$50,JSL!G42))+(COUNTIF('EN PANNE'!$A$7:$A$50,JSL!G42))+(COUNTIF(TJM!$A$7:$A$50,JSL!G42))</f>
        <v>0</v>
      </c>
      <c r="J42" s="28">
        <f t="shared" si="4"/>
        <v>0</v>
      </c>
      <c r="K42" s="2"/>
      <c r="L42" s="47"/>
      <c r="S42" s="60">
        <f t="shared" si="2"/>
        <v>0</v>
      </c>
      <c r="T42" s="67">
        <f t="shared" si="3"/>
        <v>0</v>
      </c>
    </row>
    <row r="43" spans="1:20" ht="24.95" customHeight="1" x14ac:dyDescent="0.2">
      <c r="A43" s="20"/>
      <c r="B43" s="23">
        <f>(COUNTIF('2S EXPRESS'!$A$7:$A$50,JSL!A43))+(COUNTIF('2 ZT'!$A$7:$A$50,JSL!A43))+(COUNTIF('GO TRANSPORT'!$A$7:$A$50,JSL!A43))+(COUNTIF('HMZ - KAIS'!$A$7:$A$50,JSL!A43))+(COUNTIF('IB TRANSPORT'!$A$7:$A$50,JSL!A43))+(COUNTIF(JSL!$A$7:$A$50,JSL!A43))+(COUNTIF(KIFAITOUT!$A$7:$A$50,JSL!A43))+(COUNTIF('LUXE DRIVE'!$A$7:$A$50,JSL!A43))+(COUNTIF(SSN!$A$7:$A$50,JSL!A43))+(COUNTIF('W3'!$A$7:$A$50,JSL!A43))+(COUNTIF('ATHIS MONS'!$A$7:$A$50,JSL!A43))+(COUNTIF('L HAY LES ROSES'!$A$7:$A$50,JSL!A43))+(COUNTIF(RUNGIS!$A$7:$A$50,JSL!A43))+(COUNTIF(SCEAUX!$A$7:$A$50,JSL!A43))+(COUNTIF('INSTANCE C1'!$A$7:$A$50,JSL!A43))+(COUNTIF('INSTANCE C2'!$A$7:$A$50,JSL!A43))+(COUNTIF(INTERNES!$A$7:$A$50,JSL!A43))+(COUNTIF('EN PANNE'!$A$7:$A$50,JSL!A43))+(COUNTIF(TJM!$A$7:$A$50,JSL!A43))-C43</f>
        <v>0</v>
      </c>
      <c r="C43" s="23">
        <f>(COUNTIF('2S EXPRESS'!$G$7:$G$50,JSL!A43))+(COUNTIF('2 ZT'!$G$7:$G$50,JSL!A43))+(COUNTIF('GO TRANSPORT'!$G$7:$G$50,JSL!A43))+(COUNTIF(JSL!$G$7:$G$50,JSL!A43))+(COUNTIF('IB TRANSPORT'!$G$7:$G$50,JSL!A43))+(COUNTIF(JSL!$G$7:$G$50,JSL!A43))+(COUNTIF(KIFAITOUT!$G$7:$G$50,JSL!A43))+(COUNTIF('LUXE DRIVE'!$G$7:$G$50,JSL!A43))+(COUNTIF(SSN!$G$7:$G$50,JSL!A43))+(COUNTIF('W3'!$G$7:$G$50,JSL!A43))+(COUNTIF('ATHIS MONS'!$G$7:$G$50,JSL!A43))+(COUNTIF('L HAY LES ROSES'!$G$7:$G$50,JSL!A43))+(COUNTIF(RUNGIS!$G$7:$G$50,JSL!A43))+(COUNTIF(SCEAUX!$G$7:$G$50,JSL!A43))+(COUNTIF('INSTANCE C1'!$G$7:$G$50,JSL!A43))+(COUNTIF('INSTANCE C2'!$G$7:$G$50,JSL!A43))+(COUNTIF(INTERNES!$G$7:$G$50,JSL!A43))+(COUNTIF('EN PANNE'!$G$7:$G$50,JSL!A43))+(COUNTIF(TJM!$G$7:$G$50,JSL!A43))</f>
        <v>0</v>
      </c>
      <c r="D43" s="28">
        <f t="shared" si="0"/>
        <v>0</v>
      </c>
      <c r="E43" s="2"/>
      <c r="F43" s="6">
        <f t="shared" si="1"/>
        <v>0</v>
      </c>
      <c r="G43" s="20"/>
      <c r="H43" s="23">
        <f>(COUNTIF('2S EXPRESS'!$G$7:$G$50,JSL!G43))+(COUNTIF('2 ZT'!$G$7:$G$50,JSL!G43))+(COUNTIF('GO TRANSPORT'!$G$7:$G$50,JSL!G43))+(COUNTIF('HMZ - KAIS'!$G$7:$G$50,JSL!G43))+(COUNTIF('IB TRANSPORT'!$G$7:$G$50,JSL!G43))+(COUNTIF(JSL!$G$7:$G$50,JSL!G43))+(COUNTIF(KIFAITOUT!$G$7:$G$50,JSL!G43))+(COUNTIF('LUXE DRIVE'!$G$7:$G$50,JSL!G43))+(COUNTIF(SSN!$G$7:$G$50,JSL!G43))+(COUNTIF('W3'!$G$7:$G$50,JSL!G43))+(COUNTIF('ATHIS MONS'!$G$7:$G$50,JSL!G43))+(COUNTIF('L HAY LES ROSES'!$G$7:$G$50,JSL!G43))+(COUNTIF(RUNGIS!$G$7:$G$50,JSL!G43))+(COUNTIF(SCEAUX!$G$7:$G$50,JSL!G43))+(COUNTIF('INSTANCE C1'!$G$7:$G$50,JSL!G43))+(COUNTIF('INSTANCE C2'!$G$7:$G$50,JSL!G43))+(COUNTIF(INTERNES!$G$7:$G$50,JSL!G43))+(COUNTIF('EN PANNE'!$G$7:$G$50,JSL!G43))+(COUNTIF(TJM!$G$7:$G$50,JSL!G43))-I43</f>
        <v>0</v>
      </c>
      <c r="I43" s="23">
        <f>(COUNTIF('2S EXPRESS'!$A$7:$A$50,JSL!G43))+(COUNTIF('2 ZT'!$A$7:$A$50,JSL!G43))+(COUNTIF('GO TRANSPORT'!$A$7:$A$50,JSL!G43))+(COUNTIF('HMZ - KAIS'!$A$7:$A$50,JSL!G43))+(COUNTIF('IB TRANSPORT'!$A$7:$A$50,JSL!G43))+(COUNTIF(JSL!$A$7:$A$50,JSL!G43))+(COUNTIF(KIFAITOUT!$A$7:$A$50,JSL!G43))+(COUNTIF('LUXE DRIVE'!$A$7:$A$50,JSL!G43))+(COUNTIF(SSN!$A$7:$A$50,JSL!G43))+(COUNTIF('W3'!$A$7:$A$50,JSL!G43))+(COUNTIF('ATHIS MONS'!$A$7:$A$50,JSL!G43))+(COUNTIF('L HAY LES ROSES'!$A$7:$A$50,JSL!G43))+(COUNTIF(RUNGIS!$A$7:$A$50,JSL!G43))+(COUNTIF(SCEAUX!$A$7:$A$50,JSL!G43))+(COUNTIF('INSTANCE C1'!$A$7:$A$50,JSL!G43))+(COUNTIF('INSTANCE C2'!$A$7:$A$50,JSL!G43))+(COUNTIF(INTERNES!$A$7:$A$50,JSL!G43))+(COUNTIF('EN PANNE'!$A$7:$A$50,JSL!G43))+(COUNTIF(TJM!$A$7:$A$50,JSL!G43))</f>
        <v>0</v>
      </c>
      <c r="J43" s="28">
        <f t="shared" si="4"/>
        <v>0</v>
      </c>
      <c r="K43" s="2"/>
      <c r="L43" s="47"/>
      <c r="S43" s="60">
        <f t="shared" si="2"/>
        <v>0</v>
      </c>
      <c r="T43" s="67">
        <f t="shared" si="3"/>
        <v>0</v>
      </c>
    </row>
    <row r="44" spans="1:20" ht="24.95" customHeight="1" x14ac:dyDescent="0.2">
      <c r="A44" s="20"/>
      <c r="B44" s="23">
        <f>(COUNTIF('2S EXPRESS'!$A$7:$A$50,JSL!A44))+(COUNTIF('2 ZT'!$A$7:$A$50,JSL!A44))+(COUNTIF('GO TRANSPORT'!$A$7:$A$50,JSL!A44))+(COUNTIF('HMZ - KAIS'!$A$7:$A$50,JSL!A44))+(COUNTIF('IB TRANSPORT'!$A$7:$A$50,JSL!A44))+(COUNTIF(JSL!$A$7:$A$50,JSL!A44))+(COUNTIF(KIFAITOUT!$A$7:$A$50,JSL!A44))+(COUNTIF('LUXE DRIVE'!$A$7:$A$50,JSL!A44))+(COUNTIF(SSN!$A$7:$A$50,JSL!A44))+(COUNTIF('W3'!$A$7:$A$50,JSL!A44))+(COUNTIF('ATHIS MONS'!$A$7:$A$50,JSL!A44))+(COUNTIF('L HAY LES ROSES'!$A$7:$A$50,JSL!A44))+(COUNTIF(RUNGIS!$A$7:$A$50,JSL!A44))+(COUNTIF(SCEAUX!$A$7:$A$50,JSL!A44))+(COUNTIF('INSTANCE C1'!$A$7:$A$50,JSL!A44))+(COUNTIF('INSTANCE C2'!$A$7:$A$50,JSL!A44))+(COUNTIF(INTERNES!$A$7:$A$50,JSL!A44))+(COUNTIF('EN PANNE'!$A$7:$A$50,JSL!A44))+(COUNTIF(TJM!$A$7:$A$50,JSL!A44))-C44</f>
        <v>0</v>
      </c>
      <c r="C44" s="23">
        <f>(COUNTIF('2S EXPRESS'!$G$7:$G$50,JSL!A44))+(COUNTIF('2 ZT'!$G$7:$G$50,JSL!A44))+(COUNTIF('GO TRANSPORT'!$G$7:$G$50,JSL!A44))+(COUNTIF(JSL!$G$7:$G$50,JSL!A44))+(COUNTIF('IB TRANSPORT'!$G$7:$G$50,JSL!A44))+(COUNTIF(JSL!$G$7:$G$50,JSL!A44))+(COUNTIF(KIFAITOUT!$G$7:$G$50,JSL!A44))+(COUNTIF('LUXE DRIVE'!$G$7:$G$50,JSL!A44))+(COUNTIF(SSN!$G$7:$G$50,JSL!A44))+(COUNTIF('W3'!$G$7:$G$50,JSL!A44))+(COUNTIF('ATHIS MONS'!$G$7:$G$50,JSL!A44))+(COUNTIF('L HAY LES ROSES'!$G$7:$G$50,JSL!A44))+(COUNTIF(RUNGIS!$G$7:$G$50,JSL!A44))+(COUNTIF(SCEAUX!$G$7:$G$50,JSL!A44))+(COUNTIF('INSTANCE C1'!$G$7:$G$50,JSL!A44))+(COUNTIF('INSTANCE C2'!$G$7:$G$50,JSL!A44))+(COUNTIF(INTERNES!$G$7:$G$50,JSL!A44))+(COUNTIF('EN PANNE'!$G$7:$G$50,JSL!A44))+(COUNTIF(TJM!$G$7:$G$50,JSL!A44))</f>
        <v>0</v>
      </c>
      <c r="D44" s="28">
        <f t="shared" si="0"/>
        <v>0</v>
      </c>
      <c r="E44" s="2"/>
      <c r="F44" s="6">
        <f t="shared" si="1"/>
        <v>0</v>
      </c>
      <c r="G44" s="20"/>
      <c r="H44" s="23">
        <f>(COUNTIF('2S EXPRESS'!$G$7:$G$50,JSL!G44))+(COUNTIF('2 ZT'!$G$7:$G$50,JSL!G44))+(COUNTIF('GO TRANSPORT'!$G$7:$G$50,JSL!G44))+(COUNTIF('HMZ - KAIS'!$G$7:$G$50,JSL!G44))+(COUNTIF('IB TRANSPORT'!$G$7:$G$50,JSL!G44))+(COUNTIF(JSL!$G$7:$G$50,JSL!G44))+(COUNTIF(KIFAITOUT!$G$7:$G$50,JSL!G44))+(COUNTIF('LUXE DRIVE'!$G$7:$G$50,JSL!G44))+(COUNTIF(SSN!$G$7:$G$50,JSL!G44))+(COUNTIF('W3'!$G$7:$G$50,JSL!G44))+(COUNTIF('ATHIS MONS'!$G$7:$G$50,JSL!G44))+(COUNTIF('L HAY LES ROSES'!$G$7:$G$50,JSL!G44))+(COUNTIF(RUNGIS!$G$7:$G$50,JSL!G44))+(COUNTIF(SCEAUX!$G$7:$G$50,JSL!G44))+(COUNTIF('INSTANCE C1'!$G$7:$G$50,JSL!G44))+(COUNTIF('INSTANCE C2'!$G$7:$G$50,JSL!G44))+(COUNTIF(INTERNES!$G$7:$G$50,JSL!G44))+(COUNTIF('EN PANNE'!$G$7:$G$50,JSL!G44))+(COUNTIF(TJM!$G$7:$G$50,JSL!G44))-I44</f>
        <v>0</v>
      </c>
      <c r="I44" s="23">
        <f>(COUNTIF('2S EXPRESS'!$A$7:$A$50,JSL!G44))+(COUNTIF('2 ZT'!$A$7:$A$50,JSL!G44))+(COUNTIF('GO TRANSPORT'!$A$7:$A$50,JSL!G44))+(COUNTIF('HMZ - KAIS'!$A$7:$A$50,JSL!G44))+(COUNTIF('IB TRANSPORT'!$A$7:$A$50,JSL!G44))+(COUNTIF(JSL!$A$7:$A$50,JSL!G44))+(COUNTIF(KIFAITOUT!$A$7:$A$50,JSL!G44))+(COUNTIF('LUXE DRIVE'!$A$7:$A$50,JSL!G44))+(COUNTIF(SSN!$A$7:$A$50,JSL!G44))+(COUNTIF('W3'!$A$7:$A$50,JSL!G44))+(COUNTIF('ATHIS MONS'!$A$7:$A$50,JSL!G44))+(COUNTIF('L HAY LES ROSES'!$A$7:$A$50,JSL!G44))+(COUNTIF(RUNGIS!$A$7:$A$50,JSL!G44))+(COUNTIF(SCEAUX!$A$7:$A$50,JSL!G44))+(COUNTIF('INSTANCE C1'!$A$7:$A$50,JSL!G44))+(COUNTIF('INSTANCE C2'!$A$7:$A$50,JSL!G44))+(COUNTIF(INTERNES!$A$7:$A$50,JSL!G44))+(COUNTIF('EN PANNE'!$A$7:$A$50,JSL!G44))+(COUNTIF(TJM!$A$7:$A$50,JSL!G44))</f>
        <v>0</v>
      </c>
      <c r="J44" s="28">
        <f t="shared" si="4"/>
        <v>0</v>
      </c>
      <c r="K44" s="2"/>
      <c r="L44" s="47"/>
      <c r="S44" s="60">
        <f t="shared" si="2"/>
        <v>0</v>
      </c>
      <c r="T44" s="67">
        <f t="shared" si="3"/>
        <v>0</v>
      </c>
    </row>
    <row r="45" spans="1:20" ht="24.95" customHeight="1" x14ac:dyDescent="0.2">
      <c r="A45" s="20"/>
      <c r="B45" s="23">
        <f>(COUNTIF('2S EXPRESS'!$A$7:$A$50,JSL!A45))+(COUNTIF('2 ZT'!$A$7:$A$50,JSL!A45))+(COUNTIF('GO TRANSPORT'!$A$7:$A$50,JSL!A45))+(COUNTIF('HMZ - KAIS'!$A$7:$A$50,JSL!A45))+(COUNTIF('IB TRANSPORT'!$A$7:$A$50,JSL!A45))+(COUNTIF(JSL!$A$7:$A$50,JSL!A45))+(COUNTIF(KIFAITOUT!$A$7:$A$50,JSL!A45))+(COUNTIF('LUXE DRIVE'!$A$7:$A$50,JSL!A45))+(COUNTIF(SSN!$A$7:$A$50,JSL!A45))+(COUNTIF('W3'!$A$7:$A$50,JSL!A45))+(COUNTIF('ATHIS MONS'!$A$7:$A$50,JSL!A45))+(COUNTIF('L HAY LES ROSES'!$A$7:$A$50,JSL!A45))+(COUNTIF(RUNGIS!$A$7:$A$50,JSL!A45))+(COUNTIF(SCEAUX!$A$7:$A$50,JSL!A45))+(COUNTIF('INSTANCE C1'!$A$7:$A$50,JSL!A45))+(COUNTIF('INSTANCE C2'!$A$7:$A$50,JSL!A45))+(COUNTIF(INTERNES!$A$7:$A$50,JSL!A45))+(COUNTIF('EN PANNE'!$A$7:$A$50,JSL!A45))+(COUNTIF(TJM!$A$7:$A$50,JSL!A45))-C45</f>
        <v>0</v>
      </c>
      <c r="C45" s="23">
        <f>(COUNTIF('2S EXPRESS'!$G$7:$G$50,JSL!A45))+(COUNTIF('2 ZT'!$G$7:$G$50,JSL!A45))+(COUNTIF('GO TRANSPORT'!$G$7:$G$50,JSL!A45))+(COUNTIF(JSL!$G$7:$G$50,JSL!A45))+(COUNTIF('IB TRANSPORT'!$G$7:$G$50,JSL!A45))+(COUNTIF(JSL!$G$7:$G$50,JSL!A45))+(COUNTIF(KIFAITOUT!$G$7:$G$50,JSL!A45))+(COUNTIF('LUXE DRIVE'!$G$7:$G$50,JSL!A45))+(COUNTIF(SSN!$G$7:$G$50,JSL!A45))+(COUNTIF('W3'!$G$7:$G$50,JSL!A45))+(COUNTIF('ATHIS MONS'!$G$7:$G$50,JSL!A45))+(COUNTIF('L HAY LES ROSES'!$G$7:$G$50,JSL!A45))+(COUNTIF(RUNGIS!$G$7:$G$50,JSL!A45))+(COUNTIF(SCEAUX!$G$7:$G$50,JSL!A45))+(COUNTIF('INSTANCE C1'!$G$7:$G$50,JSL!A45))+(COUNTIF('INSTANCE C2'!$G$7:$G$50,JSL!A45))+(COUNTIF(INTERNES!$G$7:$G$50,JSL!A45))+(COUNTIF('EN PANNE'!$G$7:$G$50,JSL!A45))+(COUNTIF(TJM!$G$7:$G$50,JSL!A45))</f>
        <v>0</v>
      </c>
      <c r="D45" s="28">
        <f t="shared" si="0"/>
        <v>0</v>
      </c>
      <c r="E45" s="2"/>
      <c r="F45" s="6">
        <f t="shared" si="1"/>
        <v>0</v>
      </c>
      <c r="G45" s="20"/>
      <c r="H45" s="23">
        <f>(COUNTIF('2S EXPRESS'!$G$7:$G$50,JSL!G45))+(COUNTIF('2 ZT'!$G$7:$G$50,JSL!G45))+(COUNTIF('GO TRANSPORT'!$G$7:$G$50,JSL!G45))+(COUNTIF('HMZ - KAIS'!$G$7:$G$50,JSL!G45))+(COUNTIF('IB TRANSPORT'!$G$7:$G$50,JSL!G45))+(COUNTIF(JSL!$G$7:$G$50,JSL!G45))+(COUNTIF(KIFAITOUT!$G$7:$G$50,JSL!G45))+(COUNTIF('LUXE DRIVE'!$G$7:$G$50,JSL!G45))+(COUNTIF(SSN!$G$7:$G$50,JSL!G45))+(COUNTIF('W3'!$G$7:$G$50,JSL!G45))+(COUNTIF('ATHIS MONS'!$G$7:$G$50,JSL!G45))+(COUNTIF('L HAY LES ROSES'!$G$7:$G$50,JSL!G45))+(COUNTIF(RUNGIS!$G$7:$G$50,JSL!G45))+(COUNTIF(SCEAUX!$G$7:$G$50,JSL!G45))+(COUNTIF('INSTANCE C1'!$G$7:$G$50,JSL!G45))+(COUNTIF('INSTANCE C2'!$G$7:$G$50,JSL!G45))+(COUNTIF(INTERNES!$G$7:$G$50,JSL!G45))+(COUNTIF('EN PANNE'!$G$7:$G$50,JSL!G45))+(COUNTIF(TJM!$G$7:$G$50,JSL!G45))-I45</f>
        <v>0</v>
      </c>
      <c r="I45" s="23">
        <f>(COUNTIF('2S EXPRESS'!$A$7:$A$50,JSL!G45))+(COUNTIF('2 ZT'!$A$7:$A$50,JSL!G45))+(COUNTIF('GO TRANSPORT'!$A$7:$A$50,JSL!G45))+(COUNTIF('HMZ - KAIS'!$A$7:$A$50,JSL!G45))+(COUNTIF('IB TRANSPORT'!$A$7:$A$50,JSL!G45))+(COUNTIF(JSL!$A$7:$A$50,JSL!G45))+(COUNTIF(KIFAITOUT!$A$7:$A$50,JSL!G45))+(COUNTIF('LUXE DRIVE'!$A$7:$A$50,JSL!G45))+(COUNTIF(SSN!$A$7:$A$50,JSL!G45))+(COUNTIF('W3'!$A$7:$A$50,JSL!G45))+(COUNTIF('ATHIS MONS'!$A$7:$A$50,JSL!G45))+(COUNTIF('L HAY LES ROSES'!$A$7:$A$50,JSL!G45))+(COUNTIF(RUNGIS!$A$7:$A$50,JSL!G45))+(COUNTIF(SCEAUX!$A$7:$A$50,JSL!G45))+(COUNTIF('INSTANCE C1'!$A$7:$A$50,JSL!G45))+(COUNTIF('INSTANCE C2'!$A$7:$A$50,JSL!G45))+(COUNTIF(INTERNES!$A$7:$A$50,JSL!G45))+(COUNTIF('EN PANNE'!$A$7:$A$50,JSL!G45))+(COUNTIF(TJM!$A$7:$A$50,JSL!G45))</f>
        <v>0</v>
      </c>
      <c r="J45" s="28">
        <f t="shared" si="4"/>
        <v>0</v>
      </c>
      <c r="K45" s="2"/>
      <c r="L45" s="47"/>
      <c r="S45" s="60">
        <f t="shared" si="2"/>
        <v>0</v>
      </c>
      <c r="T45" s="67">
        <f t="shared" si="3"/>
        <v>0</v>
      </c>
    </row>
    <row r="46" spans="1:20" ht="24.95" customHeight="1" x14ac:dyDescent="0.2">
      <c r="A46" s="20"/>
      <c r="B46" s="23">
        <f>(COUNTIF('2S EXPRESS'!$A$7:$A$50,JSL!A46))+(COUNTIF('2 ZT'!$A$7:$A$50,JSL!A46))+(COUNTIF('GO TRANSPORT'!$A$7:$A$50,JSL!A46))+(COUNTIF('HMZ - KAIS'!$A$7:$A$50,JSL!A46))+(COUNTIF('IB TRANSPORT'!$A$7:$A$50,JSL!A46))+(COUNTIF(JSL!$A$7:$A$50,JSL!A46))+(COUNTIF(KIFAITOUT!$A$7:$A$50,JSL!A46))+(COUNTIF('LUXE DRIVE'!$A$7:$A$50,JSL!A46))+(COUNTIF(SSN!$A$7:$A$50,JSL!A46))+(COUNTIF('W3'!$A$7:$A$50,JSL!A46))+(COUNTIF('ATHIS MONS'!$A$7:$A$50,JSL!A46))+(COUNTIF('L HAY LES ROSES'!$A$7:$A$50,JSL!A46))+(COUNTIF(RUNGIS!$A$7:$A$50,JSL!A46))+(COUNTIF(SCEAUX!$A$7:$A$50,JSL!A46))+(COUNTIF('INSTANCE C1'!$A$7:$A$50,JSL!A46))+(COUNTIF('INSTANCE C2'!$A$7:$A$50,JSL!A46))+(COUNTIF(INTERNES!$A$7:$A$50,JSL!A46))+(COUNTIF('EN PANNE'!$A$7:$A$50,JSL!A46))+(COUNTIF(TJM!$A$7:$A$50,JSL!A46))-C46</f>
        <v>0</v>
      </c>
      <c r="C46" s="23">
        <f>(COUNTIF('2S EXPRESS'!$G$7:$G$50,JSL!A46))+(COUNTIF('2 ZT'!$G$7:$G$50,JSL!A46))+(COUNTIF('GO TRANSPORT'!$G$7:$G$50,JSL!A46))+(COUNTIF(JSL!$G$7:$G$50,JSL!A46))+(COUNTIF('IB TRANSPORT'!$G$7:$G$50,JSL!A46))+(COUNTIF(JSL!$G$7:$G$50,JSL!A46))+(COUNTIF(KIFAITOUT!$G$7:$G$50,JSL!A46))+(COUNTIF('LUXE DRIVE'!$G$7:$G$50,JSL!A46))+(COUNTIF(SSN!$G$7:$G$50,JSL!A46))+(COUNTIF('W3'!$G$7:$G$50,JSL!A46))+(COUNTIF('ATHIS MONS'!$G$7:$G$50,JSL!A46))+(COUNTIF('L HAY LES ROSES'!$G$7:$G$50,JSL!A46))+(COUNTIF(RUNGIS!$G$7:$G$50,JSL!A46))+(COUNTIF(SCEAUX!$G$7:$G$50,JSL!A46))+(COUNTIF('INSTANCE C1'!$G$7:$G$50,JSL!A46))+(COUNTIF('INSTANCE C2'!$G$7:$G$50,JSL!A46))+(COUNTIF(INTERNES!$G$7:$G$50,JSL!A46))+(COUNTIF('EN PANNE'!$G$7:$G$50,JSL!A46))+(COUNTIF(TJM!$G$7:$G$50,JSL!A46))</f>
        <v>0</v>
      </c>
      <c r="D46" s="28">
        <f t="shared" si="0"/>
        <v>0</v>
      </c>
      <c r="E46" s="2"/>
      <c r="F46" s="6">
        <f t="shared" si="1"/>
        <v>0</v>
      </c>
      <c r="G46" s="20"/>
      <c r="H46" s="23">
        <f>(COUNTIF('2S EXPRESS'!$G$7:$G$50,JSL!G46))+(COUNTIF('2 ZT'!$G$7:$G$50,JSL!G46))+(COUNTIF('GO TRANSPORT'!$G$7:$G$50,JSL!G46))+(COUNTIF('HMZ - KAIS'!$G$7:$G$50,JSL!G46))+(COUNTIF('IB TRANSPORT'!$G$7:$G$50,JSL!G46))+(COUNTIF(JSL!$G$7:$G$50,JSL!G46))+(COUNTIF(KIFAITOUT!$G$7:$G$50,JSL!G46))+(COUNTIF('LUXE DRIVE'!$G$7:$G$50,JSL!G46))+(COUNTIF(SSN!$G$7:$G$50,JSL!G46))+(COUNTIF('W3'!$G$7:$G$50,JSL!G46))+(COUNTIF('ATHIS MONS'!$G$7:$G$50,JSL!G46))+(COUNTIF('L HAY LES ROSES'!$G$7:$G$50,JSL!G46))+(COUNTIF(RUNGIS!$G$7:$G$50,JSL!G46))+(COUNTIF(SCEAUX!$G$7:$G$50,JSL!G46))+(COUNTIF('INSTANCE C1'!$G$7:$G$50,JSL!G46))+(COUNTIF('INSTANCE C2'!$G$7:$G$50,JSL!G46))+(COUNTIF(INTERNES!$G$7:$G$50,JSL!G46))+(COUNTIF('EN PANNE'!$G$7:$G$50,JSL!G46))+(COUNTIF(TJM!$G$7:$G$50,JSL!G46))-I46</f>
        <v>0</v>
      </c>
      <c r="I46" s="23">
        <f>(COUNTIF('2S EXPRESS'!$A$7:$A$50,JSL!G46))+(COUNTIF('2 ZT'!$A$7:$A$50,JSL!G46))+(COUNTIF('GO TRANSPORT'!$A$7:$A$50,JSL!G46))+(COUNTIF('HMZ - KAIS'!$A$7:$A$50,JSL!G46))+(COUNTIF('IB TRANSPORT'!$A$7:$A$50,JSL!G46))+(COUNTIF(JSL!$A$7:$A$50,JSL!G46))+(COUNTIF(KIFAITOUT!$A$7:$A$50,JSL!G46))+(COUNTIF('LUXE DRIVE'!$A$7:$A$50,JSL!G46))+(COUNTIF(SSN!$A$7:$A$50,JSL!G46))+(COUNTIF('W3'!$A$7:$A$50,JSL!G46))+(COUNTIF('ATHIS MONS'!$A$7:$A$50,JSL!G46))+(COUNTIF('L HAY LES ROSES'!$A$7:$A$50,JSL!G46))+(COUNTIF(RUNGIS!$A$7:$A$50,JSL!G46))+(COUNTIF(SCEAUX!$A$7:$A$50,JSL!G46))+(COUNTIF('INSTANCE C1'!$A$7:$A$50,JSL!G46))+(COUNTIF('INSTANCE C2'!$A$7:$A$50,JSL!G46))+(COUNTIF(INTERNES!$A$7:$A$50,JSL!G46))+(COUNTIF('EN PANNE'!$A$7:$A$50,JSL!G46))+(COUNTIF(TJM!$A$7:$A$50,JSL!G46))</f>
        <v>0</v>
      </c>
      <c r="J46" s="28">
        <f t="shared" si="4"/>
        <v>0</v>
      </c>
      <c r="K46" s="2"/>
      <c r="L46" s="47"/>
      <c r="S46" s="60">
        <f t="shared" si="2"/>
        <v>0</v>
      </c>
      <c r="T46" s="67">
        <f t="shared" si="3"/>
        <v>0</v>
      </c>
    </row>
    <row r="47" spans="1:20" ht="24.95" customHeight="1" x14ac:dyDescent="0.2">
      <c r="A47" s="20"/>
      <c r="B47" s="23">
        <f>(COUNTIF('2S EXPRESS'!$A$7:$A$50,JSL!A47))+(COUNTIF('2 ZT'!$A$7:$A$50,JSL!A47))+(COUNTIF('GO TRANSPORT'!$A$7:$A$50,JSL!A47))+(COUNTIF('HMZ - KAIS'!$A$7:$A$50,JSL!A47))+(COUNTIF('IB TRANSPORT'!$A$7:$A$50,JSL!A47))+(COUNTIF(JSL!$A$7:$A$50,JSL!A47))+(COUNTIF(KIFAITOUT!$A$7:$A$50,JSL!A47))+(COUNTIF('LUXE DRIVE'!$A$7:$A$50,JSL!A47))+(COUNTIF(SSN!$A$7:$A$50,JSL!A47))+(COUNTIF('W3'!$A$7:$A$50,JSL!A47))+(COUNTIF('ATHIS MONS'!$A$7:$A$50,JSL!A47))+(COUNTIF('L HAY LES ROSES'!$A$7:$A$50,JSL!A47))+(COUNTIF(RUNGIS!$A$7:$A$50,JSL!A47))+(COUNTIF(SCEAUX!$A$7:$A$50,JSL!A47))+(COUNTIF('INSTANCE C1'!$A$7:$A$50,JSL!A47))+(COUNTIF('INSTANCE C2'!$A$7:$A$50,JSL!A47))+(COUNTIF(INTERNES!$A$7:$A$50,JSL!A47))+(COUNTIF('EN PANNE'!$A$7:$A$50,JSL!A47))+(COUNTIF(TJM!$A$7:$A$50,JSL!A47))-C47</f>
        <v>0</v>
      </c>
      <c r="C47" s="23">
        <f>(COUNTIF('2S EXPRESS'!$G$7:$G$50,JSL!A47))+(COUNTIF('2 ZT'!$G$7:$G$50,JSL!A47))+(COUNTIF('GO TRANSPORT'!$G$7:$G$50,JSL!A47))+(COUNTIF(JSL!$G$7:$G$50,JSL!A47))+(COUNTIF('IB TRANSPORT'!$G$7:$G$50,JSL!A47))+(COUNTIF(JSL!$G$7:$G$50,JSL!A47))+(COUNTIF(KIFAITOUT!$G$7:$G$50,JSL!A47))+(COUNTIF('LUXE DRIVE'!$G$7:$G$50,JSL!A47))+(COUNTIF(SSN!$G$7:$G$50,JSL!A47))+(COUNTIF('W3'!$G$7:$G$50,JSL!A47))+(COUNTIF('ATHIS MONS'!$G$7:$G$50,JSL!A47))+(COUNTIF('L HAY LES ROSES'!$G$7:$G$50,JSL!A47))+(COUNTIF(RUNGIS!$G$7:$G$50,JSL!A47))+(COUNTIF(SCEAUX!$G$7:$G$50,JSL!A47))+(COUNTIF('INSTANCE C1'!$G$7:$G$50,JSL!A47))+(COUNTIF('INSTANCE C2'!$G$7:$G$50,JSL!A47))+(COUNTIF(INTERNES!$G$7:$G$50,JSL!A47))+(COUNTIF('EN PANNE'!$G$7:$G$50,JSL!A47))+(COUNTIF(TJM!$G$7:$G$50,JSL!A47))</f>
        <v>0</v>
      </c>
      <c r="D47" s="28">
        <f t="shared" si="0"/>
        <v>0</v>
      </c>
      <c r="E47" s="2"/>
      <c r="F47" s="6">
        <f t="shared" si="1"/>
        <v>0</v>
      </c>
      <c r="G47" s="20"/>
      <c r="H47" s="23">
        <f>(COUNTIF('2S EXPRESS'!$G$7:$G$50,JSL!G47))+(COUNTIF('2 ZT'!$G$7:$G$50,JSL!G47))+(COUNTIF('GO TRANSPORT'!$G$7:$G$50,JSL!G47))+(COUNTIF('HMZ - KAIS'!$G$7:$G$50,JSL!G47))+(COUNTIF('IB TRANSPORT'!$G$7:$G$50,JSL!G47))+(COUNTIF(JSL!$G$7:$G$50,JSL!G47))+(COUNTIF(KIFAITOUT!$G$7:$G$50,JSL!G47))+(COUNTIF('LUXE DRIVE'!$G$7:$G$50,JSL!G47))+(COUNTIF(SSN!$G$7:$G$50,JSL!G47))+(COUNTIF('W3'!$G$7:$G$50,JSL!G47))+(COUNTIF('ATHIS MONS'!$G$7:$G$50,JSL!G47))+(COUNTIF('L HAY LES ROSES'!$G$7:$G$50,JSL!G47))+(COUNTIF(RUNGIS!$G$7:$G$50,JSL!G47))+(COUNTIF(SCEAUX!$G$7:$G$50,JSL!G47))+(COUNTIF('INSTANCE C1'!$G$7:$G$50,JSL!G47))+(COUNTIF('INSTANCE C2'!$G$7:$G$50,JSL!G47))+(COUNTIF(INTERNES!$G$7:$G$50,JSL!G47))+(COUNTIF('EN PANNE'!$G$7:$G$50,JSL!G47))+(COUNTIF(TJM!$G$7:$G$50,JSL!G47))-I47</f>
        <v>0</v>
      </c>
      <c r="I47" s="23">
        <f>(COUNTIF('2S EXPRESS'!$A$7:$A$50,JSL!G47))+(COUNTIF('2 ZT'!$A$7:$A$50,JSL!G47))+(COUNTIF('GO TRANSPORT'!$A$7:$A$50,JSL!G47))+(COUNTIF('HMZ - KAIS'!$A$7:$A$50,JSL!G47))+(COUNTIF('IB TRANSPORT'!$A$7:$A$50,JSL!G47))+(COUNTIF(JSL!$A$7:$A$50,JSL!G47))+(COUNTIF(KIFAITOUT!$A$7:$A$50,JSL!G47))+(COUNTIF('LUXE DRIVE'!$A$7:$A$50,JSL!G47))+(COUNTIF(SSN!$A$7:$A$50,JSL!G47))+(COUNTIF('W3'!$A$7:$A$50,JSL!G47))+(COUNTIF('ATHIS MONS'!$A$7:$A$50,JSL!G47))+(COUNTIF('L HAY LES ROSES'!$A$7:$A$50,JSL!G47))+(COUNTIF(RUNGIS!$A$7:$A$50,JSL!G47))+(COUNTIF(SCEAUX!$A$7:$A$50,JSL!G47))+(COUNTIF('INSTANCE C1'!$A$7:$A$50,JSL!G47))+(COUNTIF('INSTANCE C2'!$A$7:$A$50,JSL!G47))+(COUNTIF(INTERNES!$A$7:$A$50,JSL!G47))+(COUNTIF('EN PANNE'!$A$7:$A$50,JSL!G47))+(COUNTIF(TJM!$A$7:$A$50,JSL!G47))</f>
        <v>0</v>
      </c>
      <c r="J47" s="28">
        <f t="shared" si="4"/>
        <v>0</v>
      </c>
      <c r="K47" s="2"/>
      <c r="L47" s="47"/>
      <c r="S47" s="60">
        <f t="shared" si="2"/>
        <v>0</v>
      </c>
      <c r="T47" s="67">
        <f t="shared" si="3"/>
        <v>0</v>
      </c>
    </row>
    <row r="48" spans="1:20" ht="24.95" customHeight="1" x14ac:dyDescent="0.2">
      <c r="A48" s="20"/>
      <c r="B48" s="23">
        <f>(COUNTIF('2S EXPRESS'!$A$7:$A$50,JSL!A48))+(COUNTIF('2 ZT'!$A$7:$A$50,JSL!A48))+(COUNTIF('GO TRANSPORT'!$A$7:$A$50,JSL!A48))+(COUNTIF('HMZ - KAIS'!$A$7:$A$50,JSL!A48))+(COUNTIF('IB TRANSPORT'!$A$7:$A$50,JSL!A48))+(COUNTIF(JSL!$A$7:$A$50,JSL!A48))+(COUNTIF(KIFAITOUT!$A$7:$A$50,JSL!A48))+(COUNTIF('LUXE DRIVE'!$A$7:$A$50,JSL!A48))+(COUNTIF(SSN!$A$7:$A$50,JSL!A48))+(COUNTIF('W3'!$A$7:$A$50,JSL!A48))+(COUNTIF('ATHIS MONS'!$A$7:$A$50,JSL!A48))+(COUNTIF('L HAY LES ROSES'!$A$7:$A$50,JSL!A48))+(COUNTIF(RUNGIS!$A$7:$A$50,JSL!A48))+(COUNTIF(SCEAUX!$A$7:$A$50,JSL!A48))+(COUNTIF('INSTANCE C1'!$A$7:$A$50,JSL!A48))+(COUNTIF('INSTANCE C2'!$A$7:$A$50,JSL!A48))+(COUNTIF(INTERNES!$A$7:$A$50,JSL!A48))+(COUNTIF('EN PANNE'!$A$7:$A$50,JSL!A48))+(COUNTIF(TJM!$A$7:$A$50,JSL!A48))-C48</f>
        <v>0</v>
      </c>
      <c r="C48" s="23">
        <f>(COUNTIF('2S EXPRESS'!$G$7:$G$50,JSL!A48))+(COUNTIF('2 ZT'!$G$7:$G$50,JSL!A48))+(COUNTIF('GO TRANSPORT'!$G$7:$G$50,JSL!A48))+(COUNTIF(JSL!$G$7:$G$50,JSL!A48))+(COUNTIF('IB TRANSPORT'!$G$7:$G$50,JSL!A48))+(COUNTIF(JSL!$G$7:$G$50,JSL!A48))+(COUNTIF(KIFAITOUT!$G$7:$G$50,JSL!A48))+(COUNTIF('LUXE DRIVE'!$G$7:$G$50,JSL!A48))+(COUNTIF(SSN!$G$7:$G$50,JSL!A48))+(COUNTIF('W3'!$G$7:$G$50,JSL!A48))+(COUNTIF('ATHIS MONS'!$G$7:$G$50,JSL!A48))+(COUNTIF('L HAY LES ROSES'!$G$7:$G$50,JSL!A48))+(COUNTIF(RUNGIS!$G$7:$G$50,JSL!A48))+(COUNTIF(SCEAUX!$G$7:$G$50,JSL!A48))+(COUNTIF('INSTANCE C1'!$G$7:$G$50,JSL!A48))+(COUNTIF('INSTANCE C2'!$G$7:$G$50,JSL!A48))+(COUNTIF(INTERNES!$G$7:$G$50,JSL!A48))+(COUNTIF('EN PANNE'!$G$7:$G$50,JSL!A48))+(COUNTIF(TJM!$G$7:$G$50,JSL!A48))</f>
        <v>0</v>
      </c>
      <c r="D48" s="28">
        <f t="shared" si="0"/>
        <v>0</v>
      </c>
      <c r="E48" s="2"/>
      <c r="F48" s="6">
        <f t="shared" si="1"/>
        <v>0</v>
      </c>
      <c r="G48" s="20"/>
      <c r="H48" s="23">
        <f>(COUNTIF('2S EXPRESS'!$G$7:$G$50,JSL!G48))+(COUNTIF('2 ZT'!$G$7:$G$50,JSL!G48))+(COUNTIF('GO TRANSPORT'!$G$7:$G$50,JSL!G48))+(COUNTIF('HMZ - KAIS'!$G$7:$G$50,JSL!G48))+(COUNTIF('IB TRANSPORT'!$G$7:$G$50,JSL!G48))+(COUNTIF(JSL!$G$7:$G$50,JSL!G48))+(COUNTIF(KIFAITOUT!$G$7:$G$50,JSL!G48))+(COUNTIF('LUXE DRIVE'!$G$7:$G$50,JSL!G48))+(COUNTIF(SSN!$G$7:$G$50,JSL!G48))+(COUNTIF('W3'!$G$7:$G$50,JSL!G48))+(COUNTIF('ATHIS MONS'!$G$7:$G$50,JSL!G48))+(COUNTIF('L HAY LES ROSES'!$G$7:$G$50,JSL!G48))+(COUNTIF(RUNGIS!$G$7:$G$50,JSL!G48))+(COUNTIF(SCEAUX!$G$7:$G$50,JSL!G48))+(COUNTIF('INSTANCE C1'!$G$7:$G$50,JSL!G48))+(COUNTIF('INSTANCE C2'!$G$7:$G$50,JSL!G48))+(COUNTIF(INTERNES!$G$7:$G$50,JSL!G48))+(COUNTIF('EN PANNE'!$G$7:$G$50,JSL!G48))+(COUNTIF(TJM!$G$7:$G$50,JSL!G48))-I48</f>
        <v>0</v>
      </c>
      <c r="I48" s="23">
        <f>(COUNTIF('2S EXPRESS'!$A$7:$A$50,JSL!G48))+(COUNTIF('2 ZT'!$A$7:$A$50,JSL!G48))+(COUNTIF('GO TRANSPORT'!$A$7:$A$50,JSL!G48))+(COUNTIF('HMZ - KAIS'!$A$7:$A$50,JSL!G48))+(COUNTIF('IB TRANSPORT'!$A$7:$A$50,JSL!G48))+(COUNTIF(JSL!$A$7:$A$50,JSL!G48))+(COUNTIF(KIFAITOUT!$A$7:$A$50,JSL!G48))+(COUNTIF('LUXE DRIVE'!$A$7:$A$50,JSL!G48))+(COUNTIF(SSN!$A$7:$A$50,JSL!G48))+(COUNTIF('W3'!$A$7:$A$50,JSL!G48))+(COUNTIF('ATHIS MONS'!$A$7:$A$50,JSL!G48))+(COUNTIF('L HAY LES ROSES'!$A$7:$A$50,JSL!G48))+(COUNTIF(RUNGIS!$A$7:$A$50,JSL!G48))+(COUNTIF(SCEAUX!$A$7:$A$50,JSL!G48))+(COUNTIF('INSTANCE C1'!$A$7:$A$50,JSL!G48))+(COUNTIF('INSTANCE C2'!$A$7:$A$50,JSL!G48))+(COUNTIF(INTERNES!$A$7:$A$50,JSL!G48))+(COUNTIF('EN PANNE'!$A$7:$A$50,JSL!G48))+(COUNTIF(TJM!$A$7:$A$50,JSL!G48))</f>
        <v>0</v>
      </c>
      <c r="J48" s="28">
        <f t="shared" si="4"/>
        <v>0</v>
      </c>
      <c r="K48" s="2"/>
      <c r="L48" s="47"/>
      <c r="S48" s="60">
        <f t="shared" si="2"/>
        <v>0</v>
      </c>
      <c r="T48" s="67">
        <f t="shared" si="3"/>
        <v>0</v>
      </c>
    </row>
    <row r="49" spans="1:20" ht="24.95" customHeight="1" x14ac:dyDescent="0.2">
      <c r="A49" s="20"/>
      <c r="B49" s="23">
        <f>(COUNTIF('2S EXPRESS'!$A$7:$A$50,JSL!A49))+(COUNTIF('2 ZT'!$A$7:$A$50,JSL!A49))+(COUNTIF('GO TRANSPORT'!$A$7:$A$50,JSL!A49))+(COUNTIF('HMZ - KAIS'!$A$7:$A$50,JSL!A49))+(COUNTIF('IB TRANSPORT'!$A$7:$A$50,JSL!A49))+(COUNTIF(JSL!$A$7:$A$50,JSL!A49))+(COUNTIF(KIFAITOUT!$A$7:$A$50,JSL!A49))+(COUNTIF('LUXE DRIVE'!$A$7:$A$50,JSL!A49))+(COUNTIF(SSN!$A$7:$A$50,JSL!A49))+(COUNTIF('W3'!$A$7:$A$50,JSL!A49))+(COUNTIF('ATHIS MONS'!$A$7:$A$50,JSL!A49))+(COUNTIF('L HAY LES ROSES'!$A$7:$A$50,JSL!A49))+(COUNTIF(RUNGIS!$A$7:$A$50,JSL!A49))+(COUNTIF(SCEAUX!$A$7:$A$50,JSL!A49))+(COUNTIF('INSTANCE C1'!$A$7:$A$50,JSL!A49))+(COUNTIF('INSTANCE C2'!$A$7:$A$50,JSL!A49))+(COUNTIF(INTERNES!$A$7:$A$50,JSL!A49))+(COUNTIF('EN PANNE'!$A$7:$A$50,JSL!A49))+(COUNTIF(TJM!$A$7:$A$50,JSL!A49))-C49</f>
        <v>0</v>
      </c>
      <c r="C49" s="23">
        <f>(COUNTIF('2S EXPRESS'!$G$7:$G$50,JSL!A49))+(COUNTIF('2 ZT'!$G$7:$G$50,JSL!A49))+(COUNTIF('GO TRANSPORT'!$G$7:$G$50,JSL!A49))+(COUNTIF(JSL!$G$7:$G$50,JSL!A49))+(COUNTIF('IB TRANSPORT'!$G$7:$G$50,JSL!A49))+(COUNTIF(JSL!$G$7:$G$50,JSL!A49))+(COUNTIF(KIFAITOUT!$G$7:$G$50,JSL!A49))+(COUNTIF('LUXE DRIVE'!$G$7:$G$50,JSL!A49))+(COUNTIF(SSN!$G$7:$G$50,JSL!A49))+(COUNTIF('W3'!$G$7:$G$50,JSL!A49))+(COUNTIF('ATHIS MONS'!$G$7:$G$50,JSL!A49))+(COUNTIF('L HAY LES ROSES'!$G$7:$G$50,JSL!A49))+(COUNTIF(RUNGIS!$G$7:$G$50,JSL!A49))+(COUNTIF(SCEAUX!$G$7:$G$50,JSL!A49))+(COUNTIF('INSTANCE C1'!$G$7:$G$50,JSL!A49))+(COUNTIF('INSTANCE C2'!$G$7:$G$50,JSL!A49))+(COUNTIF(INTERNES!$G$7:$G$50,JSL!A49))+(COUNTIF('EN PANNE'!$G$7:$G$50,JSL!A49))+(COUNTIF(TJM!$G$7:$G$50,JSL!A49))</f>
        <v>0</v>
      </c>
      <c r="D49" s="28">
        <f t="shared" si="0"/>
        <v>0</v>
      </c>
      <c r="E49" s="2"/>
      <c r="F49" s="6">
        <f t="shared" si="1"/>
        <v>0</v>
      </c>
      <c r="G49" s="20"/>
      <c r="H49" s="23">
        <f>(COUNTIF('2S EXPRESS'!$G$7:$G$50,JSL!G49))+(COUNTIF('2 ZT'!$G$7:$G$50,JSL!G49))+(COUNTIF('GO TRANSPORT'!$G$7:$G$50,JSL!G49))+(COUNTIF('HMZ - KAIS'!$G$7:$G$50,JSL!G49))+(COUNTIF('IB TRANSPORT'!$G$7:$G$50,JSL!G49))+(COUNTIF(JSL!$G$7:$G$50,JSL!G49))+(COUNTIF(KIFAITOUT!$G$7:$G$50,JSL!G49))+(COUNTIF('LUXE DRIVE'!$G$7:$G$50,JSL!G49))+(COUNTIF(SSN!$G$7:$G$50,JSL!G49))+(COUNTIF('W3'!$G$7:$G$50,JSL!G49))+(COUNTIF('ATHIS MONS'!$G$7:$G$50,JSL!G49))+(COUNTIF('L HAY LES ROSES'!$G$7:$G$50,JSL!G49))+(COUNTIF(RUNGIS!$G$7:$G$50,JSL!G49))+(COUNTIF(SCEAUX!$G$7:$G$50,JSL!G49))+(COUNTIF('INSTANCE C1'!$G$7:$G$50,JSL!G49))+(COUNTIF('INSTANCE C2'!$G$7:$G$50,JSL!G49))+(COUNTIF(INTERNES!$G$7:$G$50,JSL!G49))+(COUNTIF('EN PANNE'!$G$7:$G$50,JSL!G49))+(COUNTIF(TJM!$G$7:$G$50,JSL!G49))-I49</f>
        <v>0</v>
      </c>
      <c r="I49" s="23">
        <f>(COUNTIF('2S EXPRESS'!$A$7:$A$50,JSL!G49))+(COUNTIF('2 ZT'!$A$7:$A$50,JSL!G49))+(COUNTIF('GO TRANSPORT'!$A$7:$A$50,JSL!G49))+(COUNTIF('HMZ - KAIS'!$A$7:$A$50,JSL!G49))+(COUNTIF('IB TRANSPORT'!$A$7:$A$50,JSL!G49))+(COUNTIF(JSL!$A$7:$A$50,JSL!G49))+(COUNTIF(KIFAITOUT!$A$7:$A$50,JSL!G49))+(COUNTIF('LUXE DRIVE'!$A$7:$A$50,JSL!G49))+(COUNTIF(SSN!$A$7:$A$50,JSL!G49))+(COUNTIF('W3'!$A$7:$A$50,JSL!G49))+(COUNTIF('ATHIS MONS'!$A$7:$A$50,JSL!G49))+(COUNTIF('L HAY LES ROSES'!$A$7:$A$50,JSL!G49))+(COUNTIF(RUNGIS!$A$7:$A$50,JSL!G49))+(COUNTIF(SCEAUX!$A$7:$A$50,JSL!G49))+(COUNTIF('INSTANCE C1'!$A$7:$A$50,JSL!G49))+(COUNTIF('INSTANCE C2'!$A$7:$A$50,JSL!G49))+(COUNTIF(INTERNES!$A$7:$A$50,JSL!G49))+(COUNTIF('EN PANNE'!$A$7:$A$50,JSL!G49))+(COUNTIF(TJM!$A$7:$A$50,JSL!G49))</f>
        <v>0</v>
      </c>
      <c r="J49" s="28">
        <f t="shared" si="4"/>
        <v>0</v>
      </c>
      <c r="K49" s="2"/>
      <c r="L49" s="47"/>
      <c r="S49" s="60">
        <f t="shared" si="2"/>
        <v>0</v>
      </c>
      <c r="T49" s="67">
        <f t="shared" si="3"/>
        <v>0</v>
      </c>
    </row>
    <row r="50" spans="1:20" ht="24.95" customHeight="1" thickBot="1" x14ac:dyDescent="0.25">
      <c r="A50" s="20"/>
      <c r="B50" s="25">
        <f>(COUNTIF('2S EXPRESS'!$A$7:$A$50,JSL!A50))+(COUNTIF('2 ZT'!$A$7:$A$50,JSL!A50))+(COUNTIF('GO TRANSPORT'!$A$7:$A$50,JSL!A50))+(COUNTIF('HMZ - KAIS'!$A$7:$A$50,JSL!A50))+(COUNTIF('IB TRANSPORT'!$A$7:$A$50,JSL!A50))+(COUNTIF(JSL!$A$7:$A$50,JSL!A50))+(COUNTIF(KIFAITOUT!$A$7:$A$50,JSL!A50))+(COUNTIF('LUXE DRIVE'!$A$7:$A$50,JSL!A50))+(COUNTIF(SSN!$A$7:$A$50,JSL!A50))+(COUNTIF('W3'!$A$7:$A$50,JSL!A50))+(COUNTIF('ATHIS MONS'!$A$7:$A$50,JSL!A50))+(COUNTIF('L HAY LES ROSES'!$A$7:$A$50,JSL!A50))+(COUNTIF(RUNGIS!$A$7:$A$50,JSL!A50))+(COUNTIF(SCEAUX!$A$7:$A$50,JSL!A50))+(COUNTIF('INSTANCE C1'!$A$7:$A$50,JSL!A50))+(COUNTIF('INSTANCE C2'!$A$7:$A$50,JSL!A50))+(COUNTIF(INTERNES!$A$7:$A$50,JSL!A50))+(COUNTIF('EN PANNE'!$A$7:$A$50,JSL!A50))+(COUNTIF(TJM!$A$7:$A$50,JSL!A50))-C50</f>
        <v>0</v>
      </c>
      <c r="C50" s="23">
        <f>(COUNTIF('2S EXPRESS'!$G$7:$G$50,JSL!A50))+(COUNTIF('2 ZT'!$G$7:$G$50,JSL!A50))+(COUNTIF('GO TRANSPORT'!$G$7:$G$50,JSL!A50))+(COUNTIF(JSL!$G$7:$G$50,JSL!A50))+(COUNTIF('IB TRANSPORT'!$G$7:$G$50,JSL!A50))+(COUNTIF(JSL!$G$7:$G$50,JSL!A50))+(COUNTIF(KIFAITOUT!$G$7:$G$50,JSL!A50))+(COUNTIF('LUXE DRIVE'!$G$7:$G$50,JSL!A50))+(COUNTIF(SSN!$G$7:$G$50,JSL!A50))+(COUNTIF('W3'!$G$7:$G$50,JSL!A50))+(COUNTIF('ATHIS MONS'!$G$7:$G$50,JSL!A50))+(COUNTIF('L HAY LES ROSES'!$G$7:$G$50,JSL!A50))+(COUNTIF(RUNGIS!$G$7:$G$50,JSL!A50))+(COUNTIF(SCEAUX!$G$7:$G$50,JSL!A50))+(COUNTIF('INSTANCE C1'!$G$7:$G$50,JSL!A50))+(COUNTIF('INSTANCE C2'!$G$7:$G$50,JSL!A50))+(COUNTIF(INTERNES!$G$7:$G$50,JSL!A50))+(COUNTIF('EN PANNE'!$G$7:$G$50,JSL!A50))+(COUNTIF(TJM!$G$7:$G$50,JSL!A50))</f>
        <v>0</v>
      </c>
      <c r="D50" s="29">
        <f t="shared" si="0"/>
        <v>0</v>
      </c>
      <c r="E50" s="3"/>
      <c r="F50" s="7">
        <f t="shared" si="1"/>
        <v>0</v>
      </c>
      <c r="G50" s="20"/>
      <c r="H50" s="25">
        <f>(COUNTIF('2S EXPRESS'!$G$7:$G$50,JSL!G50))+(COUNTIF('2 ZT'!$G$7:$G$50,JSL!G50))+(COUNTIF('GO TRANSPORT'!$G$7:$G$50,JSL!G50))+(COUNTIF('HMZ - KAIS'!$G$7:$G$50,JSL!G50))+(COUNTIF('IB TRANSPORT'!$G$7:$G$50,JSL!G50))+(COUNTIF(JSL!$G$7:$G$50,JSL!G50))+(COUNTIF(KIFAITOUT!$G$7:$G$50,JSL!G50))+(COUNTIF('LUXE DRIVE'!$G$7:$G$50,JSL!G50))+(COUNTIF(SSN!$G$7:$G$50,JSL!G50))+(COUNTIF('W3'!$G$7:$G$50,JSL!G50))+(COUNTIF('ATHIS MONS'!$G$7:$G$50,JSL!G50))+(COUNTIF('L HAY LES ROSES'!$G$7:$G$50,JSL!G50))+(COUNTIF(RUNGIS!$G$7:$G$50,JSL!G50))+(COUNTIF(SCEAUX!$G$7:$G$50,JSL!G50))+(COUNTIF('INSTANCE C1'!$G$7:$G$50,JSL!G50))+(COUNTIF('INSTANCE C2'!$G$7:$G$50,JSL!G50))+(COUNTIF(INTERNES!$G$7:$G$50,JSL!G50))+(COUNTIF('EN PANNE'!$G$7:$G$50,JSL!G50))+(COUNTIF(TJM!$G$7:$G$50,JSL!G50))-I50</f>
        <v>0</v>
      </c>
      <c r="I50" s="25">
        <f>(COUNTIF('2S EXPRESS'!$A$7:$A$50,JSL!G50))+(COUNTIF('2 ZT'!$A$7:$A$50,JSL!G50))+(COUNTIF('GO TRANSPORT'!$A$7:$A$50,JSL!G50))+(COUNTIF('HMZ - KAIS'!$A$7:$A$50,JSL!G50))+(COUNTIF('IB TRANSPORT'!$A$7:$A$50,JSL!G50))+(COUNTIF(JSL!$A$7:$A$50,JSL!G50))+(COUNTIF(KIFAITOUT!$A$7:$A$50,JSL!G50))+(COUNTIF('LUXE DRIVE'!$A$7:$A$50,JSL!G50))+(COUNTIF(SSN!$A$7:$A$50,JSL!G50))+(COUNTIF('W3'!$A$7:$A$50,JSL!G50))+(COUNTIF('ATHIS MONS'!$A$7:$A$50,JSL!G50))+(COUNTIF('L HAY LES ROSES'!$A$7:$A$50,JSL!G50))+(COUNTIF(RUNGIS!$A$7:$A$50,JSL!G50))+(COUNTIF(SCEAUX!$A$7:$A$50,JSL!G50))+(COUNTIF('INSTANCE C1'!$A$7:$A$50,JSL!G50))+(COUNTIF('INSTANCE C2'!$A$7:$A$50,JSL!G50))+(COUNTIF(INTERNES!$A$7:$A$50,JSL!G50))+(COUNTIF('EN PANNE'!$A$7:$A$50,JSL!G50))+(COUNTIF(TJM!$A$7:$A$50,JSL!G50))</f>
        <v>0</v>
      </c>
      <c r="J50" s="29">
        <f t="shared" si="4"/>
        <v>0</v>
      </c>
      <c r="K50" s="3"/>
      <c r="L50" s="47"/>
      <c r="S50" s="60">
        <f t="shared" si="2"/>
        <v>0</v>
      </c>
      <c r="T50" s="67">
        <f t="shared" si="3"/>
        <v>0</v>
      </c>
    </row>
    <row r="51" spans="1:20" x14ac:dyDescent="0.2">
      <c r="A51" s="9"/>
    </row>
    <row r="52" spans="1:20" x14ac:dyDescent="0.2">
      <c r="A52" s="9"/>
    </row>
    <row r="53" spans="1:20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</row>
  </sheetData>
  <mergeCells count="13">
    <mergeCell ref="M12:P12"/>
    <mergeCell ref="B2:E3"/>
    <mergeCell ref="G2:K3"/>
    <mergeCell ref="A4:E4"/>
    <mergeCell ref="G4:K4"/>
    <mergeCell ref="G5:G6"/>
    <mergeCell ref="K5:K6"/>
    <mergeCell ref="M8:P8"/>
    <mergeCell ref="M9:P9"/>
    <mergeCell ref="M11:P11"/>
    <mergeCell ref="E5:E6"/>
    <mergeCell ref="F5:F6"/>
    <mergeCell ref="A5:A6"/>
  </mergeCells>
  <conditionalFormatting sqref="F7:F50">
    <cfRule type="cellIs" dxfId="141" priority="10" operator="equal">
      <formula>1</formula>
    </cfRule>
  </conditionalFormatting>
  <conditionalFormatting sqref="A7:A50">
    <cfRule type="duplicateValues" dxfId="140" priority="8"/>
  </conditionalFormatting>
  <conditionalFormatting sqref="L7:L50">
    <cfRule type="cellIs" dxfId="139" priority="7" operator="greaterThan">
      <formula>0</formula>
    </cfRule>
  </conditionalFormatting>
  <conditionalFormatting sqref="D7">
    <cfRule type="cellIs" dxfId="138" priority="6" operator="greaterThan">
      <formula>0</formula>
    </cfRule>
  </conditionalFormatting>
  <conditionalFormatting sqref="D8:D50">
    <cfRule type="cellIs" dxfId="137" priority="5" operator="greaterThan">
      <formula>0</formula>
    </cfRule>
  </conditionalFormatting>
  <conditionalFormatting sqref="G7:G50">
    <cfRule type="duplicateValues" dxfId="136" priority="4"/>
  </conditionalFormatting>
  <conditionalFormatting sqref="J7">
    <cfRule type="cellIs" dxfId="135" priority="3" operator="greaterThan">
      <formula>0</formula>
    </cfRule>
  </conditionalFormatting>
  <conditionalFormatting sqref="J8:J50">
    <cfRule type="cellIs" dxfId="134" priority="2" operator="greaterThan">
      <formula>0</formula>
    </cfRule>
  </conditionalFormatting>
  <conditionalFormatting sqref="S7:S50">
    <cfRule type="cellIs" dxfId="133" priority="1" operator="greaterThan">
      <formula>0</formula>
    </cfRule>
  </conditionalFormatting>
  <dataValidations count="1">
    <dataValidation type="list" allowBlank="1" showInputMessage="1" showErrorMessage="1" sqref="K7:K50 E7:E50" xr:uid="{2AC554AD-40B1-4810-A0E6-39EC76760088}">
      <formula1>$Q$9:$Q$17</formula1>
    </dataValidation>
  </dataValidations>
  <pageMargins left="0.25" right="0.25" top="0.75" bottom="0.75" header="0.3" footer="0.3"/>
  <pageSetup paperSize="9" scale="88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F7D8BF0E-A80A-491B-BE22-BD9D5F49AA9A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>
    <tabColor rgb="FF92D050"/>
    <pageSetUpPr fitToPage="1"/>
  </sheetPr>
  <dimension ref="A1:Z53"/>
  <sheetViews>
    <sheetView showGridLines="0" zoomScaleNormal="100" workbookViewId="0">
      <selection activeCell="E7" sqref="E7"/>
    </sheetView>
  </sheetViews>
  <sheetFormatPr baseColWidth="10" defaultColWidth="11.42578125" defaultRowHeight="12.75" x14ac:dyDescent="0.2"/>
  <cols>
    <col min="1" max="1" width="25.7109375" style="9" customWidth="1"/>
    <col min="2" max="3" width="10.7109375" style="9" hidden="1" customWidth="1"/>
    <col min="4" max="4" width="7.7109375" style="9" customWidth="1"/>
    <col min="5" max="5" width="50.7109375" style="9" customWidth="1"/>
    <col min="6" max="6" width="13.7109375" style="9" customWidth="1"/>
    <col min="7" max="7" width="25.7109375" style="9" customWidth="1"/>
    <col min="8" max="9" width="10.7109375" style="9" hidden="1" customWidth="1"/>
    <col min="10" max="10" width="7.7109375" style="9" customWidth="1"/>
    <col min="11" max="11" width="50.7109375" style="9" customWidth="1"/>
    <col min="12" max="16" width="7.7109375" style="9" customWidth="1"/>
    <col min="17" max="17" width="22.7109375" style="9" hidden="1" customWidth="1"/>
    <col min="18" max="18" width="18.7109375" style="56" hidden="1" customWidth="1"/>
    <col min="19" max="20" width="11.42578125" style="56" hidden="1" customWidth="1"/>
    <col min="21" max="21" width="11.42578125" style="56" customWidth="1"/>
    <col min="22" max="26" width="11.42578125" style="56"/>
    <col min="27" max="16384" width="11.42578125" style="9"/>
  </cols>
  <sheetData>
    <row r="1" spans="1:26" ht="13.5" thickBot="1" x14ac:dyDescent="0.25">
      <c r="A1" s="33"/>
      <c r="B1" s="35"/>
      <c r="C1" s="35"/>
      <c r="D1" s="35"/>
      <c r="E1" s="10"/>
      <c r="F1" s="34"/>
      <c r="I1" s="10"/>
    </row>
    <row r="2" spans="1:26" s="39" customFormat="1" ht="24.95" customHeight="1" x14ac:dyDescent="0.2">
      <c r="A2" s="36"/>
      <c r="B2" s="194" t="s">
        <v>39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1"/>
      <c r="S2" s="71"/>
      <c r="T2" s="71"/>
      <c r="U2" s="71"/>
      <c r="V2" s="71"/>
      <c r="W2" s="71"/>
      <c r="X2" s="71"/>
      <c r="Y2" s="71"/>
      <c r="Z2" s="71"/>
    </row>
    <row r="3" spans="1:26" s="39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1"/>
      <c r="S3" s="71"/>
      <c r="T3" s="71"/>
      <c r="U3" s="71"/>
      <c r="V3" s="71"/>
      <c r="W3" s="71"/>
      <c r="X3" s="71"/>
      <c r="Y3" s="71"/>
      <c r="Z3" s="71"/>
    </row>
    <row r="4" spans="1:26" s="39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1"/>
      <c r="T4" s="71"/>
      <c r="U4" s="71"/>
      <c r="V4" s="71"/>
      <c r="W4" s="71"/>
      <c r="X4" s="71"/>
      <c r="Y4" s="71"/>
      <c r="Z4" s="71"/>
    </row>
    <row r="5" spans="1:26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</row>
    <row r="6" spans="1:26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</row>
    <row r="7" spans="1:26" ht="24.95" customHeight="1" thickBot="1" x14ac:dyDescent="0.25">
      <c r="A7" s="19"/>
      <c r="B7" s="22">
        <f>(COUNTIF('2S EXPRESS'!$A$7:$A$50,KIFAITOUT!A7))+(COUNTIF('2 ZT'!$A$7:$A$50,KIFAITOUT!A7))+(COUNTIF('GO TRANSPORT'!$A$7:$A$50,KIFAITOUT!A7))+(COUNTIF('HMZ - KAIS'!$A$7:$A$50,KIFAITOUT!A7))+(COUNTIF('IB TRANSPORT'!$A$7:$A$50,KIFAITOUT!A7))+(COUNTIF(JSL!$A$7:$A$50,KIFAITOUT!A7))+(COUNTIF(KIFAITOUT!$A$7:$A$50,KIFAITOUT!A7))+(COUNTIF('LUXE DRIVE'!$A$7:$A$50,KIFAITOUT!A7))+(COUNTIF(SSN!$A$7:$A$50,KIFAITOUT!A7))+(COUNTIF('W3'!$A$7:$A$50,KIFAITOUT!A7))+(COUNTIF('ATHIS MONS'!$A$7:$A$50,KIFAITOUT!A7))+(COUNTIF('L HAY LES ROSES'!$A$7:$A$50,KIFAITOUT!A7))+(COUNTIF(RUNGIS!$A$7:$A$50,KIFAITOUT!A7))+(COUNTIF(SCEAUX!$A$7:$A$50,KIFAITOUT!A7))+(COUNTIF('INSTANCE C1'!$A$7:$A$50,KIFAITOUT!A7))+(COUNTIF('INSTANCE C2'!$A$7:$A$50,KIFAITOUT!A7))+(COUNTIF(INTERNES!$A$7:$A$50,KIFAITOUT!A7))+(COUNTIF('EN PANNE'!$A$7:$A$50,KIFAITOUT!A7))+(COUNTIF(TJM!$A$7:$A$50,KIFAITOUT!A7))-C7</f>
        <v>0</v>
      </c>
      <c r="C7" s="23">
        <f>(COUNTIF('2S EXPRESS'!$G$7:$G$50,KIFAITOUT!A7))+(COUNTIF('2 ZT'!$G$7:$G$50,KIFAITOUT!A7))+(COUNTIF('GO TRANSPORT'!$G$7:$G$50,KIFAITOUT!A7))+(COUNTIF(KIFAITOUT!$G$7:$G$50,KIFAITOUT!A7))+(COUNTIF('IB TRANSPORT'!$G$7:$G$50,KIFAITOUT!A7))+(COUNTIF(JSL!$G$7:$G$50,KIFAITOUT!A7))+(COUNTIF(KIFAITOUT!$G$7:$G$50,KIFAITOUT!A7))+(COUNTIF('LUXE DRIVE'!$G$7:$G$50,KIFAITOUT!A7))+(COUNTIF(SSN!$G$7:$G$50,KIFAITOUT!A7))+(COUNTIF('W3'!$G$7:$G$50,KIFAITOUT!A7))+(COUNTIF('ATHIS MONS'!$G$7:$G$50,KIFAITOUT!A7))+(COUNTIF('L HAY LES ROSES'!$G$7:$G$50,KIFAITOUT!A7))+(COUNTIF(RUNGIS!$G$7:$G$50,KIFAITOUT!A7))+(COUNTIF(SCEAUX!$G$7:$G$50,KIFAITOUT!A7))+(COUNTIF('INSTANCE C1'!$G$7:$G$50,KIFAITOUT!A7))+(COUNTIF('INSTANCE C2'!$G$7:$G$50,KIFAITOUT!A7))+(COUNTIF(INTERNES!$G$7:$G$50,KIFAITOUT!A7))+(COUNTIF('EN PANNE'!$G$7:$G$50,KIFAITOUT!A7))+(COUNTIF(TJM!$G$7:$G$50,KIFAITOUT!A7))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EXPRESS'!$G$7:$G$50,KIFAITOUT!G7))+(COUNTIF('2 ZT'!$G$7:$G$50,KIFAITOUT!G7))+(COUNTIF('GO TRANSPORT'!$G$7:$G$50,KIFAITOUT!G7))+(COUNTIF('HMZ - KAIS'!$G$7:$G$50,KIFAITOUT!G7))+(COUNTIF('IB TRANSPORT'!$G$7:$G$50,KIFAITOUT!G7))+(COUNTIF(JSL!$G$7:$G$50,KIFAITOUT!G7))+(COUNTIF(KIFAITOUT!$G$7:$G$50,KIFAITOUT!G7))+(COUNTIF('LUXE DRIVE'!$G$7:$G$50,KIFAITOUT!G7))+(COUNTIF(SSN!$G$7:$G$50,KIFAITOUT!G7))+(COUNTIF('W3'!$G$7:$G$50,KIFAITOUT!G7))+(COUNTIF('ATHIS MONS'!$G$7:$G$50,KIFAITOUT!G7))+(COUNTIF('L HAY LES ROSES'!$G$7:$G$50,KIFAITOUT!G7))+(COUNTIF(RUNGIS!$G$7:$G$50,KIFAITOUT!G7))+(COUNTIF(SCEAUX!$G$7:$G$50,KIFAITOUT!G7))+(COUNTIF('INSTANCE C1'!$G$7:$G$50,KIFAITOUT!G7))+(COUNTIF('INSTANCE C2'!$G$7:$G$50,KIFAITOUT!G7))+(COUNTIF(INTERNES!$G$7:$G$50,KIFAITOUT!G7))+(COUNTIF('EN PANNE'!$G$7:$G$50,KIFAITOUT!G7))+(COUNTIF(TJM!$G$7:$G$50,KIFAITOUT!G7))-I7</f>
        <v>0</v>
      </c>
      <c r="I7" s="22">
        <f>(COUNTIF('2S EXPRESS'!$A$7:$A$50,KIFAITOUT!G7))+(COUNTIF('2 ZT'!$A$7:$A$50,KIFAITOUT!G7))+(COUNTIF('GO TRANSPORT'!$A$7:$A$50,KIFAITOUT!G7))+(COUNTIF('HMZ - KAIS'!$A$7:$A$50,KIFAITOUT!G7))+(COUNTIF('IB TRANSPORT'!$A$7:$A$50,KIFAITOUT!G7))+(COUNTIF(JSL!$A$7:$A$50,KIFAITOUT!G7))+(COUNTIF(KIFAITOUT!$A$7:$A$50,KIFAITOUT!G7))+(COUNTIF('LUXE DRIVE'!$A$7:$A$50,KIFAITOUT!G7))+(COUNTIF(SSN!$A$7:$A$50,KIFAITOUT!G7))+(COUNTIF('W3'!$A$7:$A$50,KIFAITOUT!G7))+(COUNTIF('ATHIS MONS'!$A$7:$A$50,KIFAITOUT!G7))+(COUNTIF('L HAY LES ROSES'!$A$7:$A$50,KIFAITOUT!G7))+(COUNTIF(RUNGIS!$A$7:$A$50,KIFAITOUT!G7))+(COUNTIF(SCEAUX!$A$7:$A$50,KIFAITOUT!G7))+(COUNTIF('INSTANCE C1'!$A$7:$A$50,KIFAITOUT!G7))+(COUNTIF('INSTANCE C2'!$A$7:$A$50,KIFAITOUT!G7))+(COUNTIF(INTERNES!$A$7:$A$50,KIFAITOUT!G7))+(COUNTIF('EN PANNE'!$A$7:$A$50,KIFAITOUT!G7))+(COUNTIF(TJM!$A$7:$A$50,KIFAITOUT!G7))</f>
        <v>0</v>
      </c>
      <c r="J7" s="27">
        <f>IF(H7&gt;=2,1,0)</f>
        <v>0</v>
      </c>
      <c r="K7" s="1"/>
      <c r="L7" s="47"/>
      <c r="M7" s="48"/>
      <c r="O7" s="48"/>
      <c r="P7" s="48"/>
      <c r="Q7" s="48"/>
      <c r="R7" s="50"/>
      <c r="S7" s="60">
        <f t="shared" ref="S7:S50" si="1">COUNTIF($G$7:$G$50,$A7)</f>
        <v>0</v>
      </c>
      <c r="T7" s="67">
        <f t="shared" ref="T7:T50" si="2">IF($S7=1,"",$A7)</f>
        <v>0</v>
      </c>
    </row>
    <row r="8" spans="1:26" ht="24.95" customHeight="1" thickBot="1" x14ac:dyDescent="0.25">
      <c r="A8" s="20"/>
      <c r="B8" s="23">
        <f>(COUNTIF('2S EXPRESS'!$A$7:$A$50,KIFAITOUT!A8))+(COUNTIF('2 ZT'!$A$7:$A$50,KIFAITOUT!A8))+(COUNTIF('GO TRANSPORT'!$A$7:$A$50,KIFAITOUT!A8))+(COUNTIF('HMZ - KAIS'!$A$7:$A$50,KIFAITOUT!A8))+(COUNTIF('IB TRANSPORT'!$A$7:$A$50,KIFAITOUT!A8))+(COUNTIF(JSL!$A$7:$A$50,KIFAITOUT!A8))+(COUNTIF(KIFAITOUT!$A$7:$A$50,KIFAITOUT!A8))+(COUNTIF('LUXE DRIVE'!$A$7:$A$50,KIFAITOUT!A8))+(COUNTIF(SSN!$A$7:$A$50,KIFAITOUT!A8))+(COUNTIF('W3'!$A$7:$A$50,KIFAITOUT!A8))+(COUNTIF('ATHIS MONS'!$A$7:$A$50,KIFAITOUT!A8))+(COUNTIF('L HAY LES ROSES'!$A$7:$A$50,KIFAITOUT!A8))+(COUNTIF(RUNGIS!$A$7:$A$50,KIFAITOUT!A8))+(COUNTIF(SCEAUX!$A$7:$A$50,KIFAITOUT!A8))+(COUNTIF('INSTANCE C1'!$A$7:$A$50,KIFAITOUT!A8))+(COUNTIF('INSTANCE C2'!$A$7:$A$50,KIFAITOUT!A8))+(COUNTIF(INTERNES!$A$7:$A$50,KIFAITOUT!A8))+(COUNTIF('EN PANNE'!$A$7:$A$50,KIFAITOUT!A8))+(COUNTIF(TJM!$A$7:$A$50,KIFAITOUT!A8))-C8</f>
        <v>0</v>
      </c>
      <c r="C8" s="23">
        <f>(COUNTIF('2S EXPRESS'!$G$7:$G$50,KIFAITOUT!A8))+(COUNTIF('2 ZT'!$G$7:$G$50,KIFAITOUT!A8))+(COUNTIF('GO TRANSPORT'!$G$7:$G$50,KIFAITOUT!A8))+(COUNTIF(KIFAITOUT!$G$7:$G$50,KIFAITOUT!A8))+(COUNTIF('IB TRANSPORT'!$G$7:$G$50,KIFAITOUT!A8))+(COUNTIF(JSL!$G$7:$G$50,KIFAITOUT!A8))+(COUNTIF(KIFAITOUT!$G$7:$G$50,KIFAITOUT!A8))+(COUNTIF('LUXE DRIVE'!$G$7:$G$50,KIFAITOUT!A8))+(COUNTIF(SSN!$G$7:$G$50,KIFAITOUT!A8))+(COUNTIF('W3'!$G$7:$G$50,KIFAITOUT!A8))+(COUNTIF('ATHIS MONS'!$G$7:$G$50,KIFAITOUT!A8))+(COUNTIF('L HAY LES ROSES'!$G$7:$G$50,KIFAITOUT!A8))+(COUNTIF(RUNGIS!$G$7:$G$50,KIFAITOUT!A8))+(COUNTIF(SCEAUX!$G$7:$G$50,KIFAITOUT!A8))+(COUNTIF('INSTANCE C1'!$G$7:$G$50,KIFAITOUT!A8))+(COUNTIF('INSTANCE C2'!$G$7:$G$50,KIFAITOUT!A8))+(COUNTIF(INTERNES!$G$7:$G$50,KIFAITOUT!A8))+(COUNTIF('EN PANNE'!$G$7:$G$50,KIFAITOUT!A8))+(COUNTIF(TJM!$G$7:$G$50,KIFAITOUT!A8))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EXPRESS'!$G$7:$G$50,KIFAITOUT!G8))+(COUNTIF('2 ZT'!$G$7:$G$50,KIFAITOUT!G8))+(COUNTIF('GO TRANSPORT'!$G$7:$G$50,KIFAITOUT!G8))+(COUNTIF('HMZ - KAIS'!$G$7:$G$50,KIFAITOUT!G8))+(COUNTIF('IB TRANSPORT'!$G$7:$G$50,KIFAITOUT!G8))+(COUNTIF(JSL!$G$7:$G$50,KIFAITOUT!G8))+(COUNTIF(KIFAITOUT!$G$7:$G$50,KIFAITOUT!G8))+(COUNTIF('LUXE DRIVE'!$G$7:$G$50,KIFAITOUT!G8))+(COUNTIF(SSN!$G$7:$G$50,KIFAITOUT!G8))+(COUNTIF('W3'!$G$7:$G$50,KIFAITOUT!G8))+(COUNTIF('ATHIS MONS'!$G$7:$G$50,KIFAITOUT!G8))+(COUNTIF('L HAY LES ROSES'!$G$7:$G$50,KIFAITOUT!G8))+(COUNTIF(RUNGIS!$G$7:$G$50,KIFAITOUT!G8))+(COUNTIF(SCEAUX!$G$7:$G$50,KIFAITOUT!G8))+(COUNTIF('INSTANCE C1'!$G$7:$G$50,KIFAITOUT!G8))+(COUNTIF('INSTANCE C2'!$G$7:$G$50,KIFAITOUT!G8))+(COUNTIF(INTERNES!$G$7:$G$50,KIFAITOUT!G8))+(COUNTIF('EN PANNE'!$G$7:$G$50,KIFAITOUT!G8))+(COUNTIF(TJM!$G$7:$G$50,KIFAITOUT!G8))-I8</f>
        <v>0</v>
      </c>
      <c r="I8" s="23">
        <f>(COUNTIF('2S EXPRESS'!$A$7:$A$50,KIFAITOUT!G8))+(COUNTIF('2 ZT'!$A$7:$A$50,KIFAITOUT!G8))+(COUNTIF('GO TRANSPORT'!$A$7:$A$50,KIFAITOUT!G8))+(COUNTIF('HMZ - KAIS'!$A$7:$A$50,KIFAITOUT!G8))+(COUNTIF('IB TRANSPORT'!$A$7:$A$50,KIFAITOUT!G8))+(COUNTIF(JSL!$A$7:$A$50,KIFAITOUT!G8))+(COUNTIF(KIFAITOUT!$A$7:$A$50,KIFAITOUT!G8))+(COUNTIF('LUXE DRIVE'!$A$7:$A$50,KIFAITOUT!G8))+(COUNTIF(SSN!$A$7:$A$50,KIFAITOUT!G8))+(COUNTIF('W3'!$A$7:$A$50,KIFAITOUT!G8))+(COUNTIF('ATHIS MONS'!$A$7:$A$50,KIFAITOUT!G8))+(COUNTIF('L HAY LES ROSES'!$A$7:$A$50,KIFAITOUT!G8))+(COUNTIF(RUNGIS!$A$7:$A$50,KIFAITOUT!G8))+(COUNTIF(SCEAUX!$A$7:$A$50,KIFAITOUT!G8))+(COUNTIF('INSTANCE C1'!$A$7:$A$50,KIFAITOUT!G8))+(COUNTIF('INSTANCE C2'!$A$7:$A$50,KIFAITOUT!G8))+(COUNTIF(INTERNES!$A$7:$A$50,KIFAITOUT!G8))+(COUNTIF('EN PANNE'!$A$7:$A$50,KIFAITOUT!G8))+(COUNTIF(TJM!$A$7:$A$50,KIFAITOUT!G8))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50"/>
      <c r="S8" s="60">
        <f t="shared" si="1"/>
        <v>0</v>
      </c>
      <c r="T8" s="67">
        <f t="shared" si="2"/>
        <v>0</v>
      </c>
    </row>
    <row r="9" spans="1:26" ht="24.95" customHeight="1" thickBot="1" x14ac:dyDescent="0.25">
      <c r="A9" s="20"/>
      <c r="B9" s="23">
        <f>(COUNTIF('2S EXPRESS'!$A$7:$A$50,KIFAITOUT!A9))+(COUNTIF('2 ZT'!$A$7:$A$50,KIFAITOUT!A9))+(COUNTIF('GO TRANSPORT'!$A$7:$A$50,KIFAITOUT!A9))+(COUNTIF('HMZ - KAIS'!$A$7:$A$50,KIFAITOUT!A9))+(COUNTIF('IB TRANSPORT'!$A$7:$A$50,KIFAITOUT!A9))+(COUNTIF(JSL!$A$7:$A$50,KIFAITOUT!A9))+(COUNTIF(KIFAITOUT!$A$7:$A$50,KIFAITOUT!A9))+(COUNTIF('LUXE DRIVE'!$A$7:$A$50,KIFAITOUT!A9))+(COUNTIF(SSN!$A$7:$A$50,KIFAITOUT!A9))+(COUNTIF('W3'!$A$7:$A$50,KIFAITOUT!A9))+(COUNTIF('ATHIS MONS'!$A$7:$A$50,KIFAITOUT!A9))+(COUNTIF('L HAY LES ROSES'!$A$7:$A$50,KIFAITOUT!A9))+(COUNTIF(RUNGIS!$A$7:$A$50,KIFAITOUT!A9))+(COUNTIF(SCEAUX!$A$7:$A$50,KIFAITOUT!A9))+(COUNTIF('INSTANCE C1'!$A$7:$A$50,KIFAITOUT!A9))+(COUNTIF('INSTANCE C2'!$A$7:$A$50,KIFAITOUT!A9))+(COUNTIF(INTERNES!$A$7:$A$50,KIFAITOUT!A9))+(COUNTIF('EN PANNE'!$A$7:$A$50,KIFAITOUT!A9))+(COUNTIF(TJM!$A$7:$A$50,KIFAITOUT!A9))-C9</f>
        <v>0</v>
      </c>
      <c r="C9" s="23">
        <f>(COUNTIF('2S EXPRESS'!$G$7:$G$50,KIFAITOUT!A9))+(COUNTIF('2 ZT'!$G$7:$G$50,KIFAITOUT!A9))+(COUNTIF('GO TRANSPORT'!$G$7:$G$50,KIFAITOUT!A9))+(COUNTIF(KIFAITOUT!$G$7:$G$50,KIFAITOUT!A9))+(COUNTIF('IB TRANSPORT'!$G$7:$G$50,KIFAITOUT!A9))+(COUNTIF(JSL!$G$7:$G$50,KIFAITOUT!A9))+(COUNTIF(KIFAITOUT!$G$7:$G$50,KIFAITOUT!A9))+(COUNTIF('LUXE DRIVE'!$G$7:$G$50,KIFAITOUT!A9))+(COUNTIF(SSN!$G$7:$G$50,KIFAITOUT!A9))+(COUNTIF('W3'!$G$7:$G$50,KIFAITOUT!A9))+(COUNTIF('ATHIS MONS'!$G$7:$G$50,KIFAITOUT!A9))+(COUNTIF('L HAY LES ROSES'!$G$7:$G$50,KIFAITOUT!A9))+(COUNTIF(RUNGIS!$G$7:$G$50,KIFAITOUT!A9))+(COUNTIF(SCEAUX!$G$7:$G$50,KIFAITOUT!A9))+(COUNTIF('INSTANCE C1'!$G$7:$G$50,KIFAITOUT!A9))+(COUNTIF('INSTANCE C2'!$G$7:$G$50,KIFAITOUT!A9))+(COUNTIF(INTERNES!$G$7:$G$50,KIFAITOUT!A9))+(COUNTIF('EN PANNE'!$G$7:$G$50,KIFAITOUT!A9))+(COUNTIF(TJM!$G$7:$G$50,KIFAITOUT!A9))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EXPRESS'!$G$7:$G$50,KIFAITOUT!G9))+(COUNTIF('2 ZT'!$G$7:$G$50,KIFAITOUT!G9))+(COUNTIF('GO TRANSPORT'!$G$7:$G$50,KIFAITOUT!G9))+(COUNTIF('HMZ - KAIS'!$G$7:$G$50,KIFAITOUT!G9))+(COUNTIF('IB TRANSPORT'!$G$7:$G$50,KIFAITOUT!G9))+(COUNTIF(JSL!$G$7:$G$50,KIFAITOUT!G9))+(COUNTIF(KIFAITOUT!$G$7:$G$50,KIFAITOUT!G9))+(COUNTIF('LUXE DRIVE'!$G$7:$G$50,KIFAITOUT!G9))+(COUNTIF(SSN!$G$7:$G$50,KIFAITOUT!G9))+(COUNTIF('W3'!$G$7:$G$50,KIFAITOUT!G9))+(COUNTIF('ATHIS MONS'!$G$7:$G$50,KIFAITOUT!G9))+(COUNTIF('L HAY LES ROSES'!$G$7:$G$50,KIFAITOUT!G9))+(COUNTIF(RUNGIS!$G$7:$G$50,KIFAITOUT!G9))+(COUNTIF(SCEAUX!$G$7:$G$50,KIFAITOUT!G9))+(COUNTIF('INSTANCE C1'!$G$7:$G$50,KIFAITOUT!G9))+(COUNTIF('INSTANCE C2'!$G$7:$G$50,KIFAITOUT!G9))+(COUNTIF(INTERNES!$G$7:$G$50,KIFAITOUT!G9))+(COUNTIF('EN PANNE'!$G$7:$G$50,KIFAITOUT!G9))+(COUNTIF(TJM!$G$7:$G$50,KIFAITOUT!G9))-I9</f>
        <v>0</v>
      </c>
      <c r="I9" s="23">
        <f>(COUNTIF('2S EXPRESS'!$A$7:$A$50,KIFAITOUT!G9))+(COUNTIF('2 ZT'!$A$7:$A$50,KIFAITOUT!G9))+(COUNTIF('GO TRANSPORT'!$A$7:$A$50,KIFAITOUT!G9))+(COUNTIF('HMZ - KAIS'!$A$7:$A$50,KIFAITOUT!G9))+(COUNTIF('IB TRANSPORT'!$A$7:$A$50,KIFAITOUT!G9))+(COUNTIF(JSL!$A$7:$A$50,KIFAITOUT!G9))+(COUNTIF(KIFAITOUT!$A$7:$A$50,KIFAITOUT!G9))+(COUNTIF('LUXE DRIVE'!$A$7:$A$50,KIFAITOUT!G9))+(COUNTIF(SSN!$A$7:$A$50,KIFAITOUT!G9))+(COUNTIF('W3'!$A$7:$A$50,KIFAITOUT!G9))+(COUNTIF('ATHIS MONS'!$A$7:$A$50,KIFAITOUT!G9))+(COUNTIF('L HAY LES ROSES'!$A$7:$A$50,KIFAITOUT!G9))+(COUNTIF(RUNGIS!$A$7:$A$50,KIFAITOUT!G9))+(COUNTIF(SCEAUX!$A$7:$A$50,KIFAITOUT!G9))+(COUNTIF('INSTANCE C1'!$A$7:$A$50,KIFAITOUT!G9))+(COUNTIF('INSTANCE C2'!$A$7:$A$50,KIFAITOUT!G9))+(COUNTIF(INTERNES!$A$7:$A$50,KIFAITOUT!G9))+(COUNTIF('EN PANNE'!$A$7:$A$50,KIFAITOUT!G9))+(COUNTIF(TJM!$A$7:$A$50,KIFAITOUT!G9))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50"/>
      <c r="S9" s="60">
        <f t="shared" si="1"/>
        <v>0</v>
      </c>
      <c r="T9" s="67">
        <f t="shared" si="2"/>
        <v>0</v>
      </c>
    </row>
    <row r="10" spans="1:26" ht="24.95" customHeight="1" thickBot="1" x14ac:dyDescent="0.25">
      <c r="A10" s="20"/>
      <c r="B10" s="23">
        <f>(COUNTIF('2S EXPRESS'!$A$7:$A$50,KIFAITOUT!A10))+(COUNTIF('2 ZT'!$A$7:$A$50,KIFAITOUT!A10))+(COUNTIF('GO TRANSPORT'!$A$7:$A$50,KIFAITOUT!A10))+(COUNTIF('HMZ - KAIS'!$A$7:$A$50,KIFAITOUT!A10))+(COUNTIF('IB TRANSPORT'!$A$7:$A$50,KIFAITOUT!A10))+(COUNTIF(JSL!$A$7:$A$50,KIFAITOUT!A10))+(COUNTIF(KIFAITOUT!$A$7:$A$50,KIFAITOUT!A10))+(COUNTIF('LUXE DRIVE'!$A$7:$A$50,KIFAITOUT!A10))+(COUNTIF(SSN!$A$7:$A$50,KIFAITOUT!A10))+(COUNTIF('W3'!$A$7:$A$50,KIFAITOUT!A10))+(COUNTIF('ATHIS MONS'!$A$7:$A$50,KIFAITOUT!A10))+(COUNTIF('L HAY LES ROSES'!$A$7:$A$50,KIFAITOUT!A10))+(COUNTIF(RUNGIS!$A$7:$A$50,KIFAITOUT!A10))+(COUNTIF(SCEAUX!$A$7:$A$50,KIFAITOUT!A10))+(COUNTIF('INSTANCE C1'!$A$7:$A$50,KIFAITOUT!A10))+(COUNTIF('INSTANCE C2'!$A$7:$A$50,KIFAITOUT!A10))+(COUNTIF(INTERNES!$A$7:$A$50,KIFAITOUT!A10))+(COUNTIF('EN PANNE'!$A$7:$A$50,KIFAITOUT!A10))+(COUNTIF(TJM!$A$7:$A$50,KIFAITOUT!A10))-C10</f>
        <v>0</v>
      </c>
      <c r="C10" s="23">
        <f>(COUNTIF('2S EXPRESS'!$G$7:$G$50,KIFAITOUT!A10))+(COUNTIF('2 ZT'!$G$7:$G$50,KIFAITOUT!A10))+(COUNTIF('GO TRANSPORT'!$G$7:$G$50,KIFAITOUT!A10))+(COUNTIF(KIFAITOUT!$G$7:$G$50,KIFAITOUT!A10))+(COUNTIF('IB TRANSPORT'!$G$7:$G$50,KIFAITOUT!A10))+(COUNTIF(JSL!$G$7:$G$50,KIFAITOUT!A10))+(COUNTIF(KIFAITOUT!$G$7:$G$50,KIFAITOUT!A10))+(COUNTIF('LUXE DRIVE'!$G$7:$G$50,KIFAITOUT!A10))+(COUNTIF(SSN!$G$7:$G$50,KIFAITOUT!A10))+(COUNTIF('W3'!$G$7:$G$50,KIFAITOUT!A10))+(COUNTIF('ATHIS MONS'!$G$7:$G$50,KIFAITOUT!A10))+(COUNTIF('L HAY LES ROSES'!$G$7:$G$50,KIFAITOUT!A10))+(COUNTIF(RUNGIS!$G$7:$G$50,KIFAITOUT!A10))+(COUNTIF(SCEAUX!$G$7:$G$50,KIFAITOUT!A10))+(COUNTIF('INSTANCE C1'!$G$7:$G$50,KIFAITOUT!A10))+(COUNTIF('INSTANCE C2'!$G$7:$G$50,KIFAITOUT!A10))+(COUNTIF(INTERNES!$G$7:$G$50,KIFAITOUT!A10))+(COUNTIF('EN PANNE'!$G$7:$G$50,KIFAITOUT!A10))+(COUNTIF(TJM!$G$7:$G$50,KIFAITOUT!A10))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EXPRESS'!$G$7:$G$50,KIFAITOUT!G10))+(COUNTIF('2 ZT'!$G$7:$G$50,KIFAITOUT!G10))+(COUNTIF('GO TRANSPORT'!$G$7:$G$50,KIFAITOUT!G10))+(COUNTIF('HMZ - KAIS'!$G$7:$G$50,KIFAITOUT!G10))+(COUNTIF('IB TRANSPORT'!$G$7:$G$50,KIFAITOUT!G10))+(COUNTIF(JSL!$G$7:$G$50,KIFAITOUT!G10))+(COUNTIF(KIFAITOUT!$G$7:$G$50,KIFAITOUT!G10))+(COUNTIF('LUXE DRIVE'!$G$7:$G$50,KIFAITOUT!G10))+(COUNTIF(SSN!$G$7:$G$50,KIFAITOUT!G10))+(COUNTIF('W3'!$G$7:$G$50,KIFAITOUT!G10))+(COUNTIF('ATHIS MONS'!$G$7:$G$50,KIFAITOUT!G10))+(COUNTIF('L HAY LES ROSES'!$G$7:$G$50,KIFAITOUT!G10))+(COUNTIF(RUNGIS!$G$7:$G$50,KIFAITOUT!G10))+(COUNTIF(SCEAUX!$G$7:$G$50,KIFAITOUT!G10))+(COUNTIF('INSTANCE C1'!$G$7:$G$50,KIFAITOUT!G10))+(COUNTIF('INSTANCE C2'!$G$7:$G$50,KIFAITOUT!G10))+(COUNTIF(INTERNES!$G$7:$G$50,KIFAITOUT!G10))+(COUNTIF('EN PANNE'!$G$7:$G$50,KIFAITOUT!G10))+(COUNTIF(TJM!$G$7:$G$50,KIFAITOUT!G10))-I10</f>
        <v>0</v>
      </c>
      <c r="I10" s="23">
        <f>(COUNTIF('2S EXPRESS'!$A$7:$A$50,KIFAITOUT!G10))+(COUNTIF('2 ZT'!$A$7:$A$50,KIFAITOUT!G10))+(COUNTIF('GO TRANSPORT'!$A$7:$A$50,KIFAITOUT!G10))+(COUNTIF('HMZ - KAIS'!$A$7:$A$50,KIFAITOUT!G10))+(COUNTIF('IB TRANSPORT'!$A$7:$A$50,KIFAITOUT!G10))+(COUNTIF(JSL!$A$7:$A$50,KIFAITOUT!G10))+(COUNTIF(KIFAITOUT!$A$7:$A$50,KIFAITOUT!G10))+(COUNTIF('LUXE DRIVE'!$A$7:$A$50,KIFAITOUT!G10))+(COUNTIF(SSN!$A$7:$A$50,KIFAITOUT!G10))+(COUNTIF('W3'!$A$7:$A$50,KIFAITOUT!G10))+(COUNTIF('ATHIS MONS'!$A$7:$A$50,KIFAITOUT!G10))+(COUNTIF('L HAY LES ROSES'!$A$7:$A$50,KIFAITOUT!G10))+(COUNTIF(RUNGIS!$A$7:$A$50,KIFAITOUT!G10))+(COUNTIF(SCEAUX!$A$7:$A$50,KIFAITOUT!G10))+(COUNTIF('INSTANCE C1'!$A$7:$A$50,KIFAITOUT!G10))+(COUNTIF('INSTANCE C2'!$A$7:$A$50,KIFAITOUT!G10))+(COUNTIF(INTERNES!$A$7:$A$50,KIFAITOUT!G10))+(COUNTIF('EN PANNE'!$A$7:$A$50,KIFAITOUT!G10))+(COUNTIF(TJM!$A$7:$A$50,KIFAITOUT!G10))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R10" s="50"/>
      <c r="S10" s="60">
        <f t="shared" si="1"/>
        <v>0</v>
      </c>
      <c r="T10" s="67">
        <f t="shared" si="2"/>
        <v>0</v>
      </c>
    </row>
    <row r="11" spans="1:26" ht="24.95" customHeight="1" thickBot="1" x14ac:dyDescent="0.25">
      <c r="A11" s="20"/>
      <c r="B11" s="23">
        <f>(COUNTIF('2S EXPRESS'!$A$7:$A$50,KIFAITOUT!A11))+(COUNTIF('2 ZT'!$A$7:$A$50,KIFAITOUT!A11))+(COUNTIF('GO TRANSPORT'!$A$7:$A$50,KIFAITOUT!A11))+(COUNTIF('HMZ - KAIS'!$A$7:$A$50,KIFAITOUT!A11))+(COUNTIF('IB TRANSPORT'!$A$7:$A$50,KIFAITOUT!A11))+(COUNTIF(JSL!$A$7:$A$50,KIFAITOUT!A11))+(COUNTIF(KIFAITOUT!$A$7:$A$50,KIFAITOUT!A11))+(COUNTIF('LUXE DRIVE'!$A$7:$A$50,KIFAITOUT!A11))+(COUNTIF(SSN!$A$7:$A$50,KIFAITOUT!A11))+(COUNTIF('W3'!$A$7:$A$50,KIFAITOUT!A11))+(COUNTIF('ATHIS MONS'!$A$7:$A$50,KIFAITOUT!A11))+(COUNTIF('L HAY LES ROSES'!$A$7:$A$50,KIFAITOUT!A11))+(COUNTIF(RUNGIS!$A$7:$A$50,KIFAITOUT!A11))+(COUNTIF(SCEAUX!$A$7:$A$50,KIFAITOUT!A11))+(COUNTIF('INSTANCE C1'!$A$7:$A$50,KIFAITOUT!A11))+(COUNTIF('INSTANCE C2'!$A$7:$A$50,KIFAITOUT!A11))+(COUNTIF(INTERNES!$A$7:$A$50,KIFAITOUT!A11))+(COUNTIF('EN PANNE'!$A$7:$A$50,KIFAITOUT!A11))+(COUNTIF(TJM!$A$7:$A$50,KIFAITOUT!A11))-C11</f>
        <v>0</v>
      </c>
      <c r="C11" s="23">
        <f>(COUNTIF('2S EXPRESS'!$G$7:$G$50,KIFAITOUT!A11))+(COUNTIF('2 ZT'!$G$7:$G$50,KIFAITOUT!A11))+(COUNTIF('GO TRANSPORT'!$G$7:$G$50,KIFAITOUT!A11))+(COUNTIF(KIFAITOUT!$G$7:$G$50,KIFAITOUT!A11))+(COUNTIF('IB TRANSPORT'!$G$7:$G$50,KIFAITOUT!A11))+(COUNTIF(JSL!$G$7:$G$50,KIFAITOUT!A11))+(COUNTIF(KIFAITOUT!$G$7:$G$50,KIFAITOUT!A11))+(COUNTIF('LUXE DRIVE'!$G$7:$G$50,KIFAITOUT!A11))+(COUNTIF(SSN!$G$7:$G$50,KIFAITOUT!A11))+(COUNTIF('W3'!$G$7:$G$50,KIFAITOUT!A11))+(COUNTIF('ATHIS MONS'!$G$7:$G$50,KIFAITOUT!A11))+(COUNTIF('L HAY LES ROSES'!$G$7:$G$50,KIFAITOUT!A11))+(COUNTIF(RUNGIS!$G$7:$G$50,KIFAITOUT!A11))+(COUNTIF(SCEAUX!$G$7:$G$50,KIFAITOUT!A11))+(COUNTIF('INSTANCE C1'!$G$7:$G$50,KIFAITOUT!A11))+(COUNTIF('INSTANCE C2'!$G$7:$G$50,KIFAITOUT!A11))+(COUNTIF(INTERNES!$G$7:$G$50,KIFAITOUT!A11))+(COUNTIF('EN PANNE'!$G$7:$G$50,KIFAITOUT!A11))+(COUNTIF(TJM!$G$7:$G$50,KIFAITOUT!A11))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EXPRESS'!$G$7:$G$50,KIFAITOUT!G11))+(COUNTIF('2 ZT'!$G$7:$G$50,KIFAITOUT!G11))+(COUNTIF('GO TRANSPORT'!$G$7:$G$50,KIFAITOUT!G11))+(COUNTIF('HMZ - KAIS'!$G$7:$G$50,KIFAITOUT!G11))+(COUNTIF('IB TRANSPORT'!$G$7:$G$50,KIFAITOUT!G11))+(COUNTIF(JSL!$G$7:$G$50,KIFAITOUT!G11))+(COUNTIF(KIFAITOUT!$G$7:$G$50,KIFAITOUT!G11))+(COUNTIF('LUXE DRIVE'!$G$7:$G$50,KIFAITOUT!G11))+(COUNTIF(SSN!$G$7:$G$50,KIFAITOUT!G11))+(COUNTIF('W3'!$G$7:$G$50,KIFAITOUT!G11))+(COUNTIF('ATHIS MONS'!$G$7:$G$50,KIFAITOUT!G11))+(COUNTIF('L HAY LES ROSES'!$G$7:$G$50,KIFAITOUT!G11))+(COUNTIF(RUNGIS!$G$7:$G$50,KIFAITOUT!G11))+(COUNTIF(SCEAUX!$G$7:$G$50,KIFAITOUT!G11))+(COUNTIF('INSTANCE C1'!$G$7:$G$50,KIFAITOUT!G11))+(COUNTIF('INSTANCE C2'!$G$7:$G$50,KIFAITOUT!G11))+(COUNTIF(INTERNES!$G$7:$G$50,KIFAITOUT!G11))+(COUNTIF('EN PANNE'!$G$7:$G$50,KIFAITOUT!G11))+(COUNTIF(TJM!$G$7:$G$50,KIFAITOUT!G11))-I11</f>
        <v>0</v>
      </c>
      <c r="I11" s="23">
        <f>(COUNTIF('2S EXPRESS'!$A$7:$A$50,KIFAITOUT!G11))+(COUNTIF('2 ZT'!$A$7:$A$50,KIFAITOUT!G11))+(COUNTIF('GO TRANSPORT'!$A$7:$A$50,KIFAITOUT!G11))+(COUNTIF('HMZ - KAIS'!$A$7:$A$50,KIFAITOUT!G11))+(COUNTIF('IB TRANSPORT'!$A$7:$A$50,KIFAITOUT!G11))+(COUNTIF(JSL!$A$7:$A$50,KIFAITOUT!G11))+(COUNTIF(KIFAITOUT!$A$7:$A$50,KIFAITOUT!G11))+(COUNTIF('LUXE DRIVE'!$A$7:$A$50,KIFAITOUT!G11))+(COUNTIF(SSN!$A$7:$A$50,KIFAITOUT!G11))+(COUNTIF('W3'!$A$7:$A$50,KIFAITOUT!G11))+(COUNTIF('ATHIS MONS'!$A$7:$A$50,KIFAITOUT!G11))+(COUNTIF('L HAY LES ROSES'!$A$7:$A$50,KIFAITOUT!G11))+(COUNTIF(RUNGIS!$A$7:$A$50,KIFAITOUT!G11))+(COUNTIF(SCEAUX!$A$7:$A$50,KIFAITOUT!G11))+(COUNTIF('INSTANCE C1'!$A$7:$A$50,KIFAITOUT!G11))+(COUNTIF('INSTANCE C2'!$A$7:$A$50,KIFAITOUT!G11))+(COUNTIF(INTERNES!$A$7:$A$50,KIFAITOUT!G11))+(COUNTIF('EN PANNE'!$A$7:$A$50,KIFAITOUT!G11))+(COUNTIF(TJM!$A$7:$A$50,KIFAITOUT!G11))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R11" s="50"/>
      <c r="S11" s="60">
        <f t="shared" si="1"/>
        <v>0</v>
      </c>
      <c r="T11" s="67">
        <f t="shared" si="2"/>
        <v>0</v>
      </c>
    </row>
    <row r="12" spans="1:26" ht="24.95" customHeight="1" thickBot="1" x14ac:dyDescent="0.25">
      <c r="A12" s="20"/>
      <c r="B12" s="23">
        <f>(COUNTIF('2S EXPRESS'!$A$7:$A$50,KIFAITOUT!A12))+(COUNTIF('2 ZT'!$A$7:$A$50,KIFAITOUT!A12))+(COUNTIF('GO TRANSPORT'!$A$7:$A$50,KIFAITOUT!A12))+(COUNTIF('HMZ - KAIS'!$A$7:$A$50,KIFAITOUT!A12))+(COUNTIF('IB TRANSPORT'!$A$7:$A$50,KIFAITOUT!A12))+(COUNTIF(JSL!$A$7:$A$50,KIFAITOUT!A12))+(COUNTIF(KIFAITOUT!$A$7:$A$50,KIFAITOUT!A12))+(COUNTIF('LUXE DRIVE'!$A$7:$A$50,KIFAITOUT!A12))+(COUNTIF(SSN!$A$7:$A$50,KIFAITOUT!A12))+(COUNTIF('W3'!$A$7:$A$50,KIFAITOUT!A12))+(COUNTIF('ATHIS MONS'!$A$7:$A$50,KIFAITOUT!A12))+(COUNTIF('L HAY LES ROSES'!$A$7:$A$50,KIFAITOUT!A12))+(COUNTIF(RUNGIS!$A$7:$A$50,KIFAITOUT!A12))+(COUNTIF(SCEAUX!$A$7:$A$50,KIFAITOUT!A12))+(COUNTIF('INSTANCE C1'!$A$7:$A$50,KIFAITOUT!A12))+(COUNTIF('INSTANCE C2'!$A$7:$A$50,KIFAITOUT!A12))+(COUNTIF(INTERNES!$A$7:$A$50,KIFAITOUT!A12))+(COUNTIF('EN PANNE'!$A$7:$A$50,KIFAITOUT!A12))+(COUNTIF(TJM!$A$7:$A$50,KIFAITOUT!A12))-C12</f>
        <v>0</v>
      </c>
      <c r="C12" s="23">
        <f>(COUNTIF('2S EXPRESS'!$G$7:$G$50,KIFAITOUT!A12))+(COUNTIF('2 ZT'!$G$7:$G$50,KIFAITOUT!A12))+(COUNTIF('GO TRANSPORT'!$G$7:$G$50,KIFAITOUT!A12))+(COUNTIF(KIFAITOUT!$G$7:$G$50,KIFAITOUT!A12))+(COUNTIF('IB TRANSPORT'!$G$7:$G$50,KIFAITOUT!A12))+(COUNTIF(JSL!$G$7:$G$50,KIFAITOUT!A12))+(COUNTIF(KIFAITOUT!$G$7:$G$50,KIFAITOUT!A12))+(COUNTIF('LUXE DRIVE'!$G$7:$G$50,KIFAITOUT!A12))+(COUNTIF(SSN!$G$7:$G$50,KIFAITOUT!A12))+(COUNTIF('W3'!$G$7:$G$50,KIFAITOUT!A12))+(COUNTIF('ATHIS MONS'!$G$7:$G$50,KIFAITOUT!A12))+(COUNTIF('L HAY LES ROSES'!$G$7:$G$50,KIFAITOUT!A12))+(COUNTIF(RUNGIS!$G$7:$G$50,KIFAITOUT!A12))+(COUNTIF(SCEAUX!$G$7:$G$50,KIFAITOUT!A12))+(COUNTIF('INSTANCE C1'!$G$7:$G$50,KIFAITOUT!A12))+(COUNTIF('INSTANCE C2'!$G$7:$G$50,KIFAITOUT!A12))+(COUNTIF(INTERNES!$G$7:$G$50,KIFAITOUT!A12))+(COUNTIF('EN PANNE'!$G$7:$G$50,KIFAITOUT!A12))+(COUNTIF(TJM!$G$7:$G$50,KIFAITOUT!A12))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EXPRESS'!$G$7:$G$50,KIFAITOUT!G12))+(COUNTIF('2 ZT'!$G$7:$G$50,KIFAITOUT!G12))+(COUNTIF('GO TRANSPORT'!$G$7:$G$50,KIFAITOUT!G12))+(COUNTIF('HMZ - KAIS'!$G$7:$G$50,KIFAITOUT!G12))+(COUNTIF('IB TRANSPORT'!$G$7:$G$50,KIFAITOUT!G12))+(COUNTIF(JSL!$G$7:$G$50,KIFAITOUT!G12))+(COUNTIF(KIFAITOUT!$G$7:$G$50,KIFAITOUT!G12))+(COUNTIF('LUXE DRIVE'!$G$7:$G$50,KIFAITOUT!G12))+(COUNTIF(SSN!$G$7:$G$50,KIFAITOUT!G12))+(COUNTIF('W3'!$G$7:$G$50,KIFAITOUT!G12))+(COUNTIF('ATHIS MONS'!$G$7:$G$50,KIFAITOUT!G12))+(COUNTIF('L HAY LES ROSES'!$G$7:$G$50,KIFAITOUT!G12))+(COUNTIF(RUNGIS!$G$7:$G$50,KIFAITOUT!G12))+(COUNTIF(SCEAUX!$G$7:$G$50,KIFAITOUT!G12))+(COUNTIF('INSTANCE C1'!$G$7:$G$50,KIFAITOUT!G12))+(COUNTIF('INSTANCE C2'!$G$7:$G$50,KIFAITOUT!G12))+(COUNTIF(INTERNES!$G$7:$G$50,KIFAITOUT!G12))+(COUNTIF('EN PANNE'!$G$7:$G$50,KIFAITOUT!G12))+(COUNTIF(TJM!$G$7:$G$50,KIFAITOUT!G12))-I12</f>
        <v>0</v>
      </c>
      <c r="I12" s="23">
        <f>(COUNTIF('2S EXPRESS'!$A$7:$A$50,KIFAITOUT!G12))+(COUNTIF('2 ZT'!$A$7:$A$50,KIFAITOUT!G12))+(COUNTIF('GO TRANSPORT'!$A$7:$A$50,KIFAITOUT!G12))+(COUNTIF('HMZ - KAIS'!$A$7:$A$50,KIFAITOUT!G12))+(COUNTIF('IB TRANSPORT'!$A$7:$A$50,KIFAITOUT!G12))+(COUNTIF(JSL!$A$7:$A$50,KIFAITOUT!G12))+(COUNTIF(KIFAITOUT!$A$7:$A$50,KIFAITOUT!G12))+(COUNTIF('LUXE DRIVE'!$A$7:$A$50,KIFAITOUT!G12))+(COUNTIF(SSN!$A$7:$A$50,KIFAITOUT!G12))+(COUNTIF('W3'!$A$7:$A$50,KIFAITOUT!G12))+(COUNTIF('ATHIS MONS'!$A$7:$A$50,KIFAITOUT!G12))+(COUNTIF('L HAY LES ROSES'!$A$7:$A$50,KIFAITOUT!G12))+(COUNTIF(RUNGIS!$A$7:$A$50,KIFAITOUT!G12))+(COUNTIF(SCEAUX!$A$7:$A$50,KIFAITOUT!G12))+(COUNTIF('INSTANCE C1'!$A$7:$A$50,KIFAITOUT!G12))+(COUNTIF('INSTANCE C2'!$A$7:$A$50,KIFAITOUT!G12))+(COUNTIF(INTERNES!$A$7:$A$50,KIFAITOUT!G12))+(COUNTIF('EN PANNE'!$A$7:$A$50,KIFAITOUT!G12))+(COUNTIF(TJM!$A$7:$A$50,KIFAITOUT!G12))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R12" s="50"/>
      <c r="S12" s="60">
        <f t="shared" si="1"/>
        <v>0</v>
      </c>
      <c r="T12" s="67">
        <f t="shared" si="2"/>
        <v>0</v>
      </c>
    </row>
    <row r="13" spans="1:26" ht="24.95" customHeight="1" x14ac:dyDescent="0.2">
      <c r="A13" s="20"/>
      <c r="B13" s="23">
        <f>(COUNTIF('2S EXPRESS'!$A$7:$A$50,KIFAITOUT!A13))+(COUNTIF('2 ZT'!$A$7:$A$50,KIFAITOUT!A13))+(COUNTIF('GO TRANSPORT'!$A$7:$A$50,KIFAITOUT!A13))+(COUNTIF('HMZ - KAIS'!$A$7:$A$50,KIFAITOUT!A13))+(COUNTIF('IB TRANSPORT'!$A$7:$A$50,KIFAITOUT!A13))+(COUNTIF(JSL!$A$7:$A$50,KIFAITOUT!A13))+(COUNTIF(KIFAITOUT!$A$7:$A$50,KIFAITOUT!A13))+(COUNTIF('LUXE DRIVE'!$A$7:$A$50,KIFAITOUT!A13))+(COUNTIF(SSN!$A$7:$A$50,KIFAITOUT!A13))+(COUNTIF('W3'!$A$7:$A$50,KIFAITOUT!A13))+(COUNTIF('ATHIS MONS'!$A$7:$A$50,KIFAITOUT!A13))+(COUNTIF('L HAY LES ROSES'!$A$7:$A$50,KIFAITOUT!A13))+(COUNTIF(RUNGIS!$A$7:$A$50,KIFAITOUT!A13))+(COUNTIF(SCEAUX!$A$7:$A$50,KIFAITOUT!A13))+(COUNTIF('INSTANCE C1'!$A$7:$A$50,KIFAITOUT!A13))+(COUNTIF('INSTANCE C2'!$A$7:$A$50,KIFAITOUT!A13))+(COUNTIF(INTERNES!$A$7:$A$50,KIFAITOUT!A13))+(COUNTIF('EN PANNE'!$A$7:$A$50,KIFAITOUT!A13))+(COUNTIF(TJM!$A$7:$A$50,KIFAITOUT!A13))-C13</f>
        <v>0</v>
      </c>
      <c r="C13" s="23">
        <f>(COUNTIF('2S EXPRESS'!$G$7:$G$50,KIFAITOUT!A13))+(COUNTIF('2 ZT'!$G$7:$G$50,KIFAITOUT!A13))+(COUNTIF('GO TRANSPORT'!$G$7:$G$50,KIFAITOUT!A13))+(COUNTIF(KIFAITOUT!$G$7:$G$50,KIFAITOUT!A13))+(COUNTIF('IB TRANSPORT'!$G$7:$G$50,KIFAITOUT!A13))+(COUNTIF(JSL!$G$7:$G$50,KIFAITOUT!A13))+(COUNTIF(KIFAITOUT!$G$7:$G$50,KIFAITOUT!A13))+(COUNTIF('LUXE DRIVE'!$G$7:$G$50,KIFAITOUT!A13))+(COUNTIF(SSN!$G$7:$G$50,KIFAITOUT!A13))+(COUNTIF('W3'!$G$7:$G$50,KIFAITOUT!A13))+(COUNTIF('ATHIS MONS'!$G$7:$G$50,KIFAITOUT!A13))+(COUNTIF('L HAY LES ROSES'!$G$7:$G$50,KIFAITOUT!A13))+(COUNTIF(RUNGIS!$G$7:$G$50,KIFAITOUT!A13))+(COUNTIF(SCEAUX!$G$7:$G$50,KIFAITOUT!A13))+(COUNTIF('INSTANCE C1'!$G$7:$G$50,KIFAITOUT!A13))+(COUNTIF('INSTANCE C2'!$G$7:$G$50,KIFAITOUT!A13))+(COUNTIF(INTERNES!$G$7:$G$50,KIFAITOUT!A13))+(COUNTIF('EN PANNE'!$G$7:$G$50,KIFAITOUT!A13))+(COUNTIF(TJM!$G$7:$G$50,KIFAITOUT!A13))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EXPRESS'!$G$7:$G$50,KIFAITOUT!G13))+(COUNTIF('2 ZT'!$G$7:$G$50,KIFAITOUT!G13))+(COUNTIF('GO TRANSPORT'!$G$7:$G$50,KIFAITOUT!G13))+(COUNTIF('HMZ - KAIS'!$G$7:$G$50,KIFAITOUT!G13))+(COUNTIF('IB TRANSPORT'!$G$7:$G$50,KIFAITOUT!G13))+(COUNTIF(JSL!$G$7:$G$50,KIFAITOUT!G13))+(COUNTIF(KIFAITOUT!$G$7:$G$50,KIFAITOUT!G13))+(COUNTIF('LUXE DRIVE'!$G$7:$G$50,KIFAITOUT!G13))+(COUNTIF(SSN!$G$7:$G$50,KIFAITOUT!G13))+(COUNTIF('W3'!$G$7:$G$50,KIFAITOUT!G13))+(COUNTIF('ATHIS MONS'!$G$7:$G$50,KIFAITOUT!G13))+(COUNTIF('L HAY LES ROSES'!$G$7:$G$50,KIFAITOUT!G13))+(COUNTIF(RUNGIS!$G$7:$G$50,KIFAITOUT!G13))+(COUNTIF(SCEAUX!$G$7:$G$50,KIFAITOUT!G13))+(COUNTIF('INSTANCE C1'!$G$7:$G$50,KIFAITOUT!G13))+(COUNTIF('INSTANCE C2'!$G$7:$G$50,KIFAITOUT!G13))+(COUNTIF(INTERNES!$G$7:$G$50,KIFAITOUT!G13))+(COUNTIF('EN PANNE'!$G$7:$G$50,KIFAITOUT!G13))+(COUNTIF(TJM!$G$7:$G$50,KIFAITOUT!G13))-I13</f>
        <v>0</v>
      </c>
      <c r="I13" s="23">
        <f>(COUNTIF('2S EXPRESS'!$A$7:$A$50,KIFAITOUT!G13))+(COUNTIF('2 ZT'!$A$7:$A$50,KIFAITOUT!G13))+(COUNTIF('GO TRANSPORT'!$A$7:$A$50,KIFAITOUT!G13))+(COUNTIF('HMZ - KAIS'!$A$7:$A$50,KIFAITOUT!G13))+(COUNTIF('IB TRANSPORT'!$A$7:$A$50,KIFAITOUT!G13))+(COUNTIF(JSL!$A$7:$A$50,KIFAITOUT!G13))+(COUNTIF(KIFAITOUT!$A$7:$A$50,KIFAITOUT!G13))+(COUNTIF('LUXE DRIVE'!$A$7:$A$50,KIFAITOUT!G13))+(COUNTIF(SSN!$A$7:$A$50,KIFAITOUT!G13))+(COUNTIF('W3'!$A$7:$A$50,KIFAITOUT!G13))+(COUNTIF('ATHIS MONS'!$A$7:$A$50,KIFAITOUT!G13))+(COUNTIF('L HAY LES ROSES'!$A$7:$A$50,KIFAITOUT!G13))+(COUNTIF(RUNGIS!$A$7:$A$50,KIFAITOUT!G13))+(COUNTIF(SCEAUX!$A$7:$A$50,KIFAITOUT!G13))+(COUNTIF('INSTANCE C1'!$A$7:$A$50,KIFAITOUT!G13))+(COUNTIF('INSTANCE C2'!$A$7:$A$50,KIFAITOUT!G13))+(COUNTIF(INTERNES!$A$7:$A$50,KIFAITOUT!G13))+(COUNTIF('EN PANNE'!$A$7:$A$50,KIFAITOUT!G13))+(COUNTIF(TJM!$A$7:$A$50,KIFAITOUT!G13))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S13" s="60">
        <f t="shared" si="1"/>
        <v>0</v>
      </c>
      <c r="T13" s="67">
        <f t="shared" si="2"/>
        <v>0</v>
      </c>
    </row>
    <row r="14" spans="1:26" ht="24.95" customHeight="1" x14ac:dyDescent="0.2">
      <c r="A14" s="20"/>
      <c r="B14" s="23">
        <f>(COUNTIF('2S EXPRESS'!$A$7:$A$50,KIFAITOUT!A14))+(COUNTIF('2 ZT'!$A$7:$A$50,KIFAITOUT!A14))+(COUNTIF('GO TRANSPORT'!$A$7:$A$50,KIFAITOUT!A14))+(COUNTIF('HMZ - KAIS'!$A$7:$A$50,KIFAITOUT!A14))+(COUNTIF('IB TRANSPORT'!$A$7:$A$50,KIFAITOUT!A14))+(COUNTIF(JSL!$A$7:$A$50,KIFAITOUT!A14))+(COUNTIF(KIFAITOUT!$A$7:$A$50,KIFAITOUT!A14))+(COUNTIF('LUXE DRIVE'!$A$7:$A$50,KIFAITOUT!A14))+(COUNTIF(SSN!$A$7:$A$50,KIFAITOUT!A14))+(COUNTIF('W3'!$A$7:$A$50,KIFAITOUT!A14))+(COUNTIF('ATHIS MONS'!$A$7:$A$50,KIFAITOUT!A14))+(COUNTIF('L HAY LES ROSES'!$A$7:$A$50,KIFAITOUT!A14))+(COUNTIF(RUNGIS!$A$7:$A$50,KIFAITOUT!A14))+(COUNTIF(SCEAUX!$A$7:$A$50,KIFAITOUT!A14))+(COUNTIF('INSTANCE C1'!$A$7:$A$50,KIFAITOUT!A14))+(COUNTIF('INSTANCE C2'!$A$7:$A$50,KIFAITOUT!A14))+(COUNTIF(INTERNES!$A$7:$A$50,KIFAITOUT!A14))+(COUNTIF('EN PANNE'!$A$7:$A$50,KIFAITOUT!A14))+(COUNTIF(TJM!$A$7:$A$50,KIFAITOUT!A14))-C14</f>
        <v>0</v>
      </c>
      <c r="C14" s="23">
        <f>(COUNTIF('2S EXPRESS'!$G$7:$G$50,KIFAITOUT!A14))+(COUNTIF('2 ZT'!$G$7:$G$50,KIFAITOUT!A14))+(COUNTIF('GO TRANSPORT'!$G$7:$G$50,KIFAITOUT!A14))+(COUNTIF(KIFAITOUT!$G$7:$G$50,KIFAITOUT!A14))+(COUNTIF('IB TRANSPORT'!$G$7:$G$50,KIFAITOUT!A14))+(COUNTIF(JSL!$G$7:$G$50,KIFAITOUT!A14))+(COUNTIF(KIFAITOUT!$G$7:$G$50,KIFAITOUT!A14))+(COUNTIF('LUXE DRIVE'!$G$7:$G$50,KIFAITOUT!A14))+(COUNTIF(SSN!$G$7:$G$50,KIFAITOUT!A14))+(COUNTIF('W3'!$G$7:$G$50,KIFAITOUT!A14))+(COUNTIF('ATHIS MONS'!$G$7:$G$50,KIFAITOUT!A14))+(COUNTIF('L HAY LES ROSES'!$G$7:$G$50,KIFAITOUT!A14))+(COUNTIF(RUNGIS!$G$7:$G$50,KIFAITOUT!A14))+(COUNTIF(SCEAUX!$G$7:$G$50,KIFAITOUT!A14))+(COUNTIF('INSTANCE C1'!$G$7:$G$50,KIFAITOUT!A14))+(COUNTIF('INSTANCE C2'!$G$7:$G$50,KIFAITOUT!A14))+(COUNTIF(INTERNES!$G$7:$G$50,KIFAITOUT!A14))+(COUNTIF('EN PANNE'!$G$7:$G$50,KIFAITOUT!A14))+(COUNTIF(TJM!$G$7:$G$50,KIFAITOUT!A14))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EXPRESS'!$G$7:$G$50,KIFAITOUT!G14))+(COUNTIF('2 ZT'!$G$7:$G$50,KIFAITOUT!G14))+(COUNTIF('GO TRANSPORT'!$G$7:$G$50,KIFAITOUT!G14))+(COUNTIF('HMZ - KAIS'!$G$7:$G$50,KIFAITOUT!G14))+(COUNTIF('IB TRANSPORT'!$G$7:$G$50,KIFAITOUT!G14))+(COUNTIF(JSL!$G$7:$G$50,KIFAITOUT!G14))+(COUNTIF(KIFAITOUT!$G$7:$G$50,KIFAITOUT!G14))+(COUNTIF('LUXE DRIVE'!$G$7:$G$50,KIFAITOUT!G14))+(COUNTIF(SSN!$G$7:$G$50,KIFAITOUT!G14))+(COUNTIF('W3'!$G$7:$G$50,KIFAITOUT!G14))+(COUNTIF('ATHIS MONS'!$G$7:$G$50,KIFAITOUT!G14))+(COUNTIF('L HAY LES ROSES'!$G$7:$G$50,KIFAITOUT!G14))+(COUNTIF(RUNGIS!$G$7:$G$50,KIFAITOUT!G14))+(COUNTIF(SCEAUX!$G$7:$G$50,KIFAITOUT!G14))+(COUNTIF('INSTANCE C1'!$G$7:$G$50,KIFAITOUT!G14))+(COUNTIF('INSTANCE C2'!$G$7:$G$50,KIFAITOUT!G14))+(COUNTIF(INTERNES!$G$7:$G$50,KIFAITOUT!G14))+(COUNTIF('EN PANNE'!$G$7:$G$50,KIFAITOUT!G14))+(COUNTIF(TJM!$G$7:$G$50,KIFAITOUT!G14))-I14</f>
        <v>0</v>
      </c>
      <c r="I14" s="23">
        <f>(COUNTIF('2S EXPRESS'!$A$7:$A$50,KIFAITOUT!G14))+(COUNTIF('2 ZT'!$A$7:$A$50,KIFAITOUT!G14))+(COUNTIF('GO TRANSPORT'!$A$7:$A$50,KIFAITOUT!G14))+(COUNTIF('HMZ - KAIS'!$A$7:$A$50,KIFAITOUT!G14))+(COUNTIF('IB TRANSPORT'!$A$7:$A$50,KIFAITOUT!G14))+(COUNTIF(JSL!$A$7:$A$50,KIFAITOUT!G14))+(COUNTIF(KIFAITOUT!$A$7:$A$50,KIFAITOUT!G14))+(COUNTIF('LUXE DRIVE'!$A$7:$A$50,KIFAITOUT!G14))+(COUNTIF(SSN!$A$7:$A$50,KIFAITOUT!G14))+(COUNTIF('W3'!$A$7:$A$50,KIFAITOUT!G14))+(COUNTIF('ATHIS MONS'!$A$7:$A$50,KIFAITOUT!G14))+(COUNTIF('L HAY LES ROSES'!$A$7:$A$50,KIFAITOUT!G14))+(COUNTIF(RUNGIS!$A$7:$A$50,KIFAITOUT!G14))+(COUNTIF(SCEAUX!$A$7:$A$50,KIFAITOUT!G14))+(COUNTIF('INSTANCE C1'!$A$7:$A$50,KIFAITOUT!G14))+(COUNTIF('INSTANCE C2'!$A$7:$A$50,KIFAITOUT!G14))+(COUNTIF(INTERNES!$A$7:$A$50,KIFAITOUT!G14))+(COUNTIF('EN PANNE'!$A$7:$A$50,KIFAITOUT!G14))+(COUNTIF(TJM!$A$7:$A$50,KIFAITOUT!G14))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S14" s="60">
        <f t="shared" si="1"/>
        <v>0</v>
      </c>
      <c r="T14" s="67">
        <f t="shared" si="2"/>
        <v>0</v>
      </c>
    </row>
    <row r="15" spans="1:26" ht="24.95" customHeight="1" x14ac:dyDescent="0.2">
      <c r="A15" s="20"/>
      <c r="B15" s="23">
        <f>(COUNTIF('2S EXPRESS'!$A$7:$A$50,KIFAITOUT!A15))+(COUNTIF('2 ZT'!$A$7:$A$50,KIFAITOUT!A15))+(COUNTIF('GO TRANSPORT'!$A$7:$A$50,KIFAITOUT!A15))+(COUNTIF('HMZ - KAIS'!$A$7:$A$50,KIFAITOUT!A15))+(COUNTIF('IB TRANSPORT'!$A$7:$A$50,KIFAITOUT!A15))+(COUNTIF(JSL!$A$7:$A$50,KIFAITOUT!A15))+(COUNTIF(KIFAITOUT!$A$7:$A$50,KIFAITOUT!A15))+(COUNTIF('LUXE DRIVE'!$A$7:$A$50,KIFAITOUT!A15))+(COUNTIF(SSN!$A$7:$A$50,KIFAITOUT!A15))+(COUNTIF('W3'!$A$7:$A$50,KIFAITOUT!A15))+(COUNTIF('ATHIS MONS'!$A$7:$A$50,KIFAITOUT!A15))+(COUNTIF('L HAY LES ROSES'!$A$7:$A$50,KIFAITOUT!A15))+(COUNTIF(RUNGIS!$A$7:$A$50,KIFAITOUT!A15))+(COUNTIF(SCEAUX!$A$7:$A$50,KIFAITOUT!A15))+(COUNTIF('INSTANCE C1'!$A$7:$A$50,KIFAITOUT!A15))+(COUNTIF('INSTANCE C2'!$A$7:$A$50,KIFAITOUT!A15))+(COUNTIF(INTERNES!$A$7:$A$50,KIFAITOUT!A15))+(COUNTIF('EN PANNE'!$A$7:$A$50,KIFAITOUT!A15))+(COUNTIF(TJM!$A$7:$A$50,KIFAITOUT!A15))-C15</f>
        <v>0</v>
      </c>
      <c r="C15" s="23">
        <f>(COUNTIF('2S EXPRESS'!$G$7:$G$50,KIFAITOUT!A15))+(COUNTIF('2 ZT'!$G$7:$G$50,KIFAITOUT!A15))+(COUNTIF('GO TRANSPORT'!$G$7:$G$50,KIFAITOUT!A15))+(COUNTIF(KIFAITOUT!$G$7:$G$50,KIFAITOUT!A15))+(COUNTIF('IB TRANSPORT'!$G$7:$G$50,KIFAITOUT!A15))+(COUNTIF(JSL!$G$7:$G$50,KIFAITOUT!A15))+(COUNTIF(KIFAITOUT!$G$7:$G$50,KIFAITOUT!A15))+(COUNTIF('LUXE DRIVE'!$G$7:$G$50,KIFAITOUT!A15))+(COUNTIF(SSN!$G$7:$G$50,KIFAITOUT!A15))+(COUNTIF('W3'!$G$7:$G$50,KIFAITOUT!A15))+(COUNTIF('ATHIS MONS'!$G$7:$G$50,KIFAITOUT!A15))+(COUNTIF('L HAY LES ROSES'!$G$7:$G$50,KIFAITOUT!A15))+(COUNTIF(RUNGIS!$G$7:$G$50,KIFAITOUT!A15))+(COUNTIF(SCEAUX!$G$7:$G$50,KIFAITOUT!A15))+(COUNTIF('INSTANCE C1'!$G$7:$G$50,KIFAITOUT!A15))+(COUNTIF('INSTANCE C2'!$G$7:$G$50,KIFAITOUT!A15))+(COUNTIF(INTERNES!$G$7:$G$50,KIFAITOUT!A15))+(COUNTIF('EN PANNE'!$G$7:$G$50,KIFAITOUT!A15))+(COUNTIF(TJM!$G$7:$G$50,KIFAITOUT!A15))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EXPRESS'!$G$7:$G$50,KIFAITOUT!G15))+(COUNTIF('2 ZT'!$G$7:$G$50,KIFAITOUT!G15))+(COUNTIF('GO TRANSPORT'!$G$7:$G$50,KIFAITOUT!G15))+(COUNTIF('HMZ - KAIS'!$G$7:$G$50,KIFAITOUT!G15))+(COUNTIF('IB TRANSPORT'!$G$7:$G$50,KIFAITOUT!G15))+(COUNTIF(JSL!$G$7:$G$50,KIFAITOUT!G15))+(COUNTIF(KIFAITOUT!$G$7:$G$50,KIFAITOUT!G15))+(COUNTIF('LUXE DRIVE'!$G$7:$G$50,KIFAITOUT!G15))+(COUNTIF(SSN!$G$7:$G$50,KIFAITOUT!G15))+(COUNTIF('W3'!$G$7:$G$50,KIFAITOUT!G15))+(COUNTIF('ATHIS MONS'!$G$7:$G$50,KIFAITOUT!G15))+(COUNTIF('L HAY LES ROSES'!$G$7:$G$50,KIFAITOUT!G15))+(COUNTIF(RUNGIS!$G$7:$G$50,KIFAITOUT!G15))+(COUNTIF(SCEAUX!$G$7:$G$50,KIFAITOUT!G15))+(COUNTIF('INSTANCE C1'!$G$7:$G$50,KIFAITOUT!G15))+(COUNTIF('INSTANCE C2'!$G$7:$G$50,KIFAITOUT!G15))+(COUNTIF(INTERNES!$G$7:$G$50,KIFAITOUT!G15))+(COUNTIF('EN PANNE'!$G$7:$G$50,KIFAITOUT!G15))+(COUNTIF(TJM!$G$7:$G$50,KIFAITOUT!G15))-I15</f>
        <v>0</v>
      </c>
      <c r="I15" s="23">
        <f>(COUNTIF('2S EXPRESS'!$A$7:$A$50,KIFAITOUT!G15))+(COUNTIF('2 ZT'!$A$7:$A$50,KIFAITOUT!G15))+(COUNTIF('GO TRANSPORT'!$A$7:$A$50,KIFAITOUT!G15))+(COUNTIF('HMZ - KAIS'!$A$7:$A$50,KIFAITOUT!G15))+(COUNTIF('IB TRANSPORT'!$A$7:$A$50,KIFAITOUT!G15))+(COUNTIF(JSL!$A$7:$A$50,KIFAITOUT!G15))+(COUNTIF(KIFAITOUT!$A$7:$A$50,KIFAITOUT!G15))+(COUNTIF('LUXE DRIVE'!$A$7:$A$50,KIFAITOUT!G15))+(COUNTIF(SSN!$A$7:$A$50,KIFAITOUT!G15))+(COUNTIF('W3'!$A$7:$A$50,KIFAITOUT!G15))+(COUNTIF('ATHIS MONS'!$A$7:$A$50,KIFAITOUT!G15))+(COUNTIF('L HAY LES ROSES'!$A$7:$A$50,KIFAITOUT!G15))+(COUNTIF(RUNGIS!$A$7:$A$50,KIFAITOUT!G15))+(COUNTIF(SCEAUX!$A$7:$A$50,KIFAITOUT!G15))+(COUNTIF('INSTANCE C1'!$A$7:$A$50,KIFAITOUT!G15))+(COUNTIF('INSTANCE C2'!$A$7:$A$50,KIFAITOUT!G15))+(COUNTIF(INTERNES!$A$7:$A$50,KIFAITOUT!G15))+(COUNTIF('EN PANNE'!$A$7:$A$50,KIFAITOUT!G15))+(COUNTIF(TJM!$A$7:$A$50,KIFAITOUT!G15))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S15" s="60">
        <f t="shared" si="1"/>
        <v>0</v>
      </c>
      <c r="T15" s="67">
        <f t="shared" si="2"/>
        <v>0</v>
      </c>
    </row>
    <row r="16" spans="1:26" ht="24.95" customHeight="1" x14ac:dyDescent="0.2">
      <c r="A16" s="20"/>
      <c r="B16" s="23">
        <f>(COUNTIF('2S EXPRESS'!$A$7:$A$50,KIFAITOUT!A16))+(COUNTIF('2 ZT'!$A$7:$A$50,KIFAITOUT!A16))+(COUNTIF('GO TRANSPORT'!$A$7:$A$50,KIFAITOUT!A16))+(COUNTIF('HMZ - KAIS'!$A$7:$A$50,KIFAITOUT!A16))+(COUNTIF('IB TRANSPORT'!$A$7:$A$50,KIFAITOUT!A16))+(COUNTIF(JSL!$A$7:$A$50,KIFAITOUT!A16))+(COUNTIF(KIFAITOUT!$A$7:$A$50,KIFAITOUT!A16))+(COUNTIF('LUXE DRIVE'!$A$7:$A$50,KIFAITOUT!A16))+(COUNTIF(SSN!$A$7:$A$50,KIFAITOUT!A16))+(COUNTIF('W3'!$A$7:$A$50,KIFAITOUT!A16))+(COUNTIF('ATHIS MONS'!$A$7:$A$50,KIFAITOUT!A16))+(COUNTIF('L HAY LES ROSES'!$A$7:$A$50,KIFAITOUT!A16))+(COUNTIF(RUNGIS!$A$7:$A$50,KIFAITOUT!A16))+(COUNTIF(SCEAUX!$A$7:$A$50,KIFAITOUT!A16))+(COUNTIF('INSTANCE C1'!$A$7:$A$50,KIFAITOUT!A16))+(COUNTIF('INSTANCE C2'!$A$7:$A$50,KIFAITOUT!A16))+(COUNTIF(INTERNES!$A$7:$A$50,KIFAITOUT!A16))+(COUNTIF('EN PANNE'!$A$7:$A$50,KIFAITOUT!A16))+(COUNTIF(TJM!$A$7:$A$50,KIFAITOUT!A16))-C16</f>
        <v>0</v>
      </c>
      <c r="C16" s="23">
        <f>(COUNTIF('2S EXPRESS'!$G$7:$G$50,KIFAITOUT!A16))+(COUNTIF('2 ZT'!$G$7:$G$50,KIFAITOUT!A16))+(COUNTIF('GO TRANSPORT'!$G$7:$G$50,KIFAITOUT!A16))+(COUNTIF(KIFAITOUT!$G$7:$G$50,KIFAITOUT!A16))+(COUNTIF('IB TRANSPORT'!$G$7:$G$50,KIFAITOUT!A16))+(COUNTIF(JSL!$G$7:$G$50,KIFAITOUT!A16))+(COUNTIF(KIFAITOUT!$G$7:$G$50,KIFAITOUT!A16))+(COUNTIF('LUXE DRIVE'!$G$7:$G$50,KIFAITOUT!A16))+(COUNTIF(SSN!$G$7:$G$50,KIFAITOUT!A16))+(COUNTIF('W3'!$G$7:$G$50,KIFAITOUT!A16))+(COUNTIF('ATHIS MONS'!$G$7:$G$50,KIFAITOUT!A16))+(COUNTIF('L HAY LES ROSES'!$G$7:$G$50,KIFAITOUT!A16))+(COUNTIF(RUNGIS!$G$7:$G$50,KIFAITOUT!A16))+(COUNTIF(SCEAUX!$G$7:$G$50,KIFAITOUT!A16))+(COUNTIF('INSTANCE C1'!$G$7:$G$50,KIFAITOUT!A16))+(COUNTIF('INSTANCE C2'!$G$7:$G$50,KIFAITOUT!A16))+(COUNTIF(INTERNES!$G$7:$G$50,KIFAITOUT!A16))+(COUNTIF('EN PANNE'!$G$7:$G$50,KIFAITOUT!A16))+(COUNTIF(TJM!$G$7:$G$50,KIFAITOUT!A16))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EXPRESS'!$G$7:$G$50,KIFAITOUT!G16))+(COUNTIF('2 ZT'!$G$7:$G$50,KIFAITOUT!G16))+(COUNTIF('GO TRANSPORT'!$G$7:$G$50,KIFAITOUT!G16))+(COUNTIF('HMZ - KAIS'!$G$7:$G$50,KIFAITOUT!G16))+(COUNTIF('IB TRANSPORT'!$G$7:$G$50,KIFAITOUT!G16))+(COUNTIF(JSL!$G$7:$G$50,KIFAITOUT!G16))+(COUNTIF(KIFAITOUT!$G$7:$G$50,KIFAITOUT!G16))+(COUNTIF('LUXE DRIVE'!$G$7:$G$50,KIFAITOUT!G16))+(COUNTIF(SSN!$G$7:$G$50,KIFAITOUT!G16))+(COUNTIF('W3'!$G$7:$G$50,KIFAITOUT!G16))+(COUNTIF('ATHIS MONS'!$G$7:$G$50,KIFAITOUT!G16))+(COUNTIF('L HAY LES ROSES'!$G$7:$G$50,KIFAITOUT!G16))+(COUNTIF(RUNGIS!$G$7:$G$50,KIFAITOUT!G16))+(COUNTIF(SCEAUX!$G$7:$G$50,KIFAITOUT!G16))+(COUNTIF('INSTANCE C1'!$G$7:$G$50,KIFAITOUT!G16))+(COUNTIF('INSTANCE C2'!$G$7:$G$50,KIFAITOUT!G16))+(COUNTIF(INTERNES!$G$7:$G$50,KIFAITOUT!G16))+(COUNTIF('EN PANNE'!$G$7:$G$50,KIFAITOUT!G16))+(COUNTIF(TJM!$G$7:$G$50,KIFAITOUT!G16))-I16</f>
        <v>0</v>
      </c>
      <c r="I16" s="23">
        <f>(COUNTIF('2S EXPRESS'!$A$7:$A$50,KIFAITOUT!G16))+(COUNTIF('2 ZT'!$A$7:$A$50,KIFAITOUT!G16))+(COUNTIF('GO TRANSPORT'!$A$7:$A$50,KIFAITOUT!G16))+(COUNTIF('HMZ - KAIS'!$A$7:$A$50,KIFAITOUT!G16))+(COUNTIF('IB TRANSPORT'!$A$7:$A$50,KIFAITOUT!G16))+(COUNTIF(JSL!$A$7:$A$50,KIFAITOUT!G16))+(COUNTIF(KIFAITOUT!$A$7:$A$50,KIFAITOUT!G16))+(COUNTIF('LUXE DRIVE'!$A$7:$A$50,KIFAITOUT!G16))+(COUNTIF(SSN!$A$7:$A$50,KIFAITOUT!G16))+(COUNTIF('W3'!$A$7:$A$50,KIFAITOUT!G16))+(COUNTIF('ATHIS MONS'!$A$7:$A$50,KIFAITOUT!G16))+(COUNTIF('L HAY LES ROSES'!$A$7:$A$50,KIFAITOUT!G16))+(COUNTIF(RUNGIS!$A$7:$A$50,KIFAITOUT!G16))+(COUNTIF(SCEAUX!$A$7:$A$50,KIFAITOUT!G16))+(COUNTIF('INSTANCE C1'!$A$7:$A$50,KIFAITOUT!G16))+(COUNTIF('INSTANCE C2'!$A$7:$A$50,KIFAITOUT!G16))+(COUNTIF(INTERNES!$A$7:$A$50,KIFAITOUT!G16))+(COUNTIF('EN PANNE'!$A$7:$A$50,KIFAITOUT!G16))+(COUNTIF(TJM!$A$7:$A$50,KIFAITOUT!G16))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S16" s="60">
        <f t="shared" si="1"/>
        <v>0</v>
      </c>
      <c r="T16" s="67">
        <f t="shared" si="2"/>
        <v>0</v>
      </c>
    </row>
    <row r="17" spans="1:20" ht="24.95" customHeight="1" x14ac:dyDescent="0.2">
      <c r="A17" s="20"/>
      <c r="B17" s="23">
        <f>(COUNTIF('2S EXPRESS'!$A$7:$A$50,KIFAITOUT!A17))+(COUNTIF('2 ZT'!$A$7:$A$50,KIFAITOUT!A17))+(COUNTIF('GO TRANSPORT'!$A$7:$A$50,KIFAITOUT!A17))+(COUNTIF('HMZ - KAIS'!$A$7:$A$50,KIFAITOUT!A17))+(COUNTIF('IB TRANSPORT'!$A$7:$A$50,KIFAITOUT!A17))+(COUNTIF(JSL!$A$7:$A$50,KIFAITOUT!A17))+(COUNTIF(KIFAITOUT!$A$7:$A$50,KIFAITOUT!A17))+(COUNTIF('LUXE DRIVE'!$A$7:$A$50,KIFAITOUT!A17))+(COUNTIF(SSN!$A$7:$A$50,KIFAITOUT!A17))+(COUNTIF('W3'!$A$7:$A$50,KIFAITOUT!A17))+(COUNTIF('ATHIS MONS'!$A$7:$A$50,KIFAITOUT!A17))+(COUNTIF('L HAY LES ROSES'!$A$7:$A$50,KIFAITOUT!A17))+(COUNTIF(RUNGIS!$A$7:$A$50,KIFAITOUT!A17))+(COUNTIF(SCEAUX!$A$7:$A$50,KIFAITOUT!A17))+(COUNTIF('INSTANCE C1'!$A$7:$A$50,KIFAITOUT!A17))+(COUNTIF('INSTANCE C2'!$A$7:$A$50,KIFAITOUT!A17))+(COUNTIF(INTERNES!$A$7:$A$50,KIFAITOUT!A17))+(COUNTIF('EN PANNE'!$A$7:$A$50,KIFAITOUT!A17))+(COUNTIF(TJM!$A$7:$A$50,KIFAITOUT!A17))-C17</f>
        <v>0</v>
      </c>
      <c r="C17" s="23">
        <f>(COUNTIF('2S EXPRESS'!$G$7:$G$50,KIFAITOUT!A17))+(COUNTIF('2 ZT'!$G$7:$G$50,KIFAITOUT!A17))+(COUNTIF('GO TRANSPORT'!$G$7:$G$50,KIFAITOUT!A17))+(COUNTIF(KIFAITOUT!$G$7:$G$50,KIFAITOUT!A17))+(COUNTIF('IB TRANSPORT'!$G$7:$G$50,KIFAITOUT!A17))+(COUNTIF(JSL!$G$7:$G$50,KIFAITOUT!A17))+(COUNTIF(KIFAITOUT!$G$7:$G$50,KIFAITOUT!A17))+(COUNTIF('LUXE DRIVE'!$G$7:$G$50,KIFAITOUT!A17))+(COUNTIF(SSN!$G$7:$G$50,KIFAITOUT!A17))+(COUNTIF('W3'!$G$7:$G$50,KIFAITOUT!A17))+(COUNTIF('ATHIS MONS'!$G$7:$G$50,KIFAITOUT!A17))+(COUNTIF('L HAY LES ROSES'!$G$7:$G$50,KIFAITOUT!A17))+(COUNTIF(RUNGIS!$G$7:$G$50,KIFAITOUT!A17))+(COUNTIF(SCEAUX!$G$7:$G$50,KIFAITOUT!A17))+(COUNTIF('INSTANCE C1'!$G$7:$G$50,KIFAITOUT!A17))+(COUNTIF('INSTANCE C2'!$G$7:$G$50,KIFAITOUT!A17))+(COUNTIF(INTERNES!$G$7:$G$50,KIFAITOUT!A17))+(COUNTIF('EN PANNE'!$G$7:$G$50,KIFAITOUT!A17))+(COUNTIF(TJM!$G$7:$G$50,KIFAITOUT!A17))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EXPRESS'!$G$7:$G$50,KIFAITOUT!G17))+(COUNTIF('2 ZT'!$G$7:$G$50,KIFAITOUT!G17))+(COUNTIF('GO TRANSPORT'!$G$7:$G$50,KIFAITOUT!G17))+(COUNTIF('HMZ - KAIS'!$G$7:$G$50,KIFAITOUT!G17))+(COUNTIF('IB TRANSPORT'!$G$7:$G$50,KIFAITOUT!G17))+(COUNTIF(JSL!$G$7:$G$50,KIFAITOUT!G17))+(COUNTIF(KIFAITOUT!$G$7:$G$50,KIFAITOUT!G17))+(COUNTIF('LUXE DRIVE'!$G$7:$G$50,KIFAITOUT!G17))+(COUNTIF(SSN!$G$7:$G$50,KIFAITOUT!G17))+(COUNTIF('W3'!$G$7:$G$50,KIFAITOUT!G17))+(COUNTIF('ATHIS MONS'!$G$7:$G$50,KIFAITOUT!G17))+(COUNTIF('L HAY LES ROSES'!$G$7:$G$50,KIFAITOUT!G17))+(COUNTIF(RUNGIS!$G$7:$G$50,KIFAITOUT!G17))+(COUNTIF(SCEAUX!$G$7:$G$50,KIFAITOUT!G17))+(COUNTIF('INSTANCE C1'!$G$7:$G$50,KIFAITOUT!G17))+(COUNTIF('INSTANCE C2'!$G$7:$G$50,KIFAITOUT!G17))+(COUNTIF(INTERNES!$G$7:$G$50,KIFAITOUT!G17))+(COUNTIF('EN PANNE'!$G$7:$G$50,KIFAITOUT!G17))+(COUNTIF(TJM!$G$7:$G$50,KIFAITOUT!G17))-I17</f>
        <v>0</v>
      </c>
      <c r="I17" s="23">
        <f>(COUNTIF('2S EXPRESS'!$A$7:$A$50,KIFAITOUT!G17))+(COUNTIF('2 ZT'!$A$7:$A$50,KIFAITOUT!G17))+(COUNTIF('GO TRANSPORT'!$A$7:$A$50,KIFAITOUT!G17))+(COUNTIF('HMZ - KAIS'!$A$7:$A$50,KIFAITOUT!G17))+(COUNTIF('IB TRANSPORT'!$A$7:$A$50,KIFAITOUT!G17))+(COUNTIF(JSL!$A$7:$A$50,KIFAITOUT!G17))+(COUNTIF(KIFAITOUT!$A$7:$A$50,KIFAITOUT!G17))+(COUNTIF('LUXE DRIVE'!$A$7:$A$50,KIFAITOUT!G17))+(COUNTIF(SSN!$A$7:$A$50,KIFAITOUT!G17))+(COUNTIF('W3'!$A$7:$A$50,KIFAITOUT!G17))+(COUNTIF('ATHIS MONS'!$A$7:$A$50,KIFAITOUT!G17))+(COUNTIF('L HAY LES ROSES'!$A$7:$A$50,KIFAITOUT!G17))+(COUNTIF(RUNGIS!$A$7:$A$50,KIFAITOUT!G17))+(COUNTIF(SCEAUX!$A$7:$A$50,KIFAITOUT!G17))+(COUNTIF('INSTANCE C1'!$A$7:$A$50,KIFAITOUT!G17))+(COUNTIF('INSTANCE C2'!$A$7:$A$50,KIFAITOUT!G17))+(COUNTIF(INTERNES!$A$7:$A$50,KIFAITOUT!G17))+(COUNTIF('EN PANNE'!$A$7:$A$50,KIFAITOUT!G17))+(COUNTIF(TJM!$A$7:$A$50,KIFAITOUT!G17))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S17" s="60">
        <f t="shared" si="1"/>
        <v>0</v>
      </c>
      <c r="T17" s="67">
        <f t="shared" si="2"/>
        <v>0</v>
      </c>
    </row>
    <row r="18" spans="1:20" ht="24.95" customHeight="1" x14ac:dyDescent="0.2">
      <c r="A18" s="20"/>
      <c r="B18" s="23">
        <f>(COUNTIF('2S EXPRESS'!$A$7:$A$50,KIFAITOUT!A18))+(COUNTIF('2 ZT'!$A$7:$A$50,KIFAITOUT!A18))+(COUNTIF('GO TRANSPORT'!$A$7:$A$50,KIFAITOUT!A18))+(COUNTIF('HMZ - KAIS'!$A$7:$A$50,KIFAITOUT!A18))+(COUNTIF('IB TRANSPORT'!$A$7:$A$50,KIFAITOUT!A18))+(COUNTIF(JSL!$A$7:$A$50,KIFAITOUT!A18))+(COUNTIF(KIFAITOUT!$A$7:$A$50,KIFAITOUT!A18))+(COUNTIF('LUXE DRIVE'!$A$7:$A$50,KIFAITOUT!A18))+(COUNTIF(SSN!$A$7:$A$50,KIFAITOUT!A18))+(COUNTIF('W3'!$A$7:$A$50,KIFAITOUT!A18))+(COUNTIF('ATHIS MONS'!$A$7:$A$50,KIFAITOUT!A18))+(COUNTIF('L HAY LES ROSES'!$A$7:$A$50,KIFAITOUT!A18))+(COUNTIF(RUNGIS!$A$7:$A$50,KIFAITOUT!A18))+(COUNTIF(SCEAUX!$A$7:$A$50,KIFAITOUT!A18))+(COUNTIF('INSTANCE C1'!$A$7:$A$50,KIFAITOUT!A18))+(COUNTIF('INSTANCE C2'!$A$7:$A$50,KIFAITOUT!A18))+(COUNTIF(INTERNES!$A$7:$A$50,KIFAITOUT!A18))+(COUNTIF('EN PANNE'!$A$7:$A$50,KIFAITOUT!A18))+(COUNTIF(TJM!$A$7:$A$50,KIFAITOUT!A18))-C18</f>
        <v>0</v>
      </c>
      <c r="C18" s="23">
        <f>(COUNTIF('2S EXPRESS'!$G$7:$G$50,KIFAITOUT!A18))+(COUNTIF('2 ZT'!$G$7:$G$50,KIFAITOUT!A18))+(COUNTIF('GO TRANSPORT'!$G$7:$G$50,KIFAITOUT!A18))+(COUNTIF(KIFAITOUT!$G$7:$G$50,KIFAITOUT!A18))+(COUNTIF('IB TRANSPORT'!$G$7:$G$50,KIFAITOUT!A18))+(COUNTIF(JSL!$G$7:$G$50,KIFAITOUT!A18))+(COUNTIF(KIFAITOUT!$G$7:$G$50,KIFAITOUT!A18))+(COUNTIF('LUXE DRIVE'!$G$7:$G$50,KIFAITOUT!A18))+(COUNTIF(SSN!$G$7:$G$50,KIFAITOUT!A18))+(COUNTIF('W3'!$G$7:$G$50,KIFAITOUT!A18))+(COUNTIF('ATHIS MONS'!$G$7:$G$50,KIFAITOUT!A18))+(COUNTIF('L HAY LES ROSES'!$G$7:$G$50,KIFAITOUT!A18))+(COUNTIF(RUNGIS!$G$7:$G$50,KIFAITOUT!A18))+(COUNTIF(SCEAUX!$G$7:$G$50,KIFAITOUT!A18))+(COUNTIF('INSTANCE C1'!$G$7:$G$50,KIFAITOUT!A18))+(COUNTIF('INSTANCE C2'!$G$7:$G$50,KIFAITOUT!A18))+(COUNTIF(INTERNES!$G$7:$G$50,KIFAITOUT!A18))+(COUNTIF('EN PANNE'!$G$7:$G$50,KIFAITOUT!A18))+(COUNTIF(TJM!$G$7:$G$50,KIFAITOUT!A18))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EXPRESS'!$G$7:$G$50,KIFAITOUT!G18))+(COUNTIF('2 ZT'!$G$7:$G$50,KIFAITOUT!G18))+(COUNTIF('GO TRANSPORT'!$G$7:$G$50,KIFAITOUT!G18))+(COUNTIF('HMZ - KAIS'!$G$7:$G$50,KIFAITOUT!G18))+(COUNTIF('IB TRANSPORT'!$G$7:$G$50,KIFAITOUT!G18))+(COUNTIF(JSL!$G$7:$G$50,KIFAITOUT!G18))+(COUNTIF(KIFAITOUT!$G$7:$G$50,KIFAITOUT!G18))+(COUNTIF('LUXE DRIVE'!$G$7:$G$50,KIFAITOUT!G18))+(COUNTIF(SSN!$G$7:$G$50,KIFAITOUT!G18))+(COUNTIF('W3'!$G$7:$G$50,KIFAITOUT!G18))+(COUNTIF('ATHIS MONS'!$G$7:$G$50,KIFAITOUT!G18))+(COUNTIF('L HAY LES ROSES'!$G$7:$G$50,KIFAITOUT!G18))+(COUNTIF(RUNGIS!$G$7:$G$50,KIFAITOUT!G18))+(COUNTIF(SCEAUX!$G$7:$G$50,KIFAITOUT!G18))+(COUNTIF('INSTANCE C1'!$G$7:$G$50,KIFAITOUT!G18))+(COUNTIF('INSTANCE C2'!$G$7:$G$50,KIFAITOUT!G18))+(COUNTIF(INTERNES!$G$7:$G$50,KIFAITOUT!G18))+(COUNTIF('EN PANNE'!$G$7:$G$50,KIFAITOUT!G18))+(COUNTIF(TJM!$G$7:$G$50,KIFAITOUT!G18))-I18</f>
        <v>0</v>
      </c>
      <c r="I18" s="23">
        <f>(COUNTIF('2S EXPRESS'!$A$7:$A$50,KIFAITOUT!G18))+(COUNTIF('2 ZT'!$A$7:$A$50,KIFAITOUT!G18))+(COUNTIF('GO TRANSPORT'!$A$7:$A$50,KIFAITOUT!G18))+(COUNTIF('HMZ - KAIS'!$A$7:$A$50,KIFAITOUT!G18))+(COUNTIF('IB TRANSPORT'!$A$7:$A$50,KIFAITOUT!G18))+(COUNTIF(JSL!$A$7:$A$50,KIFAITOUT!G18))+(COUNTIF(KIFAITOUT!$A$7:$A$50,KIFAITOUT!G18))+(COUNTIF('LUXE DRIVE'!$A$7:$A$50,KIFAITOUT!G18))+(COUNTIF(SSN!$A$7:$A$50,KIFAITOUT!G18))+(COUNTIF('W3'!$A$7:$A$50,KIFAITOUT!G18))+(COUNTIF('ATHIS MONS'!$A$7:$A$50,KIFAITOUT!G18))+(COUNTIF('L HAY LES ROSES'!$A$7:$A$50,KIFAITOUT!G18))+(COUNTIF(RUNGIS!$A$7:$A$50,KIFAITOUT!G18))+(COUNTIF(SCEAUX!$A$7:$A$50,KIFAITOUT!G18))+(COUNTIF('INSTANCE C1'!$A$7:$A$50,KIFAITOUT!G18))+(COUNTIF('INSTANCE C2'!$A$7:$A$50,KIFAITOUT!G18))+(COUNTIF(INTERNES!$A$7:$A$50,KIFAITOUT!G18))+(COUNTIF('EN PANNE'!$A$7:$A$50,KIFAITOUT!G18))+(COUNTIF(TJM!$A$7:$A$50,KIFAITOUT!G18))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S18" s="60">
        <f t="shared" si="1"/>
        <v>0</v>
      </c>
      <c r="T18" s="67">
        <f t="shared" si="2"/>
        <v>0</v>
      </c>
    </row>
    <row r="19" spans="1:20" ht="24.95" customHeight="1" x14ac:dyDescent="0.2">
      <c r="A19" s="20"/>
      <c r="B19" s="23">
        <f>(COUNTIF('2S EXPRESS'!$A$7:$A$50,KIFAITOUT!A19))+(COUNTIF('2 ZT'!$A$7:$A$50,KIFAITOUT!A19))+(COUNTIF('GO TRANSPORT'!$A$7:$A$50,KIFAITOUT!A19))+(COUNTIF('HMZ - KAIS'!$A$7:$A$50,KIFAITOUT!A19))+(COUNTIF('IB TRANSPORT'!$A$7:$A$50,KIFAITOUT!A19))+(COUNTIF(JSL!$A$7:$A$50,KIFAITOUT!A19))+(COUNTIF(KIFAITOUT!$A$7:$A$50,KIFAITOUT!A19))+(COUNTIF('LUXE DRIVE'!$A$7:$A$50,KIFAITOUT!A19))+(COUNTIF(SSN!$A$7:$A$50,KIFAITOUT!A19))+(COUNTIF('W3'!$A$7:$A$50,KIFAITOUT!A19))+(COUNTIF('ATHIS MONS'!$A$7:$A$50,KIFAITOUT!A19))+(COUNTIF('L HAY LES ROSES'!$A$7:$A$50,KIFAITOUT!A19))+(COUNTIF(RUNGIS!$A$7:$A$50,KIFAITOUT!A19))+(COUNTIF(SCEAUX!$A$7:$A$50,KIFAITOUT!A19))+(COUNTIF('INSTANCE C1'!$A$7:$A$50,KIFAITOUT!A19))+(COUNTIF('INSTANCE C2'!$A$7:$A$50,KIFAITOUT!A19))+(COUNTIF(INTERNES!$A$7:$A$50,KIFAITOUT!A19))+(COUNTIF('EN PANNE'!$A$7:$A$50,KIFAITOUT!A19))+(COUNTIF(TJM!$A$7:$A$50,KIFAITOUT!A19))-C19</f>
        <v>0</v>
      </c>
      <c r="C19" s="23">
        <f>(COUNTIF('2S EXPRESS'!$G$7:$G$50,KIFAITOUT!A19))+(COUNTIF('2 ZT'!$G$7:$G$50,KIFAITOUT!A19))+(COUNTIF('GO TRANSPORT'!$G$7:$G$50,KIFAITOUT!A19))+(COUNTIF(KIFAITOUT!$G$7:$G$50,KIFAITOUT!A19))+(COUNTIF('IB TRANSPORT'!$G$7:$G$50,KIFAITOUT!A19))+(COUNTIF(JSL!$G$7:$G$50,KIFAITOUT!A19))+(COUNTIF(KIFAITOUT!$G$7:$G$50,KIFAITOUT!A19))+(COUNTIF('LUXE DRIVE'!$G$7:$G$50,KIFAITOUT!A19))+(COUNTIF(SSN!$G$7:$G$50,KIFAITOUT!A19))+(COUNTIF('W3'!$G$7:$G$50,KIFAITOUT!A19))+(COUNTIF('ATHIS MONS'!$G$7:$G$50,KIFAITOUT!A19))+(COUNTIF('L HAY LES ROSES'!$G$7:$G$50,KIFAITOUT!A19))+(COUNTIF(RUNGIS!$G$7:$G$50,KIFAITOUT!A19))+(COUNTIF(SCEAUX!$G$7:$G$50,KIFAITOUT!A19))+(COUNTIF('INSTANCE C1'!$G$7:$G$50,KIFAITOUT!A19))+(COUNTIF('INSTANCE C2'!$G$7:$G$50,KIFAITOUT!A19))+(COUNTIF(INTERNES!$G$7:$G$50,KIFAITOUT!A19))+(COUNTIF('EN PANNE'!$G$7:$G$50,KIFAITOUT!A19))+(COUNTIF(TJM!$G$7:$G$50,KIFAITOUT!A19))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EXPRESS'!$G$7:$G$50,KIFAITOUT!G19))+(COUNTIF('2 ZT'!$G$7:$G$50,KIFAITOUT!G19))+(COUNTIF('GO TRANSPORT'!$G$7:$G$50,KIFAITOUT!G19))+(COUNTIF('HMZ - KAIS'!$G$7:$G$50,KIFAITOUT!G19))+(COUNTIF('IB TRANSPORT'!$G$7:$G$50,KIFAITOUT!G19))+(COUNTIF(JSL!$G$7:$G$50,KIFAITOUT!G19))+(COUNTIF(KIFAITOUT!$G$7:$G$50,KIFAITOUT!G19))+(COUNTIF('LUXE DRIVE'!$G$7:$G$50,KIFAITOUT!G19))+(COUNTIF(SSN!$G$7:$G$50,KIFAITOUT!G19))+(COUNTIF('W3'!$G$7:$G$50,KIFAITOUT!G19))+(COUNTIF('ATHIS MONS'!$G$7:$G$50,KIFAITOUT!G19))+(COUNTIF('L HAY LES ROSES'!$G$7:$G$50,KIFAITOUT!G19))+(COUNTIF(RUNGIS!$G$7:$G$50,KIFAITOUT!G19))+(COUNTIF(SCEAUX!$G$7:$G$50,KIFAITOUT!G19))+(COUNTIF('INSTANCE C1'!$G$7:$G$50,KIFAITOUT!G19))+(COUNTIF('INSTANCE C2'!$G$7:$G$50,KIFAITOUT!G19))+(COUNTIF(INTERNES!$G$7:$G$50,KIFAITOUT!G19))+(COUNTIF('EN PANNE'!$G$7:$G$50,KIFAITOUT!G19))+(COUNTIF(TJM!$G$7:$G$50,KIFAITOUT!G19))-I19</f>
        <v>0</v>
      </c>
      <c r="I19" s="23">
        <f>(COUNTIF('2S EXPRESS'!$A$7:$A$50,KIFAITOUT!G19))+(COUNTIF('2 ZT'!$A$7:$A$50,KIFAITOUT!G19))+(COUNTIF('GO TRANSPORT'!$A$7:$A$50,KIFAITOUT!G19))+(COUNTIF('HMZ - KAIS'!$A$7:$A$50,KIFAITOUT!G19))+(COUNTIF('IB TRANSPORT'!$A$7:$A$50,KIFAITOUT!G19))+(COUNTIF(JSL!$A$7:$A$50,KIFAITOUT!G19))+(COUNTIF(KIFAITOUT!$A$7:$A$50,KIFAITOUT!G19))+(COUNTIF('LUXE DRIVE'!$A$7:$A$50,KIFAITOUT!G19))+(COUNTIF(SSN!$A$7:$A$50,KIFAITOUT!G19))+(COUNTIF('W3'!$A$7:$A$50,KIFAITOUT!G19))+(COUNTIF('ATHIS MONS'!$A$7:$A$50,KIFAITOUT!G19))+(COUNTIF('L HAY LES ROSES'!$A$7:$A$50,KIFAITOUT!G19))+(COUNTIF(RUNGIS!$A$7:$A$50,KIFAITOUT!G19))+(COUNTIF(SCEAUX!$A$7:$A$50,KIFAITOUT!G19))+(COUNTIF('INSTANCE C1'!$A$7:$A$50,KIFAITOUT!G19))+(COUNTIF('INSTANCE C2'!$A$7:$A$50,KIFAITOUT!G19))+(COUNTIF(INTERNES!$A$7:$A$50,KIFAITOUT!G19))+(COUNTIF('EN PANNE'!$A$7:$A$50,KIFAITOUT!G19))+(COUNTIF(TJM!$A$7:$A$50,KIFAITOUT!G19))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S19" s="60">
        <f t="shared" si="1"/>
        <v>0</v>
      </c>
      <c r="T19" s="67">
        <f t="shared" si="2"/>
        <v>0</v>
      </c>
    </row>
    <row r="20" spans="1:20" ht="24.95" customHeight="1" x14ac:dyDescent="0.2">
      <c r="A20" s="20"/>
      <c r="B20" s="23">
        <f>(COUNTIF('2S EXPRESS'!$A$7:$A$50,KIFAITOUT!A20))+(COUNTIF('2 ZT'!$A$7:$A$50,KIFAITOUT!A20))+(COUNTIF('GO TRANSPORT'!$A$7:$A$50,KIFAITOUT!A20))+(COUNTIF('HMZ - KAIS'!$A$7:$A$50,KIFAITOUT!A20))+(COUNTIF('IB TRANSPORT'!$A$7:$A$50,KIFAITOUT!A20))+(COUNTIF(JSL!$A$7:$A$50,KIFAITOUT!A20))+(COUNTIF(KIFAITOUT!$A$7:$A$50,KIFAITOUT!A20))+(COUNTIF('LUXE DRIVE'!$A$7:$A$50,KIFAITOUT!A20))+(COUNTIF(SSN!$A$7:$A$50,KIFAITOUT!A20))+(COUNTIF('W3'!$A$7:$A$50,KIFAITOUT!A20))+(COUNTIF('ATHIS MONS'!$A$7:$A$50,KIFAITOUT!A20))+(COUNTIF('L HAY LES ROSES'!$A$7:$A$50,KIFAITOUT!A20))+(COUNTIF(RUNGIS!$A$7:$A$50,KIFAITOUT!A20))+(COUNTIF(SCEAUX!$A$7:$A$50,KIFAITOUT!A20))+(COUNTIF('INSTANCE C1'!$A$7:$A$50,KIFAITOUT!A20))+(COUNTIF('INSTANCE C2'!$A$7:$A$50,KIFAITOUT!A20))+(COUNTIF(INTERNES!$A$7:$A$50,KIFAITOUT!A20))+(COUNTIF('EN PANNE'!$A$7:$A$50,KIFAITOUT!A20))+(COUNTIF(TJM!$A$7:$A$50,KIFAITOUT!A20))-C20</f>
        <v>0</v>
      </c>
      <c r="C20" s="23">
        <f>(COUNTIF('2S EXPRESS'!$G$7:$G$50,KIFAITOUT!A20))+(COUNTIF('2 ZT'!$G$7:$G$50,KIFAITOUT!A20))+(COUNTIF('GO TRANSPORT'!$G$7:$G$50,KIFAITOUT!A20))+(COUNTIF(KIFAITOUT!$G$7:$G$50,KIFAITOUT!A20))+(COUNTIF('IB TRANSPORT'!$G$7:$G$50,KIFAITOUT!A20))+(COUNTIF(JSL!$G$7:$G$50,KIFAITOUT!A20))+(COUNTIF(KIFAITOUT!$G$7:$G$50,KIFAITOUT!A20))+(COUNTIF('LUXE DRIVE'!$G$7:$G$50,KIFAITOUT!A20))+(COUNTIF(SSN!$G$7:$G$50,KIFAITOUT!A20))+(COUNTIF('W3'!$G$7:$G$50,KIFAITOUT!A20))+(COUNTIF('ATHIS MONS'!$G$7:$G$50,KIFAITOUT!A20))+(COUNTIF('L HAY LES ROSES'!$G$7:$G$50,KIFAITOUT!A20))+(COUNTIF(RUNGIS!$G$7:$G$50,KIFAITOUT!A20))+(COUNTIF(SCEAUX!$G$7:$G$50,KIFAITOUT!A20))+(COUNTIF('INSTANCE C1'!$G$7:$G$50,KIFAITOUT!A20))+(COUNTIF('INSTANCE C2'!$G$7:$G$50,KIFAITOUT!A20))+(COUNTIF(INTERNES!$G$7:$G$50,KIFAITOUT!A20))+(COUNTIF('EN PANNE'!$G$7:$G$50,KIFAITOUT!A20))+(COUNTIF(TJM!$G$7:$G$50,KIFAITOUT!A20))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EXPRESS'!$G$7:$G$50,KIFAITOUT!G20))+(COUNTIF('2 ZT'!$G$7:$G$50,KIFAITOUT!G20))+(COUNTIF('GO TRANSPORT'!$G$7:$G$50,KIFAITOUT!G20))+(COUNTIF('HMZ - KAIS'!$G$7:$G$50,KIFAITOUT!G20))+(COUNTIF('IB TRANSPORT'!$G$7:$G$50,KIFAITOUT!G20))+(COUNTIF(JSL!$G$7:$G$50,KIFAITOUT!G20))+(COUNTIF(KIFAITOUT!$G$7:$G$50,KIFAITOUT!G20))+(COUNTIF('LUXE DRIVE'!$G$7:$G$50,KIFAITOUT!G20))+(COUNTIF(SSN!$G$7:$G$50,KIFAITOUT!G20))+(COUNTIF('W3'!$G$7:$G$50,KIFAITOUT!G20))+(COUNTIF('ATHIS MONS'!$G$7:$G$50,KIFAITOUT!G20))+(COUNTIF('L HAY LES ROSES'!$G$7:$G$50,KIFAITOUT!G20))+(COUNTIF(RUNGIS!$G$7:$G$50,KIFAITOUT!G20))+(COUNTIF(SCEAUX!$G$7:$G$50,KIFAITOUT!G20))+(COUNTIF('INSTANCE C1'!$G$7:$G$50,KIFAITOUT!G20))+(COUNTIF('INSTANCE C2'!$G$7:$G$50,KIFAITOUT!G20))+(COUNTIF(INTERNES!$G$7:$G$50,KIFAITOUT!G20))+(COUNTIF('EN PANNE'!$G$7:$G$50,KIFAITOUT!G20))+(COUNTIF(TJM!$G$7:$G$50,KIFAITOUT!G20))-I20</f>
        <v>0</v>
      </c>
      <c r="I20" s="23">
        <f>(COUNTIF('2S EXPRESS'!$A$7:$A$50,KIFAITOUT!G20))+(COUNTIF('2 ZT'!$A$7:$A$50,KIFAITOUT!G20))+(COUNTIF('GO TRANSPORT'!$A$7:$A$50,KIFAITOUT!G20))+(COUNTIF('HMZ - KAIS'!$A$7:$A$50,KIFAITOUT!G20))+(COUNTIF('IB TRANSPORT'!$A$7:$A$50,KIFAITOUT!G20))+(COUNTIF(JSL!$A$7:$A$50,KIFAITOUT!G20))+(COUNTIF(KIFAITOUT!$A$7:$A$50,KIFAITOUT!G20))+(COUNTIF('LUXE DRIVE'!$A$7:$A$50,KIFAITOUT!G20))+(COUNTIF(SSN!$A$7:$A$50,KIFAITOUT!G20))+(COUNTIF('W3'!$A$7:$A$50,KIFAITOUT!G20))+(COUNTIF('ATHIS MONS'!$A$7:$A$50,KIFAITOUT!G20))+(COUNTIF('L HAY LES ROSES'!$A$7:$A$50,KIFAITOUT!G20))+(COUNTIF(RUNGIS!$A$7:$A$50,KIFAITOUT!G20))+(COUNTIF(SCEAUX!$A$7:$A$50,KIFAITOUT!G20))+(COUNTIF('INSTANCE C1'!$A$7:$A$50,KIFAITOUT!G20))+(COUNTIF('INSTANCE C2'!$A$7:$A$50,KIFAITOUT!G20))+(COUNTIF(INTERNES!$A$7:$A$50,KIFAITOUT!G20))+(COUNTIF('EN PANNE'!$A$7:$A$50,KIFAITOUT!G20))+(COUNTIF(TJM!$A$7:$A$50,KIFAITOUT!G20))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S20" s="60">
        <f t="shared" si="1"/>
        <v>0</v>
      </c>
      <c r="T20" s="67">
        <f t="shared" si="2"/>
        <v>0</v>
      </c>
    </row>
    <row r="21" spans="1:20" ht="24.95" customHeight="1" x14ac:dyDescent="0.2">
      <c r="A21" s="20"/>
      <c r="B21" s="23">
        <f>(COUNTIF('2S EXPRESS'!$A$7:$A$50,KIFAITOUT!A21))+(COUNTIF('2 ZT'!$A$7:$A$50,KIFAITOUT!A21))+(COUNTIF('GO TRANSPORT'!$A$7:$A$50,KIFAITOUT!A21))+(COUNTIF('HMZ - KAIS'!$A$7:$A$50,KIFAITOUT!A21))+(COUNTIF('IB TRANSPORT'!$A$7:$A$50,KIFAITOUT!A21))+(COUNTIF(JSL!$A$7:$A$50,KIFAITOUT!A21))+(COUNTIF(KIFAITOUT!$A$7:$A$50,KIFAITOUT!A21))+(COUNTIF('LUXE DRIVE'!$A$7:$A$50,KIFAITOUT!A21))+(COUNTIF(SSN!$A$7:$A$50,KIFAITOUT!A21))+(COUNTIF('W3'!$A$7:$A$50,KIFAITOUT!A21))+(COUNTIF('ATHIS MONS'!$A$7:$A$50,KIFAITOUT!A21))+(COUNTIF('L HAY LES ROSES'!$A$7:$A$50,KIFAITOUT!A21))+(COUNTIF(RUNGIS!$A$7:$A$50,KIFAITOUT!A21))+(COUNTIF(SCEAUX!$A$7:$A$50,KIFAITOUT!A21))+(COUNTIF('INSTANCE C1'!$A$7:$A$50,KIFAITOUT!A21))+(COUNTIF('INSTANCE C2'!$A$7:$A$50,KIFAITOUT!A21))+(COUNTIF(INTERNES!$A$7:$A$50,KIFAITOUT!A21))+(COUNTIF('EN PANNE'!$A$7:$A$50,KIFAITOUT!A21))+(COUNTIF(TJM!$A$7:$A$50,KIFAITOUT!A21))-C21</f>
        <v>0</v>
      </c>
      <c r="C21" s="23">
        <f>(COUNTIF('2S EXPRESS'!$G$7:$G$50,KIFAITOUT!A21))+(COUNTIF('2 ZT'!$G$7:$G$50,KIFAITOUT!A21))+(COUNTIF('GO TRANSPORT'!$G$7:$G$50,KIFAITOUT!A21))+(COUNTIF(KIFAITOUT!$G$7:$G$50,KIFAITOUT!A21))+(COUNTIF('IB TRANSPORT'!$G$7:$G$50,KIFAITOUT!A21))+(COUNTIF(JSL!$G$7:$G$50,KIFAITOUT!A21))+(COUNTIF(KIFAITOUT!$G$7:$G$50,KIFAITOUT!A21))+(COUNTIF('LUXE DRIVE'!$G$7:$G$50,KIFAITOUT!A21))+(COUNTIF(SSN!$G$7:$G$50,KIFAITOUT!A21))+(COUNTIF('W3'!$G$7:$G$50,KIFAITOUT!A21))+(COUNTIF('ATHIS MONS'!$G$7:$G$50,KIFAITOUT!A21))+(COUNTIF('L HAY LES ROSES'!$G$7:$G$50,KIFAITOUT!A21))+(COUNTIF(RUNGIS!$G$7:$G$50,KIFAITOUT!A21))+(COUNTIF(SCEAUX!$G$7:$G$50,KIFAITOUT!A21))+(COUNTIF('INSTANCE C1'!$G$7:$G$50,KIFAITOUT!A21))+(COUNTIF('INSTANCE C2'!$G$7:$G$50,KIFAITOUT!A21))+(COUNTIF(INTERNES!$G$7:$G$50,KIFAITOUT!A21))+(COUNTIF('EN PANNE'!$G$7:$G$50,KIFAITOUT!A21))+(COUNTIF(TJM!$G$7:$G$50,KIFAITOUT!A21))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EXPRESS'!$G$7:$G$50,KIFAITOUT!G21))+(COUNTIF('2 ZT'!$G$7:$G$50,KIFAITOUT!G21))+(COUNTIF('GO TRANSPORT'!$G$7:$G$50,KIFAITOUT!G21))+(COUNTIF('HMZ - KAIS'!$G$7:$G$50,KIFAITOUT!G21))+(COUNTIF('IB TRANSPORT'!$G$7:$G$50,KIFAITOUT!G21))+(COUNTIF(JSL!$G$7:$G$50,KIFAITOUT!G21))+(COUNTIF(KIFAITOUT!$G$7:$G$50,KIFAITOUT!G21))+(COUNTIF('LUXE DRIVE'!$G$7:$G$50,KIFAITOUT!G21))+(COUNTIF(SSN!$G$7:$G$50,KIFAITOUT!G21))+(COUNTIF('W3'!$G$7:$G$50,KIFAITOUT!G21))+(COUNTIF('ATHIS MONS'!$G$7:$G$50,KIFAITOUT!G21))+(COUNTIF('L HAY LES ROSES'!$G$7:$G$50,KIFAITOUT!G21))+(COUNTIF(RUNGIS!$G$7:$G$50,KIFAITOUT!G21))+(COUNTIF(SCEAUX!$G$7:$G$50,KIFAITOUT!G21))+(COUNTIF('INSTANCE C1'!$G$7:$G$50,KIFAITOUT!G21))+(COUNTIF('INSTANCE C2'!$G$7:$G$50,KIFAITOUT!G21))+(COUNTIF(INTERNES!$G$7:$G$50,KIFAITOUT!G21))+(COUNTIF('EN PANNE'!$G$7:$G$50,KIFAITOUT!G21))+(COUNTIF(TJM!$G$7:$G$50,KIFAITOUT!G21))-I21</f>
        <v>0</v>
      </c>
      <c r="I21" s="23">
        <f>(COUNTIF('2S EXPRESS'!$A$7:$A$50,KIFAITOUT!G21))+(COUNTIF('2 ZT'!$A$7:$A$50,KIFAITOUT!G21))+(COUNTIF('GO TRANSPORT'!$A$7:$A$50,KIFAITOUT!G21))+(COUNTIF('HMZ - KAIS'!$A$7:$A$50,KIFAITOUT!G21))+(COUNTIF('IB TRANSPORT'!$A$7:$A$50,KIFAITOUT!G21))+(COUNTIF(JSL!$A$7:$A$50,KIFAITOUT!G21))+(COUNTIF(KIFAITOUT!$A$7:$A$50,KIFAITOUT!G21))+(COUNTIF('LUXE DRIVE'!$A$7:$A$50,KIFAITOUT!G21))+(COUNTIF(SSN!$A$7:$A$50,KIFAITOUT!G21))+(COUNTIF('W3'!$A$7:$A$50,KIFAITOUT!G21))+(COUNTIF('ATHIS MONS'!$A$7:$A$50,KIFAITOUT!G21))+(COUNTIF('L HAY LES ROSES'!$A$7:$A$50,KIFAITOUT!G21))+(COUNTIF(RUNGIS!$A$7:$A$50,KIFAITOUT!G21))+(COUNTIF(SCEAUX!$A$7:$A$50,KIFAITOUT!G21))+(COUNTIF('INSTANCE C1'!$A$7:$A$50,KIFAITOUT!G21))+(COUNTIF('INSTANCE C2'!$A$7:$A$50,KIFAITOUT!G21))+(COUNTIF(INTERNES!$A$7:$A$50,KIFAITOUT!G21))+(COUNTIF('EN PANNE'!$A$7:$A$50,KIFAITOUT!G21))+(COUNTIF(TJM!$A$7:$A$50,KIFAITOUT!G21))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S21" s="60">
        <f t="shared" si="1"/>
        <v>0</v>
      </c>
      <c r="T21" s="67">
        <f t="shared" si="2"/>
        <v>0</v>
      </c>
    </row>
    <row r="22" spans="1:20" ht="24.95" customHeight="1" x14ac:dyDescent="0.2">
      <c r="A22" s="20"/>
      <c r="B22" s="23">
        <f>(COUNTIF('2S EXPRESS'!$A$7:$A$50,KIFAITOUT!A22))+(COUNTIF('2 ZT'!$A$7:$A$50,KIFAITOUT!A22))+(COUNTIF('GO TRANSPORT'!$A$7:$A$50,KIFAITOUT!A22))+(COUNTIF('HMZ - KAIS'!$A$7:$A$50,KIFAITOUT!A22))+(COUNTIF('IB TRANSPORT'!$A$7:$A$50,KIFAITOUT!A22))+(COUNTIF(JSL!$A$7:$A$50,KIFAITOUT!A22))+(COUNTIF(KIFAITOUT!$A$7:$A$50,KIFAITOUT!A22))+(COUNTIF('LUXE DRIVE'!$A$7:$A$50,KIFAITOUT!A22))+(COUNTIF(SSN!$A$7:$A$50,KIFAITOUT!A22))+(COUNTIF('W3'!$A$7:$A$50,KIFAITOUT!A22))+(COUNTIF('ATHIS MONS'!$A$7:$A$50,KIFAITOUT!A22))+(COUNTIF('L HAY LES ROSES'!$A$7:$A$50,KIFAITOUT!A22))+(COUNTIF(RUNGIS!$A$7:$A$50,KIFAITOUT!A22))+(COUNTIF(SCEAUX!$A$7:$A$50,KIFAITOUT!A22))+(COUNTIF('INSTANCE C1'!$A$7:$A$50,KIFAITOUT!A22))+(COUNTIF('INSTANCE C2'!$A$7:$A$50,KIFAITOUT!A22))+(COUNTIF(INTERNES!$A$7:$A$50,KIFAITOUT!A22))+(COUNTIF('EN PANNE'!$A$7:$A$50,KIFAITOUT!A22))+(COUNTIF(TJM!$A$7:$A$50,KIFAITOUT!A22))-C22</f>
        <v>0</v>
      </c>
      <c r="C22" s="23">
        <f>(COUNTIF('2S EXPRESS'!$G$7:$G$50,KIFAITOUT!A22))+(COUNTIF('2 ZT'!$G$7:$G$50,KIFAITOUT!A22))+(COUNTIF('GO TRANSPORT'!$G$7:$G$50,KIFAITOUT!A22))+(COUNTIF(KIFAITOUT!$G$7:$G$50,KIFAITOUT!A22))+(COUNTIF('IB TRANSPORT'!$G$7:$G$50,KIFAITOUT!A22))+(COUNTIF(JSL!$G$7:$G$50,KIFAITOUT!A22))+(COUNTIF(KIFAITOUT!$G$7:$G$50,KIFAITOUT!A22))+(COUNTIF('LUXE DRIVE'!$G$7:$G$50,KIFAITOUT!A22))+(COUNTIF(SSN!$G$7:$G$50,KIFAITOUT!A22))+(COUNTIF('W3'!$G$7:$G$50,KIFAITOUT!A22))+(COUNTIF('ATHIS MONS'!$G$7:$G$50,KIFAITOUT!A22))+(COUNTIF('L HAY LES ROSES'!$G$7:$G$50,KIFAITOUT!A22))+(COUNTIF(RUNGIS!$G$7:$G$50,KIFAITOUT!A22))+(COUNTIF(SCEAUX!$G$7:$G$50,KIFAITOUT!A22))+(COUNTIF('INSTANCE C1'!$G$7:$G$50,KIFAITOUT!A22))+(COUNTIF('INSTANCE C2'!$G$7:$G$50,KIFAITOUT!A22))+(COUNTIF(INTERNES!$G$7:$G$50,KIFAITOUT!A22))+(COUNTIF('EN PANNE'!$G$7:$G$50,KIFAITOUT!A22))+(COUNTIF(TJM!$G$7:$G$50,KIFAITOUT!A22))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EXPRESS'!$G$7:$G$50,KIFAITOUT!G22))+(COUNTIF('2 ZT'!$G$7:$G$50,KIFAITOUT!G22))+(COUNTIF('GO TRANSPORT'!$G$7:$G$50,KIFAITOUT!G22))+(COUNTIF('HMZ - KAIS'!$G$7:$G$50,KIFAITOUT!G22))+(COUNTIF('IB TRANSPORT'!$G$7:$G$50,KIFAITOUT!G22))+(COUNTIF(JSL!$G$7:$G$50,KIFAITOUT!G22))+(COUNTIF(KIFAITOUT!$G$7:$G$50,KIFAITOUT!G22))+(COUNTIF('LUXE DRIVE'!$G$7:$G$50,KIFAITOUT!G22))+(COUNTIF(SSN!$G$7:$G$50,KIFAITOUT!G22))+(COUNTIF('W3'!$G$7:$G$50,KIFAITOUT!G22))+(COUNTIF('ATHIS MONS'!$G$7:$G$50,KIFAITOUT!G22))+(COUNTIF('L HAY LES ROSES'!$G$7:$G$50,KIFAITOUT!G22))+(COUNTIF(RUNGIS!$G$7:$G$50,KIFAITOUT!G22))+(COUNTIF(SCEAUX!$G$7:$G$50,KIFAITOUT!G22))+(COUNTIF('INSTANCE C1'!$G$7:$G$50,KIFAITOUT!G22))+(COUNTIF('INSTANCE C2'!$G$7:$G$50,KIFAITOUT!G22))+(COUNTIF(INTERNES!$G$7:$G$50,KIFAITOUT!G22))+(COUNTIF('EN PANNE'!$G$7:$G$50,KIFAITOUT!G22))+(COUNTIF(TJM!$G$7:$G$50,KIFAITOUT!G22))-I22</f>
        <v>0</v>
      </c>
      <c r="I22" s="23">
        <f>(COUNTIF('2S EXPRESS'!$A$7:$A$50,KIFAITOUT!G22))+(COUNTIF('2 ZT'!$A$7:$A$50,KIFAITOUT!G22))+(COUNTIF('GO TRANSPORT'!$A$7:$A$50,KIFAITOUT!G22))+(COUNTIF('HMZ - KAIS'!$A$7:$A$50,KIFAITOUT!G22))+(COUNTIF('IB TRANSPORT'!$A$7:$A$50,KIFAITOUT!G22))+(COUNTIF(JSL!$A$7:$A$50,KIFAITOUT!G22))+(COUNTIF(KIFAITOUT!$A$7:$A$50,KIFAITOUT!G22))+(COUNTIF('LUXE DRIVE'!$A$7:$A$50,KIFAITOUT!G22))+(COUNTIF(SSN!$A$7:$A$50,KIFAITOUT!G22))+(COUNTIF('W3'!$A$7:$A$50,KIFAITOUT!G22))+(COUNTIF('ATHIS MONS'!$A$7:$A$50,KIFAITOUT!G22))+(COUNTIF('L HAY LES ROSES'!$A$7:$A$50,KIFAITOUT!G22))+(COUNTIF(RUNGIS!$A$7:$A$50,KIFAITOUT!G22))+(COUNTIF(SCEAUX!$A$7:$A$50,KIFAITOUT!G22))+(COUNTIF('INSTANCE C1'!$A$7:$A$50,KIFAITOUT!G22))+(COUNTIF('INSTANCE C2'!$A$7:$A$50,KIFAITOUT!G22))+(COUNTIF(INTERNES!$A$7:$A$50,KIFAITOUT!G22))+(COUNTIF('EN PANNE'!$A$7:$A$50,KIFAITOUT!G22))+(COUNTIF(TJM!$A$7:$A$50,KIFAITOUT!G22))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S22" s="60">
        <f t="shared" si="1"/>
        <v>0</v>
      </c>
      <c r="T22" s="67">
        <f t="shared" si="2"/>
        <v>0</v>
      </c>
    </row>
    <row r="23" spans="1:20" ht="24.95" customHeight="1" x14ac:dyDescent="0.2">
      <c r="A23" s="20"/>
      <c r="B23" s="23">
        <f>(COUNTIF('2S EXPRESS'!$A$7:$A$50,KIFAITOUT!A23))+(COUNTIF('2 ZT'!$A$7:$A$50,KIFAITOUT!A23))+(COUNTIF('GO TRANSPORT'!$A$7:$A$50,KIFAITOUT!A23))+(COUNTIF('HMZ - KAIS'!$A$7:$A$50,KIFAITOUT!A23))+(COUNTIF('IB TRANSPORT'!$A$7:$A$50,KIFAITOUT!A23))+(COUNTIF(JSL!$A$7:$A$50,KIFAITOUT!A23))+(COUNTIF(KIFAITOUT!$A$7:$A$50,KIFAITOUT!A23))+(COUNTIF('LUXE DRIVE'!$A$7:$A$50,KIFAITOUT!A23))+(COUNTIF(SSN!$A$7:$A$50,KIFAITOUT!A23))+(COUNTIF('W3'!$A$7:$A$50,KIFAITOUT!A23))+(COUNTIF('ATHIS MONS'!$A$7:$A$50,KIFAITOUT!A23))+(COUNTIF('L HAY LES ROSES'!$A$7:$A$50,KIFAITOUT!A23))+(COUNTIF(RUNGIS!$A$7:$A$50,KIFAITOUT!A23))+(COUNTIF(SCEAUX!$A$7:$A$50,KIFAITOUT!A23))+(COUNTIF('INSTANCE C1'!$A$7:$A$50,KIFAITOUT!A23))+(COUNTIF('INSTANCE C2'!$A$7:$A$50,KIFAITOUT!A23))+(COUNTIF(INTERNES!$A$7:$A$50,KIFAITOUT!A23))+(COUNTIF('EN PANNE'!$A$7:$A$50,KIFAITOUT!A23))+(COUNTIF(TJM!$A$7:$A$50,KIFAITOUT!A23))-C23</f>
        <v>0</v>
      </c>
      <c r="C23" s="23">
        <f>(COUNTIF('2S EXPRESS'!$G$7:$G$50,KIFAITOUT!A23))+(COUNTIF('2 ZT'!$G$7:$G$50,KIFAITOUT!A23))+(COUNTIF('GO TRANSPORT'!$G$7:$G$50,KIFAITOUT!A23))+(COUNTIF(KIFAITOUT!$G$7:$G$50,KIFAITOUT!A23))+(COUNTIF('IB TRANSPORT'!$G$7:$G$50,KIFAITOUT!A23))+(COUNTIF(JSL!$G$7:$G$50,KIFAITOUT!A23))+(COUNTIF(KIFAITOUT!$G$7:$G$50,KIFAITOUT!A23))+(COUNTIF('LUXE DRIVE'!$G$7:$G$50,KIFAITOUT!A23))+(COUNTIF(SSN!$G$7:$G$50,KIFAITOUT!A23))+(COUNTIF('W3'!$G$7:$G$50,KIFAITOUT!A23))+(COUNTIF('ATHIS MONS'!$G$7:$G$50,KIFAITOUT!A23))+(COUNTIF('L HAY LES ROSES'!$G$7:$G$50,KIFAITOUT!A23))+(COUNTIF(RUNGIS!$G$7:$G$50,KIFAITOUT!A23))+(COUNTIF(SCEAUX!$G$7:$G$50,KIFAITOUT!A23))+(COUNTIF('INSTANCE C1'!$G$7:$G$50,KIFAITOUT!A23))+(COUNTIF('INSTANCE C2'!$G$7:$G$50,KIFAITOUT!A23))+(COUNTIF(INTERNES!$G$7:$G$50,KIFAITOUT!A23))+(COUNTIF('EN PANNE'!$G$7:$G$50,KIFAITOUT!A23))+(COUNTIF(TJM!$G$7:$G$50,KIFAITOUT!A23))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EXPRESS'!$G$7:$G$50,KIFAITOUT!G23))+(COUNTIF('2 ZT'!$G$7:$G$50,KIFAITOUT!G23))+(COUNTIF('GO TRANSPORT'!$G$7:$G$50,KIFAITOUT!G23))+(COUNTIF('HMZ - KAIS'!$G$7:$G$50,KIFAITOUT!G23))+(COUNTIF('IB TRANSPORT'!$G$7:$G$50,KIFAITOUT!G23))+(COUNTIF(JSL!$G$7:$G$50,KIFAITOUT!G23))+(COUNTIF(KIFAITOUT!$G$7:$G$50,KIFAITOUT!G23))+(COUNTIF('LUXE DRIVE'!$G$7:$G$50,KIFAITOUT!G23))+(COUNTIF(SSN!$G$7:$G$50,KIFAITOUT!G23))+(COUNTIF('W3'!$G$7:$G$50,KIFAITOUT!G23))+(COUNTIF('ATHIS MONS'!$G$7:$G$50,KIFAITOUT!G23))+(COUNTIF('L HAY LES ROSES'!$G$7:$G$50,KIFAITOUT!G23))+(COUNTIF(RUNGIS!$G$7:$G$50,KIFAITOUT!G23))+(COUNTIF(SCEAUX!$G$7:$G$50,KIFAITOUT!G23))+(COUNTIF('INSTANCE C1'!$G$7:$G$50,KIFAITOUT!G23))+(COUNTIF('INSTANCE C2'!$G$7:$G$50,KIFAITOUT!G23))+(COUNTIF(INTERNES!$G$7:$G$50,KIFAITOUT!G23))+(COUNTIF('EN PANNE'!$G$7:$G$50,KIFAITOUT!G23))+(COUNTIF(TJM!$G$7:$G$50,KIFAITOUT!G23))-I23</f>
        <v>0</v>
      </c>
      <c r="I23" s="23">
        <f>(COUNTIF('2S EXPRESS'!$A$7:$A$50,KIFAITOUT!G23))+(COUNTIF('2 ZT'!$A$7:$A$50,KIFAITOUT!G23))+(COUNTIF('GO TRANSPORT'!$A$7:$A$50,KIFAITOUT!G23))+(COUNTIF('HMZ - KAIS'!$A$7:$A$50,KIFAITOUT!G23))+(COUNTIF('IB TRANSPORT'!$A$7:$A$50,KIFAITOUT!G23))+(COUNTIF(JSL!$A$7:$A$50,KIFAITOUT!G23))+(COUNTIF(KIFAITOUT!$A$7:$A$50,KIFAITOUT!G23))+(COUNTIF('LUXE DRIVE'!$A$7:$A$50,KIFAITOUT!G23))+(COUNTIF(SSN!$A$7:$A$50,KIFAITOUT!G23))+(COUNTIF('W3'!$A$7:$A$50,KIFAITOUT!G23))+(COUNTIF('ATHIS MONS'!$A$7:$A$50,KIFAITOUT!G23))+(COUNTIF('L HAY LES ROSES'!$A$7:$A$50,KIFAITOUT!G23))+(COUNTIF(RUNGIS!$A$7:$A$50,KIFAITOUT!G23))+(COUNTIF(SCEAUX!$A$7:$A$50,KIFAITOUT!G23))+(COUNTIF('INSTANCE C1'!$A$7:$A$50,KIFAITOUT!G23))+(COUNTIF('INSTANCE C2'!$A$7:$A$50,KIFAITOUT!G23))+(COUNTIF(INTERNES!$A$7:$A$50,KIFAITOUT!G23))+(COUNTIF('EN PANNE'!$A$7:$A$50,KIFAITOUT!G23))+(COUNTIF(TJM!$A$7:$A$50,KIFAITOUT!G23))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S23" s="60">
        <f t="shared" si="1"/>
        <v>0</v>
      </c>
      <c r="T23" s="67">
        <f t="shared" si="2"/>
        <v>0</v>
      </c>
    </row>
    <row r="24" spans="1:20" ht="24.95" customHeight="1" x14ac:dyDescent="0.2">
      <c r="A24" s="20"/>
      <c r="B24" s="23">
        <f>(COUNTIF('2S EXPRESS'!$A$7:$A$50,KIFAITOUT!A24))+(COUNTIF('2 ZT'!$A$7:$A$50,KIFAITOUT!A24))+(COUNTIF('GO TRANSPORT'!$A$7:$A$50,KIFAITOUT!A24))+(COUNTIF('HMZ - KAIS'!$A$7:$A$50,KIFAITOUT!A24))+(COUNTIF('IB TRANSPORT'!$A$7:$A$50,KIFAITOUT!A24))+(COUNTIF(JSL!$A$7:$A$50,KIFAITOUT!A24))+(COUNTIF(KIFAITOUT!$A$7:$A$50,KIFAITOUT!A24))+(COUNTIF('LUXE DRIVE'!$A$7:$A$50,KIFAITOUT!A24))+(COUNTIF(SSN!$A$7:$A$50,KIFAITOUT!A24))+(COUNTIF('W3'!$A$7:$A$50,KIFAITOUT!A24))+(COUNTIF('ATHIS MONS'!$A$7:$A$50,KIFAITOUT!A24))+(COUNTIF('L HAY LES ROSES'!$A$7:$A$50,KIFAITOUT!A24))+(COUNTIF(RUNGIS!$A$7:$A$50,KIFAITOUT!A24))+(COUNTIF(SCEAUX!$A$7:$A$50,KIFAITOUT!A24))+(COUNTIF('INSTANCE C1'!$A$7:$A$50,KIFAITOUT!A24))+(COUNTIF('INSTANCE C2'!$A$7:$A$50,KIFAITOUT!A24))+(COUNTIF(INTERNES!$A$7:$A$50,KIFAITOUT!A24))+(COUNTIF('EN PANNE'!$A$7:$A$50,KIFAITOUT!A24))+(COUNTIF(TJM!$A$7:$A$50,KIFAITOUT!A24))-C24</f>
        <v>0</v>
      </c>
      <c r="C24" s="23">
        <f>(COUNTIF('2S EXPRESS'!$G$7:$G$50,KIFAITOUT!A24))+(COUNTIF('2 ZT'!$G$7:$G$50,KIFAITOUT!A24))+(COUNTIF('GO TRANSPORT'!$G$7:$G$50,KIFAITOUT!A24))+(COUNTIF(KIFAITOUT!$G$7:$G$50,KIFAITOUT!A24))+(COUNTIF('IB TRANSPORT'!$G$7:$G$50,KIFAITOUT!A24))+(COUNTIF(JSL!$G$7:$G$50,KIFAITOUT!A24))+(COUNTIF(KIFAITOUT!$G$7:$G$50,KIFAITOUT!A24))+(COUNTIF('LUXE DRIVE'!$G$7:$G$50,KIFAITOUT!A24))+(COUNTIF(SSN!$G$7:$G$50,KIFAITOUT!A24))+(COUNTIF('W3'!$G$7:$G$50,KIFAITOUT!A24))+(COUNTIF('ATHIS MONS'!$G$7:$G$50,KIFAITOUT!A24))+(COUNTIF('L HAY LES ROSES'!$G$7:$G$50,KIFAITOUT!A24))+(COUNTIF(RUNGIS!$G$7:$G$50,KIFAITOUT!A24))+(COUNTIF(SCEAUX!$G$7:$G$50,KIFAITOUT!A24))+(COUNTIF('INSTANCE C1'!$G$7:$G$50,KIFAITOUT!A24))+(COUNTIF('INSTANCE C2'!$G$7:$G$50,KIFAITOUT!A24))+(COUNTIF(INTERNES!$G$7:$G$50,KIFAITOUT!A24))+(COUNTIF('EN PANNE'!$G$7:$G$50,KIFAITOUT!A24))+(COUNTIF(TJM!$G$7:$G$50,KIFAITOUT!A24))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EXPRESS'!$G$7:$G$50,KIFAITOUT!G24))+(COUNTIF('2 ZT'!$G$7:$G$50,KIFAITOUT!G24))+(COUNTIF('GO TRANSPORT'!$G$7:$G$50,KIFAITOUT!G24))+(COUNTIF('HMZ - KAIS'!$G$7:$G$50,KIFAITOUT!G24))+(COUNTIF('IB TRANSPORT'!$G$7:$G$50,KIFAITOUT!G24))+(COUNTIF(JSL!$G$7:$G$50,KIFAITOUT!G24))+(COUNTIF(KIFAITOUT!$G$7:$G$50,KIFAITOUT!G24))+(COUNTIF('LUXE DRIVE'!$G$7:$G$50,KIFAITOUT!G24))+(COUNTIF(SSN!$G$7:$G$50,KIFAITOUT!G24))+(COUNTIF('W3'!$G$7:$G$50,KIFAITOUT!G24))+(COUNTIF('ATHIS MONS'!$G$7:$G$50,KIFAITOUT!G24))+(COUNTIF('L HAY LES ROSES'!$G$7:$G$50,KIFAITOUT!G24))+(COUNTIF(RUNGIS!$G$7:$G$50,KIFAITOUT!G24))+(COUNTIF(SCEAUX!$G$7:$G$50,KIFAITOUT!G24))+(COUNTIF('INSTANCE C1'!$G$7:$G$50,KIFAITOUT!G24))+(COUNTIF('INSTANCE C2'!$G$7:$G$50,KIFAITOUT!G24))+(COUNTIF(INTERNES!$G$7:$G$50,KIFAITOUT!G24))+(COUNTIF('EN PANNE'!$G$7:$G$50,KIFAITOUT!G24))+(COUNTIF(TJM!$G$7:$G$50,KIFAITOUT!G24))-I24</f>
        <v>0</v>
      </c>
      <c r="I24" s="23">
        <f>(COUNTIF('2S EXPRESS'!$A$7:$A$50,KIFAITOUT!G24))+(COUNTIF('2 ZT'!$A$7:$A$50,KIFAITOUT!G24))+(COUNTIF('GO TRANSPORT'!$A$7:$A$50,KIFAITOUT!G24))+(COUNTIF('HMZ - KAIS'!$A$7:$A$50,KIFAITOUT!G24))+(COUNTIF('IB TRANSPORT'!$A$7:$A$50,KIFAITOUT!G24))+(COUNTIF(JSL!$A$7:$A$50,KIFAITOUT!G24))+(COUNTIF(KIFAITOUT!$A$7:$A$50,KIFAITOUT!G24))+(COUNTIF('LUXE DRIVE'!$A$7:$A$50,KIFAITOUT!G24))+(COUNTIF(SSN!$A$7:$A$50,KIFAITOUT!G24))+(COUNTIF('W3'!$A$7:$A$50,KIFAITOUT!G24))+(COUNTIF('ATHIS MONS'!$A$7:$A$50,KIFAITOUT!G24))+(COUNTIF('L HAY LES ROSES'!$A$7:$A$50,KIFAITOUT!G24))+(COUNTIF(RUNGIS!$A$7:$A$50,KIFAITOUT!G24))+(COUNTIF(SCEAUX!$A$7:$A$50,KIFAITOUT!G24))+(COUNTIF('INSTANCE C1'!$A$7:$A$50,KIFAITOUT!G24))+(COUNTIF('INSTANCE C2'!$A$7:$A$50,KIFAITOUT!G24))+(COUNTIF(INTERNES!$A$7:$A$50,KIFAITOUT!G24))+(COUNTIF('EN PANNE'!$A$7:$A$50,KIFAITOUT!G24))+(COUNTIF(TJM!$A$7:$A$50,KIFAITOUT!G24))</f>
        <v>0</v>
      </c>
      <c r="J24" s="28">
        <f t="shared" si="4"/>
        <v>0</v>
      </c>
      <c r="K24" s="2"/>
      <c r="L24" s="47"/>
      <c r="S24" s="60">
        <f t="shared" si="1"/>
        <v>0</v>
      </c>
      <c r="T24" s="67">
        <f t="shared" si="2"/>
        <v>0</v>
      </c>
    </row>
    <row r="25" spans="1:20" ht="24.95" customHeight="1" x14ac:dyDescent="0.2">
      <c r="A25" s="20"/>
      <c r="B25" s="23">
        <f>(COUNTIF('2S EXPRESS'!$A$7:$A$50,KIFAITOUT!A25))+(COUNTIF('2 ZT'!$A$7:$A$50,KIFAITOUT!A25))+(COUNTIF('GO TRANSPORT'!$A$7:$A$50,KIFAITOUT!A25))+(COUNTIF('HMZ - KAIS'!$A$7:$A$50,KIFAITOUT!A25))+(COUNTIF('IB TRANSPORT'!$A$7:$A$50,KIFAITOUT!A25))+(COUNTIF(JSL!$A$7:$A$50,KIFAITOUT!A25))+(COUNTIF(KIFAITOUT!$A$7:$A$50,KIFAITOUT!A25))+(COUNTIF('LUXE DRIVE'!$A$7:$A$50,KIFAITOUT!A25))+(COUNTIF(SSN!$A$7:$A$50,KIFAITOUT!A25))+(COUNTIF('W3'!$A$7:$A$50,KIFAITOUT!A25))+(COUNTIF('ATHIS MONS'!$A$7:$A$50,KIFAITOUT!A25))+(COUNTIF('L HAY LES ROSES'!$A$7:$A$50,KIFAITOUT!A25))+(COUNTIF(RUNGIS!$A$7:$A$50,KIFAITOUT!A25))+(COUNTIF(SCEAUX!$A$7:$A$50,KIFAITOUT!A25))+(COUNTIF('INSTANCE C1'!$A$7:$A$50,KIFAITOUT!A25))+(COUNTIF('INSTANCE C2'!$A$7:$A$50,KIFAITOUT!A25))+(COUNTIF(INTERNES!$A$7:$A$50,KIFAITOUT!A25))+(COUNTIF('EN PANNE'!$A$7:$A$50,KIFAITOUT!A25))+(COUNTIF(TJM!$A$7:$A$50,KIFAITOUT!A25))-C25</f>
        <v>0</v>
      </c>
      <c r="C25" s="23">
        <f>(COUNTIF('2S EXPRESS'!$G$7:$G$50,KIFAITOUT!A25))+(COUNTIF('2 ZT'!$G$7:$G$50,KIFAITOUT!A25))+(COUNTIF('GO TRANSPORT'!$G$7:$G$50,KIFAITOUT!A25))+(COUNTIF(KIFAITOUT!$G$7:$G$50,KIFAITOUT!A25))+(COUNTIF('IB TRANSPORT'!$G$7:$G$50,KIFAITOUT!A25))+(COUNTIF(JSL!$G$7:$G$50,KIFAITOUT!A25))+(COUNTIF(KIFAITOUT!$G$7:$G$50,KIFAITOUT!A25))+(COUNTIF('LUXE DRIVE'!$G$7:$G$50,KIFAITOUT!A25))+(COUNTIF(SSN!$G$7:$G$50,KIFAITOUT!A25))+(COUNTIF('W3'!$G$7:$G$50,KIFAITOUT!A25))+(COUNTIF('ATHIS MONS'!$G$7:$G$50,KIFAITOUT!A25))+(COUNTIF('L HAY LES ROSES'!$G$7:$G$50,KIFAITOUT!A25))+(COUNTIF(RUNGIS!$G$7:$G$50,KIFAITOUT!A25))+(COUNTIF(SCEAUX!$G$7:$G$50,KIFAITOUT!A25))+(COUNTIF('INSTANCE C1'!$G$7:$G$50,KIFAITOUT!A25))+(COUNTIF('INSTANCE C2'!$G$7:$G$50,KIFAITOUT!A25))+(COUNTIF(INTERNES!$G$7:$G$50,KIFAITOUT!A25))+(COUNTIF('EN PANNE'!$G$7:$G$50,KIFAITOUT!A25))+(COUNTIF(TJM!$G$7:$G$50,KIFAITOUT!A25))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EXPRESS'!$G$7:$G$50,KIFAITOUT!G25))+(COUNTIF('2 ZT'!$G$7:$G$50,KIFAITOUT!G25))+(COUNTIF('GO TRANSPORT'!$G$7:$G$50,KIFAITOUT!G25))+(COUNTIF('HMZ - KAIS'!$G$7:$G$50,KIFAITOUT!G25))+(COUNTIF('IB TRANSPORT'!$G$7:$G$50,KIFAITOUT!G25))+(COUNTIF(JSL!$G$7:$G$50,KIFAITOUT!G25))+(COUNTIF(KIFAITOUT!$G$7:$G$50,KIFAITOUT!G25))+(COUNTIF('LUXE DRIVE'!$G$7:$G$50,KIFAITOUT!G25))+(COUNTIF(SSN!$G$7:$G$50,KIFAITOUT!G25))+(COUNTIF('W3'!$G$7:$G$50,KIFAITOUT!G25))+(COUNTIF('ATHIS MONS'!$G$7:$G$50,KIFAITOUT!G25))+(COUNTIF('L HAY LES ROSES'!$G$7:$G$50,KIFAITOUT!G25))+(COUNTIF(RUNGIS!$G$7:$G$50,KIFAITOUT!G25))+(COUNTIF(SCEAUX!$G$7:$G$50,KIFAITOUT!G25))+(COUNTIF('INSTANCE C1'!$G$7:$G$50,KIFAITOUT!G25))+(COUNTIF('INSTANCE C2'!$G$7:$G$50,KIFAITOUT!G25))+(COUNTIF(INTERNES!$G$7:$G$50,KIFAITOUT!G25))+(COUNTIF('EN PANNE'!$G$7:$G$50,KIFAITOUT!G25))+(COUNTIF(TJM!$G$7:$G$50,KIFAITOUT!G25))-I25</f>
        <v>0</v>
      </c>
      <c r="I25" s="23">
        <f>(COUNTIF('2S EXPRESS'!$A$7:$A$50,KIFAITOUT!G25))+(COUNTIF('2 ZT'!$A$7:$A$50,KIFAITOUT!G25))+(COUNTIF('GO TRANSPORT'!$A$7:$A$50,KIFAITOUT!G25))+(COUNTIF('HMZ - KAIS'!$A$7:$A$50,KIFAITOUT!G25))+(COUNTIF('IB TRANSPORT'!$A$7:$A$50,KIFAITOUT!G25))+(COUNTIF(JSL!$A$7:$A$50,KIFAITOUT!G25))+(COUNTIF(KIFAITOUT!$A$7:$A$50,KIFAITOUT!G25))+(COUNTIF('LUXE DRIVE'!$A$7:$A$50,KIFAITOUT!G25))+(COUNTIF(SSN!$A$7:$A$50,KIFAITOUT!G25))+(COUNTIF('W3'!$A$7:$A$50,KIFAITOUT!G25))+(COUNTIF('ATHIS MONS'!$A$7:$A$50,KIFAITOUT!G25))+(COUNTIF('L HAY LES ROSES'!$A$7:$A$50,KIFAITOUT!G25))+(COUNTIF(RUNGIS!$A$7:$A$50,KIFAITOUT!G25))+(COUNTIF(SCEAUX!$A$7:$A$50,KIFAITOUT!G25))+(COUNTIF('INSTANCE C1'!$A$7:$A$50,KIFAITOUT!G25))+(COUNTIF('INSTANCE C2'!$A$7:$A$50,KIFAITOUT!G25))+(COUNTIF(INTERNES!$A$7:$A$50,KIFAITOUT!G25))+(COUNTIF('EN PANNE'!$A$7:$A$50,KIFAITOUT!G25))+(COUNTIF(TJM!$A$7:$A$50,KIFAITOUT!G25))</f>
        <v>0</v>
      </c>
      <c r="J25" s="28">
        <f t="shared" si="4"/>
        <v>0</v>
      </c>
      <c r="K25" s="2"/>
      <c r="L25" s="47"/>
      <c r="S25" s="60">
        <f t="shared" si="1"/>
        <v>0</v>
      </c>
      <c r="T25" s="67">
        <f t="shared" si="2"/>
        <v>0</v>
      </c>
    </row>
    <row r="26" spans="1:20" ht="24.95" customHeight="1" x14ac:dyDescent="0.2">
      <c r="A26" s="20"/>
      <c r="B26" s="23">
        <f>(COUNTIF('2S EXPRESS'!$A$7:$A$50,KIFAITOUT!A26))+(COUNTIF('2 ZT'!$A$7:$A$50,KIFAITOUT!A26))+(COUNTIF('GO TRANSPORT'!$A$7:$A$50,KIFAITOUT!A26))+(COUNTIF('HMZ - KAIS'!$A$7:$A$50,KIFAITOUT!A26))+(COUNTIF('IB TRANSPORT'!$A$7:$A$50,KIFAITOUT!A26))+(COUNTIF(JSL!$A$7:$A$50,KIFAITOUT!A26))+(COUNTIF(KIFAITOUT!$A$7:$A$50,KIFAITOUT!A26))+(COUNTIF('LUXE DRIVE'!$A$7:$A$50,KIFAITOUT!A26))+(COUNTIF(SSN!$A$7:$A$50,KIFAITOUT!A26))+(COUNTIF('W3'!$A$7:$A$50,KIFAITOUT!A26))+(COUNTIF('ATHIS MONS'!$A$7:$A$50,KIFAITOUT!A26))+(COUNTIF('L HAY LES ROSES'!$A$7:$A$50,KIFAITOUT!A26))+(COUNTIF(RUNGIS!$A$7:$A$50,KIFAITOUT!A26))+(COUNTIF(SCEAUX!$A$7:$A$50,KIFAITOUT!A26))+(COUNTIF('INSTANCE C1'!$A$7:$A$50,KIFAITOUT!A26))+(COUNTIF('INSTANCE C2'!$A$7:$A$50,KIFAITOUT!A26))+(COUNTIF(INTERNES!$A$7:$A$50,KIFAITOUT!A26))+(COUNTIF('EN PANNE'!$A$7:$A$50,KIFAITOUT!A26))+(COUNTIF(TJM!$A$7:$A$50,KIFAITOUT!A26))-C26</f>
        <v>0</v>
      </c>
      <c r="C26" s="23">
        <f>(COUNTIF('2S EXPRESS'!$G$7:$G$50,KIFAITOUT!A26))+(COUNTIF('2 ZT'!$G$7:$G$50,KIFAITOUT!A26))+(COUNTIF('GO TRANSPORT'!$G$7:$G$50,KIFAITOUT!A26))+(COUNTIF(KIFAITOUT!$G$7:$G$50,KIFAITOUT!A26))+(COUNTIF('IB TRANSPORT'!$G$7:$G$50,KIFAITOUT!A26))+(COUNTIF(JSL!$G$7:$G$50,KIFAITOUT!A26))+(COUNTIF(KIFAITOUT!$G$7:$G$50,KIFAITOUT!A26))+(COUNTIF('LUXE DRIVE'!$G$7:$G$50,KIFAITOUT!A26))+(COUNTIF(SSN!$G$7:$G$50,KIFAITOUT!A26))+(COUNTIF('W3'!$G$7:$G$50,KIFAITOUT!A26))+(COUNTIF('ATHIS MONS'!$G$7:$G$50,KIFAITOUT!A26))+(COUNTIF('L HAY LES ROSES'!$G$7:$G$50,KIFAITOUT!A26))+(COUNTIF(RUNGIS!$G$7:$G$50,KIFAITOUT!A26))+(COUNTIF(SCEAUX!$G$7:$G$50,KIFAITOUT!A26))+(COUNTIF('INSTANCE C1'!$G$7:$G$50,KIFAITOUT!A26))+(COUNTIF('INSTANCE C2'!$G$7:$G$50,KIFAITOUT!A26))+(COUNTIF(INTERNES!$G$7:$G$50,KIFAITOUT!A26))+(COUNTIF('EN PANNE'!$G$7:$G$50,KIFAITOUT!A26))+(COUNTIF(TJM!$G$7:$G$50,KIFAITOUT!A26))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EXPRESS'!$G$7:$G$50,KIFAITOUT!G26))+(COUNTIF('2 ZT'!$G$7:$G$50,KIFAITOUT!G26))+(COUNTIF('GO TRANSPORT'!$G$7:$G$50,KIFAITOUT!G26))+(COUNTIF('HMZ - KAIS'!$G$7:$G$50,KIFAITOUT!G26))+(COUNTIF('IB TRANSPORT'!$G$7:$G$50,KIFAITOUT!G26))+(COUNTIF(JSL!$G$7:$G$50,KIFAITOUT!G26))+(COUNTIF(KIFAITOUT!$G$7:$G$50,KIFAITOUT!G26))+(COUNTIF('LUXE DRIVE'!$G$7:$G$50,KIFAITOUT!G26))+(COUNTIF(SSN!$G$7:$G$50,KIFAITOUT!G26))+(COUNTIF('W3'!$G$7:$G$50,KIFAITOUT!G26))+(COUNTIF('ATHIS MONS'!$G$7:$G$50,KIFAITOUT!G26))+(COUNTIF('L HAY LES ROSES'!$G$7:$G$50,KIFAITOUT!G26))+(COUNTIF(RUNGIS!$G$7:$G$50,KIFAITOUT!G26))+(COUNTIF(SCEAUX!$G$7:$G$50,KIFAITOUT!G26))+(COUNTIF('INSTANCE C1'!$G$7:$G$50,KIFAITOUT!G26))+(COUNTIF('INSTANCE C2'!$G$7:$G$50,KIFAITOUT!G26))+(COUNTIF(INTERNES!$G$7:$G$50,KIFAITOUT!G26))+(COUNTIF('EN PANNE'!$G$7:$G$50,KIFAITOUT!G26))+(COUNTIF(TJM!$G$7:$G$50,KIFAITOUT!G26))-I26</f>
        <v>0</v>
      </c>
      <c r="I26" s="23">
        <f>(COUNTIF('2S EXPRESS'!$A$7:$A$50,KIFAITOUT!G26))+(COUNTIF('2 ZT'!$A$7:$A$50,KIFAITOUT!G26))+(COUNTIF('GO TRANSPORT'!$A$7:$A$50,KIFAITOUT!G26))+(COUNTIF('HMZ - KAIS'!$A$7:$A$50,KIFAITOUT!G26))+(COUNTIF('IB TRANSPORT'!$A$7:$A$50,KIFAITOUT!G26))+(COUNTIF(JSL!$A$7:$A$50,KIFAITOUT!G26))+(COUNTIF(KIFAITOUT!$A$7:$A$50,KIFAITOUT!G26))+(COUNTIF('LUXE DRIVE'!$A$7:$A$50,KIFAITOUT!G26))+(COUNTIF(SSN!$A$7:$A$50,KIFAITOUT!G26))+(COUNTIF('W3'!$A$7:$A$50,KIFAITOUT!G26))+(COUNTIF('ATHIS MONS'!$A$7:$A$50,KIFAITOUT!G26))+(COUNTIF('L HAY LES ROSES'!$A$7:$A$50,KIFAITOUT!G26))+(COUNTIF(RUNGIS!$A$7:$A$50,KIFAITOUT!G26))+(COUNTIF(SCEAUX!$A$7:$A$50,KIFAITOUT!G26))+(COUNTIF('INSTANCE C1'!$A$7:$A$50,KIFAITOUT!G26))+(COUNTIF('INSTANCE C2'!$A$7:$A$50,KIFAITOUT!G26))+(COUNTIF(INTERNES!$A$7:$A$50,KIFAITOUT!G26))+(COUNTIF('EN PANNE'!$A$7:$A$50,KIFAITOUT!G26))+(COUNTIF(TJM!$A$7:$A$50,KIFAITOUT!G26))</f>
        <v>0</v>
      </c>
      <c r="J26" s="28">
        <f t="shared" si="4"/>
        <v>0</v>
      </c>
      <c r="K26" s="2"/>
      <c r="L26" s="47"/>
      <c r="S26" s="60">
        <f t="shared" si="1"/>
        <v>0</v>
      </c>
      <c r="T26" s="67">
        <f t="shared" si="2"/>
        <v>0</v>
      </c>
    </row>
    <row r="27" spans="1:20" ht="24.95" customHeight="1" x14ac:dyDescent="0.2">
      <c r="A27" s="20"/>
      <c r="B27" s="23">
        <f>(COUNTIF('2S EXPRESS'!$A$7:$A$50,KIFAITOUT!A27))+(COUNTIF('2 ZT'!$A$7:$A$50,KIFAITOUT!A27))+(COUNTIF('GO TRANSPORT'!$A$7:$A$50,KIFAITOUT!A27))+(COUNTIF('HMZ - KAIS'!$A$7:$A$50,KIFAITOUT!A27))+(COUNTIF('IB TRANSPORT'!$A$7:$A$50,KIFAITOUT!A27))+(COUNTIF(JSL!$A$7:$A$50,KIFAITOUT!A27))+(COUNTIF(KIFAITOUT!$A$7:$A$50,KIFAITOUT!A27))+(COUNTIF('LUXE DRIVE'!$A$7:$A$50,KIFAITOUT!A27))+(COUNTIF(SSN!$A$7:$A$50,KIFAITOUT!A27))+(COUNTIF('W3'!$A$7:$A$50,KIFAITOUT!A27))+(COUNTIF('ATHIS MONS'!$A$7:$A$50,KIFAITOUT!A27))+(COUNTIF('L HAY LES ROSES'!$A$7:$A$50,KIFAITOUT!A27))+(COUNTIF(RUNGIS!$A$7:$A$50,KIFAITOUT!A27))+(COUNTIF(SCEAUX!$A$7:$A$50,KIFAITOUT!A27))+(COUNTIF('INSTANCE C1'!$A$7:$A$50,KIFAITOUT!A27))+(COUNTIF('INSTANCE C2'!$A$7:$A$50,KIFAITOUT!A27))+(COUNTIF(INTERNES!$A$7:$A$50,KIFAITOUT!A27))+(COUNTIF('EN PANNE'!$A$7:$A$50,KIFAITOUT!A27))+(COUNTIF(TJM!$A$7:$A$50,KIFAITOUT!A27))-C27</f>
        <v>0</v>
      </c>
      <c r="C27" s="23">
        <f>(COUNTIF('2S EXPRESS'!$G$7:$G$50,KIFAITOUT!A27))+(COUNTIF('2 ZT'!$G$7:$G$50,KIFAITOUT!A27))+(COUNTIF('GO TRANSPORT'!$G$7:$G$50,KIFAITOUT!A27))+(COUNTIF(KIFAITOUT!$G$7:$G$50,KIFAITOUT!A27))+(COUNTIF('IB TRANSPORT'!$G$7:$G$50,KIFAITOUT!A27))+(COUNTIF(JSL!$G$7:$G$50,KIFAITOUT!A27))+(COUNTIF(KIFAITOUT!$G$7:$G$50,KIFAITOUT!A27))+(COUNTIF('LUXE DRIVE'!$G$7:$G$50,KIFAITOUT!A27))+(COUNTIF(SSN!$G$7:$G$50,KIFAITOUT!A27))+(COUNTIF('W3'!$G$7:$G$50,KIFAITOUT!A27))+(COUNTIF('ATHIS MONS'!$G$7:$G$50,KIFAITOUT!A27))+(COUNTIF('L HAY LES ROSES'!$G$7:$G$50,KIFAITOUT!A27))+(COUNTIF(RUNGIS!$G$7:$G$50,KIFAITOUT!A27))+(COUNTIF(SCEAUX!$G$7:$G$50,KIFAITOUT!A27))+(COUNTIF('INSTANCE C1'!$G$7:$G$50,KIFAITOUT!A27))+(COUNTIF('INSTANCE C2'!$G$7:$G$50,KIFAITOUT!A27))+(COUNTIF(INTERNES!$G$7:$G$50,KIFAITOUT!A27))+(COUNTIF('EN PANNE'!$G$7:$G$50,KIFAITOUT!A27))+(COUNTIF(TJM!$G$7:$G$50,KIFAITOUT!A27))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EXPRESS'!$G$7:$G$50,KIFAITOUT!G27))+(COUNTIF('2 ZT'!$G$7:$G$50,KIFAITOUT!G27))+(COUNTIF('GO TRANSPORT'!$G$7:$G$50,KIFAITOUT!G27))+(COUNTIF('HMZ - KAIS'!$G$7:$G$50,KIFAITOUT!G27))+(COUNTIF('IB TRANSPORT'!$G$7:$G$50,KIFAITOUT!G27))+(COUNTIF(JSL!$G$7:$G$50,KIFAITOUT!G27))+(COUNTIF(KIFAITOUT!$G$7:$G$50,KIFAITOUT!G27))+(COUNTIF('LUXE DRIVE'!$G$7:$G$50,KIFAITOUT!G27))+(COUNTIF(SSN!$G$7:$G$50,KIFAITOUT!G27))+(COUNTIF('W3'!$G$7:$G$50,KIFAITOUT!G27))+(COUNTIF('ATHIS MONS'!$G$7:$G$50,KIFAITOUT!G27))+(COUNTIF('L HAY LES ROSES'!$G$7:$G$50,KIFAITOUT!G27))+(COUNTIF(RUNGIS!$G$7:$G$50,KIFAITOUT!G27))+(COUNTIF(SCEAUX!$G$7:$G$50,KIFAITOUT!G27))+(COUNTIF('INSTANCE C1'!$G$7:$G$50,KIFAITOUT!G27))+(COUNTIF('INSTANCE C2'!$G$7:$G$50,KIFAITOUT!G27))+(COUNTIF(INTERNES!$G$7:$G$50,KIFAITOUT!G27))+(COUNTIF('EN PANNE'!$G$7:$G$50,KIFAITOUT!G27))+(COUNTIF(TJM!$G$7:$G$50,KIFAITOUT!G27))-I27</f>
        <v>0</v>
      </c>
      <c r="I27" s="23">
        <f>(COUNTIF('2S EXPRESS'!$A$7:$A$50,KIFAITOUT!G27))+(COUNTIF('2 ZT'!$A$7:$A$50,KIFAITOUT!G27))+(COUNTIF('GO TRANSPORT'!$A$7:$A$50,KIFAITOUT!G27))+(COUNTIF('HMZ - KAIS'!$A$7:$A$50,KIFAITOUT!G27))+(COUNTIF('IB TRANSPORT'!$A$7:$A$50,KIFAITOUT!G27))+(COUNTIF(JSL!$A$7:$A$50,KIFAITOUT!G27))+(COUNTIF(KIFAITOUT!$A$7:$A$50,KIFAITOUT!G27))+(COUNTIF('LUXE DRIVE'!$A$7:$A$50,KIFAITOUT!G27))+(COUNTIF(SSN!$A$7:$A$50,KIFAITOUT!G27))+(COUNTIF('W3'!$A$7:$A$50,KIFAITOUT!G27))+(COUNTIF('ATHIS MONS'!$A$7:$A$50,KIFAITOUT!G27))+(COUNTIF('L HAY LES ROSES'!$A$7:$A$50,KIFAITOUT!G27))+(COUNTIF(RUNGIS!$A$7:$A$50,KIFAITOUT!G27))+(COUNTIF(SCEAUX!$A$7:$A$50,KIFAITOUT!G27))+(COUNTIF('INSTANCE C1'!$A$7:$A$50,KIFAITOUT!G27))+(COUNTIF('INSTANCE C2'!$A$7:$A$50,KIFAITOUT!G27))+(COUNTIF(INTERNES!$A$7:$A$50,KIFAITOUT!G27))+(COUNTIF('EN PANNE'!$A$7:$A$50,KIFAITOUT!G27))+(COUNTIF(TJM!$A$7:$A$50,KIFAITOUT!G27))</f>
        <v>0</v>
      </c>
      <c r="J27" s="28">
        <f t="shared" si="4"/>
        <v>0</v>
      </c>
      <c r="K27" s="2"/>
      <c r="L27" s="47"/>
      <c r="S27" s="60">
        <f t="shared" si="1"/>
        <v>0</v>
      </c>
      <c r="T27" s="67">
        <f t="shared" si="2"/>
        <v>0</v>
      </c>
    </row>
    <row r="28" spans="1:20" ht="24.95" customHeight="1" x14ac:dyDescent="0.2">
      <c r="A28" s="20"/>
      <c r="B28" s="23">
        <f>(COUNTIF('2S EXPRESS'!$A$7:$A$50,KIFAITOUT!A28))+(COUNTIF('2 ZT'!$A$7:$A$50,KIFAITOUT!A28))+(COUNTIF('GO TRANSPORT'!$A$7:$A$50,KIFAITOUT!A28))+(COUNTIF('HMZ - KAIS'!$A$7:$A$50,KIFAITOUT!A28))+(COUNTIF('IB TRANSPORT'!$A$7:$A$50,KIFAITOUT!A28))+(COUNTIF(JSL!$A$7:$A$50,KIFAITOUT!A28))+(COUNTIF(KIFAITOUT!$A$7:$A$50,KIFAITOUT!A28))+(COUNTIF('LUXE DRIVE'!$A$7:$A$50,KIFAITOUT!A28))+(COUNTIF(SSN!$A$7:$A$50,KIFAITOUT!A28))+(COUNTIF('W3'!$A$7:$A$50,KIFAITOUT!A28))+(COUNTIF('ATHIS MONS'!$A$7:$A$50,KIFAITOUT!A28))+(COUNTIF('L HAY LES ROSES'!$A$7:$A$50,KIFAITOUT!A28))+(COUNTIF(RUNGIS!$A$7:$A$50,KIFAITOUT!A28))+(COUNTIF(SCEAUX!$A$7:$A$50,KIFAITOUT!A28))+(COUNTIF('INSTANCE C1'!$A$7:$A$50,KIFAITOUT!A28))+(COUNTIF('INSTANCE C2'!$A$7:$A$50,KIFAITOUT!A28))+(COUNTIF(INTERNES!$A$7:$A$50,KIFAITOUT!A28))+(COUNTIF('EN PANNE'!$A$7:$A$50,KIFAITOUT!A28))+(COUNTIF(TJM!$A$7:$A$50,KIFAITOUT!A28))-C28</f>
        <v>0</v>
      </c>
      <c r="C28" s="23">
        <f>(COUNTIF('2S EXPRESS'!$G$7:$G$50,KIFAITOUT!A28))+(COUNTIF('2 ZT'!$G$7:$G$50,KIFAITOUT!A28))+(COUNTIF('GO TRANSPORT'!$G$7:$G$50,KIFAITOUT!A28))+(COUNTIF(KIFAITOUT!$G$7:$G$50,KIFAITOUT!A28))+(COUNTIF('IB TRANSPORT'!$G$7:$G$50,KIFAITOUT!A28))+(COUNTIF(JSL!$G$7:$G$50,KIFAITOUT!A28))+(COUNTIF(KIFAITOUT!$G$7:$G$50,KIFAITOUT!A28))+(COUNTIF('LUXE DRIVE'!$G$7:$G$50,KIFAITOUT!A28))+(COUNTIF(SSN!$G$7:$G$50,KIFAITOUT!A28))+(COUNTIF('W3'!$G$7:$G$50,KIFAITOUT!A28))+(COUNTIF('ATHIS MONS'!$G$7:$G$50,KIFAITOUT!A28))+(COUNTIF('L HAY LES ROSES'!$G$7:$G$50,KIFAITOUT!A28))+(COUNTIF(RUNGIS!$G$7:$G$50,KIFAITOUT!A28))+(COUNTIF(SCEAUX!$G$7:$G$50,KIFAITOUT!A28))+(COUNTIF('INSTANCE C1'!$G$7:$G$50,KIFAITOUT!A28))+(COUNTIF('INSTANCE C2'!$G$7:$G$50,KIFAITOUT!A28))+(COUNTIF(INTERNES!$G$7:$G$50,KIFAITOUT!A28))+(COUNTIF('EN PANNE'!$G$7:$G$50,KIFAITOUT!A28))+(COUNTIF(TJM!$G$7:$G$50,KIFAITOUT!A28))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EXPRESS'!$G$7:$G$50,KIFAITOUT!G28))+(COUNTIF('2 ZT'!$G$7:$G$50,KIFAITOUT!G28))+(COUNTIF('GO TRANSPORT'!$G$7:$G$50,KIFAITOUT!G28))+(COUNTIF('HMZ - KAIS'!$G$7:$G$50,KIFAITOUT!G28))+(COUNTIF('IB TRANSPORT'!$G$7:$G$50,KIFAITOUT!G28))+(COUNTIF(JSL!$G$7:$G$50,KIFAITOUT!G28))+(COUNTIF(KIFAITOUT!$G$7:$G$50,KIFAITOUT!G28))+(COUNTIF('LUXE DRIVE'!$G$7:$G$50,KIFAITOUT!G28))+(COUNTIF(SSN!$G$7:$G$50,KIFAITOUT!G28))+(COUNTIF('W3'!$G$7:$G$50,KIFAITOUT!G28))+(COUNTIF('ATHIS MONS'!$G$7:$G$50,KIFAITOUT!G28))+(COUNTIF('L HAY LES ROSES'!$G$7:$G$50,KIFAITOUT!G28))+(COUNTIF(RUNGIS!$G$7:$G$50,KIFAITOUT!G28))+(COUNTIF(SCEAUX!$G$7:$G$50,KIFAITOUT!G28))+(COUNTIF('INSTANCE C1'!$G$7:$G$50,KIFAITOUT!G28))+(COUNTIF('INSTANCE C2'!$G$7:$G$50,KIFAITOUT!G28))+(COUNTIF(INTERNES!$G$7:$G$50,KIFAITOUT!G28))+(COUNTIF('EN PANNE'!$G$7:$G$50,KIFAITOUT!G28))+(COUNTIF(TJM!$G$7:$G$50,KIFAITOUT!G28))-I28</f>
        <v>0</v>
      </c>
      <c r="I28" s="23">
        <f>(COUNTIF('2S EXPRESS'!$A$7:$A$50,KIFAITOUT!G28))+(COUNTIF('2 ZT'!$A$7:$A$50,KIFAITOUT!G28))+(COUNTIF('GO TRANSPORT'!$A$7:$A$50,KIFAITOUT!G28))+(COUNTIF('HMZ - KAIS'!$A$7:$A$50,KIFAITOUT!G28))+(COUNTIF('IB TRANSPORT'!$A$7:$A$50,KIFAITOUT!G28))+(COUNTIF(JSL!$A$7:$A$50,KIFAITOUT!G28))+(COUNTIF(KIFAITOUT!$A$7:$A$50,KIFAITOUT!G28))+(COUNTIF('LUXE DRIVE'!$A$7:$A$50,KIFAITOUT!G28))+(COUNTIF(SSN!$A$7:$A$50,KIFAITOUT!G28))+(COUNTIF('W3'!$A$7:$A$50,KIFAITOUT!G28))+(COUNTIF('ATHIS MONS'!$A$7:$A$50,KIFAITOUT!G28))+(COUNTIF('L HAY LES ROSES'!$A$7:$A$50,KIFAITOUT!G28))+(COUNTIF(RUNGIS!$A$7:$A$50,KIFAITOUT!G28))+(COUNTIF(SCEAUX!$A$7:$A$50,KIFAITOUT!G28))+(COUNTIF('INSTANCE C1'!$A$7:$A$50,KIFAITOUT!G28))+(COUNTIF('INSTANCE C2'!$A$7:$A$50,KIFAITOUT!G28))+(COUNTIF(INTERNES!$A$7:$A$50,KIFAITOUT!G28))+(COUNTIF('EN PANNE'!$A$7:$A$50,KIFAITOUT!G28))+(COUNTIF(TJM!$A$7:$A$50,KIFAITOUT!G28))</f>
        <v>0</v>
      </c>
      <c r="J28" s="28">
        <f t="shared" si="4"/>
        <v>0</v>
      </c>
      <c r="K28" s="2"/>
      <c r="L28" s="47"/>
      <c r="S28" s="60">
        <f t="shared" si="1"/>
        <v>0</v>
      </c>
      <c r="T28" s="67">
        <f t="shared" si="2"/>
        <v>0</v>
      </c>
    </row>
    <row r="29" spans="1:20" ht="24.95" customHeight="1" x14ac:dyDescent="0.2">
      <c r="A29" s="20"/>
      <c r="B29" s="23">
        <f>(COUNTIF('2S EXPRESS'!$A$7:$A$50,KIFAITOUT!A29))+(COUNTIF('2 ZT'!$A$7:$A$50,KIFAITOUT!A29))+(COUNTIF('GO TRANSPORT'!$A$7:$A$50,KIFAITOUT!A29))+(COUNTIF('HMZ - KAIS'!$A$7:$A$50,KIFAITOUT!A29))+(COUNTIF('IB TRANSPORT'!$A$7:$A$50,KIFAITOUT!A29))+(COUNTIF(JSL!$A$7:$A$50,KIFAITOUT!A29))+(COUNTIF(KIFAITOUT!$A$7:$A$50,KIFAITOUT!A29))+(COUNTIF('LUXE DRIVE'!$A$7:$A$50,KIFAITOUT!A29))+(COUNTIF(SSN!$A$7:$A$50,KIFAITOUT!A29))+(COUNTIF('W3'!$A$7:$A$50,KIFAITOUT!A29))+(COUNTIF('ATHIS MONS'!$A$7:$A$50,KIFAITOUT!A29))+(COUNTIF('L HAY LES ROSES'!$A$7:$A$50,KIFAITOUT!A29))+(COUNTIF(RUNGIS!$A$7:$A$50,KIFAITOUT!A29))+(COUNTIF(SCEAUX!$A$7:$A$50,KIFAITOUT!A29))+(COUNTIF('INSTANCE C1'!$A$7:$A$50,KIFAITOUT!A29))+(COUNTIF('INSTANCE C2'!$A$7:$A$50,KIFAITOUT!A29))+(COUNTIF(INTERNES!$A$7:$A$50,KIFAITOUT!A29))+(COUNTIF('EN PANNE'!$A$7:$A$50,KIFAITOUT!A29))+(COUNTIF(TJM!$A$7:$A$50,KIFAITOUT!A29))-C29</f>
        <v>0</v>
      </c>
      <c r="C29" s="23">
        <f>(COUNTIF('2S EXPRESS'!$G$7:$G$50,KIFAITOUT!A29))+(COUNTIF('2 ZT'!$G$7:$G$50,KIFAITOUT!A29))+(COUNTIF('GO TRANSPORT'!$G$7:$G$50,KIFAITOUT!A29))+(COUNTIF(KIFAITOUT!$G$7:$G$50,KIFAITOUT!A29))+(COUNTIF('IB TRANSPORT'!$G$7:$G$50,KIFAITOUT!A29))+(COUNTIF(JSL!$G$7:$G$50,KIFAITOUT!A29))+(COUNTIF(KIFAITOUT!$G$7:$G$50,KIFAITOUT!A29))+(COUNTIF('LUXE DRIVE'!$G$7:$G$50,KIFAITOUT!A29))+(COUNTIF(SSN!$G$7:$G$50,KIFAITOUT!A29))+(COUNTIF('W3'!$G$7:$G$50,KIFAITOUT!A29))+(COUNTIF('ATHIS MONS'!$G$7:$G$50,KIFAITOUT!A29))+(COUNTIF('L HAY LES ROSES'!$G$7:$G$50,KIFAITOUT!A29))+(COUNTIF(RUNGIS!$G$7:$G$50,KIFAITOUT!A29))+(COUNTIF(SCEAUX!$G$7:$G$50,KIFAITOUT!A29))+(COUNTIF('INSTANCE C1'!$G$7:$G$50,KIFAITOUT!A29))+(COUNTIF('INSTANCE C2'!$G$7:$G$50,KIFAITOUT!A29))+(COUNTIF(INTERNES!$G$7:$G$50,KIFAITOUT!A29))+(COUNTIF('EN PANNE'!$G$7:$G$50,KIFAITOUT!A29))+(COUNTIF(TJM!$G$7:$G$50,KIFAITOUT!A29))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EXPRESS'!$G$7:$G$50,KIFAITOUT!G29))+(COUNTIF('2 ZT'!$G$7:$G$50,KIFAITOUT!G29))+(COUNTIF('GO TRANSPORT'!$G$7:$G$50,KIFAITOUT!G29))+(COUNTIF('HMZ - KAIS'!$G$7:$G$50,KIFAITOUT!G29))+(COUNTIF('IB TRANSPORT'!$G$7:$G$50,KIFAITOUT!G29))+(COUNTIF(JSL!$G$7:$G$50,KIFAITOUT!G29))+(COUNTIF(KIFAITOUT!$G$7:$G$50,KIFAITOUT!G29))+(COUNTIF('LUXE DRIVE'!$G$7:$G$50,KIFAITOUT!G29))+(COUNTIF(SSN!$G$7:$G$50,KIFAITOUT!G29))+(COUNTIF('W3'!$G$7:$G$50,KIFAITOUT!G29))+(COUNTIF('ATHIS MONS'!$G$7:$G$50,KIFAITOUT!G29))+(COUNTIF('L HAY LES ROSES'!$G$7:$G$50,KIFAITOUT!G29))+(COUNTIF(RUNGIS!$G$7:$G$50,KIFAITOUT!G29))+(COUNTIF(SCEAUX!$G$7:$G$50,KIFAITOUT!G29))+(COUNTIF('INSTANCE C1'!$G$7:$G$50,KIFAITOUT!G29))+(COUNTIF('INSTANCE C2'!$G$7:$G$50,KIFAITOUT!G29))+(COUNTIF(INTERNES!$G$7:$G$50,KIFAITOUT!G29))+(COUNTIF('EN PANNE'!$G$7:$G$50,KIFAITOUT!G29))+(COUNTIF(TJM!$G$7:$G$50,KIFAITOUT!G29))-I29</f>
        <v>0</v>
      </c>
      <c r="I29" s="23">
        <f>(COUNTIF('2S EXPRESS'!$A$7:$A$50,KIFAITOUT!G29))+(COUNTIF('2 ZT'!$A$7:$A$50,KIFAITOUT!G29))+(COUNTIF('GO TRANSPORT'!$A$7:$A$50,KIFAITOUT!G29))+(COUNTIF('HMZ - KAIS'!$A$7:$A$50,KIFAITOUT!G29))+(COUNTIF('IB TRANSPORT'!$A$7:$A$50,KIFAITOUT!G29))+(COUNTIF(JSL!$A$7:$A$50,KIFAITOUT!G29))+(COUNTIF(KIFAITOUT!$A$7:$A$50,KIFAITOUT!G29))+(COUNTIF('LUXE DRIVE'!$A$7:$A$50,KIFAITOUT!G29))+(COUNTIF(SSN!$A$7:$A$50,KIFAITOUT!G29))+(COUNTIF('W3'!$A$7:$A$50,KIFAITOUT!G29))+(COUNTIF('ATHIS MONS'!$A$7:$A$50,KIFAITOUT!G29))+(COUNTIF('L HAY LES ROSES'!$A$7:$A$50,KIFAITOUT!G29))+(COUNTIF(RUNGIS!$A$7:$A$50,KIFAITOUT!G29))+(COUNTIF(SCEAUX!$A$7:$A$50,KIFAITOUT!G29))+(COUNTIF('INSTANCE C1'!$A$7:$A$50,KIFAITOUT!G29))+(COUNTIF('INSTANCE C2'!$A$7:$A$50,KIFAITOUT!G29))+(COUNTIF(INTERNES!$A$7:$A$50,KIFAITOUT!G29))+(COUNTIF('EN PANNE'!$A$7:$A$50,KIFAITOUT!G29))+(COUNTIF(TJM!$A$7:$A$50,KIFAITOUT!G29))</f>
        <v>0</v>
      </c>
      <c r="J29" s="28">
        <f t="shared" si="4"/>
        <v>0</v>
      </c>
      <c r="K29" s="2"/>
      <c r="L29" s="47"/>
      <c r="S29" s="60">
        <f t="shared" si="1"/>
        <v>0</v>
      </c>
      <c r="T29" s="67">
        <f t="shared" si="2"/>
        <v>0</v>
      </c>
    </row>
    <row r="30" spans="1:20" ht="24.95" customHeight="1" x14ac:dyDescent="0.2">
      <c r="A30" s="20"/>
      <c r="B30" s="23">
        <f>(COUNTIF('2S EXPRESS'!$A$7:$A$50,KIFAITOUT!A30))+(COUNTIF('2 ZT'!$A$7:$A$50,KIFAITOUT!A30))+(COUNTIF('GO TRANSPORT'!$A$7:$A$50,KIFAITOUT!A30))+(COUNTIF('HMZ - KAIS'!$A$7:$A$50,KIFAITOUT!A30))+(COUNTIF('IB TRANSPORT'!$A$7:$A$50,KIFAITOUT!A30))+(COUNTIF(JSL!$A$7:$A$50,KIFAITOUT!A30))+(COUNTIF(KIFAITOUT!$A$7:$A$50,KIFAITOUT!A30))+(COUNTIF('LUXE DRIVE'!$A$7:$A$50,KIFAITOUT!A30))+(COUNTIF(SSN!$A$7:$A$50,KIFAITOUT!A30))+(COUNTIF('W3'!$A$7:$A$50,KIFAITOUT!A30))+(COUNTIF('ATHIS MONS'!$A$7:$A$50,KIFAITOUT!A30))+(COUNTIF('L HAY LES ROSES'!$A$7:$A$50,KIFAITOUT!A30))+(COUNTIF(RUNGIS!$A$7:$A$50,KIFAITOUT!A30))+(COUNTIF(SCEAUX!$A$7:$A$50,KIFAITOUT!A30))+(COUNTIF('INSTANCE C1'!$A$7:$A$50,KIFAITOUT!A30))+(COUNTIF('INSTANCE C2'!$A$7:$A$50,KIFAITOUT!A30))+(COUNTIF(INTERNES!$A$7:$A$50,KIFAITOUT!A30))+(COUNTIF('EN PANNE'!$A$7:$A$50,KIFAITOUT!A30))+(COUNTIF(TJM!$A$7:$A$50,KIFAITOUT!A30))-C30</f>
        <v>0</v>
      </c>
      <c r="C30" s="23">
        <f>(COUNTIF('2S EXPRESS'!$G$7:$G$50,KIFAITOUT!A30))+(COUNTIF('2 ZT'!$G$7:$G$50,KIFAITOUT!A30))+(COUNTIF('GO TRANSPORT'!$G$7:$G$50,KIFAITOUT!A30))+(COUNTIF(KIFAITOUT!$G$7:$G$50,KIFAITOUT!A30))+(COUNTIF('IB TRANSPORT'!$G$7:$G$50,KIFAITOUT!A30))+(COUNTIF(JSL!$G$7:$G$50,KIFAITOUT!A30))+(COUNTIF(KIFAITOUT!$G$7:$G$50,KIFAITOUT!A30))+(COUNTIF('LUXE DRIVE'!$G$7:$G$50,KIFAITOUT!A30))+(COUNTIF(SSN!$G$7:$G$50,KIFAITOUT!A30))+(COUNTIF('W3'!$G$7:$G$50,KIFAITOUT!A30))+(COUNTIF('ATHIS MONS'!$G$7:$G$50,KIFAITOUT!A30))+(COUNTIF('L HAY LES ROSES'!$G$7:$G$50,KIFAITOUT!A30))+(COUNTIF(RUNGIS!$G$7:$G$50,KIFAITOUT!A30))+(COUNTIF(SCEAUX!$G$7:$G$50,KIFAITOUT!A30))+(COUNTIF('INSTANCE C1'!$G$7:$G$50,KIFAITOUT!A30))+(COUNTIF('INSTANCE C2'!$G$7:$G$50,KIFAITOUT!A30))+(COUNTIF(INTERNES!$G$7:$G$50,KIFAITOUT!A30))+(COUNTIF('EN PANNE'!$G$7:$G$50,KIFAITOUT!A30))+(COUNTIF(TJM!$G$7:$G$50,KIFAITOUT!A30))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EXPRESS'!$G$7:$G$50,KIFAITOUT!G30))+(COUNTIF('2 ZT'!$G$7:$G$50,KIFAITOUT!G30))+(COUNTIF('GO TRANSPORT'!$G$7:$G$50,KIFAITOUT!G30))+(COUNTIF('HMZ - KAIS'!$G$7:$G$50,KIFAITOUT!G30))+(COUNTIF('IB TRANSPORT'!$G$7:$G$50,KIFAITOUT!G30))+(COUNTIF(JSL!$G$7:$G$50,KIFAITOUT!G30))+(COUNTIF(KIFAITOUT!$G$7:$G$50,KIFAITOUT!G30))+(COUNTIF('LUXE DRIVE'!$G$7:$G$50,KIFAITOUT!G30))+(COUNTIF(SSN!$G$7:$G$50,KIFAITOUT!G30))+(COUNTIF('W3'!$G$7:$G$50,KIFAITOUT!G30))+(COUNTIF('ATHIS MONS'!$G$7:$G$50,KIFAITOUT!G30))+(COUNTIF('L HAY LES ROSES'!$G$7:$G$50,KIFAITOUT!G30))+(COUNTIF(RUNGIS!$G$7:$G$50,KIFAITOUT!G30))+(COUNTIF(SCEAUX!$G$7:$G$50,KIFAITOUT!G30))+(COUNTIF('INSTANCE C1'!$G$7:$G$50,KIFAITOUT!G30))+(COUNTIF('INSTANCE C2'!$G$7:$G$50,KIFAITOUT!G30))+(COUNTIF(INTERNES!$G$7:$G$50,KIFAITOUT!G30))+(COUNTIF('EN PANNE'!$G$7:$G$50,KIFAITOUT!G30))+(COUNTIF(TJM!$G$7:$G$50,KIFAITOUT!G30))-I30</f>
        <v>0</v>
      </c>
      <c r="I30" s="23">
        <f>(COUNTIF('2S EXPRESS'!$A$7:$A$50,KIFAITOUT!G30))+(COUNTIF('2 ZT'!$A$7:$A$50,KIFAITOUT!G30))+(COUNTIF('GO TRANSPORT'!$A$7:$A$50,KIFAITOUT!G30))+(COUNTIF('HMZ - KAIS'!$A$7:$A$50,KIFAITOUT!G30))+(COUNTIF('IB TRANSPORT'!$A$7:$A$50,KIFAITOUT!G30))+(COUNTIF(JSL!$A$7:$A$50,KIFAITOUT!G30))+(COUNTIF(KIFAITOUT!$A$7:$A$50,KIFAITOUT!G30))+(COUNTIF('LUXE DRIVE'!$A$7:$A$50,KIFAITOUT!G30))+(COUNTIF(SSN!$A$7:$A$50,KIFAITOUT!G30))+(COUNTIF('W3'!$A$7:$A$50,KIFAITOUT!G30))+(COUNTIF('ATHIS MONS'!$A$7:$A$50,KIFAITOUT!G30))+(COUNTIF('L HAY LES ROSES'!$A$7:$A$50,KIFAITOUT!G30))+(COUNTIF(RUNGIS!$A$7:$A$50,KIFAITOUT!G30))+(COUNTIF(SCEAUX!$A$7:$A$50,KIFAITOUT!G30))+(COUNTIF('INSTANCE C1'!$A$7:$A$50,KIFAITOUT!G30))+(COUNTIF('INSTANCE C2'!$A$7:$A$50,KIFAITOUT!G30))+(COUNTIF(INTERNES!$A$7:$A$50,KIFAITOUT!G30))+(COUNTIF('EN PANNE'!$A$7:$A$50,KIFAITOUT!G30))+(COUNTIF(TJM!$A$7:$A$50,KIFAITOUT!G30))</f>
        <v>0</v>
      </c>
      <c r="J30" s="28">
        <f t="shared" si="4"/>
        <v>0</v>
      </c>
      <c r="K30" s="2"/>
      <c r="L30" s="47"/>
      <c r="S30" s="60">
        <f t="shared" si="1"/>
        <v>0</v>
      </c>
      <c r="T30" s="67">
        <f t="shared" si="2"/>
        <v>0</v>
      </c>
    </row>
    <row r="31" spans="1:20" ht="24.95" customHeight="1" x14ac:dyDescent="0.2">
      <c r="A31" s="20"/>
      <c r="B31" s="23">
        <f>(COUNTIF('2S EXPRESS'!$A$7:$A$50,KIFAITOUT!A31))+(COUNTIF('2 ZT'!$A$7:$A$50,KIFAITOUT!A31))+(COUNTIF('GO TRANSPORT'!$A$7:$A$50,KIFAITOUT!A31))+(COUNTIF('HMZ - KAIS'!$A$7:$A$50,KIFAITOUT!A31))+(COUNTIF('IB TRANSPORT'!$A$7:$A$50,KIFAITOUT!A31))+(COUNTIF(JSL!$A$7:$A$50,KIFAITOUT!A31))+(COUNTIF(KIFAITOUT!$A$7:$A$50,KIFAITOUT!A31))+(COUNTIF('LUXE DRIVE'!$A$7:$A$50,KIFAITOUT!A31))+(COUNTIF(SSN!$A$7:$A$50,KIFAITOUT!A31))+(COUNTIF('W3'!$A$7:$A$50,KIFAITOUT!A31))+(COUNTIF('ATHIS MONS'!$A$7:$A$50,KIFAITOUT!A31))+(COUNTIF('L HAY LES ROSES'!$A$7:$A$50,KIFAITOUT!A31))+(COUNTIF(RUNGIS!$A$7:$A$50,KIFAITOUT!A31))+(COUNTIF(SCEAUX!$A$7:$A$50,KIFAITOUT!A31))+(COUNTIF('INSTANCE C1'!$A$7:$A$50,KIFAITOUT!A31))+(COUNTIF('INSTANCE C2'!$A$7:$A$50,KIFAITOUT!A31))+(COUNTIF(INTERNES!$A$7:$A$50,KIFAITOUT!A31))+(COUNTIF('EN PANNE'!$A$7:$A$50,KIFAITOUT!A31))+(COUNTIF(TJM!$A$7:$A$50,KIFAITOUT!A31))-C31</f>
        <v>0</v>
      </c>
      <c r="C31" s="23">
        <f>(COUNTIF('2S EXPRESS'!$G$7:$G$50,KIFAITOUT!A31))+(COUNTIF('2 ZT'!$G$7:$G$50,KIFAITOUT!A31))+(COUNTIF('GO TRANSPORT'!$G$7:$G$50,KIFAITOUT!A31))+(COUNTIF(KIFAITOUT!$G$7:$G$50,KIFAITOUT!A31))+(COUNTIF('IB TRANSPORT'!$G$7:$G$50,KIFAITOUT!A31))+(COUNTIF(JSL!$G$7:$G$50,KIFAITOUT!A31))+(COUNTIF(KIFAITOUT!$G$7:$G$50,KIFAITOUT!A31))+(COUNTIF('LUXE DRIVE'!$G$7:$G$50,KIFAITOUT!A31))+(COUNTIF(SSN!$G$7:$G$50,KIFAITOUT!A31))+(COUNTIF('W3'!$G$7:$G$50,KIFAITOUT!A31))+(COUNTIF('ATHIS MONS'!$G$7:$G$50,KIFAITOUT!A31))+(COUNTIF('L HAY LES ROSES'!$G$7:$G$50,KIFAITOUT!A31))+(COUNTIF(RUNGIS!$G$7:$G$50,KIFAITOUT!A31))+(COUNTIF(SCEAUX!$G$7:$G$50,KIFAITOUT!A31))+(COUNTIF('INSTANCE C1'!$G$7:$G$50,KIFAITOUT!A31))+(COUNTIF('INSTANCE C2'!$G$7:$G$50,KIFAITOUT!A31))+(COUNTIF(INTERNES!$G$7:$G$50,KIFAITOUT!A31))+(COUNTIF('EN PANNE'!$G$7:$G$50,KIFAITOUT!A31))+(COUNTIF(TJM!$G$7:$G$50,KIFAITOUT!A31))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EXPRESS'!$G$7:$G$50,KIFAITOUT!G31))+(COUNTIF('2 ZT'!$G$7:$G$50,KIFAITOUT!G31))+(COUNTIF('GO TRANSPORT'!$G$7:$G$50,KIFAITOUT!G31))+(COUNTIF('HMZ - KAIS'!$G$7:$G$50,KIFAITOUT!G31))+(COUNTIF('IB TRANSPORT'!$G$7:$G$50,KIFAITOUT!G31))+(COUNTIF(JSL!$G$7:$G$50,KIFAITOUT!G31))+(COUNTIF(KIFAITOUT!$G$7:$G$50,KIFAITOUT!G31))+(COUNTIF('LUXE DRIVE'!$G$7:$G$50,KIFAITOUT!G31))+(COUNTIF(SSN!$G$7:$G$50,KIFAITOUT!G31))+(COUNTIF('W3'!$G$7:$G$50,KIFAITOUT!G31))+(COUNTIF('ATHIS MONS'!$G$7:$G$50,KIFAITOUT!G31))+(COUNTIF('L HAY LES ROSES'!$G$7:$G$50,KIFAITOUT!G31))+(COUNTIF(RUNGIS!$G$7:$G$50,KIFAITOUT!G31))+(COUNTIF(SCEAUX!$G$7:$G$50,KIFAITOUT!G31))+(COUNTIF('INSTANCE C1'!$G$7:$G$50,KIFAITOUT!G31))+(COUNTIF('INSTANCE C2'!$G$7:$G$50,KIFAITOUT!G31))+(COUNTIF(INTERNES!$G$7:$G$50,KIFAITOUT!G31))+(COUNTIF('EN PANNE'!$G$7:$G$50,KIFAITOUT!G31))+(COUNTIF(TJM!$G$7:$G$50,KIFAITOUT!G31))-I31</f>
        <v>0</v>
      </c>
      <c r="I31" s="23">
        <f>(COUNTIF('2S EXPRESS'!$A$7:$A$50,KIFAITOUT!G31))+(COUNTIF('2 ZT'!$A$7:$A$50,KIFAITOUT!G31))+(COUNTIF('GO TRANSPORT'!$A$7:$A$50,KIFAITOUT!G31))+(COUNTIF('HMZ - KAIS'!$A$7:$A$50,KIFAITOUT!G31))+(COUNTIF('IB TRANSPORT'!$A$7:$A$50,KIFAITOUT!G31))+(COUNTIF(JSL!$A$7:$A$50,KIFAITOUT!G31))+(COUNTIF(KIFAITOUT!$A$7:$A$50,KIFAITOUT!G31))+(COUNTIF('LUXE DRIVE'!$A$7:$A$50,KIFAITOUT!G31))+(COUNTIF(SSN!$A$7:$A$50,KIFAITOUT!G31))+(COUNTIF('W3'!$A$7:$A$50,KIFAITOUT!G31))+(COUNTIF('ATHIS MONS'!$A$7:$A$50,KIFAITOUT!G31))+(COUNTIF('L HAY LES ROSES'!$A$7:$A$50,KIFAITOUT!G31))+(COUNTIF(RUNGIS!$A$7:$A$50,KIFAITOUT!G31))+(COUNTIF(SCEAUX!$A$7:$A$50,KIFAITOUT!G31))+(COUNTIF('INSTANCE C1'!$A$7:$A$50,KIFAITOUT!G31))+(COUNTIF('INSTANCE C2'!$A$7:$A$50,KIFAITOUT!G31))+(COUNTIF(INTERNES!$A$7:$A$50,KIFAITOUT!G31))+(COUNTIF('EN PANNE'!$A$7:$A$50,KIFAITOUT!G31))+(COUNTIF(TJM!$A$7:$A$50,KIFAITOUT!G31))</f>
        <v>0</v>
      </c>
      <c r="J31" s="28">
        <f t="shared" si="4"/>
        <v>0</v>
      </c>
      <c r="K31" s="2"/>
      <c r="L31" s="47"/>
      <c r="S31" s="60">
        <f t="shared" si="1"/>
        <v>0</v>
      </c>
      <c r="T31" s="67">
        <f t="shared" si="2"/>
        <v>0</v>
      </c>
    </row>
    <row r="32" spans="1:20" ht="24.95" customHeight="1" x14ac:dyDescent="0.2">
      <c r="A32" s="20"/>
      <c r="B32" s="23">
        <f>(COUNTIF('2S EXPRESS'!$A$7:$A$50,KIFAITOUT!A32))+(COUNTIF('2 ZT'!$A$7:$A$50,KIFAITOUT!A32))+(COUNTIF('GO TRANSPORT'!$A$7:$A$50,KIFAITOUT!A32))+(COUNTIF('HMZ - KAIS'!$A$7:$A$50,KIFAITOUT!A32))+(COUNTIF('IB TRANSPORT'!$A$7:$A$50,KIFAITOUT!A32))+(COUNTIF(JSL!$A$7:$A$50,KIFAITOUT!A32))+(COUNTIF(KIFAITOUT!$A$7:$A$50,KIFAITOUT!A32))+(COUNTIF('LUXE DRIVE'!$A$7:$A$50,KIFAITOUT!A32))+(COUNTIF(SSN!$A$7:$A$50,KIFAITOUT!A32))+(COUNTIF('W3'!$A$7:$A$50,KIFAITOUT!A32))+(COUNTIF('ATHIS MONS'!$A$7:$A$50,KIFAITOUT!A32))+(COUNTIF('L HAY LES ROSES'!$A$7:$A$50,KIFAITOUT!A32))+(COUNTIF(RUNGIS!$A$7:$A$50,KIFAITOUT!A32))+(COUNTIF(SCEAUX!$A$7:$A$50,KIFAITOUT!A32))+(COUNTIF('INSTANCE C1'!$A$7:$A$50,KIFAITOUT!A32))+(COUNTIF('INSTANCE C2'!$A$7:$A$50,KIFAITOUT!A32))+(COUNTIF(INTERNES!$A$7:$A$50,KIFAITOUT!A32))+(COUNTIF('EN PANNE'!$A$7:$A$50,KIFAITOUT!A32))+(COUNTIF(TJM!$A$7:$A$50,KIFAITOUT!A32))-C32</f>
        <v>0</v>
      </c>
      <c r="C32" s="23">
        <f>(COUNTIF('2S EXPRESS'!$G$7:$G$50,KIFAITOUT!A32))+(COUNTIF('2 ZT'!$G$7:$G$50,KIFAITOUT!A32))+(COUNTIF('GO TRANSPORT'!$G$7:$G$50,KIFAITOUT!A32))+(COUNTIF(KIFAITOUT!$G$7:$G$50,KIFAITOUT!A32))+(COUNTIF('IB TRANSPORT'!$G$7:$G$50,KIFAITOUT!A32))+(COUNTIF(JSL!$G$7:$G$50,KIFAITOUT!A32))+(COUNTIF(KIFAITOUT!$G$7:$G$50,KIFAITOUT!A32))+(COUNTIF('LUXE DRIVE'!$G$7:$G$50,KIFAITOUT!A32))+(COUNTIF(SSN!$G$7:$G$50,KIFAITOUT!A32))+(COUNTIF('W3'!$G$7:$G$50,KIFAITOUT!A32))+(COUNTIF('ATHIS MONS'!$G$7:$G$50,KIFAITOUT!A32))+(COUNTIF('L HAY LES ROSES'!$G$7:$G$50,KIFAITOUT!A32))+(COUNTIF(RUNGIS!$G$7:$G$50,KIFAITOUT!A32))+(COUNTIF(SCEAUX!$G$7:$G$50,KIFAITOUT!A32))+(COUNTIF('INSTANCE C1'!$G$7:$G$50,KIFAITOUT!A32))+(COUNTIF('INSTANCE C2'!$G$7:$G$50,KIFAITOUT!A32))+(COUNTIF(INTERNES!$G$7:$G$50,KIFAITOUT!A32))+(COUNTIF('EN PANNE'!$G$7:$G$50,KIFAITOUT!A32))+(COUNTIF(TJM!$G$7:$G$50,KIFAITOUT!A32))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EXPRESS'!$G$7:$G$50,KIFAITOUT!G32))+(COUNTIF('2 ZT'!$G$7:$G$50,KIFAITOUT!G32))+(COUNTIF('GO TRANSPORT'!$G$7:$G$50,KIFAITOUT!G32))+(COUNTIF('HMZ - KAIS'!$G$7:$G$50,KIFAITOUT!G32))+(COUNTIF('IB TRANSPORT'!$G$7:$G$50,KIFAITOUT!G32))+(COUNTIF(JSL!$G$7:$G$50,KIFAITOUT!G32))+(COUNTIF(KIFAITOUT!$G$7:$G$50,KIFAITOUT!G32))+(COUNTIF('LUXE DRIVE'!$G$7:$G$50,KIFAITOUT!G32))+(COUNTIF(SSN!$G$7:$G$50,KIFAITOUT!G32))+(COUNTIF('W3'!$G$7:$G$50,KIFAITOUT!G32))+(COUNTIF('ATHIS MONS'!$G$7:$G$50,KIFAITOUT!G32))+(COUNTIF('L HAY LES ROSES'!$G$7:$G$50,KIFAITOUT!G32))+(COUNTIF(RUNGIS!$G$7:$G$50,KIFAITOUT!G32))+(COUNTIF(SCEAUX!$G$7:$G$50,KIFAITOUT!G32))+(COUNTIF('INSTANCE C1'!$G$7:$G$50,KIFAITOUT!G32))+(COUNTIF('INSTANCE C2'!$G$7:$G$50,KIFAITOUT!G32))+(COUNTIF(INTERNES!$G$7:$G$50,KIFAITOUT!G32))+(COUNTIF('EN PANNE'!$G$7:$G$50,KIFAITOUT!G32))+(COUNTIF(TJM!$G$7:$G$50,KIFAITOUT!G32))-I32</f>
        <v>0</v>
      </c>
      <c r="I32" s="23">
        <f>(COUNTIF('2S EXPRESS'!$A$7:$A$50,KIFAITOUT!G32))+(COUNTIF('2 ZT'!$A$7:$A$50,KIFAITOUT!G32))+(COUNTIF('GO TRANSPORT'!$A$7:$A$50,KIFAITOUT!G32))+(COUNTIF('HMZ - KAIS'!$A$7:$A$50,KIFAITOUT!G32))+(COUNTIF('IB TRANSPORT'!$A$7:$A$50,KIFAITOUT!G32))+(COUNTIF(JSL!$A$7:$A$50,KIFAITOUT!G32))+(COUNTIF(KIFAITOUT!$A$7:$A$50,KIFAITOUT!G32))+(COUNTIF('LUXE DRIVE'!$A$7:$A$50,KIFAITOUT!G32))+(COUNTIF(SSN!$A$7:$A$50,KIFAITOUT!G32))+(COUNTIF('W3'!$A$7:$A$50,KIFAITOUT!G32))+(COUNTIF('ATHIS MONS'!$A$7:$A$50,KIFAITOUT!G32))+(COUNTIF('L HAY LES ROSES'!$A$7:$A$50,KIFAITOUT!G32))+(COUNTIF(RUNGIS!$A$7:$A$50,KIFAITOUT!G32))+(COUNTIF(SCEAUX!$A$7:$A$50,KIFAITOUT!G32))+(COUNTIF('INSTANCE C1'!$A$7:$A$50,KIFAITOUT!G32))+(COUNTIF('INSTANCE C2'!$A$7:$A$50,KIFAITOUT!G32))+(COUNTIF(INTERNES!$A$7:$A$50,KIFAITOUT!G32))+(COUNTIF('EN PANNE'!$A$7:$A$50,KIFAITOUT!G32))+(COUNTIF(TJM!$A$7:$A$50,KIFAITOUT!G32))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S32" s="60">
        <f t="shared" si="1"/>
        <v>0</v>
      </c>
      <c r="T32" s="67">
        <f t="shared" si="2"/>
        <v>0</v>
      </c>
    </row>
    <row r="33" spans="1:20" ht="24.95" customHeight="1" x14ac:dyDescent="0.2">
      <c r="A33" s="20"/>
      <c r="B33" s="23">
        <f>(COUNTIF('2S EXPRESS'!$A$7:$A$50,KIFAITOUT!A33))+(COUNTIF('2 ZT'!$A$7:$A$50,KIFAITOUT!A33))+(COUNTIF('GO TRANSPORT'!$A$7:$A$50,KIFAITOUT!A33))+(COUNTIF('HMZ - KAIS'!$A$7:$A$50,KIFAITOUT!A33))+(COUNTIF('IB TRANSPORT'!$A$7:$A$50,KIFAITOUT!A33))+(COUNTIF(JSL!$A$7:$A$50,KIFAITOUT!A33))+(COUNTIF(KIFAITOUT!$A$7:$A$50,KIFAITOUT!A33))+(COUNTIF('LUXE DRIVE'!$A$7:$A$50,KIFAITOUT!A33))+(COUNTIF(SSN!$A$7:$A$50,KIFAITOUT!A33))+(COUNTIF('W3'!$A$7:$A$50,KIFAITOUT!A33))+(COUNTIF('ATHIS MONS'!$A$7:$A$50,KIFAITOUT!A33))+(COUNTIF('L HAY LES ROSES'!$A$7:$A$50,KIFAITOUT!A33))+(COUNTIF(RUNGIS!$A$7:$A$50,KIFAITOUT!A33))+(COUNTIF(SCEAUX!$A$7:$A$50,KIFAITOUT!A33))+(COUNTIF('INSTANCE C1'!$A$7:$A$50,KIFAITOUT!A33))+(COUNTIF('INSTANCE C2'!$A$7:$A$50,KIFAITOUT!A33))+(COUNTIF(INTERNES!$A$7:$A$50,KIFAITOUT!A33))+(COUNTIF('EN PANNE'!$A$7:$A$50,KIFAITOUT!A33))+(COUNTIF(TJM!$A$7:$A$50,KIFAITOUT!A33))-C33</f>
        <v>0</v>
      </c>
      <c r="C33" s="23">
        <f>(COUNTIF('2S EXPRESS'!$G$7:$G$50,KIFAITOUT!A33))+(COUNTIF('2 ZT'!$G$7:$G$50,KIFAITOUT!A33))+(COUNTIF('GO TRANSPORT'!$G$7:$G$50,KIFAITOUT!A33))+(COUNTIF(KIFAITOUT!$G$7:$G$50,KIFAITOUT!A33))+(COUNTIF('IB TRANSPORT'!$G$7:$G$50,KIFAITOUT!A33))+(COUNTIF(JSL!$G$7:$G$50,KIFAITOUT!A33))+(COUNTIF(KIFAITOUT!$G$7:$G$50,KIFAITOUT!A33))+(COUNTIF('LUXE DRIVE'!$G$7:$G$50,KIFAITOUT!A33))+(COUNTIF(SSN!$G$7:$G$50,KIFAITOUT!A33))+(COUNTIF('W3'!$G$7:$G$50,KIFAITOUT!A33))+(COUNTIF('ATHIS MONS'!$G$7:$G$50,KIFAITOUT!A33))+(COUNTIF('L HAY LES ROSES'!$G$7:$G$50,KIFAITOUT!A33))+(COUNTIF(RUNGIS!$G$7:$G$50,KIFAITOUT!A33))+(COUNTIF(SCEAUX!$G$7:$G$50,KIFAITOUT!A33))+(COUNTIF('INSTANCE C1'!$G$7:$G$50,KIFAITOUT!A33))+(COUNTIF('INSTANCE C2'!$G$7:$G$50,KIFAITOUT!A33))+(COUNTIF(INTERNES!$G$7:$G$50,KIFAITOUT!A33))+(COUNTIF('EN PANNE'!$G$7:$G$50,KIFAITOUT!A33))+(COUNTIF(TJM!$G$7:$G$50,KIFAITOUT!A33))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EXPRESS'!$G$7:$G$50,KIFAITOUT!G33))+(COUNTIF('2 ZT'!$G$7:$G$50,KIFAITOUT!G33))+(COUNTIF('GO TRANSPORT'!$G$7:$G$50,KIFAITOUT!G33))+(COUNTIF('HMZ - KAIS'!$G$7:$G$50,KIFAITOUT!G33))+(COUNTIF('IB TRANSPORT'!$G$7:$G$50,KIFAITOUT!G33))+(COUNTIF(JSL!$G$7:$G$50,KIFAITOUT!G33))+(COUNTIF(KIFAITOUT!$G$7:$G$50,KIFAITOUT!G33))+(COUNTIF('LUXE DRIVE'!$G$7:$G$50,KIFAITOUT!G33))+(COUNTIF(SSN!$G$7:$G$50,KIFAITOUT!G33))+(COUNTIF('W3'!$G$7:$G$50,KIFAITOUT!G33))+(COUNTIF('ATHIS MONS'!$G$7:$G$50,KIFAITOUT!G33))+(COUNTIF('L HAY LES ROSES'!$G$7:$G$50,KIFAITOUT!G33))+(COUNTIF(RUNGIS!$G$7:$G$50,KIFAITOUT!G33))+(COUNTIF(SCEAUX!$G$7:$G$50,KIFAITOUT!G33))+(COUNTIF('INSTANCE C1'!$G$7:$G$50,KIFAITOUT!G33))+(COUNTIF('INSTANCE C2'!$G$7:$G$50,KIFAITOUT!G33))+(COUNTIF(INTERNES!$G$7:$G$50,KIFAITOUT!G33))+(COUNTIF('EN PANNE'!$G$7:$G$50,KIFAITOUT!G33))+(COUNTIF(TJM!$G$7:$G$50,KIFAITOUT!G33))-I33</f>
        <v>0</v>
      </c>
      <c r="I33" s="23">
        <f>(COUNTIF('2S EXPRESS'!$A$7:$A$50,KIFAITOUT!G33))+(COUNTIF('2 ZT'!$A$7:$A$50,KIFAITOUT!G33))+(COUNTIF('GO TRANSPORT'!$A$7:$A$50,KIFAITOUT!G33))+(COUNTIF('HMZ - KAIS'!$A$7:$A$50,KIFAITOUT!G33))+(COUNTIF('IB TRANSPORT'!$A$7:$A$50,KIFAITOUT!G33))+(COUNTIF(JSL!$A$7:$A$50,KIFAITOUT!G33))+(COUNTIF(KIFAITOUT!$A$7:$A$50,KIFAITOUT!G33))+(COUNTIF('LUXE DRIVE'!$A$7:$A$50,KIFAITOUT!G33))+(COUNTIF(SSN!$A$7:$A$50,KIFAITOUT!G33))+(COUNTIF('W3'!$A$7:$A$50,KIFAITOUT!G33))+(COUNTIF('ATHIS MONS'!$A$7:$A$50,KIFAITOUT!G33))+(COUNTIF('L HAY LES ROSES'!$A$7:$A$50,KIFAITOUT!G33))+(COUNTIF(RUNGIS!$A$7:$A$50,KIFAITOUT!G33))+(COUNTIF(SCEAUX!$A$7:$A$50,KIFAITOUT!G33))+(COUNTIF('INSTANCE C1'!$A$7:$A$50,KIFAITOUT!G33))+(COUNTIF('INSTANCE C2'!$A$7:$A$50,KIFAITOUT!G33))+(COUNTIF(INTERNES!$A$7:$A$50,KIFAITOUT!G33))+(COUNTIF('EN PANNE'!$A$7:$A$50,KIFAITOUT!G33))+(COUNTIF(TJM!$A$7:$A$50,KIFAITOUT!G33))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S33" s="60">
        <f t="shared" si="1"/>
        <v>0</v>
      </c>
      <c r="T33" s="67">
        <f t="shared" si="2"/>
        <v>0</v>
      </c>
    </row>
    <row r="34" spans="1:20" ht="24.95" customHeight="1" x14ac:dyDescent="0.2">
      <c r="A34" s="20"/>
      <c r="B34" s="23">
        <f>(COUNTIF('2S EXPRESS'!$A$7:$A$50,KIFAITOUT!A34))+(COUNTIF('2 ZT'!$A$7:$A$50,KIFAITOUT!A34))+(COUNTIF('GO TRANSPORT'!$A$7:$A$50,KIFAITOUT!A34))+(COUNTIF('HMZ - KAIS'!$A$7:$A$50,KIFAITOUT!A34))+(COUNTIF('IB TRANSPORT'!$A$7:$A$50,KIFAITOUT!A34))+(COUNTIF(JSL!$A$7:$A$50,KIFAITOUT!A34))+(COUNTIF(KIFAITOUT!$A$7:$A$50,KIFAITOUT!A34))+(COUNTIF('LUXE DRIVE'!$A$7:$A$50,KIFAITOUT!A34))+(COUNTIF(SSN!$A$7:$A$50,KIFAITOUT!A34))+(COUNTIF('W3'!$A$7:$A$50,KIFAITOUT!A34))+(COUNTIF('ATHIS MONS'!$A$7:$A$50,KIFAITOUT!A34))+(COUNTIF('L HAY LES ROSES'!$A$7:$A$50,KIFAITOUT!A34))+(COUNTIF(RUNGIS!$A$7:$A$50,KIFAITOUT!A34))+(COUNTIF(SCEAUX!$A$7:$A$50,KIFAITOUT!A34))+(COUNTIF('INSTANCE C1'!$A$7:$A$50,KIFAITOUT!A34))+(COUNTIF('INSTANCE C2'!$A$7:$A$50,KIFAITOUT!A34))+(COUNTIF(INTERNES!$A$7:$A$50,KIFAITOUT!A34))+(COUNTIF('EN PANNE'!$A$7:$A$50,KIFAITOUT!A34))+(COUNTIF(TJM!$A$7:$A$50,KIFAITOUT!A34))-C34</f>
        <v>0</v>
      </c>
      <c r="C34" s="23">
        <f>(COUNTIF('2S EXPRESS'!$G$7:$G$50,KIFAITOUT!A34))+(COUNTIF('2 ZT'!$G$7:$G$50,KIFAITOUT!A34))+(COUNTIF('GO TRANSPORT'!$G$7:$G$50,KIFAITOUT!A34))+(COUNTIF(KIFAITOUT!$G$7:$G$50,KIFAITOUT!A34))+(COUNTIF('IB TRANSPORT'!$G$7:$G$50,KIFAITOUT!A34))+(COUNTIF(JSL!$G$7:$G$50,KIFAITOUT!A34))+(COUNTIF(KIFAITOUT!$G$7:$G$50,KIFAITOUT!A34))+(COUNTIF('LUXE DRIVE'!$G$7:$G$50,KIFAITOUT!A34))+(COUNTIF(SSN!$G$7:$G$50,KIFAITOUT!A34))+(COUNTIF('W3'!$G$7:$G$50,KIFAITOUT!A34))+(COUNTIF('ATHIS MONS'!$G$7:$G$50,KIFAITOUT!A34))+(COUNTIF('L HAY LES ROSES'!$G$7:$G$50,KIFAITOUT!A34))+(COUNTIF(RUNGIS!$G$7:$G$50,KIFAITOUT!A34))+(COUNTIF(SCEAUX!$G$7:$G$50,KIFAITOUT!A34))+(COUNTIF('INSTANCE C1'!$G$7:$G$50,KIFAITOUT!A34))+(COUNTIF('INSTANCE C2'!$G$7:$G$50,KIFAITOUT!A34))+(COUNTIF(INTERNES!$G$7:$G$50,KIFAITOUT!A34))+(COUNTIF('EN PANNE'!$G$7:$G$50,KIFAITOUT!A34))+(COUNTIF(TJM!$G$7:$G$50,KIFAITOUT!A34))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EXPRESS'!$G$7:$G$50,KIFAITOUT!G34))+(COUNTIF('2 ZT'!$G$7:$G$50,KIFAITOUT!G34))+(COUNTIF('GO TRANSPORT'!$G$7:$G$50,KIFAITOUT!G34))+(COUNTIF('HMZ - KAIS'!$G$7:$G$50,KIFAITOUT!G34))+(COUNTIF('IB TRANSPORT'!$G$7:$G$50,KIFAITOUT!G34))+(COUNTIF(JSL!$G$7:$G$50,KIFAITOUT!G34))+(COUNTIF(KIFAITOUT!$G$7:$G$50,KIFAITOUT!G34))+(COUNTIF('LUXE DRIVE'!$G$7:$G$50,KIFAITOUT!G34))+(COUNTIF(SSN!$G$7:$G$50,KIFAITOUT!G34))+(COUNTIF('W3'!$G$7:$G$50,KIFAITOUT!G34))+(COUNTIF('ATHIS MONS'!$G$7:$G$50,KIFAITOUT!G34))+(COUNTIF('L HAY LES ROSES'!$G$7:$G$50,KIFAITOUT!G34))+(COUNTIF(RUNGIS!$G$7:$G$50,KIFAITOUT!G34))+(COUNTIF(SCEAUX!$G$7:$G$50,KIFAITOUT!G34))+(COUNTIF('INSTANCE C1'!$G$7:$G$50,KIFAITOUT!G34))+(COUNTIF('INSTANCE C2'!$G$7:$G$50,KIFAITOUT!G34))+(COUNTIF(INTERNES!$G$7:$G$50,KIFAITOUT!G34))+(COUNTIF('EN PANNE'!$G$7:$G$50,KIFAITOUT!G34))+(COUNTIF(TJM!$G$7:$G$50,KIFAITOUT!G34))-I34</f>
        <v>0</v>
      </c>
      <c r="I34" s="23">
        <f>(COUNTIF('2S EXPRESS'!$A$7:$A$50,KIFAITOUT!G34))+(COUNTIF('2 ZT'!$A$7:$A$50,KIFAITOUT!G34))+(COUNTIF('GO TRANSPORT'!$A$7:$A$50,KIFAITOUT!G34))+(COUNTIF('HMZ - KAIS'!$A$7:$A$50,KIFAITOUT!G34))+(COUNTIF('IB TRANSPORT'!$A$7:$A$50,KIFAITOUT!G34))+(COUNTIF(JSL!$A$7:$A$50,KIFAITOUT!G34))+(COUNTIF(KIFAITOUT!$A$7:$A$50,KIFAITOUT!G34))+(COUNTIF('LUXE DRIVE'!$A$7:$A$50,KIFAITOUT!G34))+(COUNTIF(SSN!$A$7:$A$50,KIFAITOUT!G34))+(COUNTIF('W3'!$A$7:$A$50,KIFAITOUT!G34))+(COUNTIF('ATHIS MONS'!$A$7:$A$50,KIFAITOUT!G34))+(COUNTIF('L HAY LES ROSES'!$A$7:$A$50,KIFAITOUT!G34))+(COUNTIF(RUNGIS!$A$7:$A$50,KIFAITOUT!G34))+(COUNTIF(SCEAUX!$A$7:$A$50,KIFAITOUT!G34))+(COUNTIF('INSTANCE C1'!$A$7:$A$50,KIFAITOUT!G34))+(COUNTIF('INSTANCE C2'!$A$7:$A$50,KIFAITOUT!G34))+(COUNTIF(INTERNES!$A$7:$A$50,KIFAITOUT!G34))+(COUNTIF('EN PANNE'!$A$7:$A$50,KIFAITOUT!G34))+(COUNTIF(TJM!$A$7:$A$50,KIFAITOUT!G34))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S34" s="60">
        <f t="shared" si="1"/>
        <v>0</v>
      </c>
      <c r="T34" s="67">
        <f t="shared" si="2"/>
        <v>0</v>
      </c>
    </row>
    <row r="35" spans="1:20" ht="24.95" customHeight="1" x14ac:dyDescent="0.2">
      <c r="A35" s="20"/>
      <c r="B35" s="23">
        <f>(COUNTIF('2S EXPRESS'!$A$7:$A$50,KIFAITOUT!A35))+(COUNTIF('2 ZT'!$A$7:$A$50,KIFAITOUT!A35))+(COUNTIF('GO TRANSPORT'!$A$7:$A$50,KIFAITOUT!A35))+(COUNTIF('HMZ - KAIS'!$A$7:$A$50,KIFAITOUT!A35))+(COUNTIF('IB TRANSPORT'!$A$7:$A$50,KIFAITOUT!A35))+(COUNTIF(JSL!$A$7:$A$50,KIFAITOUT!A35))+(COUNTIF(KIFAITOUT!$A$7:$A$50,KIFAITOUT!A35))+(COUNTIF('LUXE DRIVE'!$A$7:$A$50,KIFAITOUT!A35))+(COUNTIF(SSN!$A$7:$A$50,KIFAITOUT!A35))+(COUNTIF('W3'!$A$7:$A$50,KIFAITOUT!A35))+(COUNTIF('ATHIS MONS'!$A$7:$A$50,KIFAITOUT!A35))+(COUNTIF('L HAY LES ROSES'!$A$7:$A$50,KIFAITOUT!A35))+(COUNTIF(RUNGIS!$A$7:$A$50,KIFAITOUT!A35))+(COUNTIF(SCEAUX!$A$7:$A$50,KIFAITOUT!A35))+(COUNTIF('INSTANCE C1'!$A$7:$A$50,KIFAITOUT!A35))+(COUNTIF('INSTANCE C2'!$A$7:$A$50,KIFAITOUT!A35))+(COUNTIF(INTERNES!$A$7:$A$50,KIFAITOUT!A35))+(COUNTIF('EN PANNE'!$A$7:$A$50,KIFAITOUT!A35))+(COUNTIF(TJM!$A$7:$A$50,KIFAITOUT!A35))-C35</f>
        <v>0</v>
      </c>
      <c r="C35" s="23">
        <f>(COUNTIF('2S EXPRESS'!$G$7:$G$50,KIFAITOUT!A35))+(COUNTIF('2 ZT'!$G$7:$G$50,KIFAITOUT!A35))+(COUNTIF('GO TRANSPORT'!$G$7:$G$50,KIFAITOUT!A35))+(COUNTIF(KIFAITOUT!$G$7:$G$50,KIFAITOUT!A35))+(COUNTIF('IB TRANSPORT'!$G$7:$G$50,KIFAITOUT!A35))+(COUNTIF(JSL!$G$7:$G$50,KIFAITOUT!A35))+(COUNTIF(KIFAITOUT!$G$7:$G$50,KIFAITOUT!A35))+(COUNTIF('LUXE DRIVE'!$G$7:$G$50,KIFAITOUT!A35))+(COUNTIF(SSN!$G$7:$G$50,KIFAITOUT!A35))+(COUNTIF('W3'!$G$7:$G$50,KIFAITOUT!A35))+(COUNTIF('ATHIS MONS'!$G$7:$G$50,KIFAITOUT!A35))+(COUNTIF('L HAY LES ROSES'!$G$7:$G$50,KIFAITOUT!A35))+(COUNTIF(RUNGIS!$G$7:$G$50,KIFAITOUT!A35))+(COUNTIF(SCEAUX!$G$7:$G$50,KIFAITOUT!A35))+(COUNTIF('INSTANCE C1'!$G$7:$G$50,KIFAITOUT!A35))+(COUNTIF('INSTANCE C2'!$G$7:$G$50,KIFAITOUT!A35))+(COUNTIF(INTERNES!$G$7:$G$50,KIFAITOUT!A35))+(COUNTIF('EN PANNE'!$G$7:$G$50,KIFAITOUT!A35))+(COUNTIF(TJM!$G$7:$G$50,KIFAITOUT!A35))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EXPRESS'!$G$7:$G$50,KIFAITOUT!G35))+(COUNTIF('2 ZT'!$G$7:$G$50,KIFAITOUT!G35))+(COUNTIF('GO TRANSPORT'!$G$7:$G$50,KIFAITOUT!G35))+(COUNTIF('HMZ - KAIS'!$G$7:$G$50,KIFAITOUT!G35))+(COUNTIF('IB TRANSPORT'!$G$7:$G$50,KIFAITOUT!G35))+(COUNTIF(JSL!$G$7:$G$50,KIFAITOUT!G35))+(COUNTIF(KIFAITOUT!$G$7:$G$50,KIFAITOUT!G35))+(COUNTIF('LUXE DRIVE'!$G$7:$G$50,KIFAITOUT!G35))+(COUNTIF(SSN!$G$7:$G$50,KIFAITOUT!G35))+(COUNTIF('W3'!$G$7:$G$50,KIFAITOUT!G35))+(COUNTIF('ATHIS MONS'!$G$7:$G$50,KIFAITOUT!G35))+(COUNTIF('L HAY LES ROSES'!$G$7:$G$50,KIFAITOUT!G35))+(COUNTIF(RUNGIS!$G$7:$G$50,KIFAITOUT!G35))+(COUNTIF(SCEAUX!$G$7:$G$50,KIFAITOUT!G35))+(COUNTIF('INSTANCE C1'!$G$7:$G$50,KIFAITOUT!G35))+(COUNTIF('INSTANCE C2'!$G$7:$G$50,KIFAITOUT!G35))+(COUNTIF(INTERNES!$G$7:$G$50,KIFAITOUT!G35))+(COUNTIF('EN PANNE'!$G$7:$G$50,KIFAITOUT!G35))+(COUNTIF(TJM!$G$7:$G$50,KIFAITOUT!G35))-I35</f>
        <v>0</v>
      </c>
      <c r="I35" s="23">
        <f>(COUNTIF('2S EXPRESS'!$A$7:$A$50,KIFAITOUT!G35))+(COUNTIF('2 ZT'!$A$7:$A$50,KIFAITOUT!G35))+(COUNTIF('GO TRANSPORT'!$A$7:$A$50,KIFAITOUT!G35))+(COUNTIF('HMZ - KAIS'!$A$7:$A$50,KIFAITOUT!G35))+(COUNTIF('IB TRANSPORT'!$A$7:$A$50,KIFAITOUT!G35))+(COUNTIF(JSL!$A$7:$A$50,KIFAITOUT!G35))+(COUNTIF(KIFAITOUT!$A$7:$A$50,KIFAITOUT!G35))+(COUNTIF('LUXE DRIVE'!$A$7:$A$50,KIFAITOUT!G35))+(COUNTIF(SSN!$A$7:$A$50,KIFAITOUT!G35))+(COUNTIF('W3'!$A$7:$A$50,KIFAITOUT!G35))+(COUNTIF('ATHIS MONS'!$A$7:$A$50,KIFAITOUT!G35))+(COUNTIF('L HAY LES ROSES'!$A$7:$A$50,KIFAITOUT!G35))+(COUNTIF(RUNGIS!$A$7:$A$50,KIFAITOUT!G35))+(COUNTIF(SCEAUX!$A$7:$A$50,KIFAITOUT!G35))+(COUNTIF('INSTANCE C1'!$A$7:$A$50,KIFAITOUT!G35))+(COUNTIF('INSTANCE C2'!$A$7:$A$50,KIFAITOUT!G35))+(COUNTIF(INTERNES!$A$7:$A$50,KIFAITOUT!G35))+(COUNTIF('EN PANNE'!$A$7:$A$50,KIFAITOUT!G35))+(COUNTIF(TJM!$A$7:$A$50,KIFAITOUT!G35))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S35" s="60">
        <f t="shared" si="1"/>
        <v>0</v>
      </c>
      <c r="T35" s="67">
        <f t="shared" si="2"/>
        <v>0</v>
      </c>
    </row>
    <row r="36" spans="1:20" ht="24.95" customHeight="1" x14ac:dyDescent="0.2">
      <c r="A36" s="20"/>
      <c r="B36" s="23">
        <f>(COUNTIF('2S EXPRESS'!$A$7:$A$50,KIFAITOUT!A36))+(COUNTIF('2 ZT'!$A$7:$A$50,KIFAITOUT!A36))+(COUNTIF('GO TRANSPORT'!$A$7:$A$50,KIFAITOUT!A36))+(COUNTIF('HMZ - KAIS'!$A$7:$A$50,KIFAITOUT!A36))+(COUNTIF('IB TRANSPORT'!$A$7:$A$50,KIFAITOUT!A36))+(COUNTIF(JSL!$A$7:$A$50,KIFAITOUT!A36))+(COUNTIF(KIFAITOUT!$A$7:$A$50,KIFAITOUT!A36))+(COUNTIF('LUXE DRIVE'!$A$7:$A$50,KIFAITOUT!A36))+(COUNTIF(SSN!$A$7:$A$50,KIFAITOUT!A36))+(COUNTIF('W3'!$A$7:$A$50,KIFAITOUT!A36))+(COUNTIF('ATHIS MONS'!$A$7:$A$50,KIFAITOUT!A36))+(COUNTIF('L HAY LES ROSES'!$A$7:$A$50,KIFAITOUT!A36))+(COUNTIF(RUNGIS!$A$7:$A$50,KIFAITOUT!A36))+(COUNTIF(SCEAUX!$A$7:$A$50,KIFAITOUT!A36))+(COUNTIF('INSTANCE C1'!$A$7:$A$50,KIFAITOUT!A36))+(COUNTIF('INSTANCE C2'!$A$7:$A$50,KIFAITOUT!A36))+(COUNTIF(INTERNES!$A$7:$A$50,KIFAITOUT!A36))+(COUNTIF('EN PANNE'!$A$7:$A$50,KIFAITOUT!A36))+(COUNTIF(TJM!$A$7:$A$50,KIFAITOUT!A36))-C36</f>
        <v>0</v>
      </c>
      <c r="C36" s="23">
        <f>(COUNTIF('2S EXPRESS'!$G$7:$G$50,KIFAITOUT!A36))+(COUNTIF('2 ZT'!$G$7:$G$50,KIFAITOUT!A36))+(COUNTIF('GO TRANSPORT'!$G$7:$G$50,KIFAITOUT!A36))+(COUNTIF(KIFAITOUT!$G$7:$G$50,KIFAITOUT!A36))+(COUNTIF('IB TRANSPORT'!$G$7:$G$50,KIFAITOUT!A36))+(COUNTIF(JSL!$G$7:$G$50,KIFAITOUT!A36))+(COUNTIF(KIFAITOUT!$G$7:$G$50,KIFAITOUT!A36))+(COUNTIF('LUXE DRIVE'!$G$7:$G$50,KIFAITOUT!A36))+(COUNTIF(SSN!$G$7:$G$50,KIFAITOUT!A36))+(COUNTIF('W3'!$G$7:$G$50,KIFAITOUT!A36))+(COUNTIF('ATHIS MONS'!$G$7:$G$50,KIFAITOUT!A36))+(COUNTIF('L HAY LES ROSES'!$G$7:$G$50,KIFAITOUT!A36))+(COUNTIF(RUNGIS!$G$7:$G$50,KIFAITOUT!A36))+(COUNTIF(SCEAUX!$G$7:$G$50,KIFAITOUT!A36))+(COUNTIF('INSTANCE C1'!$G$7:$G$50,KIFAITOUT!A36))+(COUNTIF('INSTANCE C2'!$G$7:$G$50,KIFAITOUT!A36))+(COUNTIF(INTERNES!$G$7:$G$50,KIFAITOUT!A36))+(COUNTIF('EN PANNE'!$G$7:$G$50,KIFAITOUT!A36))+(COUNTIF(TJM!$G$7:$G$50,KIFAITOUT!A36))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EXPRESS'!$G$7:$G$50,KIFAITOUT!G36))+(COUNTIF('2 ZT'!$G$7:$G$50,KIFAITOUT!G36))+(COUNTIF('GO TRANSPORT'!$G$7:$G$50,KIFAITOUT!G36))+(COUNTIF('HMZ - KAIS'!$G$7:$G$50,KIFAITOUT!G36))+(COUNTIF('IB TRANSPORT'!$G$7:$G$50,KIFAITOUT!G36))+(COUNTIF(JSL!$G$7:$G$50,KIFAITOUT!G36))+(COUNTIF(KIFAITOUT!$G$7:$G$50,KIFAITOUT!G36))+(COUNTIF('LUXE DRIVE'!$G$7:$G$50,KIFAITOUT!G36))+(COUNTIF(SSN!$G$7:$G$50,KIFAITOUT!G36))+(COUNTIF('W3'!$G$7:$G$50,KIFAITOUT!G36))+(COUNTIF('ATHIS MONS'!$G$7:$G$50,KIFAITOUT!G36))+(COUNTIF('L HAY LES ROSES'!$G$7:$G$50,KIFAITOUT!G36))+(COUNTIF(RUNGIS!$G$7:$G$50,KIFAITOUT!G36))+(COUNTIF(SCEAUX!$G$7:$G$50,KIFAITOUT!G36))+(COUNTIF('INSTANCE C1'!$G$7:$G$50,KIFAITOUT!G36))+(COUNTIF('INSTANCE C2'!$G$7:$G$50,KIFAITOUT!G36))+(COUNTIF(INTERNES!$G$7:$G$50,KIFAITOUT!G36))+(COUNTIF('EN PANNE'!$G$7:$G$50,KIFAITOUT!G36))+(COUNTIF(TJM!$G$7:$G$50,KIFAITOUT!G36))-I36</f>
        <v>0</v>
      </c>
      <c r="I36" s="23">
        <f>(COUNTIF('2S EXPRESS'!$A$7:$A$50,KIFAITOUT!G36))+(COUNTIF('2 ZT'!$A$7:$A$50,KIFAITOUT!G36))+(COUNTIF('GO TRANSPORT'!$A$7:$A$50,KIFAITOUT!G36))+(COUNTIF('HMZ - KAIS'!$A$7:$A$50,KIFAITOUT!G36))+(COUNTIF('IB TRANSPORT'!$A$7:$A$50,KIFAITOUT!G36))+(COUNTIF(JSL!$A$7:$A$50,KIFAITOUT!G36))+(COUNTIF(KIFAITOUT!$A$7:$A$50,KIFAITOUT!G36))+(COUNTIF('LUXE DRIVE'!$A$7:$A$50,KIFAITOUT!G36))+(COUNTIF(SSN!$A$7:$A$50,KIFAITOUT!G36))+(COUNTIF('W3'!$A$7:$A$50,KIFAITOUT!G36))+(COUNTIF('ATHIS MONS'!$A$7:$A$50,KIFAITOUT!G36))+(COUNTIF('L HAY LES ROSES'!$A$7:$A$50,KIFAITOUT!G36))+(COUNTIF(RUNGIS!$A$7:$A$50,KIFAITOUT!G36))+(COUNTIF(SCEAUX!$A$7:$A$50,KIFAITOUT!G36))+(COUNTIF('INSTANCE C1'!$A$7:$A$50,KIFAITOUT!G36))+(COUNTIF('INSTANCE C2'!$A$7:$A$50,KIFAITOUT!G36))+(COUNTIF(INTERNES!$A$7:$A$50,KIFAITOUT!G36))+(COUNTIF('EN PANNE'!$A$7:$A$50,KIFAITOUT!G36))+(COUNTIF(TJM!$A$7:$A$50,KIFAITOUT!G36))</f>
        <v>0</v>
      </c>
      <c r="J36" s="28">
        <f t="shared" si="4"/>
        <v>0</v>
      </c>
      <c r="K36" s="2"/>
      <c r="L36" s="47"/>
      <c r="S36" s="60">
        <f t="shared" si="1"/>
        <v>0</v>
      </c>
      <c r="T36" s="67">
        <f t="shared" si="2"/>
        <v>0</v>
      </c>
    </row>
    <row r="37" spans="1:20" ht="24.95" customHeight="1" x14ac:dyDescent="0.2">
      <c r="A37" s="20"/>
      <c r="B37" s="23">
        <f>(COUNTIF('2S EXPRESS'!$A$7:$A$50,KIFAITOUT!A37))+(COUNTIF('2 ZT'!$A$7:$A$50,KIFAITOUT!A37))+(COUNTIF('GO TRANSPORT'!$A$7:$A$50,KIFAITOUT!A37))+(COUNTIF('HMZ - KAIS'!$A$7:$A$50,KIFAITOUT!A37))+(COUNTIF('IB TRANSPORT'!$A$7:$A$50,KIFAITOUT!A37))+(COUNTIF(JSL!$A$7:$A$50,KIFAITOUT!A37))+(COUNTIF(KIFAITOUT!$A$7:$A$50,KIFAITOUT!A37))+(COUNTIF('LUXE DRIVE'!$A$7:$A$50,KIFAITOUT!A37))+(COUNTIF(SSN!$A$7:$A$50,KIFAITOUT!A37))+(COUNTIF('W3'!$A$7:$A$50,KIFAITOUT!A37))+(COUNTIF('ATHIS MONS'!$A$7:$A$50,KIFAITOUT!A37))+(COUNTIF('L HAY LES ROSES'!$A$7:$A$50,KIFAITOUT!A37))+(COUNTIF(RUNGIS!$A$7:$A$50,KIFAITOUT!A37))+(COUNTIF(SCEAUX!$A$7:$A$50,KIFAITOUT!A37))+(COUNTIF('INSTANCE C1'!$A$7:$A$50,KIFAITOUT!A37))+(COUNTIF('INSTANCE C2'!$A$7:$A$50,KIFAITOUT!A37))+(COUNTIF(INTERNES!$A$7:$A$50,KIFAITOUT!A37))+(COUNTIF('EN PANNE'!$A$7:$A$50,KIFAITOUT!A37))+(COUNTIF(TJM!$A$7:$A$50,KIFAITOUT!A37))-C37</f>
        <v>0</v>
      </c>
      <c r="C37" s="23">
        <f>(COUNTIF('2S EXPRESS'!$G$7:$G$50,KIFAITOUT!A37))+(COUNTIF('2 ZT'!$G$7:$G$50,KIFAITOUT!A37))+(COUNTIF('GO TRANSPORT'!$G$7:$G$50,KIFAITOUT!A37))+(COUNTIF(KIFAITOUT!$G$7:$G$50,KIFAITOUT!A37))+(COUNTIF('IB TRANSPORT'!$G$7:$G$50,KIFAITOUT!A37))+(COUNTIF(JSL!$G$7:$G$50,KIFAITOUT!A37))+(COUNTIF(KIFAITOUT!$G$7:$G$50,KIFAITOUT!A37))+(COUNTIF('LUXE DRIVE'!$G$7:$G$50,KIFAITOUT!A37))+(COUNTIF(SSN!$G$7:$G$50,KIFAITOUT!A37))+(COUNTIF('W3'!$G$7:$G$50,KIFAITOUT!A37))+(COUNTIF('ATHIS MONS'!$G$7:$G$50,KIFAITOUT!A37))+(COUNTIF('L HAY LES ROSES'!$G$7:$G$50,KIFAITOUT!A37))+(COUNTIF(RUNGIS!$G$7:$G$50,KIFAITOUT!A37))+(COUNTIF(SCEAUX!$G$7:$G$50,KIFAITOUT!A37))+(COUNTIF('INSTANCE C1'!$G$7:$G$50,KIFAITOUT!A37))+(COUNTIF('INSTANCE C2'!$G$7:$G$50,KIFAITOUT!A37))+(COUNTIF(INTERNES!$G$7:$G$50,KIFAITOUT!A37))+(COUNTIF('EN PANNE'!$G$7:$G$50,KIFAITOUT!A37))+(COUNTIF(TJM!$G$7:$G$50,KIFAITOUT!A37))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EXPRESS'!$G$7:$G$50,KIFAITOUT!G37))+(COUNTIF('2 ZT'!$G$7:$G$50,KIFAITOUT!G37))+(COUNTIF('GO TRANSPORT'!$G$7:$G$50,KIFAITOUT!G37))+(COUNTIF('HMZ - KAIS'!$G$7:$G$50,KIFAITOUT!G37))+(COUNTIF('IB TRANSPORT'!$G$7:$G$50,KIFAITOUT!G37))+(COUNTIF(JSL!$G$7:$G$50,KIFAITOUT!G37))+(COUNTIF(KIFAITOUT!$G$7:$G$50,KIFAITOUT!G37))+(COUNTIF('LUXE DRIVE'!$G$7:$G$50,KIFAITOUT!G37))+(COUNTIF(SSN!$G$7:$G$50,KIFAITOUT!G37))+(COUNTIF('W3'!$G$7:$G$50,KIFAITOUT!G37))+(COUNTIF('ATHIS MONS'!$G$7:$G$50,KIFAITOUT!G37))+(COUNTIF('L HAY LES ROSES'!$G$7:$G$50,KIFAITOUT!G37))+(COUNTIF(RUNGIS!$G$7:$G$50,KIFAITOUT!G37))+(COUNTIF(SCEAUX!$G$7:$G$50,KIFAITOUT!G37))+(COUNTIF('INSTANCE C1'!$G$7:$G$50,KIFAITOUT!G37))+(COUNTIF('INSTANCE C2'!$G$7:$G$50,KIFAITOUT!G37))+(COUNTIF(INTERNES!$G$7:$G$50,KIFAITOUT!G37))+(COUNTIF('EN PANNE'!$G$7:$G$50,KIFAITOUT!G37))+(COUNTIF(TJM!$G$7:$G$50,KIFAITOUT!G37))-I37</f>
        <v>0</v>
      </c>
      <c r="I37" s="23">
        <f>(COUNTIF('2S EXPRESS'!$A$7:$A$50,KIFAITOUT!G37))+(COUNTIF('2 ZT'!$A$7:$A$50,KIFAITOUT!G37))+(COUNTIF('GO TRANSPORT'!$A$7:$A$50,KIFAITOUT!G37))+(COUNTIF('HMZ - KAIS'!$A$7:$A$50,KIFAITOUT!G37))+(COUNTIF('IB TRANSPORT'!$A$7:$A$50,KIFAITOUT!G37))+(COUNTIF(JSL!$A$7:$A$50,KIFAITOUT!G37))+(COUNTIF(KIFAITOUT!$A$7:$A$50,KIFAITOUT!G37))+(COUNTIF('LUXE DRIVE'!$A$7:$A$50,KIFAITOUT!G37))+(COUNTIF(SSN!$A$7:$A$50,KIFAITOUT!G37))+(COUNTIF('W3'!$A$7:$A$50,KIFAITOUT!G37))+(COUNTIF('ATHIS MONS'!$A$7:$A$50,KIFAITOUT!G37))+(COUNTIF('L HAY LES ROSES'!$A$7:$A$50,KIFAITOUT!G37))+(COUNTIF(RUNGIS!$A$7:$A$50,KIFAITOUT!G37))+(COUNTIF(SCEAUX!$A$7:$A$50,KIFAITOUT!G37))+(COUNTIF('INSTANCE C1'!$A$7:$A$50,KIFAITOUT!G37))+(COUNTIF('INSTANCE C2'!$A$7:$A$50,KIFAITOUT!G37))+(COUNTIF(INTERNES!$A$7:$A$50,KIFAITOUT!G37))+(COUNTIF('EN PANNE'!$A$7:$A$50,KIFAITOUT!G37))+(COUNTIF(TJM!$A$7:$A$50,KIFAITOUT!G37))</f>
        <v>0</v>
      </c>
      <c r="J37" s="28">
        <f t="shared" si="4"/>
        <v>0</v>
      </c>
      <c r="K37" s="2"/>
      <c r="L37" s="47"/>
      <c r="S37" s="60">
        <f t="shared" si="1"/>
        <v>0</v>
      </c>
      <c r="T37" s="67">
        <f t="shared" si="2"/>
        <v>0</v>
      </c>
    </row>
    <row r="38" spans="1:20" ht="24.95" customHeight="1" x14ac:dyDescent="0.2">
      <c r="A38" s="20"/>
      <c r="B38" s="23">
        <f>(COUNTIF('2S EXPRESS'!$A$7:$A$50,KIFAITOUT!A38))+(COUNTIF('2 ZT'!$A$7:$A$50,KIFAITOUT!A38))+(COUNTIF('GO TRANSPORT'!$A$7:$A$50,KIFAITOUT!A38))+(COUNTIF('HMZ - KAIS'!$A$7:$A$50,KIFAITOUT!A38))+(COUNTIF('IB TRANSPORT'!$A$7:$A$50,KIFAITOUT!A38))+(COUNTIF(JSL!$A$7:$A$50,KIFAITOUT!A38))+(COUNTIF(KIFAITOUT!$A$7:$A$50,KIFAITOUT!A38))+(COUNTIF('LUXE DRIVE'!$A$7:$A$50,KIFAITOUT!A38))+(COUNTIF(SSN!$A$7:$A$50,KIFAITOUT!A38))+(COUNTIF('W3'!$A$7:$A$50,KIFAITOUT!A38))+(COUNTIF('ATHIS MONS'!$A$7:$A$50,KIFAITOUT!A38))+(COUNTIF('L HAY LES ROSES'!$A$7:$A$50,KIFAITOUT!A38))+(COUNTIF(RUNGIS!$A$7:$A$50,KIFAITOUT!A38))+(COUNTIF(SCEAUX!$A$7:$A$50,KIFAITOUT!A38))+(COUNTIF('INSTANCE C1'!$A$7:$A$50,KIFAITOUT!A38))+(COUNTIF('INSTANCE C2'!$A$7:$A$50,KIFAITOUT!A38))+(COUNTIF(INTERNES!$A$7:$A$50,KIFAITOUT!A38))+(COUNTIF('EN PANNE'!$A$7:$A$50,KIFAITOUT!A38))+(COUNTIF(TJM!$A$7:$A$50,KIFAITOUT!A38))-C38</f>
        <v>0</v>
      </c>
      <c r="C38" s="23">
        <f>(COUNTIF('2S EXPRESS'!$G$7:$G$50,KIFAITOUT!A38))+(COUNTIF('2 ZT'!$G$7:$G$50,KIFAITOUT!A38))+(COUNTIF('GO TRANSPORT'!$G$7:$G$50,KIFAITOUT!A38))+(COUNTIF(KIFAITOUT!$G$7:$G$50,KIFAITOUT!A38))+(COUNTIF('IB TRANSPORT'!$G$7:$G$50,KIFAITOUT!A38))+(COUNTIF(JSL!$G$7:$G$50,KIFAITOUT!A38))+(COUNTIF(KIFAITOUT!$G$7:$G$50,KIFAITOUT!A38))+(COUNTIF('LUXE DRIVE'!$G$7:$G$50,KIFAITOUT!A38))+(COUNTIF(SSN!$G$7:$G$50,KIFAITOUT!A38))+(COUNTIF('W3'!$G$7:$G$50,KIFAITOUT!A38))+(COUNTIF('ATHIS MONS'!$G$7:$G$50,KIFAITOUT!A38))+(COUNTIF('L HAY LES ROSES'!$G$7:$G$50,KIFAITOUT!A38))+(COUNTIF(RUNGIS!$G$7:$G$50,KIFAITOUT!A38))+(COUNTIF(SCEAUX!$G$7:$G$50,KIFAITOUT!A38))+(COUNTIF('INSTANCE C1'!$G$7:$G$50,KIFAITOUT!A38))+(COUNTIF('INSTANCE C2'!$G$7:$G$50,KIFAITOUT!A38))+(COUNTIF(INTERNES!$G$7:$G$50,KIFAITOUT!A38))+(COUNTIF('EN PANNE'!$G$7:$G$50,KIFAITOUT!A38))+(COUNTIF(TJM!$G$7:$G$50,KIFAITOUT!A38))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EXPRESS'!$G$7:$G$50,KIFAITOUT!G38))+(COUNTIF('2 ZT'!$G$7:$G$50,KIFAITOUT!G38))+(COUNTIF('GO TRANSPORT'!$G$7:$G$50,KIFAITOUT!G38))+(COUNTIF('HMZ - KAIS'!$G$7:$G$50,KIFAITOUT!G38))+(COUNTIF('IB TRANSPORT'!$G$7:$G$50,KIFAITOUT!G38))+(COUNTIF(JSL!$G$7:$G$50,KIFAITOUT!G38))+(COUNTIF(KIFAITOUT!$G$7:$G$50,KIFAITOUT!G38))+(COUNTIF('LUXE DRIVE'!$G$7:$G$50,KIFAITOUT!G38))+(COUNTIF(SSN!$G$7:$G$50,KIFAITOUT!G38))+(COUNTIF('W3'!$G$7:$G$50,KIFAITOUT!G38))+(COUNTIF('ATHIS MONS'!$G$7:$G$50,KIFAITOUT!G38))+(COUNTIF('L HAY LES ROSES'!$G$7:$G$50,KIFAITOUT!G38))+(COUNTIF(RUNGIS!$G$7:$G$50,KIFAITOUT!G38))+(COUNTIF(SCEAUX!$G$7:$G$50,KIFAITOUT!G38))+(COUNTIF('INSTANCE C1'!$G$7:$G$50,KIFAITOUT!G38))+(COUNTIF('INSTANCE C2'!$G$7:$G$50,KIFAITOUT!G38))+(COUNTIF(INTERNES!$G$7:$G$50,KIFAITOUT!G38))+(COUNTIF('EN PANNE'!$G$7:$G$50,KIFAITOUT!G38))+(COUNTIF(TJM!$G$7:$G$50,KIFAITOUT!G38))-I38</f>
        <v>0</v>
      </c>
      <c r="I38" s="23">
        <f>(COUNTIF('2S EXPRESS'!$A$7:$A$50,KIFAITOUT!G38))+(COUNTIF('2 ZT'!$A$7:$A$50,KIFAITOUT!G38))+(COUNTIF('GO TRANSPORT'!$A$7:$A$50,KIFAITOUT!G38))+(COUNTIF('HMZ - KAIS'!$A$7:$A$50,KIFAITOUT!G38))+(COUNTIF('IB TRANSPORT'!$A$7:$A$50,KIFAITOUT!G38))+(COUNTIF(JSL!$A$7:$A$50,KIFAITOUT!G38))+(COUNTIF(KIFAITOUT!$A$7:$A$50,KIFAITOUT!G38))+(COUNTIF('LUXE DRIVE'!$A$7:$A$50,KIFAITOUT!G38))+(COUNTIF(SSN!$A$7:$A$50,KIFAITOUT!G38))+(COUNTIF('W3'!$A$7:$A$50,KIFAITOUT!G38))+(COUNTIF('ATHIS MONS'!$A$7:$A$50,KIFAITOUT!G38))+(COUNTIF('L HAY LES ROSES'!$A$7:$A$50,KIFAITOUT!G38))+(COUNTIF(RUNGIS!$A$7:$A$50,KIFAITOUT!G38))+(COUNTIF(SCEAUX!$A$7:$A$50,KIFAITOUT!G38))+(COUNTIF('INSTANCE C1'!$A$7:$A$50,KIFAITOUT!G38))+(COUNTIF('INSTANCE C2'!$A$7:$A$50,KIFAITOUT!G38))+(COUNTIF(INTERNES!$A$7:$A$50,KIFAITOUT!G38))+(COUNTIF('EN PANNE'!$A$7:$A$50,KIFAITOUT!G38))+(COUNTIF(TJM!$A$7:$A$50,KIFAITOUT!G38))</f>
        <v>0</v>
      </c>
      <c r="J38" s="28">
        <f t="shared" si="4"/>
        <v>0</v>
      </c>
      <c r="K38" s="2"/>
      <c r="L38" s="47"/>
      <c r="S38" s="60">
        <f t="shared" si="1"/>
        <v>0</v>
      </c>
      <c r="T38" s="67">
        <f t="shared" si="2"/>
        <v>0</v>
      </c>
    </row>
    <row r="39" spans="1:20" ht="24.95" customHeight="1" x14ac:dyDescent="0.2">
      <c r="A39" s="20"/>
      <c r="B39" s="23">
        <f>(COUNTIF('2S EXPRESS'!$A$7:$A$50,KIFAITOUT!A39))+(COUNTIF('2 ZT'!$A$7:$A$50,KIFAITOUT!A39))+(COUNTIF('GO TRANSPORT'!$A$7:$A$50,KIFAITOUT!A39))+(COUNTIF('HMZ - KAIS'!$A$7:$A$50,KIFAITOUT!A39))+(COUNTIF('IB TRANSPORT'!$A$7:$A$50,KIFAITOUT!A39))+(COUNTIF(JSL!$A$7:$A$50,KIFAITOUT!A39))+(COUNTIF(KIFAITOUT!$A$7:$A$50,KIFAITOUT!A39))+(COUNTIF('LUXE DRIVE'!$A$7:$A$50,KIFAITOUT!A39))+(COUNTIF(SSN!$A$7:$A$50,KIFAITOUT!A39))+(COUNTIF('W3'!$A$7:$A$50,KIFAITOUT!A39))+(COUNTIF('ATHIS MONS'!$A$7:$A$50,KIFAITOUT!A39))+(COUNTIF('L HAY LES ROSES'!$A$7:$A$50,KIFAITOUT!A39))+(COUNTIF(RUNGIS!$A$7:$A$50,KIFAITOUT!A39))+(COUNTIF(SCEAUX!$A$7:$A$50,KIFAITOUT!A39))+(COUNTIF('INSTANCE C1'!$A$7:$A$50,KIFAITOUT!A39))+(COUNTIF('INSTANCE C2'!$A$7:$A$50,KIFAITOUT!A39))+(COUNTIF(INTERNES!$A$7:$A$50,KIFAITOUT!A39))+(COUNTIF('EN PANNE'!$A$7:$A$50,KIFAITOUT!A39))+(COUNTIF(TJM!$A$7:$A$50,KIFAITOUT!A39))-C39</f>
        <v>0</v>
      </c>
      <c r="C39" s="23">
        <f>(COUNTIF('2S EXPRESS'!$G$7:$G$50,KIFAITOUT!A39))+(COUNTIF('2 ZT'!$G$7:$G$50,KIFAITOUT!A39))+(COUNTIF('GO TRANSPORT'!$G$7:$G$50,KIFAITOUT!A39))+(COUNTIF(KIFAITOUT!$G$7:$G$50,KIFAITOUT!A39))+(COUNTIF('IB TRANSPORT'!$G$7:$G$50,KIFAITOUT!A39))+(COUNTIF(JSL!$G$7:$G$50,KIFAITOUT!A39))+(COUNTIF(KIFAITOUT!$G$7:$G$50,KIFAITOUT!A39))+(COUNTIF('LUXE DRIVE'!$G$7:$G$50,KIFAITOUT!A39))+(COUNTIF(SSN!$G$7:$G$50,KIFAITOUT!A39))+(COUNTIF('W3'!$G$7:$G$50,KIFAITOUT!A39))+(COUNTIF('ATHIS MONS'!$G$7:$G$50,KIFAITOUT!A39))+(COUNTIF('L HAY LES ROSES'!$G$7:$G$50,KIFAITOUT!A39))+(COUNTIF(RUNGIS!$G$7:$G$50,KIFAITOUT!A39))+(COUNTIF(SCEAUX!$G$7:$G$50,KIFAITOUT!A39))+(COUNTIF('INSTANCE C1'!$G$7:$G$50,KIFAITOUT!A39))+(COUNTIF('INSTANCE C2'!$G$7:$G$50,KIFAITOUT!A39))+(COUNTIF(INTERNES!$G$7:$G$50,KIFAITOUT!A39))+(COUNTIF('EN PANNE'!$G$7:$G$50,KIFAITOUT!A39))+(COUNTIF(TJM!$G$7:$G$50,KIFAITOUT!A39))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EXPRESS'!$G$7:$G$50,KIFAITOUT!G39))+(COUNTIF('2 ZT'!$G$7:$G$50,KIFAITOUT!G39))+(COUNTIF('GO TRANSPORT'!$G$7:$G$50,KIFAITOUT!G39))+(COUNTIF('HMZ - KAIS'!$G$7:$G$50,KIFAITOUT!G39))+(COUNTIF('IB TRANSPORT'!$G$7:$G$50,KIFAITOUT!G39))+(COUNTIF(JSL!$G$7:$G$50,KIFAITOUT!G39))+(COUNTIF(KIFAITOUT!$G$7:$G$50,KIFAITOUT!G39))+(COUNTIF('LUXE DRIVE'!$G$7:$G$50,KIFAITOUT!G39))+(COUNTIF(SSN!$G$7:$G$50,KIFAITOUT!G39))+(COUNTIF('W3'!$G$7:$G$50,KIFAITOUT!G39))+(COUNTIF('ATHIS MONS'!$G$7:$G$50,KIFAITOUT!G39))+(COUNTIF('L HAY LES ROSES'!$G$7:$G$50,KIFAITOUT!G39))+(COUNTIF(RUNGIS!$G$7:$G$50,KIFAITOUT!G39))+(COUNTIF(SCEAUX!$G$7:$G$50,KIFAITOUT!G39))+(COUNTIF('INSTANCE C1'!$G$7:$G$50,KIFAITOUT!G39))+(COUNTIF('INSTANCE C2'!$G$7:$G$50,KIFAITOUT!G39))+(COUNTIF(INTERNES!$G$7:$G$50,KIFAITOUT!G39))+(COUNTIF('EN PANNE'!$G$7:$G$50,KIFAITOUT!G39))+(COUNTIF(TJM!$G$7:$G$50,KIFAITOUT!G39))-I39</f>
        <v>0</v>
      </c>
      <c r="I39" s="23">
        <f>(COUNTIF('2S EXPRESS'!$A$7:$A$50,KIFAITOUT!G39))+(COUNTIF('2 ZT'!$A$7:$A$50,KIFAITOUT!G39))+(COUNTIF('GO TRANSPORT'!$A$7:$A$50,KIFAITOUT!G39))+(COUNTIF('HMZ - KAIS'!$A$7:$A$50,KIFAITOUT!G39))+(COUNTIF('IB TRANSPORT'!$A$7:$A$50,KIFAITOUT!G39))+(COUNTIF(JSL!$A$7:$A$50,KIFAITOUT!G39))+(COUNTIF(KIFAITOUT!$A$7:$A$50,KIFAITOUT!G39))+(COUNTIF('LUXE DRIVE'!$A$7:$A$50,KIFAITOUT!G39))+(COUNTIF(SSN!$A$7:$A$50,KIFAITOUT!G39))+(COUNTIF('W3'!$A$7:$A$50,KIFAITOUT!G39))+(COUNTIF('ATHIS MONS'!$A$7:$A$50,KIFAITOUT!G39))+(COUNTIF('L HAY LES ROSES'!$A$7:$A$50,KIFAITOUT!G39))+(COUNTIF(RUNGIS!$A$7:$A$50,KIFAITOUT!G39))+(COUNTIF(SCEAUX!$A$7:$A$50,KIFAITOUT!G39))+(COUNTIF('INSTANCE C1'!$A$7:$A$50,KIFAITOUT!G39))+(COUNTIF('INSTANCE C2'!$A$7:$A$50,KIFAITOUT!G39))+(COUNTIF(INTERNES!$A$7:$A$50,KIFAITOUT!G39))+(COUNTIF('EN PANNE'!$A$7:$A$50,KIFAITOUT!G39))+(COUNTIF(TJM!$A$7:$A$50,KIFAITOUT!G39))</f>
        <v>0</v>
      </c>
      <c r="J39" s="28">
        <f t="shared" si="4"/>
        <v>0</v>
      </c>
      <c r="K39" s="2"/>
      <c r="L39" s="47"/>
      <c r="S39" s="60">
        <f t="shared" si="1"/>
        <v>0</v>
      </c>
      <c r="T39" s="67">
        <f t="shared" si="2"/>
        <v>0</v>
      </c>
    </row>
    <row r="40" spans="1:20" ht="24.95" customHeight="1" x14ac:dyDescent="0.2">
      <c r="A40" s="20"/>
      <c r="B40" s="23">
        <f>(COUNTIF('2S EXPRESS'!$A$7:$A$50,KIFAITOUT!A40))+(COUNTIF('2 ZT'!$A$7:$A$50,KIFAITOUT!A40))+(COUNTIF('GO TRANSPORT'!$A$7:$A$50,KIFAITOUT!A40))+(COUNTIF('HMZ - KAIS'!$A$7:$A$50,KIFAITOUT!A40))+(COUNTIF('IB TRANSPORT'!$A$7:$A$50,KIFAITOUT!A40))+(COUNTIF(JSL!$A$7:$A$50,KIFAITOUT!A40))+(COUNTIF(KIFAITOUT!$A$7:$A$50,KIFAITOUT!A40))+(COUNTIF('LUXE DRIVE'!$A$7:$A$50,KIFAITOUT!A40))+(COUNTIF(SSN!$A$7:$A$50,KIFAITOUT!A40))+(COUNTIF('W3'!$A$7:$A$50,KIFAITOUT!A40))+(COUNTIF('ATHIS MONS'!$A$7:$A$50,KIFAITOUT!A40))+(COUNTIF('L HAY LES ROSES'!$A$7:$A$50,KIFAITOUT!A40))+(COUNTIF(RUNGIS!$A$7:$A$50,KIFAITOUT!A40))+(COUNTIF(SCEAUX!$A$7:$A$50,KIFAITOUT!A40))+(COUNTIF('INSTANCE C1'!$A$7:$A$50,KIFAITOUT!A40))+(COUNTIF('INSTANCE C2'!$A$7:$A$50,KIFAITOUT!A40))+(COUNTIF(INTERNES!$A$7:$A$50,KIFAITOUT!A40))+(COUNTIF('EN PANNE'!$A$7:$A$50,KIFAITOUT!A40))+(COUNTIF(TJM!$A$7:$A$50,KIFAITOUT!A40))-C40</f>
        <v>0</v>
      </c>
      <c r="C40" s="23">
        <f>(COUNTIF('2S EXPRESS'!$G$7:$G$50,KIFAITOUT!A40))+(COUNTIF('2 ZT'!$G$7:$G$50,KIFAITOUT!A40))+(COUNTIF('GO TRANSPORT'!$G$7:$G$50,KIFAITOUT!A40))+(COUNTIF(KIFAITOUT!$G$7:$G$50,KIFAITOUT!A40))+(COUNTIF('IB TRANSPORT'!$G$7:$G$50,KIFAITOUT!A40))+(COUNTIF(JSL!$G$7:$G$50,KIFAITOUT!A40))+(COUNTIF(KIFAITOUT!$G$7:$G$50,KIFAITOUT!A40))+(COUNTIF('LUXE DRIVE'!$G$7:$G$50,KIFAITOUT!A40))+(COUNTIF(SSN!$G$7:$G$50,KIFAITOUT!A40))+(COUNTIF('W3'!$G$7:$G$50,KIFAITOUT!A40))+(COUNTIF('ATHIS MONS'!$G$7:$G$50,KIFAITOUT!A40))+(COUNTIF('L HAY LES ROSES'!$G$7:$G$50,KIFAITOUT!A40))+(COUNTIF(RUNGIS!$G$7:$G$50,KIFAITOUT!A40))+(COUNTIF(SCEAUX!$G$7:$G$50,KIFAITOUT!A40))+(COUNTIF('INSTANCE C1'!$G$7:$G$50,KIFAITOUT!A40))+(COUNTIF('INSTANCE C2'!$G$7:$G$50,KIFAITOUT!A40))+(COUNTIF(INTERNES!$G$7:$G$50,KIFAITOUT!A40))+(COUNTIF('EN PANNE'!$G$7:$G$50,KIFAITOUT!A40))+(COUNTIF(TJM!$G$7:$G$50,KIFAITOUT!A40))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EXPRESS'!$G$7:$G$50,KIFAITOUT!G40))+(COUNTIF('2 ZT'!$G$7:$G$50,KIFAITOUT!G40))+(COUNTIF('GO TRANSPORT'!$G$7:$G$50,KIFAITOUT!G40))+(COUNTIF('HMZ - KAIS'!$G$7:$G$50,KIFAITOUT!G40))+(COUNTIF('IB TRANSPORT'!$G$7:$G$50,KIFAITOUT!G40))+(COUNTIF(JSL!$G$7:$G$50,KIFAITOUT!G40))+(COUNTIF(KIFAITOUT!$G$7:$G$50,KIFAITOUT!G40))+(COUNTIF('LUXE DRIVE'!$G$7:$G$50,KIFAITOUT!G40))+(COUNTIF(SSN!$G$7:$G$50,KIFAITOUT!G40))+(COUNTIF('W3'!$G$7:$G$50,KIFAITOUT!G40))+(COUNTIF('ATHIS MONS'!$G$7:$G$50,KIFAITOUT!G40))+(COUNTIF('L HAY LES ROSES'!$G$7:$G$50,KIFAITOUT!G40))+(COUNTIF(RUNGIS!$G$7:$G$50,KIFAITOUT!G40))+(COUNTIF(SCEAUX!$G$7:$G$50,KIFAITOUT!G40))+(COUNTIF('INSTANCE C1'!$G$7:$G$50,KIFAITOUT!G40))+(COUNTIF('INSTANCE C2'!$G$7:$G$50,KIFAITOUT!G40))+(COUNTIF(INTERNES!$G$7:$G$50,KIFAITOUT!G40))+(COUNTIF('EN PANNE'!$G$7:$G$50,KIFAITOUT!G40))+(COUNTIF(TJM!$G$7:$G$50,KIFAITOUT!G40))-I40</f>
        <v>0</v>
      </c>
      <c r="I40" s="23">
        <f>(COUNTIF('2S EXPRESS'!$A$7:$A$50,KIFAITOUT!G40))+(COUNTIF('2 ZT'!$A$7:$A$50,KIFAITOUT!G40))+(COUNTIF('GO TRANSPORT'!$A$7:$A$50,KIFAITOUT!G40))+(COUNTIF('HMZ - KAIS'!$A$7:$A$50,KIFAITOUT!G40))+(COUNTIF('IB TRANSPORT'!$A$7:$A$50,KIFAITOUT!G40))+(COUNTIF(JSL!$A$7:$A$50,KIFAITOUT!G40))+(COUNTIF(KIFAITOUT!$A$7:$A$50,KIFAITOUT!G40))+(COUNTIF('LUXE DRIVE'!$A$7:$A$50,KIFAITOUT!G40))+(COUNTIF(SSN!$A$7:$A$50,KIFAITOUT!G40))+(COUNTIF('W3'!$A$7:$A$50,KIFAITOUT!G40))+(COUNTIF('ATHIS MONS'!$A$7:$A$50,KIFAITOUT!G40))+(COUNTIF('L HAY LES ROSES'!$A$7:$A$50,KIFAITOUT!G40))+(COUNTIF(RUNGIS!$A$7:$A$50,KIFAITOUT!G40))+(COUNTIF(SCEAUX!$A$7:$A$50,KIFAITOUT!G40))+(COUNTIF('INSTANCE C1'!$A$7:$A$50,KIFAITOUT!G40))+(COUNTIF('INSTANCE C2'!$A$7:$A$50,KIFAITOUT!G40))+(COUNTIF(INTERNES!$A$7:$A$50,KIFAITOUT!G40))+(COUNTIF('EN PANNE'!$A$7:$A$50,KIFAITOUT!G40))+(COUNTIF(TJM!$A$7:$A$50,KIFAITOUT!G40))</f>
        <v>0</v>
      </c>
      <c r="J40" s="28">
        <f t="shared" si="4"/>
        <v>0</v>
      </c>
      <c r="K40" s="2"/>
      <c r="L40" s="47"/>
      <c r="S40" s="60">
        <f t="shared" si="1"/>
        <v>0</v>
      </c>
      <c r="T40" s="67">
        <f t="shared" si="2"/>
        <v>0</v>
      </c>
    </row>
    <row r="41" spans="1:20" ht="24.95" customHeight="1" x14ac:dyDescent="0.2">
      <c r="A41" s="20"/>
      <c r="B41" s="23">
        <f>(COUNTIF('2S EXPRESS'!$A$7:$A$50,KIFAITOUT!A41))+(COUNTIF('2 ZT'!$A$7:$A$50,KIFAITOUT!A41))+(COUNTIF('GO TRANSPORT'!$A$7:$A$50,KIFAITOUT!A41))+(COUNTIF('HMZ - KAIS'!$A$7:$A$50,KIFAITOUT!A41))+(COUNTIF('IB TRANSPORT'!$A$7:$A$50,KIFAITOUT!A41))+(COUNTIF(JSL!$A$7:$A$50,KIFAITOUT!A41))+(COUNTIF(KIFAITOUT!$A$7:$A$50,KIFAITOUT!A41))+(COUNTIF('LUXE DRIVE'!$A$7:$A$50,KIFAITOUT!A41))+(COUNTIF(SSN!$A$7:$A$50,KIFAITOUT!A41))+(COUNTIF('W3'!$A$7:$A$50,KIFAITOUT!A41))+(COUNTIF('ATHIS MONS'!$A$7:$A$50,KIFAITOUT!A41))+(COUNTIF('L HAY LES ROSES'!$A$7:$A$50,KIFAITOUT!A41))+(COUNTIF(RUNGIS!$A$7:$A$50,KIFAITOUT!A41))+(COUNTIF(SCEAUX!$A$7:$A$50,KIFAITOUT!A41))+(COUNTIF('INSTANCE C1'!$A$7:$A$50,KIFAITOUT!A41))+(COUNTIF('INSTANCE C2'!$A$7:$A$50,KIFAITOUT!A41))+(COUNTIF(INTERNES!$A$7:$A$50,KIFAITOUT!A41))+(COUNTIF('EN PANNE'!$A$7:$A$50,KIFAITOUT!A41))+(COUNTIF(TJM!$A$7:$A$50,KIFAITOUT!A41))-C41</f>
        <v>0</v>
      </c>
      <c r="C41" s="23">
        <f>(COUNTIF('2S EXPRESS'!$G$7:$G$50,KIFAITOUT!A41))+(COUNTIF('2 ZT'!$G$7:$G$50,KIFAITOUT!A41))+(COUNTIF('GO TRANSPORT'!$G$7:$G$50,KIFAITOUT!A41))+(COUNTIF(KIFAITOUT!$G$7:$G$50,KIFAITOUT!A41))+(COUNTIF('IB TRANSPORT'!$G$7:$G$50,KIFAITOUT!A41))+(COUNTIF(JSL!$G$7:$G$50,KIFAITOUT!A41))+(COUNTIF(KIFAITOUT!$G$7:$G$50,KIFAITOUT!A41))+(COUNTIF('LUXE DRIVE'!$G$7:$G$50,KIFAITOUT!A41))+(COUNTIF(SSN!$G$7:$G$50,KIFAITOUT!A41))+(COUNTIF('W3'!$G$7:$G$50,KIFAITOUT!A41))+(COUNTIF('ATHIS MONS'!$G$7:$G$50,KIFAITOUT!A41))+(COUNTIF('L HAY LES ROSES'!$G$7:$G$50,KIFAITOUT!A41))+(COUNTIF(RUNGIS!$G$7:$G$50,KIFAITOUT!A41))+(COUNTIF(SCEAUX!$G$7:$G$50,KIFAITOUT!A41))+(COUNTIF('INSTANCE C1'!$G$7:$G$50,KIFAITOUT!A41))+(COUNTIF('INSTANCE C2'!$G$7:$G$50,KIFAITOUT!A41))+(COUNTIF(INTERNES!$G$7:$G$50,KIFAITOUT!A41))+(COUNTIF('EN PANNE'!$G$7:$G$50,KIFAITOUT!A41))+(COUNTIF(TJM!$G$7:$G$50,KIFAITOUT!A41))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EXPRESS'!$G$7:$G$50,KIFAITOUT!G41))+(COUNTIF('2 ZT'!$G$7:$G$50,KIFAITOUT!G41))+(COUNTIF('GO TRANSPORT'!$G$7:$G$50,KIFAITOUT!G41))+(COUNTIF('HMZ - KAIS'!$G$7:$G$50,KIFAITOUT!G41))+(COUNTIF('IB TRANSPORT'!$G$7:$G$50,KIFAITOUT!G41))+(COUNTIF(JSL!$G$7:$G$50,KIFAITOUT!G41))+(COUNTIF(KIFAITOUT!$G$7:$G$50,KIFAITOUT!G41))+(COUNTIF('LUXE DRIVE'!$G$7:$G$50,KIFAITOUT!G41))+(COUNTIF(SSN!$G$7:$G$50,KIFAITOUT!G41))+(COUNTIF('W3'!$G$7:$G$50,KIFAITOUT!G41))+(COUNTIF('ATHIS MONS'!$G$7:$G$50,KIFAITOUT!G41))+(COUNTIF('L HAY LES ROSES'!$G$7:$G$50,KIFAITOUT!G41))+(COUNTIF(RUNGIS!$G$7:$G$50,KIFAITOUT!G41))+(COUNTIF(SCEAUX!$G$7:$G$50,KIFAITOUT!G41))+(COUNTIF('INSTANCE C1'!$G$7:$G$50,KIFAITOUT!G41))+(COUNTIF('INSTANCE C2'!$G$7:$G$50,KIFAITOUT!G41))+(COUNTIF(INTERNES!$G$7:$G$50,KIFAITOUT!G41))+(COUNTIF('EN PANNE'!$G$7:$G$50,KIFAITOUT!G41))+(COUNTIF(TJM!$G$7:$G$50,KIFAITOUT!G41))-I41</f>
        <v>0</v>
      </c>
      <c r="I41" s="23">
        <f>(COUNTIF('2S EXPRESS'!$A$7:$A$50,KIFAITOUT!G41))+(COUNTIF('2 ZT'!$A$7:$A$50,KIFAITOUT!G41))+(COUNTIF('GO TRANSPORT'!$A$7:$A$50,KIFAITOUT!G41))+(COUNTIF('HMZ - KAIS'!$A$7:$A$50,KIFAITOUT!G41))+(COUNTIF('IB TRANSPORT'!$A$7:$A$50,KIFAITOUT!G41))+(COUNTIF(JSL!$A$7:$A$50,KIFAITOUT!G41))+(COUNTIF(KIFAITOUT!$A$7:$A$50,KIFAITOUT!G41))+(COUNTIF('LUXE DRIVE'!$A$7:$A$50,KIFAITOUT!G41))+(COUNTIF(SSN!$A$7:$A$50,KIFAITOUT!G41))+(COUNTIF('W3'!$A$7:$A$50,KIFAITOUT!G41))+(COUNTIF('ATHIS MONS'!$A$7:$A$50,KIFAITOUT!G41))+(COUNTIF('L HAY LES ROSES'!$A$7:$A$50,KIFAITOUT!G41))+(COUNTIF(RUNGIS!$A$7:$A$50,KIFAITOUT!G41))+(COUNTIF(SCEAUX!$A$7:$A$50,KIFAITOUT!G41))+(COUNTIF('INSTANCE C1'!$A$7:$A$50,KIFAITOUT!G41))+(COUNTIF('INSTANCE C2'!$A$7:$A$50,KIFAITOUT!G41))+(COUNTIF(INTERNES!$A$7:$A$50,KIFAITOUT!G41))+(COUNTIF('EN PANNE'!$A$7:$A$50,KIFAITOUT!G41))+(COUNTIF(TJM!$A$7:$A$50,KIFAITOUT!G41))</f>
        <v>0</v>
      </c>
      <c r="J41" s="28">
        <f t="shared" si="4"/>
        <v>0</v>
      </c>
      <c r="K41" s="2"/>
      <c r="L41" s="47"/>
      <c r="S41" s="60">
        <f t="shared" si="1"/>
        <v>0</v>
      </c>
      <c r="T41" s="67">
        <f t="shared" si="2"/>
        <v>0</v>
      </c>
    </row>
    <row r="42" spans="1:20" ht="24.95" customHeight="1" x14ac:dyDescent="0.2">
      <c r="A42" s="20"/>
      <c r="B42" s="23">
        <f>(COUNTIF('2S EXPRESS'!$A$7:$A$50,KIFAITOUT!A42))+(COUNTIF('2 ZT'!$A$7:$A$50,KIFAITOUT!A42))+(COUNTIF('GO TRANSPORT'!$A$7:$A$50,KIFAITOUT!A42))+(COUNTIF('HMZ - KAIS'!$A$7:$A$50,KIFAITOUT!A42))+(COUNTIF('IB TRANSPORT'!$A$7:$A$50,KIFAITOUT!A42))+(COUNTIF(JSL!$A$7:$A$50,KIFAITOUT!A42))+(COUNTIF(KIFAITOUT!$A$7:$A$50,KIFAITOUT!A42))+(COUNTIF('LUXE DRIVE'!$A$7:$A$50,KIFAITOUT!A42))+(COUNTIF(SSN!$A$7:$A$50,KIFAITOUT!A42))+(COUNTIF('W3'!$A$7:$A$50,KIFAITOUT!A42))+(COUNTIF('ATHIS MONS'!$A$7:$A$50,KIFAITOUT!A42))+(COUNTIF('L HAY LES ROSES'!$A$7:$A$50,KIFAITOUT!A42))+(COUNTIF(RUNGIS!$A$7:$A$50,KIFAITOUT!A42))+(COUNTIF(SCEAUX!$A$7:$A$50,KIFAITOUT!A42))+(COUNTIF('INSTANCE C1'!$A$7:$A$50,KIFAITOUT!A42))+(COUNTIF('INSTANCE C2'!$A$7:$A$50,KIFAITOUT!A42))+(COUNTIF(INTERNES!$A$7:$A$50,KIFAITOUT!A42))+(COUNTIF('EN PANNE'!$A$7:$A$50,KIFAITOUT!A42))+(COUNTIF(TJM!$A$7:$A$50,KIFAITOUT!A42))-C42</f>
        <v>0</v>
      </c>
      <c r="C42" s="23">
        <f>(COUNTIF('2S EXPRESS'!$G$7:$G$50,KIFAITOUT!A42))+(COUNTIF('2 ZT'!$G$7:$G$50,KIFAITOUT!A42))+(COUNTIF('GO TRANSPORT'!$G$7:$G$50,KIFAITOUT!A42))+(COUNTIF(KIFAITOUT!$G$7:$G$50,KIFAITOUT!A42))+(COUNTIF('IB TRANSPORT'!$G$7:$G$50,KIFAITOUT!A42))+(COUNTIF(JSL!$G$7:$G$50,KIFAITOUT!A42))+(COUNTIF(KIFAITOUT!$G$7:$G$50,KIFAITOUT!A42))+(COUNTIF('LUXE DRIVE'!$G$7:$G$50,KIFAITOUT!A42))+(COUNTIF(SSN!$G$7:$G$50,KIFAITOUT!A42))+(COUNTIF('W3'!$G$7:$G$50,KIFAITOUT!A42))+(COUNTIF('ATHIS MONS'!$G$7:$G$50,KIFAITOUT!A42))+(COUNTIF('L HAY LES ROSES'!$G$7:$G$50,KIFAITOUT!A42))+(COUNTIF(RUNGIS!$G$7:$G$50,KIFAITOUT!A42))+(COUNTIF(SCEAUX!$G$7:$G$50,KIFAITOUT!A42))+(COUNTIF('INSTANCE C1'!$G$7:$G$50,KIFAITOUT!A42))+(COUNTIF('INSTANCE C2'!$G$7:$G$50,KIFAITOUT!A42))+(COUNTIF(INTERNES!$G$7:$G$50,KIFAITOUT!A42))+(COUNTIF('EN PANNE'!$G$7:$G$50,KIFAITOUT!A42))+(COUNTIF(TJM!$G$7:$G$50,KIFAITOUT!A42))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EXPRESS'!$G$7:$G$50,KIFAITOUT!G42))+(COUNTIF('2 ZT'!$G$7:$G$50,KIFAITOUT!G42))+(COUNTIF('GO TRANSPORT'!$G$7:$G$50,KIFAITOUT!G42))+(COUNTIF('HMZ - KAIS'!$G$7:$G$50,KIFAITOUT!G42))+(COUNTIF('IB TRANSPORT'!$G$7:$G$50,KIFAITOUT!G42))+(COUNTIF(JSL!$G$7:$G$50,KIFAITOUT!G42))+(COUNTIF(KIFAITOUT!$G$7:$G$50,KIFAITOUT!G42))+(COUNTIF('LUXE DRIVE'!$G$7:$G$50,KIFAITOUT!G42))+(COUNTIF(SSN!$G$7:$G$50,KIFAITOUT!G42))+(COUNTIF('W3'!$G$7:$G$50,KIFAITOUT!G42))+(COUNTIF('ATHIS MONS'!$G$7:$G$50,KIFAITOUT!G42))+(COUNTIF('L HAY LES ROSES'!$G$7:$G$50,KIFAITOUT!G42))+(COUNTIF(RUNGIS!$G$7:$G$50,KIFAITOUT!G42))+(COUNTIF(SCEAUX!$G$7:$G$50,KIFAITOUT!G42))+(COUNTIF('INSTANCE C1'!$G$7:$G$50,KIFAITOUT!G42))+(COUNTIF('INSTANCE C2'!$G$7:$G$50,KIFAITOUT!G42))+(COUNTIF(INTERNES!$G$7:$G$50,KIFAITOUT!G42))+(COUNTIF('EN PANNE'!$G$7:$G$50,KIFAITOUT!G42))+(COUNTIF(TJM!$G$7:$G$50,KIFAITOUT!G42))-I42</f>
        <v>0</v>
      </c>
      <c r="I42" s="23">
        <f>(COUNTIF('2S EXPRESS'!$A$7:$A$50,KIFAITOUT!G42))+(COUNTIF('2 ZT'!$A$7:$A$50,KIFAITOUT!G42))+(COUNTIF('GO TRANSPORT'!$A$7:$A$50,KIFAITOUT!G42))+(COUNTIF('HMZ - KAIS'!$A$7:$A$50,KIFAITOUT!G42))+(COUNTIF('IB TRANSPORT'!$A$7:$A$50,KIFAITOUT!G42))+(COUNTIF(JSL!$A$7:$A$50,KIFAITOUT!G42))+(COUNTIF(KIFAITOUT!$A$7:$A$50,KIFAITOUT!G42))+(COUNTIF('LUXE DRIVE'!$A$7:$A$50,KIFAITOUT!G42))+(COUNTIF(SSN!$A$7:$A$50,KIFAITOUT!G42))+(COUNTIF('W3'!$A$7:$A$50,KIFAITOUT!G42))+(COUNTIF('ATHIS MONS'!$A$7:$A$50,KIFAITOUT!G42))+(COUNTIF('L HAY LES ROSES'!$A$7:$A$50,KIFAITOUT!G42))+(COUNTIF(RUNGIS!$A$7:$A$50,KIFAITOUT!G42))+(COUNTIF(SCEAUX!$A$7:$A$50,KIFAITOUT!G42))+(COUNTIF('INSTANCE C1'!$A$7:$A$50,KIFAITOUT!G42))+(COUNTIF('INSTANCE C2'!$A$7:$A$50,KIFAITOUT!G42))+(COUNTIF(INTERNES!$A$7:$A$50,KIFAITOUT!G42))+(COUNTIF('EN PANNE'!$A$7:$A$50,KIFAITOUT!G42))+(COUNTIF(TJM!$A$7:$A$50,KIFAITOUT!G42))</f>
        <v>0</v>
      </c>
      <c r="J42" s="28">
        <f t="shared" si="4"/>
        <v>0</v>
      </c>
      <c r="K42" s="2"/>
      <c r="L42" s="47"/>
      <c r="S42" s="60">
        <f t="shared" si="1"/>
        <v>0</v>
      </c>
      <c r="T42" s="67">
        <f t="shared" si="2"/>
        <v>0</v>
      </c>
    </row>
    <row r="43" spans="1:20" ht="24.95" customHeight="1" x14ac:dyDescent="0.2">
      <c r="A43" s="20"/>
      <c r="B43" s="23">
        <f>(COUNTIF('2S EXPRESS'!$A$7:$A$50,KIFAITOUT!A43))+(COUNTIF('2 ZT'!$A$7:$A$50,KIFAITOUT!A43))+(COUNTIF('GO TRANSPORT'!$A$7:$A$50,KIFAITOUT!A43))+(COUNTIF('HMZ - KAIS'!$A$7:$A$50,KIFAITOUT!A43))+(COUNTIF('IB TRANSPORT'!$A$7:$A$50,KIFAITOUT!A43))+(COUNTIF(JSL!$A$7:$A$50,KIFAITOUT!A43))+(COUNTIF(KIFAITOUT!$A$7:$A$50,KIFAITOUT!A43))+(COUNTIF('LUXE DRIVE'!$A$7:$A$50,KIFAITOUT!A43))+(COUNTIF(SSN!$A$7:$A$50,KIFAITOUT!A43))+(COUNTIF('W3'!$A$7:$A$50,KIFAITOUT!A43))+(COUNTIF('ATHIS MONS'!$A$7:$A$50,KIFAITOUT!A43))+(COUNTIF('L HAY LES ROSES'!$A$7:$A$50,KIFAITOUT!A43))+(COUNTIF(RUNGIS!$A$7:$A$50,KIFAITOUT!A43))+(COUNTIF(SCEAUX!$A$7:$A$50,KIFAITOUT!A43))+(COUNTIF('INSTANCE C1'!$A$7:$A$50,KIFAITOUT!A43))+(COUNTIF('INSTANCE C2'!$A$7:$A$50,KIFAITOUT!A43))+(COUNTIF(INTERNES!$A$7:$A$50,KIFAITOUT!A43))+(COUNTIF('EN PANNE'!$A$7:$A$50,KIFAITOUT!A43))+(COUNTIF(TJM!$A$7:$A$50,KIFAITOUT!A43))-C43</f>
        <v>0</v>
      </c>
      <c r="C43" s="23">
        <f>(COUNTIF('2S EXPRESS'!$G$7:$G$50,KIFAITOUT!A43))+(COUNTIF('2 ZT'!$G$7:$G$50,KIFAITOUT!A43))+(COUNTIF('GO TRANSPORT'!$G$7:$G$50,KIFAITOUT!A43))+(COUNTIF(KIFAITOUT!$G$7:$G$50,KIFAITOUT!A43))+(COUNTIF('IB TRANSPORT'!$G$7:$G$50,KIFAITOUT!A43))+(COUNTIF(JSL!$G$7:$G$50,KIFAITOUT!A43))+(COUNTIF(KIFAITOUT!$G$7:$G$50,KIFAITOUT!A43))+(COUNTIF('LUXE DRIVE'!$G$7:$G$50,KIFAITOUT!A43))+(COUNTIF(SSN!$G$7:$G$50,KIFAITOUT!A43))+(COUNTIF('W3'!$G$7:$G$50,KIFAITOUT!A43))+(COUNTIF('ATHIS MONS'!$G$7:$G$50,KIFAITOUT!A43))+(COUNTIF('L HAY LES ROSES'!$G$7:$G$50,KIFAITOUT!A43))+(COUNTIF(RUNGIS!$G$7:$G$50,KIFAITOUT!A43))+(COUNTIF(SCEAUX!$G$7:$G$50,KIFAITOUT!A43))+(COUNTIF('INSTANCE C1'!$G$7:$G$50,KIFAITOUT!A43))+(COUNTIF('INSTANCE C2'!$G$7:$G$50,KIFAITOUT!A43))+(COUNTIF(INTERNES!$G$7:$G$50,KIFAITOUT!A43))+(COUNTIF('EN PANNE'!$G$7:$G$50,KIFAITOUT!A43))+(COUNTIF(TJM!$G$7:$G$50,KIFAITOUT!A43))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EXPRESS'!$G$7:$G$50,KIFAITOUT!G43))+(COUNTIF('2 ZT'!$G$7:$G$50,KIFAITOUT!G43))+(COUNTIF('GO TRANSPORT'!$G$7:$G$50,KIFAITOUT!G43))+(COUNTIF('HMZ - KAIS'!$G$7:$G$50,KIFAITOUT!G43))+(COUNTIF('IB TRANSPORT'!$G$7:$G$50,KIFAITOUT!G43))+(COUNTIF(JSL!$G$7:$G$50,KIFAITOUT!G43))+(COUNTIF(KIFAITOUT!$G$7:$G$50,KIFAITOUT!G43))+(COUNTIF('LUXE DRIVE'!$G$7:$G$50,KIFAITOUT!G43))+(COUNTIF(SSN!$G$7:$G$50,KIFAITOUT!G43))+(COUNTIF('W3'!$G$7:$G$50,KIFAITOUT!G43))+(COUNTIF('ATHIS MONS'!$G$7:$G$50,KIFAITOUT!G43))+(COUNTIF('L HAY LES ROSES'!$G$7:$G$50,KIFAITOUT!G43))+(COUNTIF(RUNGIS!$G$7:$G$50,KIFAITOUT!G43))+(COUNTIF(SCEAUX!$G$7:$G$50,KIFAITOUT!G43))+(COUNTIF('INSTANCE C1'!$G$7:$G$50,KIFAITOUT!G43))+(COUNTIF('INSTANCE C2'!$G$7:$G$50,KIFAITOUT!G43))+(COUNTIF(INTERNES!$G$7:$G$50,KIFAITOUT!G43))+(COUNTIF('EN PANNE'!$G$7:$G$50,KIFAITOUT!G43))+(COUNTIF(TJM!$G$7:$G$50,KIFAITOUT!G43))-I43</f>
        <v>0</v>
      </c>
      <c r="I43" s="23">
        <f>(COUNTIF('2S EXPRESS'!$A$7:$A$50,KIFAITOUT!G43))+(COUNTIF('2 ZT'!$A$7:$A$50,KIFAITOUT!G43))+(COUNTIF('GO TRANSPORT'!$A$7:$A$50,KIFAITOUT!G43))+(COUNTIF('HMZ - KAIS'!$A$7:$A$50,KIFAITOUT!G43))+(COUNTIF('IB TRANSPORT'!$A$7:$A$50,KIFAITOUT!G43))+(COUNTIF(JSL!$A$7:$A$50,KIFAITOUT!G43))+(COUNTIF(KIFAITOUT!$A$7:$A$50,KIFAITOUT!G43))+(COUNTIF('LUXE DRIVE'!$A$7:$A$50,KIFAITOUT!G43))+(COUNTIF(SSN!$A$7:$A$50,KIFAITOUT!G43))+(COUNTIF('W3'!$A$7:$A$50,KIFAITOUT!G43))+(COUNTIF('ATHIS MONS'!$A$7:$A$50,KIFAITOUT!G43))+(COUNTIF('L HAY LES ROSES'!$A$7:$A$50,KIFAITOUT!G43))+(COUNTIF(RUNGIS!$A$7:$A$50,KIFAITOUT!G43))+(COUNTIF(SCEAUX!$A$7:$A$50,KIFAITOUT!G43))+(COUNTIF('INSTANCE C1'!$A$7:$A$50,KIFAITOUT!G43))+(COUNTIF('INSTANCE C2'!$A$7:$A$50,KIFAITOUT!G43))+(COUNTIF(INTERNES!$A$7:$A$50,KIFAITOUT!G43))+(COUNTIF('EN PANNE'!$A$7:$A$50,KIFAITOUT!G43))+(COUNTIF(TJM!$A$7:$A$50,KIFAITOUT!G43))</f>
        <v>0</v>
      </c>
      <c r="J43" s="28">
        <f t="shared" si="4"/>
        <v>0</v>
      </c>
      <c r="K43" s="2"/>
      <c r="L43" s="47"/>
      <c r="S43" s="60">
        <f t="shared" si="1"/>
        <v>0</v>
      </c>
      <c r="T43" s="67">
        <f t="shared" si="2"/>
        <v>0</v>
      </c>
    </row>
    <row r="44" spans="1:20" ht="24.95" customHeight="1" x14ac:dyDescent="0.2">
      <c r="A44" s="20"/>
      <c r="B44" s="23">
        <f>(COUNTIF('2S EXPRESS'!$A$7:$A$50,KIFAITOUT!A44))+(COUNTIF('2 ZT'!$A$7:$A$50,KIFAITOUT!A44))+(COUNTIF('GO TRANSPORT'!$A$7:$A$50,KIFAITOUT!A44))+(COUNTIF('HMZ - KAIS'!$A$7:$A$50,KIFAITOUT!A44))+(COUNTIF('IB TRANSPORT'!$A$7:$A$50,KIFAITOUT!A44))+(COUNTIF(JSL!$A$7:$A$50,KIFAITOUT!A44))+(COUNTIF(KIFAITOUT!$A$7:$A$50,KIFAITOUT!A44))+(COUNTIF('LUXE DRIVE'!$A$7:$A$50,KIFAITOUT!A44))+(COUNTIF(SSN!$A$7:$A$50,KIFAITOUT!A44))+(COUNTIF('W3'!$A$7:$A$50,KIFAITOUT!A44))+(COUNTIF('ATHIS MONS'!$A$7:$A$50,KIFAITOUT!A44))+(COUNTIF('L HAY LES ROSES'!$A$7:$A$50,KIFAITOUT!A44))+(COUNTIF(RUNGIS!$A$7:$A$50,KIFAITOUT!A44))+(COUNTIF(SCEAUX!$A$7:$A$50,KIFAITOUT!A44))+(COUNTIF('INSTANCE C1'!$A$7:$A$50,KIFAITOUT!A44))+(COUNTIF('INSTANCE C2'!$A$7:$A$50,KIFAITOUT!A44))+(COUNTIF(INTERNES!$A$7:$A$50,KIFAITOUT!A44))+(COUNTIF('EN PANNE'!$A$7:$A$50,KIFAITOUT!A44))+(COUNTIF(TJM!$A$7:$A$50,KIFAITOUT!A44))-C44</f>
        <v>0</v>
      </c>
      <c r="C44" s="23">
        <f>(COUNTIF('2S EXPRESS'!$G$7:$G$50,KIFAITOUT!A44))+(COUNTIF('2 ZT'!$G$7:$G$50,KIFAITOUT!A44))+(COUNTIF('GO TRANSPORT'!$G$7:$G$50,KIFAITOUT!A44))+(COUNTIF(KIFAITOUT!$G$7:$G$50,KIFAITOUT!A44))+(COUNTIF('IB TRANSPORT'!$G$7:$G$50,KIFAITOUT!A44))+(COUNTIF(JSL!$G$7:$G$50,KIFAITOUT!A44))+(COUNTIF(KIFAITOUT!$G$7:$G$50,KIFAITOUT!A44))+(COUNTIF('LUXE DRIVE'!$G$7:$G$50,KIFAITOUT!A44))+(COUNTIF(SSN!$G$7:$G$50,KIFAITOUT!A44))+(COUNTIF('W3'!$G$7:$G$50,KIFAITOUT!A44))+(COUNTIF('ATHIS MONS'!$G$7:$G$50,KIFAITOUT!A44))+(COUNTIF('L HAY LES ROSES'!$G$7:$G$50,KIFAITOUT!A44))+(COUNTIF(RUNGIS!$G$7:$G$50,KIFAITOUT!A44))+(COUNTIF(SCEAUX!$G$7:$G$50,KIFAITOUT!A44))+(COUNTIF('INSTANCE C1'!$G$7:$G$50,KIFAITOUT!A44))+(COUNTIF('INSTANCE C2'!$G$7:$G$50,KIFAITOUT!A44))+(COUNTIF(INTERNES!$G$7:$G$50,KIFAITOUT!A44))+(COUNTIF('EN PANNE'!$G$7:$G$50,KIFAITOUT!A44))+(COUNTIF(TJM!$G$7:$G$50,KIFAITOUT!A44))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EXPRESS'!$G$7:$G$50,KIFAITOUT!G44))+(COUNTIF('2 ZT'!$G$7:$G$50,KIFAITOUT!G44))+(COUNTIF('GO TRANSPORT'!$G$7:$G$50,KIFAITOUT!G44))+(COUNTIF('HMZ - KAIS'!$G$7:$G$50,KIFAITOUT!G44))+(COUNTIF('IB TRANSPORT'!$G$7:$G$50,KIFAITOUT!G44))+(COUNTIF(JSL!$G$7:$G$50,KIFAITOUT!G44))+(COUNTIF(KIFAITOUT!$G$7:$G$50,KIFAITOUT!G44))+(COUNTIF('LUXE DRIVE'!$G$7:$G$50,KIFAITOUT!G44))+(COUNTIF(SSN!$G$7:$G$50,KIFAITOUT!G44))+(COUNTIF('W3'!$G$7:$G$50,KIFAITOUT!G44))+(COUNTIF('ATHIS MONS'!$G$7:$G$50,KIFAITOUT!G44))+(COUNTIF('L HAY LES ROSES'!$G$7:$G$50,KIFAITOUT!G44))+(COUNTIF(RUNGIS!$G$7:$G$50,KIFAITOUT!G44))+(COUNTIF(SCEAUX!$G$7:$G$50,KIFAITOUT!G44))+(COUNTIF('INSTANCE C1'!$G$7:$G$50,KIFAITOUT!G44))+(COUNTIF('INSTANCE C2'!$G$7:$G$50,KIFAITOUT!G44))+(COUNTIF(INTERNES!$G$7:$G$50,KIFAITOUT!G44))+(COUNTIF('EN PANNE'!$G$7:$G$50,KIFAITOUT!G44))+(COUNTIF(TJM!$G$7:$G$50,KIFAITOUT!G44))-I44</f>
        <v>0</v>
      </c>
      <c r="I44" s="23">
        <f>(COUNTIF('2S EXPRESS'!$A$7:$A$50,KIFAITOUT!G44))+(COUNTIF('2 ZT'!$A$7:$A$50,KIFAITOUT!G44))+(COUNTIF('GO TRANSPORT'!$A$7:$A$50,KIFAITOUT!G44))+(COUNTIF('HMZ - KAIS'!$A$7:$A$50,KIFAITOUT!G44))+(COUNTIF('IB TRANSPORT'!$A$7:$A$50,KIFAITOUT!G44))+(COUNTIF(JSL!$A$7:$A$50,KIFAITOUT!G44))+(COUNTIF(KIFAITOUT!$A$7:$A$50,KIFAITOUT!G44))+(COUNTIF('LUXE DRIVE'!$A$7:$A$50,KIFAITOUT!G44))+(COUNTIF(SSN!$A$7:$A$50,KIFAITOUT!G44))+(COUNTIF('W3'!$A$7:$A$50,KIFAITOUT!G44))+(COUNTIF('ATHIS MONS'!$A$7:$A$50,KIFAITOUT!G44))+(COUNTIF('L HAY LES ROSES'!$A$7:$A$50,KIFAITOUT!G44))+(COUNTIF(RUNGIS!$A$7:$A$50,KIFAITOUT!G44))+(COUNTIF(SCEAUX!$A$7:$A$50,KIFAITOUT!G44))+(COUNTIF('INSTANCE C1'!$A$7:$A$50,KIFAITOUT!G44))+(COUNTIF('INSTANCE C2'!$A$7:$A$50,KIFAITOUT!G44))+(COUNTIF(INTERNES!$A$7:$A$50,KIFAITOUT!G44))+(COUNTIF('EN PANNE'!$A$7:$A$50,KIFAITOUT!G44))+(COUNTIF(TJM!$A$7:$A$50,KIFAITOUT!G44))</f>
        <v>0</v>
      </c>
      <c r="J44" s="28">
        <f t="shared" si="4"/>
        <v>0</v>
      </c>
      <c r="K44" s="2"/>
      <c r="L44" s="47"/>
      <c r="S44" s="60">
        <f t="shared" si="1"/>
        <v>0</v>
      </c>
      <c r="T44" s="67">
        <f t="shared" si="2"/>
        <v>0</v>
      </c>
    </row>
    <row r="45" spans="1:20" ht="24.95" customHeight="1" x14ac:dyDescent="0.2">
      <c r="A45" s="20"/>
      <c r="B45" s="23">
        <f>(COUNTIF('2S EXPRESS'!$A$7:$A$50,KIFAITOUT!A45))+(COUNTIF('2 ZT'!$A$7:$A$50,KIFAITOUT!A45))+(COUNTIF('GO TRANSPORT'!$A$7:$A$50,KIFAITOUT!A45))+(COUNTIF('HMZ - KAIS'!$A$7:$A$50,KIFAITOUT!A45))+(COUNTIF('IB TRANSPORT'!$A$7:$A$50,KIFAITOUT!A45))+(COUNTIF(JSL!$A$7:$A$50,KIFAITOUT!A45))+(COUNTIF(KIFAITOUT!$A$7:$A$50,KIFAITOUT!A45))+(COUNTIF('LUXE DRIVE'!$A$7:$A$50,KIFAITOUT!A45))+(COUNTIF(SSN!$A$7:$A$50,KIFAITOUT!A45))+(COUNTIF('W3'!$A$7:$A$50,KIFAITOUT!A45))+(COUNTIF('ATHIS MONS'!$A$7:$A$50,KIFAITOUT!A45))+(COUNTIF('L HAY LES ROSES'!$A$7:$A$50,KIFAITOUT!A45))+(COUNTIF(RUNGIS!$A$7:$A$50,KIFAITOUT!A45))+(COUNTIF(SCEAUX!$A$7:$A$50,KIFAITOUT!A45))+(COUNTIF('INSTANCE C1'!$A$7:$A$50,KIFAITOUT!A45))+(COUNTIF('INSTANCE C2'!$A$7:$A$50,KIFAITOUT!A45))+(COUNTIF(INTERNES!$A$7:$A$50,KIFAITOUT!A45))+(COUNTIF('EN PANNE'!$A$7:$A$50,KIFAITOUT!A45))+(COUNTIF(TJM!$A$7:$A$50,KIFAITOUT!A45))-C45</f>
        <v>0</v>
      </c>
      <c r="C45" s="23">
        <f>(COUNTIF('2S EXPRESS'!$G$7:$G$50,KIFAITOUT!A45))+(COUNTIF('2 ZT'!$G$7:$G$50,KIFAITOUT!A45))+(COUNTIF('GO TRANSPORT'!$G$7:$G$50,KIFAITOUT!A45))+(COUNTIF(KIFAITOUT!$G$7:$G$50,KIFAITOUT!A45))+(COUNTIF('IB TRANSPORT'!$G$7:$G$50,KIFAITOUT!A45))+(COUNTIF(JSL!$G$7:$G$50,KIFAITOUT!A45))+(COUNTIF(KIFAITOUT!$G$7:$G$50,KIFAITOUT!A45))+(COUNTIF('LUXE DRIVE'!$G$7:$G$50,KIFAITOUT!A45))+(COUNTIF(SSN!$G$7:$G$50,KIFAITOUT!A45))+(COUNTIF('W3'!$G$7:$G$50,KIFAITOUT!A45))+(COUNTIF('ATHIS MONS'!$G$7:$G$50,KIFAITOUT!A45))+(COUNTIF('L HAY LES ROSES'!$G$7:$G$50,KIFAITOUT!A45))+(COUNTIF(RUNGIS!$G$7:$G$50,KIFAITOUT!A45))+(COUNTIF(SCEAUX!$G$7:$G$50,KIFAITOUT!A45))+(COUNTIF('INSTANCE C1'!$G$7:$G$50,KIFAITOUT!A45))+(COUNTIF('INSTANCE C2'!$G$7:$G$50,KIFAITOUT!A45))+(COUNTIF(INTERNES!$G$7:$G$50,KIFAITOUT!A45))+(COUNTIF('EN PANNE'!$G$7:$G$50,KIFAITOUT!A45))+(COUNTIF(TJM!$G$7:$G$50,KIFAITOUT!A45))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EXPRESS'!$G$7:$G$50,KIFAITOUT!G45))+(COUNTIF('2 ZT'!$G$7:$G$50,KIFAITOUT!G45))+(COUNTIF('GO TRANSPORT'!$G$7:$G$50,KIFAITOUT!G45))+(COUNTIF('HMZ - KAIS'!$G$7:$G$50,KIFAITOUT!G45))+(COUNTIF('IB TRANSPORT'!$G$7:$G$50,KIFAITOUT!G45))+(COUNTIF(JSL!$G$7:$G$50,KIFAITOUT!G45))+(COUNTIF(KIFAITOUT!$G$7:$G$50,KIFAITOUT!G45))+(COUNTIF('LUXE DRIVE'!$G$7:$G$50,KIFAITOUT!G45))+(COUNTIF(SSN!$G$7:$G$50,KIFAITOUT!G45))+(COUNTIF('W3'!$G$7:$G$50,KIFAITOUT!G45))+(COUNTIF('ATHIS MONS'!$G$7:$G$50,KIFAITOUT!G45))+(COUNTIF('L HAY LES ROSES'!$G$7:$G$50,KIFAITOUT!G45))+(COUNTIF(RUNGIS!$G$7:$G$50,KIFAITOUT!G45))+(COUNTIF(SCEAUX!$G$7:$G$50,KIFAITOUT!G45))+(COUNTIF('INSTANCE C1'!$G$7:$G$50,KIFAITOUT!G45))+(COUNTIF('INSTANCE C2'!$G$7:$G$50,KIFAITOUT!G45))+(COUNTIF(INTERNES!$G$7:$G$50,KIFAITOUT!G45))+(COUNTIF('EN PANNE'!$G$7:$G$50,KIFAITOUT!G45))+(COUNTIF(TJM!$G$7:$G$50,KIFAITOUT!G45))-I45</f>
        <v>0</v>
      </c>
      <c r="I45" s="23">
        <f>(COUNTIF('2S EXPRESS'!$A$7:$A$50,KIFAITOUT!G45))+(COUNTIF('2 ZT'!$A$7:$A$50,KIFAITOUT!G45))+(COUNTIF('GO TRANSPORT'!$A$7:$A$50,KIFAITOUT!G45))+(COUNTIF('HMZ - KAIS'!$A$7:$A$50,KIFAITOUT!G45))+(COUNTIF('IB TRANSPORT'!$A$7:$A$50,KIFAITOUT!G45))+(COUNTIF(JSL!$A$7:$A$50,KIFAITOUT!G45))+(COUNTIF(KIFAITOUT!$A$7:$A$50,KIFAITOUT!G45))+(COUNTIF('LUXE DRIVE'!$A$7:$A$50,KIFAITOUT!G45))+(COUNTIF(SSN!$A$7:$A$50,KIFAITOUT!G45))+(COUNTIF('W3'!$A$7:$A$50,KIFAITOUT!G45))+(COUNTIF('ATHIS MONS'!$A$7:$A$50,KIFAITOUT!G45))+(COUNTIF('L HAY LES ROSES'!$A$7:$A$50,KIFAITOUT!G45))+(COUNTIF(RUNGIS!$A$7:$A$50,KIFAITOUT!G45))+(COUNTIF(SCEAUX!$A$7:$A$50,KIFAITOUT!G45))+(COUNTIF('INSTANCE C1'!$A$7:$A$50,KIFAITOUT!G45))+(COUNTIF('INSTANCE C2'!$A$7:$A$50,KIFAITOUT!G45))+(COUNTIF(INTERNES!$A$7:$A$50,KIFAITOUT!G45))+(COUNTIF('EN PANNE'!$A$7:$A$50,KIFAITOUT!G45))+(COUNTIF(TJM!$A$7:$A$50,KIFAITOUT!G45))</f>
        <v>0</v>
      </c>
      <c r="J45" s="28">
        <f t="shared" si="4"/>
        <v>0</v>
      </c>
      <c r="K45" s="2"/>
      <c r="L45" s="47"/>
      <c r="S45" s="60">
        <f t="shared" si="1"/>
        <v>0</v>
      </c>
      <c r="T45" s="67">
        <f t="shared" si="2"/>
        <v>0</v>
      </c>
    </row>
    <row r="46" spans="1:20" ht="24.95" customHeight="1" x14ac:dyDescent="0.2">
      <c r="A46" s="20"/>
      <c r="B46" s="23">
        <f>(COUNTIF('2S EXPRESS'!$A$7:$A$50,KIFAITOUT!A46))+(COUNTIF('2 ZT'!$A$7:$A$50,KIFAITOUT!A46))+(COUNTIF('GO TRANSPORT'!$A$7:$A$50,KIFAITOUT!A46))+(COUNTIF('HMZ - KAIS'!$A$7:$A$50,KIFAITOUT!A46))+(COUNTIF('IB TRANSPORT'!$A$7:$A$50,KIFAITOUT!A46))+(COUNTIF(JSL!$A$7:$A$50,KIFAITOUT!A46))+(COUNTIF(KIFAITOUT!$A$7:$A$50,KIFAITOUT!A46))+(COUNTIF('LUXE DRIVE'!$A$7:$A$50,KIFAITOUT!A46))+(COUNTIF(SSN!$A$7:$A$50,KIFAITOUT!A46))+(COUNTIF('W3'!$A$7:$A$50,KIFAITOUT!A46))+(COUNTIF('ATHIS MONS'!$A$7:$A$50,KIFAITOUT!A46))+(COUNTIF('L HAY LES ROSES'!$A$7:$A$50,KIFAITOUT!A46))+(COUNTIF(RUNGIS!$A$7:$A$50,KIFAITOUT!A46))+(COUNTIF(SCEAUX!$A$7:$A$50,KIFAITOUT!A46))+(COUNTIF('INSTANCE C1'!$A$7:$A$50,KIFAITOUT!A46))+(COUNTIF('INSTANCE C2'!$A$7:$A$50,KIFAITOUT!A46))+(COUNTIF(INTERNES!$A$7:$A$50,KIFAITOUT!A46))+(COUNTIF('EN PANNE'!$A$7:$A$50,KIFAITOUT!A46))+(COUNTIF(TJM!$A$7:$A$50,KIFAITOUT!A46))-C46</f>
        <v>0</v>
      </c>
      <c r="C46" s="23">
        <f>(COUNTIF('2S EXPRESS'!$G$7:$G$50,KIFAITOUT!A46))+(COUNTIF('2 ZT'!$G$7:$G$50,KIFAITOUT!A46))+(COUNTIF('GO TRANSPORT'!$G$7:$G$50,KIFAITOUT!A46))+(COUNTIF(KIFAITOUT!$G$7:$G$50,KIFAITOUT!A46))+(COUNTIF('IB TRANSPORT'!$G$7:$G$50,KIFAITOUT!A46))+(COUNTIF(JSL!$G$7:$G$50,KIFAITOUT!A46))+(COUNTIF(KIFAITOUT!$G$7:$G$50,KIFAITOUT!A46))+(COUNTIF('LUXE DRIVE'!$G$7:$G$50,KIFAITOUT!A46))+(COUNTIF(SSN!$G$7:$G$50,KIFAITOUT!A46))+(COUNTIF('W3'!$G$7:$G$50,KIFAITOUT!A46))+(COUNTIF('ATHIS MONS'!$G$7:$G$50,KIFAITOUT!A46))+(COUNTIF('L HAY LES ROSES'!$G$7:$G$50,KIFAITOUT!A46))+(COUNTIF(RUNGIS!$G$7:$G$50,KIFAITOUT!A46))+(COUNTIF(SCEAUX!$G$7:$G$50,KIFAITOUT!A46))+(COUNTIF('INSTANCE C1'!$G$7:$G$50,KIFAITOUT!A46))+(COUNTIF('INSTANCE C2'!$G$7:$G$50,KIFAITOUT!A46))+(COUNTIF(INTERNES!$G$7:$G$50,KIFAITOUT!A46))+(COUNTIF('EN PANNE'!$G$7:$G$50,KIFAITOUT!A46))+(COUNTIF(TJM!$G$7:$G$50,KIFAITOUT!A46))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EXPRESS'!$G$7:$G$50,KIFAITOUT!G46))+(COUNTIF('2 ZT'!$G$7:$G$50,KIFAITOUT!G46))+(COUNTIF('GO TRANSPORT'!$G$7:$G$50,KIFAITOUT!G46))+(COUNTIF('HMZ - KAIS'!$G$7:$G$50,KIFAITOUT!G46))+(COUNTIF('IB TRANSPORT'!$G$7:$G$50,KIFAITOUT!G46))+(COUNTIF(JSL!$G$7:$G$50,KIFAITOUT!G46))+(COUNTIF(KIFAITOUT!$G$7:$G$50,KIFAITOUT!G46))+(COUNTIF('LUXE DRIVE'!$G$7:$G$50,KIFAITOUT!G46))+(COUNTIF(SSN!$G$7:$G$50,KIFAITOUT!G46))+(COUNTIF('W3'!$G$7:$G$50,KIFAITOUT!G46))+(COUNTIF('ATHIS MONS'!$G$7:$G$50,KIFAITOUT!G46))+(COUNTIF('L HAY LES ROSES'!$G$7:$G$50,KIFAITOUT!G46))+(COUNTIF(RUNGIS!$G$7:$G$50,KIFAITOUT!G46))+(COUNTIF(SCEAUX!$G$7:$G$50,KIFAITOUT!G46))+(COUNTIF('INSTANCE C1'!$G$7:$G$50,KIFAITOUT!G46))+(COUNTIF('INSTANCE C2'!$G$7:$G$50,KIFAITOUT!G46))+(COUNTIF(INTERNES!$G$7:$G$50,KIFAITOUT!G46))+(COUNTIF('EN PANNE'!$G$7:$G$50,KIFAITOUT!G46))+(COUNTIF(TJM!$G$7:$G$50,KIFAITOUT!G46))-I46</f>
        <v>0</v>
      </c>
      <c r="I46" s="23">
        <f>(COUNTIF('2S EXPRESS'!$A$7:$A$50,KIFAITOUT!G46))+(COUNTIF('2 ZT'!$A$7:$A$50,KIFAITOUT!G46))+(COUNTIF('GO TRANSPORT'!$A$7:$A$50,KIFAITOUT!G46))+(COUNTIF('HMZ - KAIS'!$A$7:$A$50,KIFAITOUT!G46))+(COUNTIF('IB TRANSPORT'!$A$7:$A$50,KIFAITOUT!G46))+(COUNTIF(JSL!$A$7:$A$50,KIFAITOUT!G46))+(COUNTIF(KIFAITOUT!$A$7:$A$50,KIFAITOUT!G46))+(COUNTIF('LUXE DRIVE'!$A$7:$A$50,KIFAITOUT!G46))+(COUNTIF(SSN!$A$7:$A$50,KIFAITOUT!G46))+(COUNTIF('W3'!$A$7:$A$50,KIFAITOUT!G46))+(COUNTIF('ATHIS MONS'!$A$7:$A$50,KIFAITOUT!G46))+(COUNTIF('L HAY LES ROSES'!$A$7:$A$50,KIFAITOUT!G46))+(COUNTIF(RUNGIS!$A$7:$A$50,KIFAITOUT!G46))+(COUNTIF(SCEAUX!$A$7:$A$50,KIFAITOUT!G46))+(COUNTIF('INSTANCE C1'!$A$7:$A$50,KIFAITOUT!G46))+(COUNTIF('INSTANCE C2'!$A$7:$A$50,KIFAITOUT!G46))+(COUNTIF(INTERNES!$A$7:$A$50,KIFAITOUT!G46))+(COUNTIF('EN PANNE'!$A$7:$A$50,KIFAITOUT!G46))+(COUNTIF(TJM!$A$7:$A$50,KIFAITOUT!G46))</f>
        <v>0</v>
      </c>
      <c r="J46" s="28">
        <f t="shared" si="4"/>
        <v>0</v>
      </c>
      <c r="K46" s="2"/>
      <c r="L46" s="47"/>
      <c r="S46" s="60">
        <f t="shared" si="1"/>
        <v>0</v>
      </c>
      <c r="T46" s="67">
        <f t="shared" si="2"/>
        <v>0</v>
      </c>
    </row>
    <row r="47" spans="1:20" ht="24.95" customHeight="1" x14ac:dyDescent="0.2">
      <c r="A47" s="20"/>
      <c r="B47" s="23">
        <f>(COUNTIF('2S EXPRESS'!$A$7:$A$50,KIFAITOUT!A47))+(COUNTIF('2 ZT'!$A$7:$A$50,KIFAITOUT!A47))+(COUNTIF('GO TRANSPORT'!$A$7:$A$50,KIFAITOUT!A47))+(COUNTIF('HMZ - KAIS'!$A$7:$A$50,KIFAITOUT!A47))+(COUNTIF('IB TRANSPORT'!$A$7:$A$50,KIFAITOUT!A47))+(COUNTIF(JSL!$A$7:$A$50,KIFAITOUT!A47))+(COUNTIF(KIFAITOUT!$A$7:$A$50,KIFAITOUT!A47))+(COUNTIF('LUXE DRIVE'!$A$7:$A$50,KIFAITOUT!A47))+(COUNTIF(SSN!$A$7:$A$50,KIFAITOUT!A47))+(COUNTIF('W3'!$A$7:$A$50,KIFAITOUT!A47))+(COUNTIF('ATHIS MONS'!$A$7:$A$50,KIFAITOUT!A47))+(COUNTIF('L HAY LES ROSES'!$A$7:$A$50,KIFAITOUT!A47))+(COUNTIF(RUNGIS!$A$7:$A$50,KIFAITOUT!A47))+(COUNTIF(SCEAUX!$A$7:$A$50,KIFAITOUT!A47))+(COUNTIF('INSTANCE C1'!$A$7:$A$50,KIFAITOUT!A47))+(COUNTIF('INSTANCE C2'!$A$7:$A$50,KIFAITOUT!A47))+(COUNTIF(INTERNES!$A$7:$A$50,KIFAITOUT!A47))+(COUNTIF('EN PANNE'!$A$7:$A$50,KIFAITOUT!A47))+(COUNTIF(TJM!$A$7:$A$50,KIFAITOUT!A47))-C47</f>
        <v>0</v>
      </c>
      <c r="C47" s="23">
        <f>(COUNTIF('2S EXPRESS'!$G$7:$G$50,KIFAITOUT!A47))+(COUNTIF('2 ZT'!$G$7:$G$50,KIFAITOUT!A47))+(COUNTIF('GO TRANSPORT'!$G$7:$G$50,KIFAITOUT!A47))+(COUNTIF(KIFAITOUT!$G$7:$G$50,KIFAITOUT!A47))+(COUNTIF('IB TRANSPORT'!$G$7:$G$50,KIFAITOUT!A47))+(COUNTIF(JSL!$G$7:$G$50,KIFAITOUT!A47))+(COUNTIF(KIFAITOUT!$G$7:$G$50,KIFAITOUT!A47))+(COUNTIF('LUXE DRIVE'!$G$7:$G$50,KIFAITOUT!A47))+(COUNTIF(SSN!$G$7:$G$50,KIFAITOUT!A47))+(COUNTIF('W3'!$G$7:$G$50,KIFAITOUT!A47))+(COUNTIF('ATHIS MONS'!$G$7:$G$50,KIFAITOUT!A47))+(COUNTIF('L HAY LES ROSES'!$G$7:$G$50,KIFAITOUT!A47))+(COUNTIF(RUNGIS!$G$7:$G$50,KIFAITOUT!A47))+(COUNTIF(SCEAUX!$G$7:$G$50,KIFAITOUT!A47))+(COUNTIF('INSTANCE C1'!$G$7:$G$50,KIFAITOUT!A47))+(COUNTIF('INSTANCE C2'!$G$7:$G$50,KIFAITOUT!A47))+(COUNTIF(INTERNES!$G$7:$G$50,KIFAITOUT!A47))+(COUNTIF('EN PANNE'!$G$7:$G$50,KIFAITOUT!A47))+(COUNTIF(TJM!$G$7:$G$50,KIFAITOUT!A47))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EXPRESS'!$G$7:$G$50,KIFAITOUT!G47))+(COUNTIF('2 ZT'!$G$7:$G$50,KIFAITOUT!G47))+(COUNTIF('GO TRANSPORT'!$G$7:$G$50,KIFAITOUT!G47))+(COUNTIF('HMZ - KAIS'!$G$7:$G$50,KIFAITOUT!G47))+(COUNTIF('IB TRANSPORT'!$G$7:$G$50,KIFAITOUT!G47))+(COUNTIF(JSL!$G$7:$G$50,KIFAITOUT!G47))+(COUNTIF(KIFAITOUT!$G$7:$G$50,KIFAITOUT!G47))+(COUNTIF('LUXE DRIVE'!$G$7:$G$50,KIFAITOUT!G47))+(COUNTIF(SSN!$G$7:$G$50,KIFAITOUT!G47))+(COUNTIF('W3'!$G$7:$G$50,KIFAITOUT!G47))+(COUNTIF('ATHIS MONS'!$G$7:$G$50,KIFAITOUT!G47))+(COUNTIF('L HAY LES ROSES'!$G$7:$G$50,KIFAITOUT!G47))+(COUNTIF(RUNGIS!$G$7:$G$50,KIFAITOUT!G47))+(COUNTIF(SCEAUX!$G$7:$G$50,KIFAITOUT!G47))+(COUNTIF('INSTANCE C1'!$G$7:$G$50,KIFAITOUT!G47))+(COUNTIF('INSTANCE C2'!$G$7:$G$50,KIFAITOUT!G47))+(COUNTIF(INTERNES!$G$7:$G$50,KIFAITOUT!G47))+(COUNTIF('EN PANNE'!$G$7:$G$50,KIFAITOUT!G47))+(COUNTIF(TJM!$G$7:$G$50,KIFAITOUT!G47))-I47</f>
        <v>0</v>
      </c>
      <c r="I47" s="23">
        <f>(COUNTIF('2S EXPRESS'!$A$7:$A$50,KIFAITOUT!G47))+(COUNTIF('2 ZT'!$A$7:$A$50,KIFAITOUT!G47))+(COUNTIF('GO TRANSPORT'!$A$7:$A$50,KIFAITOUT!G47))+(COUNTIF('HMZ - KAIS'!$A$7:$A$50,KIFAITOUT!G47))+(COUNTIF('IB TRANSPORT'!$A$7:$A$50,KIFAITOUT!G47))+(COUNTIF(JSL!$A$7:$A$50,KIFAITOUT!G47))+(COUNTIF(KIFAITOUT!$A$7:$A$50,KIFAITOUT!G47))+(COUNTIF('LUXE DRIVE'!$A$7:$A$50,KIFAITOUT!G47))+(COUNTIF(SSN!$A$7:$A$50,KIFAITOUT!G47))+(COUNTIF('W3'!$A$7:$A$50,KIFAITOUT!G47))+(COUNTIF('ATHIS MONS'!$A$7:$A$50,KIFAITOUT!G47))+(COUNTIF('L HAY LES ROSES'!$A$7:$A$50,KIFAITOUT!G47))+(COUNTIF(RUNGIS!$A$7:$A$50,KIFAITOUT!G47))+(COUNTIF(SCEAUX!$A$7:$A$50,KIFAITOUT!G47))+(COUNTIF('INSTANCE C1'!$A$7:$A$50,KIFAITOUT!G47))+(COUNTIF('INSTANCE C2'!$A$7:$A$50,KIFAITOUT!G47))+(COUNTIF(INTERNES!$A$7:$A$50,KIFAITOUT!G47))+(COUNTIF('EN PANNE'!$A$7:$A$50,KIFAITOUT!G47))+(COUNTIF(TJM!$A$7:$A$50,KIFAITOUT!G47))</f>
        <v>0</v>
      </c>
      <c r="J47" s="28">
        <f t="shared" si="4"/>
        <v>0</v>
      </c>
      <c r="K47" s="2"/>
      <c r="L47" s="47"/>
      <c r="S47" s="60">
        <f t="shared" si="1"/>
        <v>0</v>
      </c>
      <c r="T47" s="67">
        <f t="shared" si="2"/>
        <v>0</v>
      </c>
    </row>
    <row r="48" spans="1:20" ht="24.95" customHeight="1" x14ac:dyDescent="0.2">
      <c r="A48" s="20"/>
      <c r="B48" s="23">
        <f>(COUNTIF('2S EXPRESS'!$A$7:$A$50,KIFAITOUT!A48))+(COUNTIF('2 ZT'!$A$7:$A$50,KIFAITOUT!A48))+(COUNTIF('GO TRANSPORT'!$A$7:$A$50,KIFAITOUT!A48))+(COUNTIF('HMZ - KAIS'!$A$7:$A$50,KIFAITOUT!A48))+(COUNTIF('IB TRANSPORT'!$A$7:$A$50,KIFAITOUT!A48))+(COUNTIF(JSL!$A$7:$A$50,KIFAITOUT!A48))+(COUNTIF(KIFAITOUT!$A$7:$A$50,KIFAITOUT!A48))+(COUNTIF('LUXE DRIVE'!$A$7:$A$50,KIFAITOUT!A48))+(COUNTIF(SSN!$A$7:$A$50,KIFAITOUT!A48))+(COUNTIF('W3'!$A$7:$A$50,KIFAITOUT!A48))+(COUNTIF('ATHIS MONS'!$A$7:$A$50,KIFAITOUT!A48))+(COUNTIF('L HAY LES ROSES'!$A$7:$A$50,KIFAITOUT!A48))+(COUNTIF(RUNGIS!$A$7:$A$50,KIFAITOUT!A48))+(COUNTIF(SCEAUX!$A$7:$A$50,KIFAITOUT!A48))+(COUNTIF('INSTANCE C1'!$A$7:$A$50,KIFAITOUT!A48))+(COUNTIF('INSTANCE C2'!$A$7:$A$50,KIFAITOUT!A48))+(COUNTIF(INTERNES!$A$7:$A$50,KIFAITOUT!A48))+(COUNTIF('EN PANNE'!$A$7:$A$50,KIFAITOUT!A48))+(COUNTIF(TJM!$A$7:$A$50,KIFAITOUT!A48))-C48</f>
        <v>0</v>
      </c>
      <c r="C48" s="23">
        <f>(COUNTIF('2S EXPRESS'!$G$7:$G$50,KIFAITOUT!A48))+(COUNTIF('2 ZT'!$G$7:$G$50,KIFAITOUT!A48))+(COUNTIF('GO TRANSPORT'!$G$7:$G$50,KIFAITOUT!A48))+(COUNTIF(KIFAITOUT!$G$7:$G$50,KIFAITOUT!A48))+(COUNTIF('IB TRANSPORT'!$G$7:$G$50,KIFAITOUT!A48))+(COUNTIF(JSL!$G$7:$G$50,KIFAITOUT!A48))+(COUNTIF(KIFAITOUT!$G$7:$G$50,KIFAITOUT!A48))+(COUNTIF('LUXE DRIVE'!$G$7:$G$50,KIFAITOUT!A48))+(COUNTIF(SSN!$G$7:$G$50,KIFAITOUT!A48))+(COUNTIF('W3'!$G$7:$G$50,KIFAITOUT!A48))+(COUNTIF('ATHIS MONS'!$G$7:$G$50,KIFAITOUT!A48))+(COUNTIF('L HAY LES ROSES'!$G$7:$G$50,KIFAITOUT!A48))+(COUNTIF(RUNGIS!$G$7:$G$50,KIFAITOUT!A48))+(COUNTIF(SCEAUX!$G$7:$G$50,KIFAITOUT!A48))+(COUNTIF('INSTANCE C1'!$G$7:$G$50,KIFAITOUT!A48))+(COUNTIF('INSTANCE C2'!$G$7:$G$50,KIFAITOUT!A48))+(COUNTIF(INTERNES!$G$7:$G$50,KIFAITOUT!A48))+(COUNTIF('EN PANNE'!$G$7:$G$50,KIFAITOUT!A48))+(COUNTIF(TJM!$G$7:$G$50,KIFAITOUT!A48))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EXPRESS'!$G$7:$G$50,KIFAITOUT!G48))+(COUNTIF('2 ZT'!$G$7:$G$50,KIFAITOUT!G48))+(COUNTIF('GO TRANSPORT'!$G$7:$G$50,KIFAITOUT!G48))+(COUNTIF('HMZ - KAIS'!$G$7:$G$50,KIFAITOUT!G48))+(COUNTIF('IB TRANSPORT'!$G$7:$G$50,KIFAITOUT!G48))+(COUNTIF(JSL!$G$7:$G$50,KIFAITOUT!G48))+(COUNTIF(KIFAITOUT!$G$7:$G$50,KIFAITOUT!G48))+(COUNTIF('LUXE DRIVE'!$G$7:$G$50,KIFAITOUT!G48))+(COUNTIF(SSN!$G$7:$G$50,KIFAITOUT!G48))+(COUNTIF('W3'!$G$7:$G$50,KIFAITOUT!G48))+(COUNTIF('ATHIS MONS'!$G$7:$G$50,KIFAITOUT!G48))+(COUNTIF('L HAY LES ROSES'!$G$7:$G$50,KIFAITOUT!G48))+(COUNTIF(RUNGIS!$G$7:$G$50,KIFAITOUT!G48))+(COUNTIF(SCEAUX!$G$7:$G$50,KIFAITOUT!G48))+(COUNTIF('INSTANCE C1'!$G$7:$G$50,KIFAITOUT!G48))+(COUNTIF('INSTANCE C2'!$G$7:$G$50,KIFAITOUT!G48))+(COUNTIF(INTERNES!$G$7:$G$50,KIFAITOUT!G48))+(COUNTIF('EN PANNE'!$G$7:$G$50,KIFAITOUT!G48))+(COUNTIF(TJM!$G$7:$G$50,KIFAITOUT!G48))-I48</f>
        <v>0</v>
      </c>
      <c r="I48" s="23">
        <f>(COUNTIF('2S EXPRESS'!$A$7:$A$50,KIFAITOUT!G48))+(COUNTIF('2 ZT'!$A$7:$A$50,KIFAITOUT!G48))+(COUNTIF('GO TRANSPORT'!$A$7:$A$50,KIFAITOUT!G48))+(COUNTIF('HMZ - KAIS'!$A$7:$A$50,KIFAITOUT!G48))+(COUNTIF('IB TRANSPORT'!$A$7:$A$50,KIFAITOUT!G48))+(COUNTIF(JSL!$A$7:$A$50,KIFAITOUT!G48))+(COUNTIF(KIFAITOUT!$A$7:$A$50,KIFAITOUT!G48))+(COUNTIF('LUXE DRIVE'!$A$7:$A$50,KIFAITOUT!G48))+(COUNTIF(SSN!$A$7:$A$50,KIFAITOUT!G48))+(COUNTIF('W3'!$A$7:$A$50,KIFAITOUT!G48))+(COUNTIF('ATHIS MONS'!$A$7:$A$50,KIFAITOUT!G48))+(COUNTIF('L HAY LES ROSES'!$A$7:$A$50,KIFAITOUT!G48))+(COUNTIF(RUNGIS!$A$7:$A$50,KIFAITOUT!G48))+(COUNTIF(SCEAUX!$A$7:$A$50,KIFAITOUT!G48))+(COUNTIF('INSTANCE C1'!$A$7:$A$50,KIFAITOUT!G48))+(COUNTIF('INSTANCE C2'!$A$7:$A$50,KIFAITOUT!G48))+(COUNTIF(INTERNES!$A$7:$A$50,KIFAITOUT!G48))+(COUNTIF('EN PANNE'!$A$7:$A$50,KIFAITOUT!G48))+(COUNTIF(TJM!$A$7:$A$50,KIFAITOUT!G48))</f>
        <v>0</v>
      </c>
      <c r="J48" s="28">
        <f t="shared" si="4"/>
        <v>0</v>
      </c>
      <c r="K48" s="2"/>
      <c r="L48" s="47"/>
      <c r="S48" s="60">
        <f t="shared" si="1"/>
        <v>0</v>
      </c>
      <c r="T48" s="67">
        <f t="shared" si="2"/>
        <v>0</v>
      </c>
    </row>
    <row r="49" spans="1:20" ht="24.95" customHeight="1" x14ac:dyDescent="0.2">
      <c r="A49" s="20"/>
      <c r="B49" s="23">
        <f>(COUNTIF('2S EXPRESS'!$A$7:$A$50,KIFAITOUT!A49))+(COUNTIF('2 ZT'!$A$7:$A$50,KIFAITOUT!A49))+(COUNTIF('GO TRANSPORT'!$A$7:$A$50,KIFAITOUT!A49))+(COUNTIF('HMZ - KAIS'!$A$7:$A$50,KIFAITOUT!A49))+(COUNTIF('IB TRANSPORT'!$A$7:$A$50,KIFAITOUT!A49))+(COUNTIF(JSL!$A$7:$A$50,KIFAITOUT!A49))+(COUNTIF(KIFAITOUT!$A$7:$A$50,KIFAITOUT!A49))+(COUNTIF('LUXE DRIVE'!$A$7:$A$50,KIFAITOUT!A49))+(COUNTIF(SSN!$A$7:$A$50,KIFAITOUT!A49))+(COUNTIF('W3'!$A$7:$A$50,KIFAITOUT!A49))+(COUNTIF('ATHIS MONS'!$A$7:$A$50,KIFAITOUT!A49))+(COUNTIF('L HAY LES ROSES'!$A$7:$A$50,KIFAITOUT!A49))+(COUNTIF(RUNGIS!$A$7:$A$50,KIFAITOUT!A49))+(COUNTIF(SCEAUX!$A$7:$A$50,KIFAITOUT!A49))+(COUNTIF('INSTANCE C1'!$A$7:$A$50,KIFAITOUT!A49))+(COUNTIF('INSTANCE C2'!$A$7:$A$50,KIFAITOUT!A49))+(COUNTIF(INTERNES!$A$7:$A$50,KIFAITOUT!A49))+(COUNTIF('EN PANNE'!$A$7:$A$50,KIFAITOUT!A49))+(COUNTIF(TJM!$A$7:$A$50,KIFAITOUT!A49))-C49</f>
        <v>0</v>
      </c>
      <c r="C49" s="23">
        <f>(COUNTIF('2S EXPRESS'!$G$7:$G$50,KIFAITOUT!A49))+(COUNTIF('2 ZT'!$G$7:$G$50,KIFAITOUT!A49))+(COUNTIF('GO TRANSPORT'!$G$7:$G$50,KIFAITOUT!A49))+(COUNTIF(KIFAITOUT!$G$7:$G$50,KIFAITOUT!A49))+(COUNTIF('IB TRANSPORT'!$G$7:$G$50,KIFAITOUT!A49))+(COUNTIF(JSL!$G$7:$G$50,KIFAITOUT!A49))+(COUNTIF(KIFAITOUT!$G$7:$G$50,KIFAITOUT!A49))+(COUNTIF('LUXE DRIVE'!$G$7:$G$50,KIFAITOUT!A49))+(COUNTIF(SSN!$G$7:$G$50,KIFAITOUT!A49))+(COUNTIF('W3'!$G$7:$G$50,KIFAITOUT!A49))+(COUNTIF('ATHIS MONS'!$G$7:$G$50,KIFAITOUT!A49))+(COUNTIF('L HAY LES ROSES'!$G$7:$G$50,KIFAITOUT!A49))+(COUNTIF(RUNGIS!$G$7:$G$50,KIFAITOUT!A49))+(COUNTIF(SCEAUX!$G$7:$G$50,KIFAITOUT!A49))+(COUNTIF('INSTANCE C1'!$G$7:$G$50,KIFAITOUT!A49))+(COUNTIF('INSTANCE C2'!$G$7:$G$50,KIFAITOUT!A49))+(COUNTIF(INTERNES!$G$7:$G$50,KIFAITOUT!A49))+(COUNTIF('EN PANNE'!$G$7:$G$50,KIFAITOUT!A49))+(COUNTIF(TJM!$G$7:$G$50,KIFAITOUT!A49))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EXPRESS'!$G$7:$G$50,KIFAITOUT!G49))+(COUNTIF('2 ZT'!$G$7:$G$50,KIFAITOUT!G49))+(COUNTIF('GO TRANSPORT'!$G$7:$G$50,KIFAITOUT!G49))+(COUNTIF('HMZ - KAIS'!$G$7:$G$50,KIFAITOUT!G49))+(COUNTIF('IB TRANSPORT'!$G$7:$G$50,KIFAITOUT!G49))+(COUNTIF(JSL!$G$7:$G$50,KIFAITOUT!G49))+(COUNTIF(KIFAITOUT!$G$7:$G$50,KIFAITOUT!G49))+(COUNTIF('LUXE DRIVE'!$G$7:$G$50,KIFAITOUT!G49))+(COUNTIF(SSN!$G$7:$G$50,KIFAITOUT!G49))+(COUNTIF('W3'!$G$7:$G$50,KIFAITOUT!G49))+(COUNTIF('ATHIS MONS'!$G$7:$G$50,KIFAITOUT!G49))+(COUNTIF('L HAY LES ROSES'!$G$7:$G$50,KIFAITOUT!G49))+(COUNTIF(RUNGIS!$G$7:$G$50,KIFAITOUT!G49))+(COUNTIF(SCEAUX!$G$7:$G$50,KIFAITOUT!G49))+(COUNTIF('INSTANCE C1'!$G$7:$G$50,KIFAITOUT!G49))+(COUNTIF('INSTANCE C2'!$G$7:$G$50,KIFAITOUT!G49))+(COUNTIF(INTERNES!$G$7:$G$50,KIFAITOUT!G49))+(COUNTIF('EN PANNE'!$G$7:$G$50,KIFAITOUT!G49))+(COUNTIF(TJM!$G$7:$G$50,KIFAITOUT!G49))-I49</f>
        <v>0</v>
      </c>
      <c r="I49" s="23">
        <f>(COUNTIF('2S EXPRESS'!$A$7:$A$50,KIFAITOUT!G49))+(COUNTIF('2 ZT'!$A$7:$A$50,KIFAITOUT!G49))+(COUNTIF('GO TRANSPORT'!$A$7:$A$50,KIFAITOUT!G49))+(COUNTIF('HMZ - KAIS'!$A$7:$A$50,KIFAITOUT!G49))+(COUNTIF('IB TRANSPORT'!$A$7:$A$50,KIFAITOUT!G49))+(COUNTIF(JSL!$A$7:$A$50,KIFAITOUT!G49))+(COUNTIF(KIFAITOUT!$A$7:$A$50,KIFAITOUT!G49))+(COUNTIF('LUXE DRIVE'!$A$7:$A$50,KIFAITOUT!G49))+(COUNTIF(SSN!$A$7:$A$50,KIFAITOUT!G49))+(COUNTIF('W3'!$A$7:$A$50,KIFAITOUT!G49))+(COUNTIF('ATHIS MONS'!$A$7:$A$50,KIFAITOUT!G49))+(COUNTIF('L HAY LES ROSES'!$A$7:$A$50,KIFAITOUT!G49))+(COUNTIF(RUNGIS!$A$7:$A$50,KIFAITOUT!G49))+(COUNTIF(SCEAUX!$A$7:$A$50,KIFAITOUT!G49))+(COUNTIF('INSTANCE C1'!$A$7:$A$50,KIFAITOUT!G49))+(COUNTIF('INSTANCE C2'!$A$7:$A$50,KIFAITOUT!G49))+(COUNTIF(INTERNES!$A$7:$A$50,KIFAITOUT!G49))+(COUNTIF('EN PANNE'!$A$7:$A$50,KIFAITOUT!G49))+(COUNTIF(TJM!$A$7:$A$50,KIFAITOUT!G49))</f>
        <v>0</v>
      </c>
      <c r="J49" s="28">
        <f t="shared" si="4"/>
        <v>0</v>
      </c>
      <c r="K49" s="2"/>
      <c r="L49" s="47"/>
      <c r="S49" s="60">
        <f t="shared" si="1"/>
        <v>0</v>
      </c>
      <c r="T49" s="67">
        <f t="shared" si="2"/>
        <v>0</v>
      </c>
    </row>
    <row r="50" spans="1:20" ht="24.95" customHeight="1" thickBot="1" x14ac:dyDescent="0.25">
      <c r="A50" s="21"/>
      <c r="B50" s="25">
        <f>(COUNTIF('2S EXPRESS'!$A$7:$A$50,KIFAITOUT!A50))+(COUNTIF('2 ZT'!$A$7:$A$50,KIFAITOUT!A50))+(COUNTIF('GO TRANSPORT'!$A$7:$A$50,KIFAITOUT!A50))+(COUNTIF('HMZ - KAIS'!$A$7:$A$50,KIFAITOUT!A50))+(COUNTIF('IB TRANSPORT'!$A$7:$A$50,KIFAITOUT!A50))+(COUNTIF(JSL!$A$7:$A$50,KIFAITOUT!A50))+(COUNTIF(KIFAITOUT!$A$7:$A$50,KIFAITOUT!A50))+(COUNTIF('LUXE DRIVE'!$A$7:$A$50,KIFAITOUT!A50))+(COUNTIF(SSN!$A$7:$A$50,KIFAITOUT!A50))+(COUNTIF('W3'!$A$7:$A$50,KIFAITOUT!A50))+(COUNTIF('ATHIS MONS'!$A$7:$A$50,KIFAITOUT!A50))+(COUNTIF('L HAY LES ROSES'!$A$7:$A$50,KIFAITOUT!A50))+(COUNTIF(RUNGIS!$A$7:$A$50,KIFAITOUT!A50))+(COUNTIF(SCEAUX!$A$7:$A$50,KIFAITOUT!A50))+(COUNTIF('INSTANCE C1'!$A$7:$A$50,KIFAITOUT!A50))+(COUNTIF('INSTANCE C2'!$A$7:$A$50,KIFAITOUT!A50))+(COUNTIF(INTERNES!$A$7:$A$50,KIFAITOUT!A50))+(COUNTIF('EN PANNE'!$A$7:$A$50,KIFAITOUT!A50))+(COUNTIF(TJM!$A$7:$A$50,KIFAITOUT!A50))-C50</f>
        <v>0</v>
      </c>
      <c r="C50" s="23">
        <f>(COUNTIF('2S EXPRESS'!$G$7:$G$50,KIFAITOUT!A50))+(COUNTIF('2 ZT'!$G$7:$G$50,KIFAITOUT!A50))+(COUNTIF('GO TRANSPORT'!$G$7:$G$50,KIFAITOUT!A50))+(COUNTIF(KIFAITOUT!$G$7:$G$50,KIFAITOUT!A50))+(COUNTIF('IB TRANSPORT'!$G$7:$G$50,KIFAITOUT!A50))+(COUNTIF(JSL!$G$7:$G$50,KIFAITOUT!A50))+(COUNTIF(KIFAITOUT!$G$7:$G$50,KIFAITOUT!A50))+(COUNTIF('LUXE DRIVE'!$G$7:$G$50,KIFAITOUT!A50))+(COUNTIF(SSN!$G$7:$G$50,KIFAITOUT!A50))+(COUNTIF('W3'!$G$7:$G$50,KIFAITOUT!A50))+(COUNTIF('ATHIS MONS'!$G$7:$G$50,KIFAITOUT!A50))+(COUNTIF('L HAY LES ROSES'!$G$7:$G$50,KIFAITOUT!A50))+(COUNTIF(RUNGIS!$G$7:$G$50,KIFAITOUT!A50))+(COUNTIF(SCEAUX!$G$7:$G$50,KIFAITOUT!A50))+(COUNTIF('INSTANCE C1'!$G$7:$G$50,KIFAITOUT!A50))+(COUNTIF('INSTANCE C2'!$G$7:$G$50,KIFAITOUT!A50))+(COUNTIF(INTERNES!$G$7:$G$50,KIFAITOUT!A50))+(COUNTIF('EN PANNE'!$G$7:$G$50,KIFAITOUT!A50))+(COUNTIF(TJM!$G$7:$G$50,KIFAITOUT!A50))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EXPRESS'!$G$7:$G$50,KIFAITOUT!G50))+(COUNTIF('2 ZT'!$G$7:$G$50,KIFAITOUT!G50))+(COUNTIF('GO TRANSPORT'!$G$7:$G$50,KIFAITOUT!G50))+(COUNTIF('HMZ - KAIS'!$G$7:$G$50,KIFAITOUT!G50))+(COUNTIF('IB TRANSPORT'!$G$7:$G$50,KIFAITOUT!G50))+(COUNTIF(JSL!$G$7:$G$50,KIFAITOUT!G50))+(COUNTIF(KIFAITOUT!$G$7:$G$50,KIFAITOUT!G50))+(COUNTIF('LUXE DRIVE'!$G$7:$G$50,KIFAITOUT!G50))+(COUNTIF(SSN!$G$7:$G$50,KIFAITOUT!G50))+(COUNTIF('W3'!$G$7:$G$50,KIFAITOUT!G50))+(COUNTIF('ATHIS MONS'!$G$7:$G$50,KIFAITOUT!G50))+(COUNTIF('L HAY LES ROSES'!$G$7:$G$50,KIFAITOUT!G50))+(COUNTIF(RUNGIS!$G$7:$G$50,KIFAITOUT!G50))+(COUNTIF(SCEAUX!$G$7:$G$50,KIFAITOUT!G50))+(COUNTIF('INSTANCE C1'!$G$7:$G$50,KIFAITOUT!G50))+(COUNTIF('INSTANCE C2'!$G$7:$G$50,KIFAITOUT!G50))+(COUNTIF(INTERNES!$G$7:$G$50,KIFAITOUT!G50))+(COUNTIF('EN PANNE'!$G$7:$G$50,KIFAITOUT!G50))+(COUNTIF(TJM!$G$7:$G$50,KIFAITOUT!G50))-I50</f>
        <v>0</v>
      </c>
      <c r="I50" s="25">
        <f>(COUNTIF('2S EXPRESS'!$A$7:$A$50,KIFAITOUT!G50))+(COUNTIF('2 ZT'!$A$7:$A$50,KIFAITOUT!G50))+(COUNTIF('GO TRANSPORT'!$A$7:$A$50,KIFAITOUT!G50))+(COUNTIF('HMZ - KAIS'!$A$7:$A$50,KIFAITOUT!G50))+(COUNTIF('IB TRANSPORT'!$A$7:$A$50,KIFAITOUT!G50))+(COUNTIF(JSL!$A$7:$A$50,KIFAITOUT!G50))+(COUNTIF(KIFAITOUT!$A$7:$A$50,KIFAITOUT!G50))+(COUNTIF('LUXE DRIVE'!$A$7:$A$50,KIFAITOUT!G50))+(COUNTIF(SSN!$A$7:$A$50,KIFAITOUT!G50))+(COUNTIF('W3'!$A$7:$A$50,KIFAITOUT!G50))+(COUNTIF('ATHIS MONS'!$A$7:$A$50,KIFAITOUT!G50))+(COUNTIF('L HAY LES ROSES'!$A$7:$A$50,KIFAITOUT!G50))+(COUNTIF(RUNGIS!$A$7:$A$50,KIFAITOUT!G50))+(COUNTIF(SCEAUX!$A$7:$A$50,KIFAITOUT!G50))+(COUNTIF('INSTANCE C1'!$A$7:$A$50,KIFAITOUT!G50))+(COUNTIF('INSTANCE C2'!$A$7:$A$50,KIFAITOUT!G50))+(COUNTIF(INTERNES!$A$7:$A$50,KIFAITOUT!G50))+(COUNTIF('EN PANNE'!$A$7:$A$50,KIFAITOUT!G50))+(COUNTIF(TJM!$A$7:$A$50,KIFAITOUT!G50))</f>
        <v>0</v>
      </c>
      <c r="J50" s="29">
        <f t="shared" si="4"/>
        <v>0</v>
      </c>
      <c r="K50" s="3"/>
      <c r="L50" s="47"/>
      <c r="S50" s="60">
        <f t="shared" si="1"/>
        <v>0</v>
      </c>
      <c r="T50" s="67">
        <f t="shared" si="2"/>
        <v>0</v>
      </c>
    </row>
    <row r="53" spans="1:20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</row>
  </sheetData>
  <mergeCells count="13">
    <mergeCell ref="M12:P12"/>
    <mergeCell ref="B2:E3"/>
    <mergeCell ref="G2:K3"/>
    <mergeCell ref="A4:E4"/>
    <mergeCell ref="G4:K4"/>
    <mergeCell ref="G5:G6"/>
    <mergeCell ref="K5:K6"/>
    <mergeCell ref="M8:P8"/>
    <mergeCell ref="M9:P9"/>
    <mergeCell ref="M11:P11"/>
    <mergeCell ref="E5:E6"/>
    <mergeCell ref="F5:F6"/>
    <mergeCell ref="A5:A6"/>
  </mergeCells>
  <conditionalFormatting sqref="F7:F50">
    <cfRule type="cellIs" dxfId="131" priority="10" operator="equal">
      <formula>1</formula>
    </cfRule>
  </conditionalFormatting>
  <conditionalFormatting sqref="A7:A50">
    <cfRule type="duplicateValues" dxfId="130" priority="8"/>
  </conditionalFormatting>
  <conditionalFormatting sqref="L7:L50">
    <cfRule type="cellIs" dxfId="129" priority="7" operator="greaterThan">
      <formula>0</formula>
    </cfRule>
  </conditionalFormatting>
  <conditionalFormatting sqref="D7">
    <cfRule type="cellIs" dxfId="128" priority="6" operator="greaterThan">
      <formula>0</formula>
    </cfRule>
  </conditionalFormatting>
  <conditionalFormatting sqref="D8:D50">
    <cfRule type="cellIs" dxfId="127" priority="5" operator="greaterThan">
      <formula>0</formula>
    </cfRule>
  </conditionalFormatting>
  <conditionalFormatting sqref="G7:G50">
    <cfRule type="duplicateValues" dxfId="126" priority="4"/>
  </conditionalFormatting>
  <conditionalFormatting sqref="J7">
    <cfRule type="cellIs" dxfId="125" priority="3" operator="greaterThan">
      <formula>0</formula>
    </cfRule>
  </conditionalFormatting>
  <conditionalFormatting sqref="J8:J50">
    <cfRule type="cellIs" dxfId="124" priority="2" operator="greaterThan">
      <formula>0</formula>
    </cfRule>
  </conditionalFormatting>
  <conditionalFormatting sqref="S7:S50">
    <cfRule type="cellIs" dxfId="123" priority="1" operator="greaterThan">
      <formula>0</formula>
    </cfRule>
  </conditionalFormatting>
  <dataValidations count="1">
    <dataValidation type="list" allowBlank="1" showInputMessage="1" showErrorMessage="1" sqref="K7:K50 E7:E50" xr:uid="{EAABCFA2-57A1-4BCE-A7AE-04D6FF86E2A6}">
      <formula1>$Q$9:$Q$17</formula1>
    </dataValidation>
  </dataValidations>
  <pageMargins left="0.25" right="0.25" top="0.75" bottom="0.75" header="0.3" footer="0.3"/>
  <pageSetup paperSize="9" scale="88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E22E44E4-BC94-4AF4-B8BF-CF728C598404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>
    <tabColor rgb="FF92D050"/>
    <pageSetUpPr fitToPage="1"/>
  </sheetPr>
  <dimension ref="A1:Z53"/>
  <sheetViews>
    <sheetView showGridLines="0" zoomScaleNormal="100" workbookViewId="0">
      <selection activeCell="Q1" sqref="Q1:T1048576"/>
    </sheetView>
  </sheetViews>
  <sheetFormatPr baseColWidth="10" defaultColWidth="11.42578125" defaultRowHeight="12.75" x14ac:dyDescent="0.2"/>
  <cols>
    <col min="1" max="1" width="25.7109375" style="53" customWidth="1"/>
    <col min="2" max="3" width="10.7109375" style="9" hidden="1" customWidth="1"/>
    <col min="4" max="4" width="7.7109375" style="9" customWidth="1"/>
    <col min="5" max="5" width="50.7109375" style="9" customWidth="1"/>
    <col min="6" max="6" width="13.7109375" style="9" customWidth="1"/>
    <col min="7" max="7" width="25.7109375" style="9" customWidth="1"/>
    <col min="8" max="9" width="10.7109375" style="9" hidden="1" customWidth="1"/>
    <col min="10" max="10" width="7.7109375" style="9" customWidth="1"/>
    <col min="11" max="11" width="50.7109375" style="9" customWidth="1"/>
    <col min="12" max="16" width="7.7109375" style="9" customWidth="1"/>
    <col min="17" max="17" width="22.7109375" style="9" hidden="1" customWidth="1"/>
    <col min="18" max="18" width="18.28515625" style="56" hidden="1" customWidth="1"/>
    <col min="19" max="20" width="11.42578125" style="56" hidden="1" customWidth="1"/>
    <col min="21" max="21" width="11.42578125" style="56" customWidth="1"/>
    <col min="22" max="26" width="11.42578125" style="56"/>
    <col min="27" max="16384" width="11.42578125" style="9"/>
  </cols>
  <sheetData>
    <row r="1" spans="1:26" ht="13.5" thickBot="1" x14ac:dyDescent="0.25">
      <c r="A1" s="33"/>
      <c r="B1" s="35"/>
      <c r="C1" s="35"/>
      <c r="D1" s="35"/>
      <c r="E1" s="10"/>
      <c r="F1" s="34"/>
      <c r="I1" s="10"/>
    </row>
    <row r="2" spans="1:26" s="39" customFormat="1" ht="24.95" customHeight="1" x14ac:dyDescent="0.2">
      <c r="A2" s="36"/>
      <c r="B2" s="194" t="s">
        <v>40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1"/>
      <c r="S2" s="71"/>
      <c r="T2" s="71"/>
      <c r="U2" s="71"/>
      <c r="V2" s="71"/>
      <c r="W2" s="71"/>
      <c r="X2" s="71"/>
      <c r="Y2" s="71"/>
      <c r="Z2" s="71"/>
    </row>
    <row r="3" spans="1:26" s="39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1"/>
      <c r="S3" s="71"/>
      <c r="T3" s="71"/>
      <c r="U3" s="71"/>
      <c r="V3" s="71"/>
      <c r="W3" s="71"/>
      <c r="X3" s="71"/>
      <c r="Y3" s="71"/>
      <c r="Z3" s="71"/>
    </row>
    <row r="4" spans="1:26" s="39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1"/>
      <c r="T4" s="71"/>
      <c r="U4" s="71"/>
      <c r="V4" s="71"/>
      <c r="W4" s="71"/>
      <c r="X4" s="71"/>
      <c r="Y4" s="71"/>
      <c r="Z4" s="71"/>
    </row>
    <row r="5" spans="1:26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</row>
    <row r="6" spans="1:26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</row>
    <row r="7" spans="1:26" ht="24.95" customHeight="1" thickBot="1" x14ac:dyDescent="0.25">
      <c r="A7" s="19"/>
      <c r="B7" s="22">
        <f>(COUNTIF('2S EXPRESS'!$A$7:$A$50,'LUXE DRIVE'!A7))+(COUNTIF('2 ZT'!$A$7:$A$50,'LUXE DRIVE'!A7))+(COUNTIF('GO TRANSPORT'!$A$7:$A$50,'LUXE DRIVE'!A7))+(COUNTIF('HMZ - KAIS'!$A$7:$A$50,'LUXE DRIVE'!A7))+(COUNTIF('IB TRANSPORT'!$A$7:$A$50,'LUXE DRIVE'!A7))+(COUNTIF(JSL!$A$7:$A$50,'LUXE DRIVE'!A7))+(COUNTIF(KIFAITOUT!$A$7:$A$50,'LUXE DRIVE'!A7))+(COUNTIF('LUXE DRIVE'!$A$7:$A$50,'LUXE DRIVE'!A7))+(COUNTIF(SSN!$A$7:$A$50,'LUXE DRIVE'!A7))+(COUNTIF('W3'!$A$7:$A$50,'LUXE DRIVE'!A7))+(COUNTIF('ATHIS MONS'!$A$7:$A$50,'LUXE DRIVE'!A7))+(COUNTIF('L HAY LES ROSES'!$A$7:$A$50,'LUXE DRIVE'!A7))+(COUNTIF(RUNGIS!$A$7:$A$50,'LUXE DRIVE'!A7))+(COUNTIF(SCEAUX!$A$7:$A$50,'LUXE DRIVE'!A7))+(COUNTIF('INSTANCE C1'!$A$7:$A$50,'LUXE DRIVE'!A7))+(COUNTIF('INSTANCE C2'!$A$7:$A$50,'LUXE DRIVE'!A7))+(COUNTIF(INTERNES!$A$7:$A$50,'LUXE DRIVE'!A7))+(COUNTIF('EN PANNE'!$A$7:$A$50,'LUXE DRIVE'!A7))-C7</f>
        <v>0</v>
      </c>
      <c r="C7" s="23">
        <f>(COUNTIF('2S EXPRESS'!$G$7:$G$50,'LUXE DRIVE'!A7))+(COUNTIF('2 ZT'!$G$7:$G$50,'LUXE DRIVE'!A7))+(COUNTIF('GO TRANSPORT'!$G$7:$G$50,'LUXE DRIVE'!A7))+(COUNTIF('LUXE DRIVE'!$G$7:$G$50,'LUXE DRIVE'!A7))+(COUNTIF('IB TRANSPORT'!$G$7:$G$50,'LUXE DRIVE'!A7))+(COUNTIF(JSL!$G$7:$G$50,'LUXE DRIVE'!A7))+(COUNTIF(KIFAITOUT!$G$7:$G$50,'LUXE DRIVE'!A7))+(COUNTIF('LUXE DRIVE'!$G$7:$G$50,'LUXE DRIVE'!A7))+(COUNTIF(SSN!$G$7:$G$50,'LUXE DRIVE'!A7))+(COUNTIF('W3'!$G$7:$G$50,'LUXE DRIVE'!A7))+(COUNTIF('ATHIS MONS'!$G$7:$G$50,'LUXE DRIVE'!A7))+(COUNTIF('L HAY LES ROSES'!$G$7:$G$50,'LUXE DRIVE'!A7))+(COUNTIF(RUNGIS!$G$7:$G$50,'LUXE DRIVE'!A7))+(COUNTIF(SCEAUX!$G$7:$G$50,'LUXE DRIVE'!A7))+(COUNTIF('INSTANCE C1'!$G$7:$G$50,'LUXE DRIVE'!A7))+(COUNTIF('INSTANCE C2'!$G$7:$G$50,'LUXE DRIVE'!A7))+(COUNTIF(INTERNES!$G$7:$G$50,'LUXE DRIVE'!A7))+(COUNTIF('EN PANNE'!$G$7:$G$50,'LUXE DRIVE'!A7))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EXPRESS'!$G$7:$G$50,'LUXE DRIVE'!G7))+(COUNTIF('2 ZT'!$G$7:$G$50,'LUXE DRIVE'!G7))+(COUNTIF('GO TRANSPORT'!$G$7:$G$50,'LUXE DRIVE'!G7))+(COUNTIF('HMZ - KAIS'!$G$7:$G$50,'LUXE DRIVE'!G7))+(COUNTIF('IB TRANSPORT'!$G$7:$G$50,'LUXE DRIVE'!G7))+(COUNTIF(JSL!$G$7:$G$50,'LUXE DRIVE'!G7))+(COUNTIF(KIFAITOUT!$G$7:$G$50,'LUXE DRIVE'!G7))+(COUNTIF('LUXE DRIVE'!$G$7:$G$50,'LUXE DRIVE'!G7))+(COUNTIF(SSN!$G$7:$G$50,'LUXE DRIVE'!G7))+(COUNTIF('W3'!$G$7:$G$50,'LUXE DRIVE'!G7))+(COUNTIF('ATHIS MONS'!$G$7:$G$50,'LUXE DRIVE'!G7))+(COUNTIF('L HAY LES ROSES'!$G$7:$G$50,'LUXE DRIVE'!G7))+(COUNTIF(RUNGIS!$G$7:$G$50,'LUXE DRIVE'!G7))+(COUNTIF(SCEAUX!$G$7:$G$50,'LUXE DRIVE'!G7))+(COUNTIF('INSTANCE C1'!$G$7:$G$50,'LUXE DRIVE'!G7))+(COUNTIF('INSTANCE C2'!$G$7:$G$50,'LUXE DRIVE'!G7))+(COUNTIF(INTERNES!$G$7:$G$50,'LUXE DRIVE'!G7))+(COUNTIF('EN PANNE'!$G$7:$G$50,'LUXE DRIVE'!G7))-I7</f>
        <v>0</v>
      </c>
      <c r="I7" s="22">
        <f>(COUNTIF('2S EXPRESS'!$A$7:$A$50,'LUXE DRIVE'!G7))+(COUNTIF('2 ZT'!$A$7:$A$50,'LUXE DRIVE'!G7))+(COUNTIF('GO TRANSPORT'!$A$7:$A$50,'LUXE DRIVE'!G7))+(COUNTIF('HMZ - KAIS'!$A$7:$A$50,'LUXE DRIVE'!G7))+(COUNTIF('IB TRANSPORT'!$A$7:$A$50,'LUXE DRIVE'!G7))+(COUNTIF(JSL!$A$7:$A$50,'LUXE DRIVE'!G7))+(COUNTIF(KIFAITOUT!$A$7:$A$50,'LUXE DRIVE'!G7))+(COUNTIF('LUXE DRIVE'!$A$7:$A$50,'LUXE DRIVE'!G7))+(COUNTIF(SSN!$A$7:$A$50,'LUXE DRIVE'!G7))+(COUNTIF('W3'!$A$7:$A$50,'LUXE DRIVE'!G7))+(COUNTIF('ATHIS MONS'!$A$7:$A$50,'LUXE DRIVE'!G7))+(COUNTIF('L HAY LES ROSES'!$A$7:$A$50,'LUXE DRIVE'!G7))+(COUNTIF(RUNGIS!$A$7:$A$50,'LUXE DRIVE'!G7))+(COUNTIF(SCEAUX!$A$7:$A$50,'LUXE DRIVE'!G7))+(COUNTIF('INSTANCE C1'!$A$7:$A$50,'LUXE DRIVE'!G7))+(COUNTIF('INSTANCE C2'!$A$7:$A$50,'LUXE DRIVE'!G7))+(COUNTIF(INTERNES!$A$7:$A$50,'LUXE DRIVE'!G7))+(COUNTIF('EN PANNE'!$A$7:$A$50,'LUXE DRIVE'!G7))</f>
        <v>0</v>
      </c>
      <c r="J7" s="27">
        <f>IF(H7&gt;=2,1,0)</f>
        <v>0</v>
      </c>
      <c r="K7" s="1"/>
      <c r="L7" s="47"/>
      <c r="M7" s="48"/>
      <c r="O7" s="48"/>
      <c r="P7" s="48"/>
      <c r="Q7" s="48"/>
      <c r="R7" s="50"/>
      <c r="S7" s="60">
        <f t="shared" ref="S7:S50" si="1">COUNTIF($G$7:$G$50,$A7)</f>
        <v>0</v>
      </c>
      <c r="T7" s="67">
        <f t="shared" ref="T7:T50" si="2">IF($S7=1,"",$A7)</f>
        <v>0</v>
      </c>
    </row>
    <row r="8" spans="1:26" ht="24.95" customHeight="1" thickBot="1" x14ac:dyDescent="0.25">
      <c r="A8" s="20"/>
      <c r="B8" s="23">
        <f>(COUNTIF('2S EXPRESS'!$A$7:$A$50,'LUXE DRIVE'!A8))+(COUNTIF('2 ZT'!$A$7:$A$50,'LUXE DRIVE'!A8))+(COUNTIF('GO TRANSPORT'!$A$7:$A$50,'LUXE DRIVE'!A8))+(COUNTIF('HMZ - KAIS'!$A$7:$A$50,'LUXE DRIVE'!A8))+(COUNTIF('IB TRANSPORT'!$A$7:$A$50,'LUXE DRIVE'!A8))+(COUNTIF(JSL!$A$7:$A$50,'LUXE DRIVE'!A8))+(COUNTIF(KIFAITOUT!$A$7:$A$50,'LUXE DRIVE'!A8))+(COUNTIF('LUXE DRIVE'!$A$7:$A$50,'LUXE DRIVE'!A8))+(COUNTIF(SSN!$A$7:$A$50,'LUXE DRIVE'!A8))+(COUNTIF('W3'!$A$7:$A$50,'LUXE DRIVE'!A8))+(COUNTIF('ATHIS MONS'!$A$7:$A$50,'LUXE DRIVE'!A8))+(COUNTIF('L HAY LES ROSES'!$A$7:$A$50,'LUXE DRIVE'!A8))+(COUNTIF(RUNGIS!$A$7:$A$50,'LUXE DRIVE'!A8))+(COUNTIF(SCEAUX!$A$7:$A$50,'LUXE DRIVE'!A8))+(COUNTIF('INSTANCE C1'!$A$7:$A$50,'LUXE DRIVE'!A8))+(COUNTIF('INSTANCE C2'!$A$7:$A$50,'LUXE DRIVE'!A8))+(COUNTIF(INTERNES!$A$7:$A$50,'LUXE DRIVE'!A8))+(COUNTIF('EN PANNE'!$A$7:$A$50,'LUXE DRIVE'!A8))-C8</f>
        <v>0</v>
      </c>
      <c r="C8" s="23">
        <f>(COUNTIF('2S EXPRESS'!$G$7:$G$50,'LUXE DRIVE'!A8))+(COUNTIF('2 ZT'!$G$7:$G$50,'LUXE DRIVE'!A8))+(COUNTIF('GO TRANSPORT'!$G$7:$G$50,'LUXE DRIVE'!A8))+(COUNTIF('LUXE DRIVE'!$G$7:$G$50,'LUXE DRIVE'!A8))+(COUNTIF('IB TRANSPORT'!$G$7:$G$50,'LUXE DRIVE'!A8))+(COUNTIF(JSL!$G$7:$G$50,'LUXE DRIVE'!A8))+(COUNTIF(KIFAITOUT!$G$7:$G$50,'LUXE DRIVE'!A8))+(COUNTIF('LUXE DRIVE'!$G$7:$G$50,'LUXE DRIVE'!A8))+(COUNTIF(SSN!$G$7:$G$50,'LUXE DRIVE'!A8))+(COUNTIF('W3'!$G$7:$G$50,'LUXE DRIVE'!A8))+(COUNTIF('ATHIS MONS'!$G$7:$G$50,'LUXE DRIVE'!A8))+(COUNTIF('L HAY LES ROSES'!$G$7:$G$50,'LUXE DRIVE'!A8))+(COUNTIF(RUNGIS!$G$7:$G$50,'LUXE DRIVE'!A8))+(COUNTIF(SCEAUX!$G$7:$G$50,'LUXE DRIVE'!A8))+(COUNTIF('INSTANCE C1'!$G$7:$G$50,'LUXE DRIVE'!A8))+(COUNTIF('INSTANCE C2'!$G$7:$G$50,'LUXE DRIVE'!A8))+(COUNTIF(INTERNES!$G$7:$G$50,'LUXE DRIVE'!A8))+(COUNTIF('EN PANNE'!$G$7:$G$50,'LUXE DRIVE'!A8))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EXPRESS'!$G$7:$G$50,'LUXE DRIVE'!G8))+(COUNTIF('2 ZT'!$G$7:$G$50,'LUXE DRIVE'!G8))+(COUNTIF('GO TRANSPORT'!$G$7:$G$50,'LUXE DRIVE'!G8))+(COUNTIF('HMZ - KAIS'!$G$7:$G$50,'LUXE DRIVE'!G8))+(COUNTIF('IB TRANSPORT'!$G$7:$G$50,'LUXE DRIVE'!G8))+(COUNTIF(JSL!$G$7:$G$50,'LUXE DRIVE'!G8))+(COUNTIF(KIFAITOUT!$G$7:$G$50,'LUXE DRIVE'!G8))+(COUNTIF('LUXE DRIVE'!$G$7:$G$50,'LUXE DRIVE'!G8))+(COUNTIF(SSN!$G$7:$G$50,'LUXE DRIVE'!G8))+(COUNTIF('W3'!$G$7:$G$50,'LUXE DRIVE'!G8))+(COUNTIF('ATHIS MONS'!$G$7:$G$50,'LUXE DRIVE'!G8))+(COUNTIF('L HAY LES ROSES'!$G$7:$G$50,'LUXE DRIVE'!G8))+(COUNTIF(RUNGIS!$G$7:$G$50,'LUXE DRIVE'!G8))+(COUNTIF(SCEAUX!$G$7:$G$50,'LUXE DRIVE'!G8))+(COUNTIF('INSTANCE C1'!$G$7:$G$50,'LUXE DRIVE'!G8))+(COUNTIF('INSTANCE C2'!$G$7:$G$50,'LUXE DRIVE'!G8))+(COUNTIF(INTERNES!$G$7:$G$50,'LUXE DRIVE'!G8))+(COUNTIF('EN PANNE'!$G$7:$G$50,'LUXE DRIVE'!G8))-I8</f>
        <v>0</v>
      </c>
      <c r="I8" s="23">
        <f>(COUNTIF('2S EXPRESS'!$A$7:$A$50,'LUXE DRIVE'!G8))+(COUNTIF('2 ZT'!$A$7:$A$50,'LUXE DRIVE'!G8))+(COUNTIF('GO TRANSPORT'!$A$7:$A$50,'LUXE DRIVE'!G8))+(COUNTIF('HMZ - KAIS'!$A$7:$A$50,'LUXE DRIVE'!G8))+(COUNTIF('IB TRANSPORT'!$A$7:$A$50,'LUXE DRIVE'!G8))+(COUNTIF(JSL!$A$7:$A$50,'LUXE DRIVE'!G8))+(COUNTIF(KIFAITOUT!$A$7:$A$50,'LUXE DRIVE'!G8))+(COUNTIF('LUXE DRIVE'!$A$7:$A$50,'LUXE DRIVE'!G8))+(COUNTIF(SSN!$A$7:$A$50,'LUXE DRIVE'!G8))+(COUNTIF('W3'!$A$7:$A$50,'LUXE DRIVE'!G8))+(COUNTIF('ATHIS MONS'!$A$7:$A$50,'LUXE DRIVE'!G8))+(COUNTIF('L HAY LES ROSES'!$A$7:$A$50,'LUXE DRIVE'!G8))+(COUNTIF(RUNGIS!$A$7:$A$50,'LUXE DRIVE'!G8))+(COUNTIF(SCEAUX!$A$7:$A$50,'LUXE DRIVE'!G8))+(COUNTIF('INSTANCE C1'!$A$7:$A$50,'LUXE DRIVE'!G8))+(COUNTIF('INSTANCE C2'!$A$7:$A$50,'LUXE DRIVE'!G8))+(COUNTIF(INTERNES!$A$7:$A$50,'LUXE DRIVE'!G8))+(COUNTIF('EN PANNE'!$A$7:$A$50,'LUXE DRIVE'!G8))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50"/>
      <c r="S8" s="60">
        <f t="shared" si="1"/>
        <v>0</v>
      </c>
      <c r="T8" s="67">
        <f t="shared" si="2"/>
        <v>0</v>
      </c>
    </row>
    <row r="9" spans="1:26" ht="24.95" customHeight="1" thickBot="1" x14ac:dyDescent="0.25">
      <c r="A9" s="20"/>
      <c r="B9" s="23">
        <f>(COUNTIF('2S EXPRESS'!$A$7:$A$50,'LUXE DRIVE'!A9))+(COUNTIF('2 ZT'!$A$7:$A$50,'LUXE DRIVE'!A9))+(COUNTIF('GO TRANSPORT'!$A$7:$A$50,'LUXE DRIVE'!A9))+(COUNTIF('HMZ - KAIS'!$A$7:$A$50,'LUXE DRIVE'!A9))+(COUNTIF('IB TRANSPORT'!$A$7:$A$50,'LUXE DRIVE'!A9))+(COUNTIF(JSL!$A$7:$A$50,'LUXE DRIVE'!A9))+(COUNTIF(KIFAITOUT!$A$7:$A$50,'LUXE DRIVE'!A9))+(COUNTIF('LUXE DRIVE'!$A$7:$A$50,'LUXE DRIVE'!A9))+(COUNTIF(SSN!$A$7:$A$50,'LUXE DRIVE'!A9))+(COUNTIF('W3'!$A$7:$A$50,'LUXE DRIVE'!A9))+(COUNTIF('ATHIS MONS'!$A$7:$A$50,'LUXE DRIVE'!A9))+(COUNTIF('L HAY LES ROSES'!$A$7:$A$50,'LUXE DRIVE'!A9))+(COUNTIF(RUNGIS!$A$7:$A$50,'LUXE DRIVE'!A9))+(COUNTIF(SCEAUX!$A$7:$A$50,'LUXE DRIVE'!A9))+(COUNTIF('INSTANCE C1'!$A$7:$A$50,'LUXE DRIVE'!A9))+(COUNTIF('INSTANCE C2'!$A$7:$A$50,'LUXE DRIVE'!A9))+(COUNTIF(INTERNES!$A$7:$A$50,'LUXE DRIVE'!A9))+(COUNTIF('EN PANNE'!$A$7:$A$50,'LUXE DRIVE'!A9))-C9</f>
        <v>0</v>
      </c>
      <c r="C9" s="23">
        <f>(COUNTIF('2S EXPRESS'!$G$7:$G$50,'LUXE DRIVE'!A9))+(COUNTIF('2 ZT'!$G$7:$G$50,'LUXE DRIVE'!A9))+(COUNTIF('GO TRANSPORT'!$G$7:$G$50,'LUXE DRIVE'!A9))+(COUNTIF('LUXE DRIVE'!$G$7:$G$50,'LUXE DRIVE'!A9))+(COUNTIF('IB TRANSPORT'!$G$7:$G$50,'LUXE DRIVE'!A9))+(COUNTIF(JSL!$G$7:$G$50,'LUXE DRIVE'!A9))+(COUNTIF(KIFAITOUT!$G$7:$G$50,'LUXE DRIVE'!A9))+(COUNTIF('LUXE DRIVE'!$G$7:$G$50,'LUXE DRIVE'!A9))+(COUNTIF(SSN!$G$7:$G$50,'LUXE DRIVE'!A9))+(COUNTIF('W3'!$G$7:$G$50,'LUXE DRIVE'!A9))+(COUNTIF('ATHIS MONS'!$G$7:$G$50,'LUXE DRIVE'!A9))+(COUNTIF('L HAY LES ROSES'!$G$7:$G$50,'LUXE DRIVE'!A9))+(COUNTIF(RUNGIS!$G$7:$G$50,'LUXE DRIVE'!A9))+(COUNTIF(SCEAUX!$G$7:$G$50,'LUXE DRIVE'!A9))+(COUNTIF('INSTANCE C1'!$G$7:$G$50,'LUXE DRIVE'!A9))+(COUNTIF('INSTANCE C2'!$G$7:$G$50,'LUXE DRIVE'!A9))+(COUNTIF(INTERNES!$G$7:$G$50,'LUXE DRIVE'!A9))+(COUNTIF('EN PANNE'!$G$7:$G$50,'LUXE DRIVE'!A9))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EXPRESS'!$G$7:$G$50,'LUXE DRIVE'!G9))+(COUNTIF('2 ZT'!$G$7:$G$50,'LUXE DRIVE'!G9))+(COUNTIF('GO TRANSPORT'!$G$7:$G$50,'LUXE DRIVE'!G9))+(COUNTIF('HMZ - KAIS'!$G$7:$G$50,'LUXE DRIVE'!G9))+(COUNTIF('IB TRANSPORT'!$G$7:$G$50,'LUXE DRIVE'!G9))+(COUNTIF(JSL!$G$7:$G$50,'LUXE DRIVE'!G9))+(COUNTIF(KIFAITOUT!$G$7:$G$50,'LUXE DRIVE'!G9))+(COUNTIF('LUXE DRIVE'!$G$7:$G$50,'LUXE DRIVE'!G9))+(COUNTIF(SSN!$G$7:$G$50,'LUXE DRIVE'!G9))+(COUNTIF('W3'!$G$7:$G$50,'LUXE DRIVE'!G9))+(COUNTIF('ATHIS MONS'!$G$7:$G$50,'LUXE DRIVE'!G9))+(COUNTIF('L HAY LES ROSES'!$G$7:$G$50,'LUXE DRIVE'!G9))+(COUNTIF(RUNGIS!$G$7:$G$50,'LUXE DRIVE'!G9))+(COUNTIF(SCEAUX!$G$7:$G$50,'LUXE DRIVE'!G9))+(COUNTIF('INSTANCE C1'!$G$7:$G$50,'LUXE DRIVE'!G9))+(COUNTIF('INSTANCE C2'!$G$7:$G$50,'LUXE DRIVE'!G9))+(COUNTIF(INTERNES!$G$7:$G$50,'LUXE DRIVE'!G9))+(COUNTIF('EN PANNE'!$G$7:$G$50,'LUXE DRIVE'!G9))-I9</f>
        <v>0</v>
      </c>
      <c r="I9" s="23">
        <f>(COUNTIF('2S EXPRESS'!$A$7:$A$50,'LUXE DRIVE'!G9))+(COUNTIF('2 ZT'!$A$7:$A$50,'LUXE DRIVE'!G9))+(COUNTIF('GO TRANSPORT'!$A$7:$A$50,'LUXE DRIVE'!G9))+(COUNTIF('HMZ - KAIS'!$A$7:$A$50,'LUXE DRIVE'!G9))+(COUNTIF('IB TRANSPORT'!$A$7:$A$50,'LUXE DRIVE'!G9))+(COUNTIF(JSL!$A$7:$A$50,'LUXE DRIVE'!G9))+(COUNTIF(KIFAITOUT!$A$7:$A$50,'LUXE DRIVE'!G9))+(COUNTIF('LUXE DRIVE'!$A$7:$A$50,'LUXE DRIVE'!G9))+(COUNTIF(SSN!$A$7:$A$50,'LUXE DRIVE'!G9))+(COUNTIF('W3'!$A$7:$A$50,'LUXE DRIVE'!G9))+(COUNTIF('ATHIS MONS'!$A$7:$A$50,'LUXE DRIVE'!G9))+(COUNTIF('L HAY LES ROSES'!$A$7:$A$50,'LUXE DRIVE'!G9))+(COUNTIF(RUNGIS!$A$7:$A$50,'LUXE DRIVE'!G9))+(COUNTIF(SCEAUX!$A$7:$A$50,'LUXE DRIVE'!G9))+(COUNTIF('INSTANCE C1'!$A$7:$A$50,'LUXE DRIVE'!G9))+(COUNTIF('INSTANCE C2'!$A$7:$A$50,'LUXE DRIVE'!G9))+(COUNTIF(INTERNES!$A$7:$A$50,'LUXE DRIVE'!G9))+(COUNTIF('EN PANNE'!$A$7:$A$50,'LUXE DRIVE'!G9))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50"/>
      <c r="S9" s="60">
        <f t="shared" si="1"/>
        <v>0</v>
      </c>
      <c r="T9" s="67">
        <f t="shared" si="2"/>
        <v>0</v>
      </c>
    </row>
    <row r="10" spans="1:26" ht="24.95" customHeight="1" thickBot="1" x14ac:dyDescent="0.25">
      <c r="A10" s="20"/>
      <c r="B10" s="23">
        <f>(COUNTIF('2S EXPRESS'!$A$7:$A$50,'LUXE DRIVE'!A10))+(COUNTIF('2 ZT'!$A$7:$A$50,'LUXE DRIVE'!A10))+(COUNTIF('GO TRANSPORT'!$A$7:$A$50,'LUXE DRIVE'!A10))+(COUNTIF('HMZ - KAIS'!$A$7:$A$50,'LUXE DRIVE'!A10))+(COUNTIF('IB TRANSPORT'!$A$7:$A$50,'LUXE DRIVE'!A10))+(COUNTIF(JSL!$A$7:$A$50,'LUXE DRIVE'!A10))+(COUNTIF(KIFAITOUT!$A$7:$A$50,'LUXE DRIVE'!A10))+(COUNTIF('LUXE DRIVE'!$A$7:$A$50,'LUXE DRIVE'!A10))+(COUNTIF(SSN!$A$7:$A$50,'LUXE DRIVE'!A10))+(COUNTIF('W3'!$A$7:$A$50,'LUXE DRIVE'!A10))+(COUNTIF('ATHIS MONS'!$A$7:$A$50,'LUXE DRIVE'!A10))+(COUNTIF('L HAY LES ROSES'!$A$7:$A$50,'LUXE DRIVE'!A10))+(COUNTIF(RUNGIS!$A$7:$A$50,'LUXE DRIVE'!A10))+(COUNTIF(SCEAUX!$A$7:$A$50,'LUXE DRIVE'!A10))+(COUNTIF('INSTANCE C1'!$A$7:$A$50,'LUXE DRIVE'!A10))+(COUNTIF('INSTANCE C2'!$A$7:$A$50,'LUXE DRIVE'!A10))+(COUNTIF(INTERNES!$A$7:$A$50,'LUXE DRIVE'!A10))+(COUNTIF('EN PANNE'!$A$7:$A$50,'LUXE DRIVE'!A10))-C10</f>
        <v>0</v>
      </c>
      <c r="C10" s="23">
        <f>(COUNTIF('2S EXPRESS'!$G$7:$G$50,'LUXE DRIVE'!A10))+(COUNTIF('2 ZT'!$G$7:$G$50,'LUXE DRIVE'!A10))+(COUNTIF('GO TRANSPORT'!$G$7:$G$50,'LUXE DRIVE'!A10))+(COUNTIF('LUXE DRIVE'!$G$7:$G$50,'LUXE DRIVE'!A10))+(COUNTIF('IB TRANSPORT'!$G$7:$G$50,'LUXE DRIVE'!A10))+(COUNTIF(JSL!$G$7:$G$50,'LUXE DRIVE'!A10))+(COUNTIF(KIFAITOUT!$G$7:$G$50,'LUXE DRIVE'!A10))+(COUNTIF('LUXE DRIVE'!$G$7:$G$50,'LUXE DRIVE'!A10))+(COUNTIF(SSN!$G$7:$G$50,'LUXE DRIVE'!A10))+(COUNTIF('W3'!$G$7:$G$50,'LUXE DRIVE'!A10))+(COUNTIF('ATHIS MONS'!$G$7:$G$50,'LUXE DRIVE'!A10))+(COUNTIF('L HAY LES ROSES'!$G$7:$G$50,'LUXE DRIVE'!A10))+(COUNTIF(RUNGIS!$G$7:$G$50,'LUXE DRIVE'!A10))+(COUNTIF(SCEAUX!$G$7:$G$50,'LUXE DRIVE'!A10))+(COUNTIF('INSTANCE C1'!$G$7:$G$50,'LUXE DRIVE'!A10))+(COUNTIF('INSTANCE C2'!$G$7:$G$50,'LUXE DRIVE'!A10))+(COUNTIF(INTERNES!$G$7:$G$50,'LUXE DRIVE'!A10))+(COUNTIF('EN PANNE'!$G$7:$G$50,'LUXE DRIVE'!A10))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EXPRESS'!$G$7:$G$50,'LUXE DRIVE'!G10))+(COUNTIF('2 ZT'!$G$7:$G$50,'LUXE DRIVE'!G10))+(COUNTIF('GO TRANSPORT'!$G$7:$G$50,'LUXE DRIVE'!G10))+(COUNTIF('HMZ - KAIS'!$G$7:$G$50,'LUXE DRIVE'!G10))+(COUNTIF('IB TRANSPORT'!$G$7:$G$50,'LUXE DRIVE'!G10))+(COUNTIF(JSL!$G$7:$G$50,'LUXE DRIVE'!G10))+(COUNTIF(KIFAITOUT!$G$7:$G$50,'LUXE DRIVE'!G10))+(COUNTIF('LUXE DRIVE'!$G$7:$G$50,'LUXE DRIVE'!G10))+(COUNTIF(SSN!$G$7:$G$50,'LUXE DRIVE'!G10))+(COUNTIF('W3'!$G$7:$G$50,'LUXE DRIVE'!G10))+(COUNTIF('ATHIS MONS'!$G$7:$G$50,'LUXE DRIVE'!G10))+(COUNTIF('L HAY LES ROSES'!$G$7:$G$50,'LUXE DRIVE'!G10))+(COUNTIF(RUNGIS!$G$7:$G$50,'LUXE DRIVE'!G10))+(COUNTIF(SCEAUX!$G$7:$G$50,'LUXE DRIVE'!G10))+(COUNTIF('INSTANCE C1'!$G$7:$G$50,'LUXE DRIVE'!G10))+(COUNTIF('INSTANCE C2'!$G$7:$G$50,'LUXE DRIVE'!G10))+(COUNTIF(INTERNES!$G$7:$G$50,'LUXE DRIVE'!G10))+(COUNTIF('EN PANNE'!$G$7:$G$50,'LUXE DRIVE'!G10))-I10</f>
        <v>0</v>
      </c>
      <c r="I10" s="23">
        <f>(COUNTIF('2S EXPRESS'!$A$7:$A$50,'LUXE DRIVE'!G10))+(COUNTIF('2 ZT'!$A$7:$A$50,'LUXE DRIVE'!G10))+(COUNTIF('GO TRANSPORT'!$A$7:$A$50,'LUXE DRIVE'!G10))+(COUNTIF('HMZ - KAIS'!$A$7:$A$50,'LUXE DRIVE'!G10))+(COUNTIF('IB TRANSPORT'!$A$7:$A$50,'LUXE DRIVE'!G10))+(COUNTIF(JSL!$A$7:$A$50,'LUXE DRIVE'!G10))+(COUNTIF(KIFAITOUT!$A$7:$A$50,'LUXE DRIVE'!G10))+(COUNTIF('LUXE DRIVE'!$A$7:$A$50,'LUXE DRIVE'!G10))+(COUNTIF(SSN!$A$7:$A$50,'LUXE DRIVE'!G10))+(COUNTIF('W3'!$A$7:$A$50,'LUXE DRIVE'!G10))+(COUNTIF('ATHIS MONS'!$A$7:$A$50,'LUXE DRIVE'!G10))+(COUNTIF('L HAY LES ROSES'!$A$7:$A$50,'LUXE DRIVE'!G10))+(COUNTIF(RUNGIS!$A$7:$A$50,'LUXE DRIVE'!G10))+(COUNTIF(SCEAUX!$A$7:$A$50,'LUXE DRIVE'!G10))+(COUNTIF('INSTANCE C1'!$A$7:$A$50,'LUXE DRIVE'!G10))+(COUNTIF('INSTANCE C2'!$A$7:$A$50,'LUXE DRIVE'!G10))+(COUNTIF(INTERNES!$A$7:$A$50,'LUXE DRIVE'!G10))+(COUNTIF('EN PANNE'!$A$7:$A$50,'LUXE DRIVE'!G10))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R10" s="50"/>
      <c r="S10" s="60">
        <f t="shared" si="1"/>
        <v>0</v>
      </c>
      <c r="T10" s="67">
        <f t="shared" si="2"/>
        <v>0</v>
      </c>
    </row>
    <row r="11" spans="1:26" ht="24.95" customHeight="1" thickBot="1" x14ac:dyDescent="0.25">
      <c r="A11" s="20"/>
      <c r="B11" s="23">
        <f>(COUNTIF('2S EXPRESS'!$A$7:$A$50,'LUXE DRIVE'!A11))+(COUNTIF('2 ZT'!$A$7:$A$50,'LUXE DRIVE'!A11))+(COUNTIF('GO TRANSPORT'!$A$7:$A$50,'LUXE DRIVE'!A11))+(COUNTIF('HMZ - KAIS'!$A$7:$A$50,'LUXE DRIVE'!A11))+(COUNTIF('IB TRANSPORT'!$A$7:$A$50,'LUXE DRIVE'!A11))+(COUNTIF(JSL!$A$7:$A$50,'LUXE DRIVE'!A11))+(COUNTIF(KIFAITOUT!$A$7:$A$50,'LUXE DRIVE'!A11))+(COUNTIF('LUXE DRIVE'!$A$7:$A$50,'LUXE DRIVE'!A11))+(COUNTIF(SSN!$A$7:$A$50,'LUXE DRIVE'!A11))+(COUNTIF('W3'!$A$7:$A$50,'LUXE DRIVE'!A11))+(COUNTIF('ATHIS MONS'!$A$7:$A$50,'LUXE DRIVE'!A11))+(COUNTIF('L HAY LES ROSES'!$A$7:$A$50,'LUXE DRIVE'!A11))+(COUNTIF(RUNGIS!$A$7:$A$50,'LUXE DRIVE'!A11))+(COUNTIF(SCEAUX!$A$7:$A$50,'LUXE DRIVE'!A11))+(COUNTIF('INSTANCE C1'!$A$7:$A$50,'LUXE DRIVE'!A11))+(COUNTIF('INSTANCE C2'!$A$7:$A$50,'LUXE DRIVE'!A11))+(COUNTIF(INTERNES!$A$7:$A$50,'LUXE DRIVE'!A11))+(COUNTIF('EN PANNE'!$A$7:$A$50,'LUXE DRIVE'!A11))-C11</f>
        <v>0</v>
      </c>
      <c r="C11" s="23">
        <f>(COUNTIF('2S EXPRESS'!$G$7:$G$50,'LUXE DRIVE'!A11))+(COUNTIF('2 ZT'!$G$7:$G$50,'LUXE DRIVE'!A11))+(COUNTIF('GO TRANSPORT'!$G$7:$G$50,'LUXE DRIVE'!A11))+(COUNTIF('LUXE DRIVE'!$G$7:$G$50,'LUXE DRIVE'!A11))+(COUNTIF('IB TRANSPORT'!$G$7:$G$50,'LUXE DRIVE'!A11))+(COUNTIF(JSL!$G$7:$G$50,'LUXE DRIVE'!A11))+(COUNTIF(KIFAITOUT!$G$7:$G$50,'LUXE DRIVE'!A11))+(COUNTIF('LUXE DRIVE'!$G$7:$G$50,'LUXE DRIVE'!A11))+(COUNTIF(SSN!$G$7:$G$50,'LUXE DRIVE'!A11))+(COUNTIF('W3'!$G$7:$G$50,'LUXE DRIVE'!A11))+(COUNTIF('ATHIS MONS'!$G$7:$G$50,'LUXE DRIVE'!A11))+(COUNTIF('L HAY LES ROSES'!$G$7:$G$50,'LUXE DRIVE'!A11))+(COUNTIF(RUNGIS!$G$7:$G$50,'LUXE DRIVE'!A11))+(COUNTIF(SCEAUX!$G$7:$G$50,'LUXE DRIVE'!A11))+(COUNTIF('INSTANCE C1'!$G$7:$G$50,'LUXE DRIVE'!A11))+(COUNTIF('INSTANCE C2'!$G$7:$G$50,'LUXE DRIVE'!A11))+(COUNTIF(INTERNES!$G$7:$G$50,'LUXE DRIVE'!A11))+(COUNTIF('EN PANNE'!$G$7:$G$50,'LUXE DRIVE'!A11))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EXPRESS'!$G$7:$G$50,'LUXE DRIVE'!G11))+(COUNTIF('2 ZT'!$G$7:$G$50,'LUXE DRIVE'!G11))+(COUNTIF('GO TRANSPORT'!$G$7:$G$50,'LUXE DRIVE'!G11))+(COUNTIF('HMZ - KAIS'!$G$7:$G$50,'LUXE DRIVE'!G11))+(COUNTIF('IB TRANSPORT'!$G$7:$G$50,'LUXE DRIVE'!G11))+(COUNTIF(JSL!$G$7:$G$50,'LUXE DRIVE'!G11))+(COUNTIF(KIFAITOUT!$G$7:$G$50,'LUXE DRIVE'!G11))+(COUNTIF('LUXE DRIVE'!$G$7:$G$50,'LUXE DRIVE'!G11))+(COUNTIF(SSN!$G$7:$G$50,'LUXE DRIVE'!G11))+(COUNTIF('W3'!$G$7:$G$50,'LUXE DRIVE'!G11))+(COUNTIF('ATHIS MONS'!$G$7:$G$50,'LUXE DRIVE'!G11))+(COUNTIF('L HAY LES ROSES'!$G$7:$G$50,'LUXE DRIVE'!G11))+(COUNTIF(RUNGIS!$G$7:$G$50,'LUXE DRIVE'!G11))+(COUNTIF(SCEAUX!$G$7:$G$50,'LUXE DRIVE'!G11))+(COUNTIF('INSTANCE C1'!$G$7:$G$50,'LUXE DRIVE'!G11))+(COUNTIF('INSTANCE C2'!$G$7:$G$50,'LUXE DRIVE'!G11))+(COUNTIF(INTERNES!$G$7:$G$50,'LUXE DRIVE'!G11))+(COUNTIF('EN PANNE'!$G$7:$G$50,'LUXE DRIVE'!G11))-I11</f>
        <v>0</v>
      </c>
      <c r="I11" s="23">
        <f>(COUNTIF('2S EXPRESS'!$A$7:$A$50,'LUXE DRIVE'!G11))+(COUNTIF('2 ZT'!$A$7:$A$50,'LUXE DRIVE'!G11))+(COUNTIF('GO TRANSPORT'!$A$7:$A$50,'LUXE DRIVE'!G11))+(COUNTIF('HMZ - KAIS'!$A$7:$A$50,'LUXE DRIVE'!G11))+(COUNTIF('IB TRANSPORT'!$A$7:$A$50,'LUXE DRIVE'!G11))+(COUNTIF(JSL!$A$7:$A$50,'LUXE DRIVE'!G11))+(COUNTIF(KIFAITOUT!$A$7:$A$50,'LUXE DRIVE'!G11))+(COUNTIF('LUXE DRIVE'!$A$7:$A$50,'LUXE DRIVE'!G11))+(COUNTIF(SSN!$A$7:$A$50,'LUXE DRIVE'!G11))+(COUNTIF('W3'!$A$7:$A$50,'LUXE DRIVE'!G11))+(COUNTIF('ATHIS MONS'!$A$7:$A$50,'LUXE DRIVE'!G11))+(COUNTIF('L HAY LES ROSES'!$A$7:$A$50,'LUXE DRIVE'!G11))+(COUNTIF(RUNGIS!$A$7:$A$50,'LUXE DRIVE'!G11))+(COUNTIF(SCEAUX!$A$7:$A$50,'LUXE DRIVE'!G11))+(COUNTIF('INSTANCE C1'!$A$7:$A$50,'LUXE DRIVE'!G11))+(COUNTIF('INSTANCE C2'!$A$7:$A$50,'LUXE DRIVE'!G11))+(COUNTIF(INTERNES!$A$7:$A$50,'LUXE DRIVE'!G11))+(COUNTIF('EN PANNE'!$A$7:$A$50,'LUXE DRIVE'!G11))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R11" s="50"/>
      <c r="S11" s="60">
        <f t="shared" si="1"/>
        <v>0</v>
      </c>
      <c r="T11" s="67">
        <f t="shared" si="2"/>
        <v>0</v>
      </c>
    </row>
    <row r="12" spans="1:26" ht="24.95" customHeight="1" thickBot="1" x14ac:dyDescent="0.25">
      <c r="A12" s="20"/>
      <c r="B12" s="23">
        <f>(COUNTIF('2S EXPRESS'!$A$7:$A$50,'LUXE DRIVE'!A12))+(COUNTIF('2 ZT'!$A$7:$A$50,'LUXE DRIVE'!A12))+(COUNTIF('GO TRANSPORT'!$A$7:$A$50,'LUXE DRIVE'!A12))+(COUNTIF('HMZ - KAIS'!$A$7:$A$50,'LUXE DRIVE'!A12))+(COUNTIF('IB TRANSPORT'!$A$7:$A$50,'LUXE DRIVE'!A12))+(COUNTIF(JSL!$A$7:$A$50,'LUXE DRIVE'!A12))+(COUNTIF(KIFAITOUT!$A$7:$A$50,'LUXE DRIVE'!A12))+(COUNTIF('LUXE DRIVE'!$A$7:$A$50,'LUXE DRIVE'!A12))+(COUNTIF(SSN!$A$7:$A$50,'LUXE DRIVE'!A12))+(COUNTIF('W3'!$A$7:$A$50,'LUXE DRIVE'!A12))+(COUNTIF('ATHIS MONS'!$A$7:$A$50,'LUXE DRIVE'!A12))+(COUNTIF('L HAY LES ROSES'!$A$7:$A$50,'LUXE DRIVE'!A12))+(COUNTIF(RUNGIS!$A$7:$A$50,'LUXE DRIVE'!A12))+(COUNTIF(SCEAUX!$A$7:$A$50,'LUXE DRIVE'!A12))+(COUNTIF('INSTANCE C1'!$A$7:$A$50,'LUXE DRIVE'!A12))+(COUNTIF('INSTANCE C2'!$A$7:$A$50,'LUXE DRIVE'!A12))+(COUNTIF(INTERNES!$A$7:$A$50,'LUXE DRIVE'!A12))+(COUNTIF('EN PANNE'!$A$7:$A$50,'LUXE DRIVE'!A12))-C12</f>
        <v>0</v>
      </c>
      <c r="C12" s="23">
        <f>(COUNTIF('2S EXPRESS'!$G$7:$G$50,'LUXE DRIVE'!A12))+(COUNTIF('2 ZT'!$G$7:$G$50,'LUXE DRIVE'!A12))+(COUNTIF('GO TRANSPORT'!$G$7:$G$50,'LUXE DRIVE'!A12))+(COUNTIF('LUXE DRIVE'!$G$7:$G$50,'LUXE DRIVE'!A12))+(COUNTIF('IB TRANSPORT'!$G$7:$G$50,'LUXE DRIVE'!A12))+(COUNTIF(JSL!$G$7:$G$50,'LUXE DRIVE'!A12))+(COUNTIF(KIFAITOUT!$G$7:$G$50,'LUXE DRIVE'!A12))+(COUNTIF('LUXE DRIVE'!$G$7:$G$50,'LUXE DRIVE'!A12))+(COUNTIF(SSN!$G$7:$G$50,'LUXE DRIVE'!A12))+(COUNTIF('W3'!$G$7:$G$50,'LUXE DRIVE'!A12))+(COUNTIF('ATHIS MONS'!$G$7:$G$50,'LUXE DRIVE'!A12))+(COUNTIF('L HAY LES ROSES'!$G$7:$G$50,'LUXE DRIVE'!A12))+(COUNTIF(RUNGIS!$G$7:$G$50,'LUXE DRIVE'!A12))+(COUNTIF(SCEAUX!$G$7:$G$50,'LUXE DRIVE'!A12))+(COUNTIF('INSTANCE C1'!$G$7:$G$50,'LUXE DRIVE'!A12))+(COUNTIF('INSTANCE C2'!$G$7:$G$50,'LUXE DRIVE'!A12))+(COUNTIF(INTERNES!$G$7:$G$50,'LUXE DRIVE'!A12))+(COUNTIF('EN PANNE'!$G$7:$G$50,'LUXE DRIVE'!A12))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EXPRESS'!$G$7:$G$50,'LUXE DRIVE'!G12))+(COUNTIF('2 ZT'!$G$7:$G$50,'LUXE DRIVE'!G12))+(COUNTIF('GO TRANSPORT'!$G$7:$G$50,'LUXE DRIVE'!G12))+(COUNTIF('HMZ - KAIS'!$G$7:$G$50,'LUXE DRIVE'!G12))+(COUNTIF('IB TRANSPORT'!$G$7:$G$50,'LUXE DRIVE'!G12))+(COUNTIF(JSL!$G$7:$G$50,'LUXE DRIVE'!G12))+(COUNTIF(KIFAITOUT!$G$7:$G$50,'LUXE DRIVE'!G12))+(COUNTIF('LUXE DRIVE'!$G$7:$G$50,'LUXE DRIVE'!G12))+(COUNTIF(SSN!$G$7:$G$50,'LUXE DRIVE'!G12))+(COUNTIF('W3'!$G$7:$G$50,'LUXE DRIVE'!G12))+(COUNTIF('ATHIS MONS'!$G$7:$G$50,'LUXE DRIVE'!G12))+(COUNTIF('L HAY LES ROSES'!$G$7:$G$50,'LUXE DRIVE'!G12))+(COUNTIF(RUNGIS!$G$7:$G$50,'LUXE DRIVE'!G12))+(COUNTIF(SCEAUX!$G$7:$G$50,'LUXE DRIVE'!G12))+(COUNTIF('INSTANCE C1'!$G$7:$G$50,'LUXE DRIVE'!G12))+(COUNTIF('INSTANCE C2'!$G$7:$G$50,'LUXE DRIVE'!G12))+(COUNTIF(INTERNES!$G$7:$G$50,'LUXE DRIVE'!G12))+(COUNTIF('EN PANNE'!$G$7:$G$50,'LUXE DRIVE'!G12))-I12</f>
        <v>0</v>
      </c>
      <c r="I12" s="23">
        <f>(COUNTIF('2S EXPRESS'!$A$7:$A$50,'LUXE DRIVE'!G12))+(COUNTIF('2 ZT'!$A$7:$A$50,'LUXE DRIVE'!G12))+(COUNTIF('GO TRANSPORT'!$A$7:$A$50,'LUXE DRIVE'!G12))+(COUNTIF('HMZ - KAIS'!$A$7:$A$50,'LUXE DRIVE'!G12))+(COUNTIF('IB TRANSPORT'!$A$7:$A$50,'LUXE DRIVE'!G12))+(COUNTIF(JSL!$A$7:$A$50,'LUXE DRIVE'!G12))+(COUNTIF(KIFAITOUT!$A$7:$A$50,'LUXE DRIVE'!G12))+(COUNTIF('LUXE DRIVE'!$A$7:$A$50,'LUXE DRIVE'!G12))+(COUNTIF(SSN!$A$7:$A$50,'LUXE DRIVE'!G12))+(COUNTIF('W3'!$A$7:$A$50,'LUXE DRIVE'!G12))+(COUNTIF('ATHIS MONS'!$A$7:$A$50,'LUXE DRIVE'!G12))+(COUNTIF('L HAY LES ROSES'!$A$7:$A$50,'LUXE DRIVE'!G12))+(COUNTIF(RUNGIS!$A$7:$A$50,'LUXE DRIVE'!G12))+(COUNTIF(SCEAUX!$A$7:$A$50,'LUXE DRIVE'!G12))+(COUNTIF('INSTANCE C1'!$A$7:$A$50,'LUXE DRIVE'!G12))+(COUNTIF('INSTANCE C2'!$A$7:$A$50,'LUXE DRIVE'!G12))+(COUNTIF(INTERNES!$A$7:$A$50,'LUXE DRIVE'!G12))+(COUNTIF('EN PANNE'!$A$7:$A$50,'LUXE DRIVE'!G12))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R12" s="50"/>
      <c r="S12" s="60">
        <f t="shared" si="1"/>
        <v>0</v>
      </c>
      <c r="T12" s="67">
        <f t="shared" si="2"/>
        <v>0</v>
      </c>
    </row>
    <row r="13" spans="1:26" ht="24.95" customHeight="1" x14ac:dyDescent="0.2">
      <c r="A13" s="20"/>
      <c r="B13" s="23">
        <f>(COUNTIF('2S EXPRESS'!$A$7:$A$50,'LUXE DRIVE'!A13))+(COUNTIF('2 ZT'!$A$7:$A$50,'LUXE DRIVE'!A13))+(COUNTIF('GO TRANSPORT'!$A$7:$A$50,'LUXE DRIVE'!A13))+(COUNTIF('HMZ - KAIS'!$A$7:$A$50,'LUXE DRIVE'!A13))+(COUNTIF('IB TRANSPORT'!$A$7:$A$50,'LUXE DRIVE'!A13))+(COUNTIF(JSL!$A$7:$A$50,'LUXE DRIVE'!A13))+(COUNTIF(KIFAITOUT!$A$7:$A$50,'LUXE DRIVE'!A13))+(COUNTIF('LUXE DRIVE'!$A$7:$A$50,'LUXE DRIVE'!A13))+(COUNTIF(SSN!$A$7:$A$50,'LUXE DRIVE'!A13))+(COUNTIF('W3'!$A$7:$A$50,'LUXE DRIVE'!A13))+(COUNTIF('ATHIS MONS'!$A$7:$A$50,'LUXE DRIVE'!A13))+(COUNTIF('L HAY LES ROSES'!$A$7:$A$50,'LUXE DRIVE'!A13))+(COUNTIF(RUNGIS!$A$7:$A$50,'LUXE DRIVE'!A13))+(COUNTIF(SCEAUX!$A$7:$A$50,'LUXE DRIVE'!A13))+(COUNTIF('INSTANCE C1'!$A$7:$A$50,'LUXE DRIVE'!A13))+(COUNTIF('INSTANCE C2'!$A$7:$A$50,'LUXE DRIVE'!A13))+(COUNTIF(INTERNES!$A$7:$A$50,'LUXE DRIVE'!A13))+(COUNTIF('EN PANNE'!$A$7:$A$50,'LUXE DRIVE'!A13))-C13</f>
        <v>0</v>
      </c>
      <c r="C13" s="23">
        <f>(COUNTIF('2S EXPRESS'!$G$7:$G$50,'LUXE DRIVE'!A13))+(COUNTIF('2 ZT'!$G$7:$G$50,'LUXE DRIVE'!A13))+(COUNTIF('GO TRANSPORT'!$G$7:$G$50,'LUXE DRIVE'!A13))+(COUNTIF('LUXE DRIVE'!$G$7:$G$50,'LUXE DRIVE'!A13))+(COUNTIF('IB TRANSPORT'!$G$7:$G$50,'LUXE DRIVE'!A13))+(COUNTIF(JSL!$G$7:$G$50,'LUXE DRIVE'!A13))+(COUNTIF(KIFAITOUT!$G$7:$G$50,'LUXE DRIVE'!A13))+(COUNTIF('LUXE DRIVE'!$G$7:$G$50,'LUXE DRIVE'!A13))+(COUNTIF(SSN!$G$7:$G$50,'LUXE DRIVE'!A13))+(COUNTIF('W3'!$G$7:$G$50,'LUXE DRIVE'!A13))+(COUNTIF('ATHIS MONS'!$G$7:$G$50,'LUXE DRIVE'!A13))+(COUNTIF('L HAY LES ROSES'!$G$7:$G$50,'LUXE DRIVE'!A13))+(COUNTIF(RUNGIS!$G$7:$G$50,'LUXE DRIVE'!A13))+(COUNTIF(SCEAUX!$G$7:$G$50,'LUXE DRIVE'!A13))+(COUNTIF('INSTANCE C1'!$G$7:$G$50,'LUXE DRIVE'!A13))+(COUNTIF('INSTANCE C2'!$G$7:$G$50,'LUXE DRIVE'!A13))+(COUNTIF(INTERNES!$G$7:$G$50,'LUXE DRIVE'!A13))+(COUNTIF('EN PANNE'!$G$7:$G$50,'LUXE DRIVE'!A13))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EXPRESS'!$G$7:$G$50,'LUXE DRIVE'!G13))+(COUNTIF('2 ZT'!$G$7:$G$50,'LUXE DRIVE'!G13))+(COUNTIF('GO TRANSPORT'!$G$7:$G$50,'LUXE DRIVE'!G13))+(COUNTIF('HMZ - KAIS'!$G$7:$G$50,'LUXE DRIVE'!G13))+(COUNTIF('IB TRANSPORT'!$G$7:$G$50,'LUXE DRIVE'!G13))+(COUNTIF(JSL!$G$7:$G$50,'LUXE DRIVE'!G13))+(COUNTIF(KIFAITOUT!$G$7:$G$50,'LUXE DRIVE'!G13))+(COUNTIF('LUXE DRIVE'!$G$7:$G$50,'LUXE DRIVE'!G13))+(COUNTIF(SSN!$G$7:$G$50,'LUXE DRIVE'!G13))+(COUNTIF('W3'!$G$7:$G$50,'LUXE DRIVE'!G13))+(COUNTIF('ATHIS MONS'!$G$7:$G$50,'LUXE DRIVE'!G13))+(COUNTIF('L HAY LES ROSES'!$G$7:$G$50,'LUXE DRIVE'!G13))+(COUNTIF(RUNGIS!$G$7:$G$50,'LUXE DRIVE'!G13))+(COUNTIF(SCEAUX!$G$7:$G$50,'LUXE DRIVE'!G13))+(COUNTIF('INSTANCE C1'!$G$7:$G$50,'LUXE DRIVE'!G13))+(COUNTIF('INSTANCE C2'!$G$7:$G$50,'LUXE DRIVE'!G13))+(COUNTIF(INTERNES!$G$7:$G$50,'LUXE DRIVE'!G13))+(COUNTIF('EN PANNE'!$G$7:$G$50,'LUXE DRIVE'!G13))-I13</f>
        <v>0</v>
      </c>
      <c r="I13" s="23">
        <f>(COUNTIF('2S EXPRESS'!$A$7:$A$50,'LUXE DRIVE'!G13))+(COUNTIF('2 ZT'!$A$7:$A$50,'LUXE DRIVE'!G13))+(COUNTIF('GO TRANSPORT'!$A$7:$A$50,'LUXE DRIVE'!G13))+(COUNTIF('HMZ - KAIS'!$A$7:$A$50,'LUXE DRIVE'!G13))+(COUNTIF('IB TRANSPORT'!$A$7:$A$50,'LUXE DRIVE'!G13))+(COUNTIF(JSL!$A$7:$A$50,'LUXE DRIVE'!G13))+(COUNTIF(KIFAITOUT!$A$7:$A$50,'LUXE DRIVE'!G13))+(COUNTIF('LUXE DRIVE'!$A$7:$A$50,'LUXE DRIVE'!G13))+(COUNTIF(SSN!$A$7:$A$50,'LUXE DRIVE'!G13))+(COUNTIF('W3'!$A$7:$A$50,'LUXE DRIVE'!G13))+(COUNTIF('ATHIS MONS'!$A$7:$A$50,'LUXE DRIVE'!G13))+(COUNTIF('L HAY LES ROSES'!$A$7:$A$50,'LUXE DRIVE'!G13))+(COUNTIF(RUNGIS!$A$7:$A$50,'LUXE DRIVE'!G13))+(COUNTIF(SCEAUX!$A$7:$A$50,'LUXE DRIVE'!G13))+(COUNTIF('INSTANCE C1'!$A$7:$A$50,'LUXE DRIVE'!G13))+(COUNTIF('INSTANCE C2'!$A$7:$A$50,'LUXE DRIVE'!G13))+(COUNTIF(INTERNES!$A$7:$A$50,'LUXE DRIVE'!G13))+(COUNTIF('EN PANNE'!$A$7:$A$50,'LUXE DRIVE'!G13))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R13" s="50"/>
      <c r="S13" s="60">
        <f t="shared" si="1"/>
        <v>0</v>
      </c>
      <c r="T13" s="67">
        <f t="shared" si="2"/>
        <v>0</v>
      </c>
    </row>
    <row r="14" spans="1:26" ht="24.95" customHeight="1" x14ac:dyDescent="0.2">
      <c r="A14" s="20"/>
      <c r="B14" s="23">
        <f>(COUNTIF('2S EXPRESS'!$A$7:$A$50,'LUXE DRIVE'!A14))+(COUNTIF('2 ZT'!$A$7:$A$50,'LUXE DRIVE'!A14))+(COUNTIF('GO TRANSPORT'!$A$7:$A$50,'LUXE DRIVE'!A14))+(COUNTIF('HMZ - KAIS'!$A$7:$A$50,'LUXE DRIVE'!A14))+(COUNTIF('IB TRANSPORT'!$A$7:$A$50,'LUXE DRIVE'!A14))+(COUNTIF(JSL!$A$7:$A$50,'LUXE DRIVE'!A14))+(COUNTIF(KIFAITOUT!$A$7:$A$50,'LUXE DRIVE'!A14))+(COUNTIF('LUXE DRIVE'!$A$7:$A$50,'LUXE DRIVE'!A14))+(COUNTIF(SSN!$A$7:$A$50,'LUXE DRIVE'!A14))+(COUNTIF('W3'!$A$7:$A$50,'LUXE DRIVE'!A14))+(COUNTIF('ATHIS MONS'!$A$7:$A$50,'LUXE DRIVE'!A14))+(COUNTIF('L HAY LES ROSES'!$A$7:$A$50,'LUXE DRIVE'!A14))+(COUNTIF(RUNGIS!$A$7:$A$50,'LUXE DRIVE'!A14))+(COUNTIF(SCEAUX!$A$7:$A$50,'LUXE DRIVE'!A14))+(COUNTIF('INSTANCE C1'!$A$7:$A$50,'LUXE DRIVE'!A14))+(COUNTIF('INSTANCE C2'!$A$7:$A$50,'LUXE DRIVE'!A14))+(COUNTIF(INTERNES!$A$7:$A$50,'LUXE DRIVE'!A14))+(COUNTIF('EN PANNE'!$A$7:$A$50,'LUXE DRIVE'!A14))-C14</f>
        <v>0</v>
      </c>
      <c r="C14" s="23">
        <f>(COUNTIF('2S EXPRESS'!$G$7:$G$50,'LUXE DRIVE'!A14))+(COUNTIF('2 ZT'!$G$7:$G$50,'LUXE DRIVE'!A14))+(COUNTIF('GO TRANSPORT'!$G$7:$G$50,'LUXE DRIVE'!A14))+(COUNTIF('LUXE DRIVE'!$G$7:$G$50,'LUXE DRIVE'!A14))+(COUNTIF('IB TRANSPORT'!$G$7:$G$50,'LUXE DRIVE'!A14))+(COUNTIF(JSL!$G$7:$G$50,'LUXE DRIVE'!A14))+(COUNTIF(KIFAITOUT!$G$7:$G$50,'LUXE DRIVE'!A14))+(COUNTIF('LUXE DRIVE'!$G$7:$G$50,'LUXE DRIVE'!A14))+(COUNTIF(SSN!$G$7:$G$50,'LUXE DRIVE'!A14))+(COUNTIF('W3'!$G$7:$G$50,'LUXE DRIVE'!A14))+(COUNTIF('ATHIS MONS'!$G$7:$G$50,'LUXE DRIVE'!A14))+(COUNTIF('L HAY LES ROSES'!$G$7:$G$50,'LUXE DRIVE'!A14))+(COUNTIF(RUNGIS!$G$7:$G$50,'LUXE DRIVE'!A14))+(COUNTIF(SCEAUX!$G$7:$G$50,'LUXE DRIVE'!A14))+(COUNTIF('INSTANCE C1'!$G$7:$G$50,'LUXE DRIVE'!A14))+(COUNTIF('INSTANCE C2'!$G$7:$G$50,'LUXE DRIVE'!A14))+(COUNTIF(INTERNES!$G$7:$G$50,'LUXE DRIVE'!A14))+(COUNTIF('EN PANNE'!$G$7:$G$50,'LUXE DRIVE'!A14))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EXPRESS'!$G$7:$G$50,'LUXE DRIVE'!G14))+(COUNTIF('2 ZT'!$G$7:$G$50,'LUXE DRIVE'!G14))+(COUNTIF('GO TRANSPORT'!$G$7:$G$50,'LUXE DRIVE'!G14))+(COUNTIF('HMZ - KAIS'!$G$7:$G$50,'LUXE DRIVE'!G14))+(COUNTIF('IB TRANSPORT'!$G$7:$G$50,'LUXE DRIVE'!G14))+(COUNTIF(JSL!$G$7:$G$50,'LUXE DRIVE'!G14))+(COUNTIF(KIFAITOUT!$G$7:$G$50,'LUXE DRIVE'!G14))+(COUNTIF('LUXE DRIVE'!$G$7:$G$50,'LUXE DRIVE'!G14))+(COUNTIF(SSN!$G$7:$G$50,'LUXE DRIVE'!G14))+(COUNTIF('W3'!$G$7:$G$50,'LUXE DRIVE'!G14))+(COUNTIF('ATHIS MONS'!$G$7:$G$50,'LUXE DRIVE'!G14))+(COUNTIF('L HAY LES ROSES'!$G$7:$G$50,'LUXE DRIVE'!G14))+(COUNTIF(RUNGIS!$G$7:$G$50,'LUXE DRIVE'!G14))+(COUNTIF(SCEAUX!$G$7:$G$50,'LUXE DRIVE'!G14))+(COUNTIF('INSTANCE C1'!$G$7:$G$50,'LUXE DRIVE'!G14))+(COUNTIF('INSTANCE C2'!$G$7:$G$50,'LUXE DRIVE'!G14))+(COUNTIF(INTERNES!$G$7:$G$50,'LUXE DRIVE'!G14))+(COUNTIF('EN PANNE'!$G$7:$G$50,'LUXE DRIVE'!G14))-I14</f>
        <v>0</v>
      </c>
      <c r="I14" s="23">
        <f>(COUNTIF('2S EXPRESS'!$A$7:$A$50,'LUXE DRIVE'!G14))+(COUNTIF('2 ZT'!$A$7:$A$50,'LUXE DRIVE'!G14))+(COUNTIF('GO TRANSPORT'!$A$7:$A$50,'LUXE DRIVE'!G14))+(COUNTIF('HMZ - KAIS'!$A$7:$A$50,'LUXE DRIVE'!G14))+(COUNTIF('IB TRANSPORT'!$A$7:$A$50,'LUXE DRIVE'!G14))+(COUNTIF(JSL!$A$7:$A$50,'LUXE DRIVE'!G14))+(COUNTIF(KIFAITOUT!$A$7:$A$50,'LUXE DRIVE'!G14))+(COUNTIF('LUXE DRIVE'!$A$7:$A$50,'LUXE DRIVE'!G14))+(COUNTIF(SSN!$A$7:$A$50,'LUXE DRIVE'!G14))+(COUNTIF('W3'!$A$7:$A$50,'LUXE DRIVE'!G14))+(COUNTIF('ATHIS MONS'!$A$7:$A$50,'LUXE DRIVE'!G14))+(COUNTIF('L HAY LES ROSES'!$A$7:$A$50,'LUXE DRIVE'!G14))+(COUNTIF(RUNGIS!$A$7:$A$50,'LUXE DRIVE'!G14))+(COUNTIF(SCEAUX!$A$7:$A$50,'LUXE DRIVE'!G14))+(COUNTIF('INSTANCE C1'!$A$7:$A$50,'LUXE DRIVE'!G14))+(COUNTIF('INSTANCE C2'!$A$7:$A$50,'LUXE DRIVE'!G14))+(COUNTIF(INTERNES!$A$7:$A$50,'LUXE DRIVE'!G14))+(COUNTIF('EN PANNE'!$A$7:$A$50,'LUXE DRIVE'!G14))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R14" s="50"/>
      <c r="S14" s="60">
        <f t="shared" si="1"/>
        <v>0</v>
      </c>
      <c r="T14" s="67">
        <f t="shared" si="2"/>
        <v>0</v>
      </c>
    </row>
    <row r="15" spans="1:26" ht="24.95" customHeight="1" x14ac:dyDescent="0.2">
      <c r="A15" s="20"/>
      <c r="B15" s="23">
        <f>(COUNTIF('2S EXPRESS'!$A$7:$A$50,'LUXE DRIVE'!A15))+(COUNTIF('2 ZT'!$A$7:$A$50,'LUXE DRIVE'!A15))+(COUNTIF('GO TRANSPORT'!$A$7:$A$50,'LUXE DRIVE'!A15))+(COUNTIF('HMZ - KAIS'!$A$7:$A$50,'LUXE DRIVE'!A15))+(COUNTIF('IB TRANSPORT'!$A$7:$A$50,'LUXE DRIVE'!A15))+(COUNTIF(JSL!$A$7:$A$50,'LUXE DRIVE'!A15))+(COUNTIF(KIFAITOUT!$A$7:$A$50,'LUXE DRIVE'!A15))+(COUNTIF('LUXE DRIVE'!$A$7:$A$50,'LUXE DRIVE'!A15))+(COUNTIF(SSN!$A$7:$A$50,'LUXE DRIVE'!A15))+(COUNTIF('W3'!$A$7:$A$50,'LUXE DRIVE'!A15))+(COUNTIF('ATHIS MONS'!$A$7:$A$50,'LUXE DRIVE'!A15))+(COUNTIF('L HAY LES ROSES'!$A$7:$A$50,'LUXE DRIVE'!A15))+(COUNTIF(RUNGIS!$A$7:$A$50,'LUXE DRIVE'!A15))+(COUNTIF(SCEAUX!$A$7:$A$50,'LUXE DRIVE'!A15))+(COUNTIF('INSTANCE C1'!$A$7:$A$50,'LUXE DRIVE'!A15))+(COUNTIF('INSTANCE C2'!$A$7:$A$50,'LUXE DRIVE'!A15))+(COUNTIF(INTERNES!$A$7:$A$50,'LUXE DRIVE'!A15))+(COUNTIF('EN PANNE'!$A$7:$A$50,'LUXE DRIVE'!A15))-C15</f>
        <v>0</v>
      </c>
      <c r="C15" s="23">
        <f>(COUNTIF('2S EXPRESS'!$G$7:$G$50,'LUXE DRIVE'!A15))+(COUNTIF('2 ZT'!$G$7:$G$50,'LUXE DRIVE'!A15))+(COUNTIF('GO TRANSPORT'!$G$7:$G$50,'LUXE DRIVE'!A15))+(COUNTIF('LUXE DRIVE'!$G$7:$G$50,'LUXE DRIVE'!A15))+(COUNTIF('IB TRANSPORT'!$G$7:$G$50,'LUXE DRIVE'!A15))+(COUNTIF(JSL!$G$7:$G$50,'LUXE DRIVE'!A15))+(COUNTIF(KIFAITOUT!$G$7:$G$50,'LUXE DRIVE'!A15))+(COUNTIF('LUXE DRIVE'!$G$7:$G$50,'LUXE DRIVE'!A15))+(COUNTIF(SSN!$G$7:$G$50,'LUXE DRIVE'!A15))+(COUNTIF('W3'!$G$7:$G$50,'LUXE DRIVE'!A15))+(COUNTIF('ATHIS MONS'!$G$7:$G$50,'LUXE DRIVE'!A15))+(COUNTIF('L HAY LES ROSES'!$G$7:$G$50,'LUXE DRIVE'!A15))+(COUNTIF(RUNGIS!$G$7:$G$50,'LUXE DRIVE'!A15))+(COUNTIF(SCEAUX!$G$7:$G$50,'LUXE DRIVE'!A15))+(COUNTIF('INSTANCE C1'!$G$7:$G$50,'LUXE DRIVE'!A15))+(COUNTIF('INSTANCE C2'!$G$7:$G$50,'LUXE DRIVE'!A15))+(COUNTIF(INTERNES!$G$7:$G$50,'LUXE DRIVE'!A15))+(COUNTIF('EN PANNE'!$G$7:$G$50,'LUXE DRIVE'!A15))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EXPRESS'!$G$7:$G$50,'LUXE DRIVE'!G15))+(COUNTIF('2 ZT'!$G$7:$G$50,'LUXE DRIVE'!G15))+(COUNTIF('GO TRANSPORT'!$G$7:$G$50,'LUXE DRIVE'!G15))+(COUNTIF('HMZ - KAIS'!$G$7:$G$50,'LUXE DRIVE'!G15))+(COUNTIF('IB TRANSPORT'!$G$7:$G$50,'LUXE DRIVE'!G15))+(COUNTIF(JSL!$G$7:$G$50,'LUXE DRIVE'!G15))+(COUNTIF(KIFAITOUT!$G$7:$G$50,'LUXE DRIVE'!G15))+(COUNTIF('LUXE DRIVE'!$G$7:$G$50,'LUXE DRIVE'!G15))+(COUNTIF(SSN!$G$7:$G$50,'LUXE DRIVE'!G15))+(COUNTIF('W3'!$G$7:$G$50,'LUXE DRIVE'!G15))+(COUNTIF('ATHIS MONS'!$G$7:$G$50,'LUXE DRIVE'!G15))+(COUNTIF('L HAY LES ROSES'!$G$7:$G$50,'LUXE DRIVE'!G15))+(COUNTIF(RUNGIS!$G$7:$G$50,'LUXE DRIVE'!G15))+(COUNTIF(SCEAUX!$G$7:$G$50,'LUXE DRIVE'!G15))+(COUNTIF('INSTANCE C1'!$G$7:$G$50,'LUXE DRIVE'!G15))+(COUNTIF('INSTANCE C2'!$G$7:$G$50,'LUXE DRIVE'!G15))+(COUNTIF(INTERNES!$G$7:$G$50,'LUXE DRIVE'!G15))+(COUNTIF('EN PANNE'!$G$7:$G$50,'LUXE DRIVE'!G15))-I15</f>
        <v>0</v>
      </c>
      <c r="I15" s="23">
        <f>(COUNTIF('2S EXPRESS'!$A$7:$A$50,'LUXE DRIVE'!G15))+(COUNTIF('2 ZT'!$A$7:$A$50,'LUXE DRIVE'!G15))+(COUNTIF('GO TRANSPORT'!$A$7:$A$50,'LUXE DRIVE'!G15))+(COUNTIF('HMZ - KAIS'!$A$7:$A$50,'LUXE DRIVE'!G15))+(COUNTIF('IB TRANSPORT'!$A$7:$A$50,'LUXE DRIVE'!G15))+(COUNTIF(JSL!$A$7:$A$50,'LUXE DRIVE'!G15))+(COUNTIF(KIFAITOUT!$A$7:$A$50,'LUXE DRIVE'!G15))+(COUNTIF('LUXE DRIVE'!$A$7:$A$50,'LUXE DRIVE'!G15))+(COUNTIF(SSN!$A$7:$A$50,'LUXE DRIVE'!G15))+(COUNTIF('W3'!$A$7:$A$50,'LUXE DRIVE'!G15))+(COUNTIF('ATHIS MONS'!$A$7:$A$50,'LUXE DRIVE'!G15))+(COUNTIF('L HAY LES ROSES'!$A$7:$A$50,'LUXE DRIVE'!G15))+(COUNTIF(RUNGIS!$A$7:$A$50,'LUXE DRIVE'!G15))+(COUNTIF(SCEAUX!$A$7:$A$50,'LUXE DRIVE'!G15))+(COUNTIF('INSTANCE C1'!$A$7:$A$50,'LUXE DRIVE'!G15))+(COUNTIF('INSTANCE C2'!$A$7:$A$50,'LUXE DRIVE'!G15))+(COUNTIF(INTERNES!$A$7:$A$50,'LUXE DRIVE'!G15))+(COUNTIF('EN PANNE'!$A$7:$A$50,'LUXE DRIVE'!G15))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R15" s="50"/>
      <c r="S15" s="60">
        <f t="shared" si="1"/>
        <v>0</v>
      </c>
      <c r="T15" s="67">
        <f t="shared" si="2"/>
        <v>0</v>
      </c>
    </row>
    <row r="16" spans="1:26" ht="24.95" customHeight="1" x14ac:dyDescent="0.2">
      <c r="A16" s="20"/>
      <c r="B16" s="23">
        <f>(COUNTIF('2S EXPRESS'!$A$7:$A$50,'LUXE DRIVE'!A16))+(COUNTIF('2 ZT'!$A$7:$A$50,'LUXE DRIVE'!A16))+(COUNTIF('GO TRANSPORT'!$A$7:$A$50,'LUXE DRIVE'!A16))+(COUNTIF('HMZ - KAIS'!$A$7:$A$50,'LUXE DRIVE'!A16))+(COUNTIF('IB TRANSPORT'!$A$7:$A$50,'LUXE DRIVE'!A16))+(COUNTIF(JSL!$A$7:$A$50,'LUXE DRIVE'!A16))+(COUNTIF(KIFAITOUT!$A$7:$A$50,'LUXE DRIVE'!A16))+(COUNTIF('LUXE DRIVE'!$A$7:$A$50,'LUXE DRIVE'!A16))+(COUNTIF(SSN!$A$7:$A$50,'LUXE DRIVE'!A16))+(COUNTIF('W3'!$A$7:$A$50,'LUXE DRIVE'!A16))+(COUNTIF('ATHIS MONS'!$A$7:$A$50,'LUXE DRIVE'!A16))+(COUNTIF('L HAY LES ROSES'!$A$7:$A$50,'LUXE DRIVE'!A16))+(COUNTIF(RUNGIS!$A$7:$A$50,'LUXE DRIVE'!A16))+(COUNTIF(SCEAUX!$A$7:$A$50,'LUXE DRIVE'!A16))+(COUNTIF('INSTANCE C1'!$A$7:$A$50,'LUXE DRIVE'!A16))+(COUNTIF('INSTANCE C2'!$A$7:$A$50,'LUXE DRIVE'!A16))+(COUNTIF(INTERNES!$A$7:$A$50,'LUXE DRIVE'!A16))+(COUNTIF('EN PANNE'!$A$7:$A$50,'LUXE DRIVE'!A16))-C16</f>
        <v>0</v>
      </c>
      <c r="C16" s="23">
        <f>(COUNTIF('2S EXPRESS'!$G$7:$G$50,'LUXE DRIVE'!A16))+(COUNTIF('2 ZT'!$G$7:$G$50,'LUXE DRIVE'!A16))+(COUNTIF('GO TRANSPORT'!$G$7:$G$50,'LUXE DRIVE'!A16))+(COUNTIF('LUXE DRIVE'!$G$7:$G$50,'LUXE DRIVE'!A16))+(COUNTIF('IB TRANSPORT'!$G$7:$G$50,'LUXE DRIVE'!A16))+(COUNTIF(JSL!$G$7:$G$50,'LUXE DRIVE'!A16))+(COUNTIF(KIFAITOUT!$G$7:$G$50,'LUXE DRIVE'!A16))+(COUNTIF('LUXE DRIVE'!$G$7:$G$50,'LUXE DRIVE'!A16))+(COUNTIF(SSN!$G$7:$G$50,'LUXE DRIVE'!A16))+(COUNTIF('W3'!$G$7:$G$50,'LUXE DRIVE'!A16))+(COUNTIF('ATHIS MONS'!$G$7:$G$50,'LUXE DRIVE'!A16))+(COUNTIF('L HAY LES ROSES'!$G$7:$G$50,'LUXE DRIVE'!A16))+(COUNTIF(RUNGIS!$G$7:$G$50,'LUXE DRIVE'!A16))+(COUNTIF(SCEAUX!$G$7:$G$50,'LUXE DRIVE'!A16))+(COUNTIF('INSTANCE C1'!$G$7:$G$50,'LUXE DRIVE'!A16))+(COUNTIF('INSTANCE C2'!$G$7:$G$50,'LUXE DRIVE'!A16))+(COUNTIF(INTERNES!$G$7:$G$50,'LUXE DRIVE'!A16))+(COUNTIF('EN PANNE'!$G$7:$G$50,'LUXE DRIVE'!A16))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EXPRESS'!$G$7:$G$50,'LUXE DRIVE'!G16))+(COUNTIF('2 ZT'!$G$7:$G$50,'LUXE DRIVE'!G16))+(COUNTIF('GO TRANSPORT'!$G$7:$G$50,'LUXE DRIVE'!G16))+(COUNTIF('HMZ - KAIS'!$G$7:$G$50,'LUXE DRIVE'!G16))+(COUNTIF('IB TRANSPORT'!$G$7:$G$50,'LUXE DRIVE'!G16))+(COUNTIF(JSL!$G$7:$G$50,'LUXE DRIVE'!G16))+(COUNTIF(KIFAITOUT!$G$7:$G$50,'LUXE DRIVE'!G16))+(COUNTIF('LUXE DRIVE'!$G$7:$G$50,'LUXE DRIVE'!G16))+(COUNTIF(SSN!$G$7:$G$50,'LUXE DRIVE'!G16))+(COUNTIF('W3'!$G$7:$G$50,'LUXE DRIVE'!G16))+(COUNTIF('ATHIS MONS'!$G$7:$G$50,'LUXE DRIVE'!G16))+(COUNTIF('L HAY LES ROSES'!$G$7:$G$50,'LUXE DRIVE'!G16))+(COUNTIF(RUNGIS!$G$7:$G$50,'LUXE DRIVE'!G16))+(COUNTIF(SCEAUX!$G$7:$G$50,'LUXE DRIVE'!G16))+(COUNTIF('INSTANCE C1'!$G$7:$G$50,'LUXE DRIVE'!G16))+(COUNTIF('INSTANCE C2'!$G$7:$G$50,'LUXE DRIVE'!G16))+(COUNTIF(INTERNES!$G$7:$G$50,'LUXE DRIVE'!G16))+(COUNTIF('EN PANNE'!$G$7:$G$50,'LUXE DRIVE'!G16))-I16</f>
        <v>0</v>
      </c>
      <c r="I16" s="23">
        <f>(COUNTIF('2S EXPRESS'!$A$7:$A$50,'LUXE DRIVE'!G16))+(COUNTIF('2 ZT'!$A$7:$A$50,'LUXE DRIVE'!G16))+(COUNTIF('GO TRANSPORT'!$A$7:$A$50,'LUXE DRIVE'!G16))+(COUNTIF('HMZ - KAIS'!$A$7:$A$50,'LUXE DRIVE'!G16))+(COUNTIF('IB TRANSPORT'!$A$7:$A$50,'LUXE DRIVE'!G16))+(COUNTIF(JSL!$A$7:$A$50,'LUXE DRIVE'!G16))+(COUNTIF(KIFAITOUT!$A$7:$A$50,'LUXE DRIVE'!G16))+(COUNTIF('LUXE DRIVE'!$A$7:$A$50,'LUXE DRIVE'!G16))+(COUNTIF(SSN!$A$7:$A$50,'LUXE DRIVE'!G16))+(COUNTIF('W3'!$A$7:$A$50,'LUXE DRIVE'!G16))+(COUNTIF('ATHIS MONS'!$A$7:$A$50,'LUXE DRIVE'!G16))+(COUNTIF('L HAY LES ROSES'!$A$7:$A$50,'LUXE DRIVE'!G16))+(COUNTIF(RUNGIS!$A$7:$A$50,'LUXE DRIVE'!G16))+(COUNTIF(SCEAUX!$A$7:$A$50,'LUXE DRIVE'!G16))+(COUNTIF('INSTANCE C1'!$A$7:$A$50,'LUXE DRIVE'!G16))+(COUNTIF('INSTANCE C2'!$A$7:$A$50,'LUXE DRIVE'!G16))+(COUNTIF(INTERNES!$A$7:$A$50,'LUXE DRIVE'!G16))+(COUNTIF('EN PANNE'!$A$7:$A$50,'LUXE DRIVE'!G16))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S16" s="60">
        <f t="shared" si="1"/>
        <v>0</v>
      </c>
      <c r="T16" s="67">
        <f t="shared" si="2"/>
        <v>0</v>
      </c>
    </row>
    <row r="17" spans="1:20" ht="24.95" customHeight="1" x14ac:dyDescent="0.2">
      <c r="A17" s="20"/>
      <c r="B17" s="23">
        <f>(COUNTIF('2S EXPRESS'!$A$7:$A$50,'LUXE DRIVE'!A17))+(COUNTIF('2 ZT'!$A$7:$A$50,'LUXE DRIVE'!A17))+(COUNTIF('GO TRANSPORT'!$A$7:$A$50,'LUXE DRIVE'!A17))+(COUNTIF('HMZ - KAIS'!$A$7:$A$50,'LUXE DRIVE'!A17))+(COUNTIF('IB TRANSPORT'!$A$7:$A$50,'LUXE DRIVE'!A17))+(COUNTIF(JSL!$A$7:$A$50,'LUXE DRIVE'!A17))+(COUNTIF(KIFAITOUT!$A$7:$A$50,'LUXE DRIVE'!A17))+(COUNTIF('LUXE DRIVE'!$A$7:$A$50,'LUXE DRIVE'!A17))+(COUNTIF(SSN!$A$7:$A$50,'LUXE DRIVE'!A17))+(COUNTIF('W3'!$A$7:$A$50,'LUXE DRIVE'!A17))+(COUNTIF('ATHIS MONS'!$A$7:$A$50,'LUXE DRIVE'!A17))+(COUNTIF('L HAY LES ROSES'!$A$7:$A$50,'LUXE DRIVE'!A17))+(COUNTIF(RUNGIS!$A$7:$A$50,'LUXE DRIVE'!A17))+(COUNTIF(SCEAUX!$A$7:$A$50,'LUXE DRIVE'!A17))+(COUNTIF('INSTANCE C1'!$A$7:$A$50,'LUXE DRIVE'!A17))+(COUNTIF('INSTANCE C2'!$A$7:$A$50,'LUXE DRIVE'!A17))+(COUNTIF(INTERNES!$A$7:$A$50,'LUXE DRIVE'!A17))+(COUNTIF('EN PANNE'!$A$7:$A$50,'LUXE DRIVE'!A17))-C17</f>
        <v>0</v>
      </c>
      <c r="C17" s="23">
        <f>(COUNTIF('2S EXPRESS'!$G$7:$G$50,'LUXE DRIVE'!A17))+(COUNTIF('2 ZT'!$G$7:$G$50,'LUXE DRIVE'!A17))+(COUNTIF('GO TRANSPORT'!$G$7:$G$50,'LUXE DRIVE'!A17))+(COUNTIF('LUXE DRIVE'!$G$7:$G$50,'LUXE DRIVE'!A17))+(COUNTIF('IB TRANSPORT'!$G$7:$G$50,'LUXE DRIVE'!A17))+(COUNTIF(JSL!$G$7:$G$50,'LUXE DRIVE'!A17))+(COUNTIF(KIFAITOUT!$G$7:$G$50,'LUXE DRIVE'!A17))+(COUNTIF('LUXE DRIVE'!$G$7:$G$50,'LUXE DRIVE'!A17))+(COUNTIF(SSN!$G$7:$G$50,'LUXE DRIVE'!A17))+(COUNTIF('W3'!$G$7:$G$50,'LUXE DRIVE'!A17))+(COUNTIF('ATHIS MONS'!$G$7:$G$50,'LUXE DRIVE'!A17))+(COUNTIF('L HAY LES ROSES'!$G$7:$G$50,'LUXE DRIVE'!A17))+(COUNTIF(RUNGIS!$G$7:$G$50,'LUXE DRIVE'!A17))+(COUNTIF(SCEAUX!$G$7:$G$50,'LUXE DRIVE'!A17))+(COUNTIF('INSTANCE C1'!$G$7:$G$50,'LUXE DRIVE'!A17))+(COUNTIF('INSTANCE C2'!$G$7:$G$50,'LUXE DRIVE'!A17))+(COUNTIF(INTERNES!$G$7:$G$50,'LUXE DRIVE'!A17))+(COUNTIF('EN PANNE'!$G$7:$G$50,'LUXE DRIVE'!A17))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EXPRESS'!$G$7:$G$50,'LUXE DRIVE'!G17))+(COUNTIF('2 ZT'!$G$7:$G$50,'LUXE DRIVE'!G17))+(COUNTIF('GO TRANSPORT'!$G$7:$G$50,'LUXE DRIVE'!G17))+(COUNTIF('HMZ - KAIS'!$G$7:$G$50,'LUXE DRIVE'!G17))+(COUNTIF('IB TRANSPORT'!$G$7:$G$50,'LUXE DRIVE'!G17))+(COUNTIF(JSL!$G$7:$G$50,'LUXE DRIVE'!G17))+(COUNTIF(KIFAITOUT!$G$7:$G$50,'LUXE DRIVE'!G17))+(COUNTIF('LUXE DRIVE'!$G$7:$G$50,'LUXE DRIVE'!G17))+(COUNTIF(SSN!$G$7:$G$50,'LUXE DRIVE'!G17))+(COUNTIF('W3'!$G$7:$G$50,'LUXE DRIVE'!G17))+(COUNTIF('ATHIS MONS'!$G$7:$G$50,'LUXE DRIVE'!G17))+(COUNTIF('L HAY LES ROSES'!$G$7:$G$50,'LUXE DRIVE'!G17))+(COUNTIF(RUNGIS!$G$7:$G$50,'LUXE DRIVE'!G17))+(COUNTIF(SCEAUX!$G$7:$G$50,'LUXE DRIVE'!G17))+(COUNTIF('INSTANCE C1'!$G$7:$G$50,'LUXE DRIVE'!G17))+(COUNTIF('INSTANCE C2'!$G$7:$G$50,'LUXE DRIVE'!G17))+(COUNTIF(INTERNES!$G$7:$G$50,'LUXE DRIVE'!G17))+(COUNTIF('EN PANNE'!$G$7:$G$50,'LUXE DRIVE'!G17))-I17</f>
        <v>0</v>
      </c>
      <c r="I17" s="23">
        <f>(COUNTIF('2S EXPRESS'!$A$7:$A$50,'LUXE DRIVE'!G17))+(COUNTIF('2 ZT'!$A$7:$A$50,'LUXE DRIVE'!G17))+(COUNTIF('GO TRANSPORT'!$A$7:$A$50,'LUXE DRIVE'!G17))+(COUNTIF('HMZ - KAIS'!$A$7:$A$50,'LUXE DRIVE'!G17))+(COUNTIF('IB TRANSPORT'!$A$7:$A$50,'LUXE DRIVE'!G17))+(COUNTIF(JSL!$A$7:$A$50,'LUXE DRIVE'!G17))+(COUNTIF(KIFAITOUT!$A$7:$A$50,'LUXE DRIVE'!G17))+(COUNTIF('LUXE DRIVE'!$A$7:$A$50,'LUXE DRIVE'!G17))+(COUNTIF(SSN!$A$7:$A$50,'LUXE DRIVE'!G17))+(COUNTIF('W3'!$A$7:$A$50,'LUXE DRIVE'!G17))+(COUNTIF('ATHIS MONS'!$A$7:$A$50,'LUXE DRIVE'!G17))+(COUNTIF('L HAY LES ROSES'!$A$7:$A$50,'LUXE DRIVE'!G17))+(COUNTIF(RUNGIS!$A$7:$A$50,'LUXE DRIVE'!G17))+(COUNTIF(SCEAUX!$A$7:$A$50,'LUXE DRIVE'!G17))+(COUNTIF('INSTANCE C1'!$A$7:$A$50,'LUXE DRIVE'!G17))+(COUNTIF('INSTANCE C2'!$A$7:$A$50,'LUXE DRIVE'!G17))+(COUNTIF(INTERNES!$A$7:$A$50,'LUXE DRIVE'!G17))+(COUNTIF('EN PANNE'!$A$7:$A$50,'LUXE DRIVE'!G17))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S17" s="60">
        <f t="shared" si="1"/>
        <v>0</v>
      </c>
      <c r="T17" s="67">
        <f t="shared" si="2"/>
        <v>0</v>
      </c>
    </row>
    <row r="18" spans="1:20" ht="24.95" customHeight="1" x14ac:dyDescent="0.2">
      <c r="A18" s="20"/>
      <c r="B18" s="23">
        <f>(COUNTIF('2S EXPRESS'!$A$7:$A$50,'LUXE DRIVE'!A18))+(COUNTIF('2 ZT'!$A$7:$A$50,'LUXE DRIVE'!A18))+(COUNTIF('GO TRANSPORT'!$A$7:$A$50,'LUXE DRIVE'!A18))+(COUNTIF('HMZ - KAIS'!$A$7:$A$50,'LUXE DRIVE'!A18))+(COUNTIF('IB TRANSPORT'!$A$7:$A$50,'LUXE DRIVE'!A18))+(COUNTIF(JSL!$A$7:$A$50,'LUXE DRIVE'!A18))+(COUNTIF(KIFAITOUT!$A$7:$A$50,'LUXE DRIVE'!A18))+(COUNTIF('LUXE DRIVE'!$A$7:$A$50,'LUXE DRIVE'!A18))+(COUNTIF(SSN!$A$7:$A$50,'LUXE DRIVE'!A18))+(COUNTIF('W3'!$A$7:$A$50,'LUXE DRIVE'!A18))+(COUNTIF('ATHIS MONS'!$A$7:$A$50,'LUXE DRIVE'!A18))+(COUNTIF('L HAY LES ROSES'!$A$7:$A$50,'LUXE DRIVE'!A18))+(COUNTIF(RUNGIS!$A$7:$A$50,'LUXE DRIVE'!A18))+(COUNTIF(SCEAUX!$A$7:$A$50,'LUXE DRIVE'!A18))+(COUNTIF('INSTANCE C1'!$A$7:$A$50,'LUXE DRIVE'!A18))+(COUNTIF('INSTANCE C2'!$A$7:$A$50,'LUXE DRIVE'!A18))+(COUNTIF(INTERNES!$A$7:$A$50,'LUXE DRIVE'!A18))+(COUNTIF('EN PANNE'!$A$7:$A$50,'LUXE DRIVE'!A18))-C18</f>
        <v>0</v>
      </c>
      <c r="C18" s="23">
        <f>(COUNTIF('2S EXPRESS'!$G$7:$G$50,'LUXE DRIVE'!A18))+(COUNTIF('2 ZT'!$G$7:$G$50,'LUXE DRIVE'!A18))+(COUNTIF('GO TRANSPORT'!$G$7:$G$50,'LUXE DRIVE'!A18))+(COUNTIF('LUXE DRIVE'!$G$7:$G$50,'LUXE DRIVE'!A18))+(COUNTIF('IB TRANSPORT'!$G$7:$G$50,'LUXE DRIVE'!A18))+(COUNTIF(JSL!$G$7:$G$50,'LUXE DRIVE'!A18))+(COUNTIF(KIFAITOUT!$G$7:$G$50,'LUXE DRIVE'!A18))+(COUNTIF('LUXE DRIVE'!$G$7:$G$50,'LUXE DRIVE'!A18))+(COUNTIF(SSN!$G$7:$G$50,'LUXE DRIVE'!A18))+(COUNTIF('W3'!$G$7:$G$50,'LUXE DRIVE'!A18))+(COUNTIF('ATHIS MONS'!$G$7:$G$50,'LUXE DRIVE'!A18))+(COUNTIF('L HAY LES ROSES'!$G$7:$G$50,'LUXE DRIVE'!A18))+(COUNTIF(RUNGIS!$G$7:$G$50,'LUXE DRIVE'!A18))+(COUNTIF(SCEAUX!$G$7:$G$50,'LUXE DRIVE'!A18))+(COUNTIF('INSTANCE C1'!$G$7:$G$50,'LUXE DRIVE'!A18))+(COUNTIF('INSTANCE C2'!$G$7:$G$50,'LUXE DRIVE'!A18))+(COUNTIF(INTERNES!$G$7:$G$50,'LUXE DRIVE'!A18))+(COUNTIF('EN PANNE'!$G$7:$G$50,'LUXE DRIVE'!A18))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EXPRESS'!$G$7:$G$50,'LUXE DRIVE'!G18))+(COUNTIF('2 ZT'!$G$7:$G$50,'LUXE DRIVE'!G18))+(COUNTIF('GO TRANSPORT'!$G$7:$G$50,'LUXE DRIVE'!G18))+(COUNTIF('HMZ - KAIS'!$G$7:$G$50,'LUXE DRIVE'!G18))+(COUNTIF('IB TRANSPORT'!$G$7:$G$50,'LUXE DRIVE'!G18))+(COUNTIF(JSL!$G$7:$G$50,'LUXE DRIVE'!G18))+(COUNTIF(KIFAITOUT!$G$7:$G$50,'LUXE DRIVE'!G18))+(COUNTIF('LUXE DRIVE'!$G$7:$G$50,'LUXE DRIVE'!G18))+(COUNTIF(SSN!$G$7:$G$50,'LUXE DRIVE'!G18))+(COUNTIF('W3'!$G$7:$G$50,'LUXE DRIVE'!G18))+(COUNTIF('ATHIS MONS'!$G$7:$G$50,'LUXE DRIVE'!G18))+(COUNTIF('L HAY LES ROSES'!$G$7:$G$50,'LUXE DRIVE'!G18))+(COUNTIF(RUNGIS!$G$7:$G$50,'LUXE DRIVE'!G18))+(COUNTIF(SCEAUX!$G$7:$G$50,'LUXE DRIVE'!G18))+(COUNTIF('INSTANCE C1'!$G$7:$G$50,'LUXE DRIVE'!G18))+(COUNTIF('INSTANCE C2'!$G$7:$G$50,'LUXE DRIVE'!G18))+(COUNTIF(INTERNES!$G$7:$G$50,'LUXE DRIVE'!G18))+(COUNTIF('EN PANNE'!$G$7:$G$50,'LUXE DRIVE'!G18))-I18</f>
        <v>0</v>
      </c>
      <c r="I18" s="23">
        <f>(COUNTIF('2S EXPRESS'!$A$7:$A$50,'LUXE DRIVE'!G18))+(COUNTIF('2 ZT'!$A$7:$A$50,'LUXE DRIVE'!G18))+(COUNTIF('GO TRANSPORT'!$A$7:$A$50,'LUXE DRIVE'!G18))+(COUNTIF('HMZ - KAIS'!$A$7:$A$50,'LUXE DRIVE'!G18))+(COUNTIF('IB TRANSPORT'!$A$7:$A$50,'LUXE DRIVE'!G18))+(COUNTIF(JSL!$A$7:$A$50,'LUXE DRIVE'!G18))+(COUNTIF(KIFAITOUT!$A$7:$A$50,'LUXE DRIVE'!G18))+(COUNTIF('LUXE DRIVE'!$A$7:$A$50,'LUXE DRIVE'!G18))+(COUNTIF(SSN!$A$7:$A$50,'LUXE DRIVE'!G18))+(COUNTIF('W3'!$A$7:$A$50,'LUXE DRIVE'!G18))+(COUNTIF('ATHIS MONS'!$A$7:$A$50,'LUXE DRIVE'!G18))+(COUNTIF('L HAY LES ROSES'!$A$7:$A$50,'LUXE DRIVE'!G18))+(COUNTIF(RUNGIS!$A$7:$A$50,'LUXE DRIVE'!G18))+(COUNTIF(SCEAUX!$A$7:$A$50,'LUXE DRIVE'!G18))+(COUNTIF('INSTANCE C1'!$A$7:$A$50,'LUXE DRIVE'!G18))+(COUNTIF('INSTANCE C2'!$A$7:$A$50,'LUXE DRIVE'!G18))+(COUNTIF(INTERNES!$A$7:$A$50,'LUXE DRIVE'!G18))+(COUNTIF('EN PANNE'!$A$7:$A$50,'LUXE DRIVE'!G18))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S18" s="60">
        <f t="shared" si="1"/>
        <v>0</v>
      </c>
      <c r="T18" s="67">
        <f t="shared" si="2"/>
        <v>0</v>
      </c>
    </row>
    <row r="19" spans="1:20" ht="24.95" customHeight="1" x14ac:dyDescent="0.2">
      <c r="A19" s="20"/>
      <c r="B19" s="23">
        <f>(COUNTIF('2S EXPRESS'!$A$7:$A$50,'LUXE DRIVE'!A19))+(COUNTIF('2 ZT'!$A$7:$A$50,'LUXE DRIVE'!A19))+(COUNTIF('GO TRANSPORT'!$A$7:$A$50,'LUXE DRIVE'!A19))+(COUNTIF('HMZ - KAIS'!$A$7:$A$50,'LUXE DRIVE'!A19))+(COUNTIF('IB TRANSPORT'!$A$7:$A$50,'LUXE DRIVE'!A19))+(COUNTIF(JSL!$A$7:$A$50,'LUXE DRIVE'!A19))+(COUNTIF(KIFAITOUT!$A$7:$A$50,'LUXE DRIVE'!A19))+(COUNTIF('LUXE DRIVE'!$A$7:$A$50,'LUXE DRIVE'!A19))+(COUNTIF(SSN!$A$7:$A$50,'LUXE DRIVE'!A19))+(COUNTIF('W3'!$A$7:$A$50,'LUXE DRIVE'!A19))+(COUNTIF('ATHIS MONS'!$A$7:$A$50,'LUXE DRIVE'!A19))+(COUNTIF('L HAY LES ROSES'!$A$7:$A$50,'LUXE DRIVE'!A19))+(COUNTIF(RUNGIS!$A$7:$A$50,'LUXE DRIVE'!A19))+(COUNTIF(SCEAUX!$A$7:$A$50,'LUXE DRIVE'!A19))+(COUNTIF('INSTANCE C1'!$A$7:$A$50,'LUXE DRIVE'!A19))+(COUNTIF('INSTANCE C2'!$A$7:$A$50,'LUXE DRIVE'!A19))+(COUNTIF(INTERNES!$A$7:$A$50,'LUXE DRIVE'!A19))+(COUNTIF('EN PANNE'!$A$7:$A$50,'LUXE DRIVE'!A19))-C19</f>
        <v>0</v>
      </c>
      <c r="C19" s="23">
        <f>(COUNTIF('2S EXPRESS'!$G$7:$G$50,'LUXE DRIVE'!A19))+(COUNTIF('2 ZT'!$G$7:$G$50,'LUXE DRIVE'!A19))+(COUNTIF('GO TRANSPORT'!$G$7:$G$50,'LUXE DRIVE'!A19))+(COUNTIF('LUXE DRIVE'!$G$7:$G$50,'LUXE DRIVE'!A19))+(COUNTIF('IB TRANSPORT'!$G$7:$G$50,'LUXE DRIVE'!A19))+(COUNTIF(JSL!$G$7:$G$50,'LUXE DRIVE'!A19))+(COUNTIF(KIFAITOUT!$G$7:$G$50,'LUXE DRIVE'!A19))+(COUNTIF('LUXE DRIVE'!$G$7:$G$50,'LUXE DRIVE'!A19))+(COUNTIF(SSN!$G$7:$G$50,'LUXE DRIVE'!A19))+(COUNTIF('W3'!$G$7:$G$50,'LUXE DRIVE'!A19))+(COUNTIF('ATHIS MONS'!$G$7:$G$50,'LUXE DRIVE'!A19))+(COUNTIF('L HAY LES ROSES'!$G$7:$G$50,'LUXE DRIVE'!A19))+(COUNTIF(RUNGIS!$G$7:$G$50,'LUXE DRIVE'!A19))+(COUNTIF(SCEAUX!$G$7:$G$50,'LUXE DRIVE'!A19))+(COUNTIF('INSTANCE C1'!$G$7:$G$50,'LUXE DRIVE'!A19))+(COUNTIF('INSTANCE C2'!$G$7:$G$50,'LUXE DRIVE'!A19))+(COUNTIF(INTERNES!$G$7:$G$50,'LUXE DRIVE'!A19))+(COUNTIF('EN PANNE'!$G$7:$G$50,'LUXE DRIVE'!A19))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EXPRESS'!$G$7:$G$50,'LUXE DRIVE'!G19))+(COUNTIF('2 ZT'!$G$7:$G$50,'LUXE DRIVE'!G19))+(COUNTIF('GO TRANSPORT'!$G$7:$G$50,'LUXE DRIVE'!G19))+(COUNTIF('HMZ - KAIS'!$G$7:$G$50,'LUXE DRIVE'!G19))+(COUNTIF('IB TRANSPORT'!$G$7:$G$50,'LUXE DRIVE'!G19))+(COUNTIF(JSL!$G$7:$G$50,'LUXE DRIVE'!G19))+(COUNTIF(KIFAITOUT!$G$7:$G$50,'LUXE DRIVE'!G19))+(COUNTIF('LUXE DRIVE'!$G$7:$G$50,'LUXE DRIVE'!G19))+(COUNTIF(SSN!$G$7:$G$50,'LUXE DRIVE'!G19))+(COUNTIF('W3'!$G$7:$G$50,'LUXE DRIVE'!G19))+(COUNTIF('ATHIS MONS'!$G$7:$G$50,'LUXE DRIVE'!G19))+(COUNTIF('L HAY LES ROSES'!$G$7:$G$50,'LUXE DRIVE'!G19))+(COUNTIF(RUNGIS!$G$7:$G$50,'LUXE DRIVE'!G19))+(COUNTIF(SCEAUX!$G$7:$G$50,'LUXE DRIVE'!G19))+(COUNTIF('INSTANCE C1'!$G$7:$G$50,'LUXE DRIVE'!G19))+(COUNTIF('INSTANCE C2'!$G$7:$G$50,'LUXE DRIVE'!G19))+(COUNTIF(INTERNES!$G$7:$G$50,'LUXE DRIVE'!G19))+(COUNTIF('EN PANNE'!$G$7:$G$50,'LUXE DRIVE'!G19))-I19</f>
        <v>0</v>
      </c>
      <c r="I19" s="23">
        <f>(COUNTIF('2S EXPRESS'!$A$7:$A$50,'LUXE DRIVE'!G19))+(COUNTIF('2 ZT'!$A$7:$A$50,'LUXE DRIVE'!G19))+(COUNTIF('GO TRANSPORT'!$A$7:$A$50,'LUXE DRIVE'!G19))+(COUNTIF('HMZ - KAIS'!$A$7:$A$50,'LUXE DRIVE'!G19))+(COUNTIF('IB TRANSPORT'!$A$7:$A$50,'LUXE DRIVE'!G19))+(COUNTIF(JSL!$A$7:$A$50,'LUXE DRIVE'!G19))+(COUNTIF(KIFAITOUT!$A$7:$A$50,'LUXE DRIVE'!G19))+(COUNTIF('LUXE DRIVE'!$A$7:$A$50,'LUXE DRIVE'!G19))+(COUNTIF(SSN!$A$7:$A$50,'LUXE DRIVE'!G19))+(COUNTIF('W3'!$A$7:$A$50,'LUXE DRIVE'!G19))+(COUNTIF('ATHIS MONS'!$A$7:$A$50,'LUXE DRIVE'!G19))+(COUNTIF('L HAY LES ROSES'!$A$7:$A$50,'LUXE DRIVE'!G19))+(COUNTIF(RUNGIS!$A$7:$A$50,'LUXE DRIVE'!G19))+(COUNTIF(SCEAUX!$A$7:$A$50,'LUXE DRIVE'!G19))+(COUNTIF('INSTANCE C1'!$A$7:$A$50,'LUXE DRIVE'!G19))+(COUNTIF('INSTANCE C2'!$A$7:$A$50,'LUXE DRIVE'!G19))+(COUNTIF(INTERNES!$A$7:$A$50,'LUXE DRIVE'!G19))+(COUNTIF('EN PANNE'!$A$7:$A$50,'LUXE DRIVE'!G19))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S19" s="60">
        <f t="shared" si="1"/>
        <v>0</v>
      </c>
      <c r="T19" s="67">
        <f t="shared" si="2"/>
        <v>0</v>
      </c>
    </row>
    <row r="20" spans="1:20" ht="24.95" customHeight="1" x14ac:dyDescent="0.2">
      <c r="A20" s="20"/>
      <c r="B20" s="23">
        <f>(COUNTIF('2S EXPRESS'!$A$7:$A$50,'LUXE DRIVE'!A20))+(COUNTIF('2 ZT'!$A$7:$A$50,'LUXE DRIVE'!A20))+(COUNTIF('GO TRANSPORT'!$A$7:$A$50,'LUXE DRIVE'!A20))+(COUNTIF('HMZ - KAIS'!$A$7:$A$50,'LUXE DRIVE'!A20))+(COUNTIF('IB TRANSPORT'!$A$7:$A$50,'LUXE DRIVE'!A20))+(COUNTIF(JSL!$A$7:$A$50,'LUXE DRIVE'!A20))+(COUNTIF(KIFAITOUT!$A$7:$A$50,'LUXE DRIVE'!A20))+(COUNTIF('LUXE DRIVE'!$A$7:$A$50,'LUXE DRIVE'!A20))+(COUNTIF(SSN!$A$7:$A$50,'LUXE DRIVE'!A20))+(COUNTIF('W3'!$A$7:$A$50,'LUXE DRIVE'!A20))+(COUNTIF('ATHIS MONS'!$A$7:$A$50,'LUXE DRIVE'!A20))+(COUNTIF('L HAY LES ROSES'!$A$7:$A$50,'LUXE DRIVE'!A20))+(COUNTIF(RUNGIS!$A$7:$A$50,'LUXE DRIVE'!A20))+(COUNTIF(SCEAUX!$A$7:$A$50,'LUXE DRIVE'!A20))+(COUNTIF('INSTANCE C1'!$A$7:$A$50,'LUXE DRIVE'!A20))+(COUNTIF('INSTANCE C2'!$A$7:$A$50,'LUXE DRIVE'!A20))+(COUNTIF(INTERNES!$A$7:$A$50,'LUXE DRIVE'!A20))+(COUNTIF('EN PANNE'!$A$7:$A$50,'LUXE DRIVE'!A20))-C20</f>
        <v>0</v>
      </c>
      <c r="C20" s="23">
        <f>(COUNTIF('2S EXPRESS'!$G$7:$G$50,'LUXE DRIVE'!A20))+(COUNTIF('2 ZT'!$G$7:$G$50,'LUXE DRIVE'!A20))+(COUNTIF('GO TRANSPORT'!$G$7:$G$50,'LUXE DRIVE'!A20))+(COUNTIF('LUXE DRIVE'!$G$7:$G$50,'LUXE DRIVE'!A20))+(COUNTIF('IB TRANSPORT'!$G$7:$G$50,'LUXE DRIVE'!A20))+(COUNTIF(JSL!$G$7:$G$50,'LUXE DRIVE'!A20))+(COUNTIF(KIFAITOUT!$G$7:$G$50,'LUXE DRIVE'!A20))+(COUNTIF('LUXE DRIVE'!$G$7:$G$50,'LUXE DRIVE'!A20))+(COUNTIF(SSN!$G$7:$G$50,'LUXE DRIVE'!A20))+(COUNTIF('W3'!$G$7:$G$50,'LUXE DRIVE'!A20))+(COUNTIF('ATHIS MONS'!$G$7:$G$50,'LUXE DRIVE'!A20))+(COUNTIF('L HAY LES ROSES'!$G$7:$G$50,'LUXE DRIVE'!A20))+(COUNTIF(RUNGIS!$G$7:$G$50,'LUXE DRIVE'!A20))+(COUNTIF(SCEAUX!$G$7:$G$50,'LUXE DRIVE'!A20))+(COUNTIF('INSTANCE C1'!$G$7:$G$50,'LUXE DRIVE'!A20))+(COUNTIF('INSTANCE C2'!$G$7:$G$50,'LUXE DRIVE'!A20))+(COUNTIF(INTERNES!$G$7:$G$50,'LUXE DRIVE'!A20))+(COUNTIF('EN PANNE'!$G$7:$G$50,'LUXE DRIVE'!A20))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EXPRESS'!$G$7:$G$50,'LUXE DRIVE'!G20))+(COUNTIF('2 ZT'!$G$7:$G$50,'LUXE DRIVE'!G20))+(COUNTIF('GO TRANSPORT'!$G$7:$G$50,'LUXE DRIVE'!G20))+(COUNTIF('HMZ - KAIS'!$G$7:$G$50,'LUXE DRIVE'!G20))+(COUNTIF('IB TRANSPORT'!$G$7:$G$50,'LUXE DRIVE'!G20))+(COUNTIF(JSL!$G$7:$G$50,'LUXE DRIVE'!G20))+(COUNTIF(KIFAITOUT!$G$7:$G$50,'LUXE DRIVE'!G20))+(COUNTIF('LUXE DRIVE'!$G$7:$G$50,'LUXE DRIVE'!G20))+(COUNTIF(SSN!$G$7:$G$50,'LUXE DRIVE'!G20))+(COUNTIF('W3'!$G$7:$G$50,'LUXE DRIVE'!G20))+(COUNTIF('ATHIS MONS'!$G$7:$G$50,'LUXE DRIVE'!G20))+(COUNTIF('L HAY LES ROSES'!$G$7:$G$50,'LUXE DRIVE'!G20))+(COUNTIF(RUNGIS!$G$7:$G$50,'LUXE DRIVE'!G20))+(COUNTIF(SCEAUX!$G$7:$G$50,'LUXE DRIVE'!G20))+(COUNTIF('INSTANCE C1'!$G$7:$G$50,'LUXE DRIVE'!G20))+(COUNTIF('INSTANCE C2'!$G$7:$G$50,'LUXE DRIVE'!G20))+(COUNTIF(INTERNES!$G$7:$G$50,'LUXE DRIVE'!G20))+(COUNTIF('EN PANNE'!$G$7:$G$50,'LUXE DRIVE'!G20))-I20</f>
        <v>0</v>
      </c>
      <c r="I20" s="23">
        <f>(COUNTIF('2S EXPRESS'!$A$7:$A$50,'LUXE DRIVE'!G20))+(COUNTIF('2 ZT'!$A$7:$A$50,'LUXE DRIVE'!G20))+(COUNTIF('GO TRANSPORT'!$A$7:$A$50,'LUXE DRIVE'!G20))+(COUNTIF('HMZ - KAIS'!$A$7:$A$50,'LUXE DRIVE'!G20))+(COUNTIF('IB TRANSPORT'!$A$7:$A$50,'LUXE DRIVE'!G20))+(COUNTIF(JSL!$A$7:$A$50,'LUXE DRIVE'!G20))+(COUNTIF(KIFAITOUT!$A$7:$A$50,'LUXE DRIVE'!G20))+(COUNTIF('LUXE DRIVE'!$A$7:$A$50,'LUXE DRIVE'!G20))+(COUNTIF(SSN!$A$7:$A$50,'LUXE DRIVE'!G20))+(COUNTIF('W3'!$A$7:$A$50,'LUXE DRIVE'!G20))+(COUNTIF('ATHIS MONS'!$A$7:$A$50,'LUXE DRIVE'!G20))+(COUNTIF('L HAY LES ROSES'!$A$7:$A$50,'LUXE DRIVE'!G20))+(COUNTIF(RUNGIS!$A$7:$A$50,'LUXE DRIVE'!G20))+(COUNTIF(SCEAUX!$A$7:$A$50,'LUXE DRIVE'!G20))+(COUNTIF('INSTANCE C1'!$A$7:$A$50,'LUXE DRIVE'!G20))+(COUNTIF('INSTANCE C2'!$A$7:$A$50,'LUXE DRIVE'!G20))+(COUNTIF(INTERNES!$A$7:$A$50,'LUXE DRIVE'!G20))+(COUNTIF('EN PANNE'!$A$7:$A$50,'LUXE DRIVE'!G20))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S20" s="60">
        <f t="shared" si="1"/>
        <v>0</v>
      </c>
      <c r="T20" s="67">
        <f t="shared" si="2"/>
        <v>0</v>
      </c>
    </row>
    <row r="21" spans="1:20" ht="24.95" customHeight="1" x14ac:dyDescent="0.2">
      <c r="A21" s="20"/>
      <c r="B21" s="23">
        <f>(COUNTIF('2S EXPRESS'!$A$7:$A$50,'LUXE DRIVE'!A21))+(COUNTIF('2 ZT'!$A$7:$A$50,'LUXE DRIVE'!A21))+(COUNTIF('GO TRANSPORT'!$A$7:$A$50,'LUXE DRIVE'!A21))+(COUNTIF('HMZ - KAIS'!$A$7:$A$50,'LUXE DRIVE'!A21))+(COUNTIF('IB TRANSPORT'!$A$7:$A$50,'LUXE DRIVE'!A21))+(COUNTIF(JSL!$A$7:$A$50,'LUXE DRIVE'!A21))+(COUNTIF(KIFAITOUT!$A$7:$A$50,'LUXE DRIVE'!A21))+(COUNTIF('LUXE DRIVE'!$A$7:$A$50,'LUXE DRIVE'!A21))+(COUNTIF(SSN!$A$7:$A$50,'LUXE DRIVE'!A21))+(COUNTIF('W3'!$A$7:$A$50,'LUXE DRIVE'!A21))+(COUNTIF('ATHIS MONS'!$A$7:$A$50,'LUXE DRIVE'!A21))+(COUNTIF('L HAY LES ROSES'!$A$7:$A$50,'LUXE DRIVE'!A21))+(COUNTIF(RUNGIS!$A$7:$A$50,'LUXE DRIVE'!A21))+(COUNTIF(SCEAUX!$A$7:$A$50,'LUXE DRIVE'!A21))+(COUNTIF('INSTANCE C1'!$A$7:$A$50,'LUXE DRIVE'!A21))+(COUNTIF('INSTANCE C2'!$A$7:$A$50,'LUXE DRIVE'!A21))+(COUNTIF(INTERNES!$A$7:$A$50,'LUXE DRIVE'!A21))+(COUNTIF('EN PANNE'!$A$7:$A$50,'LUXE DRIVE'!A21))-C21</f>
        <v>0</v>
      </c>
      <c r="C21" s="23">
        <f>(COUNTIF('2S EXPRESS'!$G$7:$G$50,'LUXE DRIVE'!A21))+(COUNTIF('2 ZT'!$G$7:$G$50,'LUXE DRIVE'!A21))+(COUNTIF('GO TRANSPORT'!$G$7:$G$50,'LUXE DRIVE'!A21))+(COUNTIF('LUXE DRIVE'!$G$7:$G$50,'LUXE DRIVE'!A21))+(COUNTIF('IB TRANSPORT'!$G$7:$G$50,'LUXE DRIVE'!A21))+(COUNTIF(JSL!$G$7:$G$50,'LUXE DRIVE'!A21))+(COUNTIF(KIFAITOUT!$G$7:$G$50,'LUXE DRIVE'!A21))+(COUNTIF('LUXE DRIVE'!$G$7:$G$50,'LUXE DRIVE'!A21))+(COUNTIF(SSN!$G$7:$G$50,'LUXE DRIVE'!A21))+(COUNTIF('W3'!$G$7:$G$50,'LUXE DRIVE'!A21))+(COUNTIF('ATHIS MONS'!$G$7:$G$50,'LUXE DRIVE'!A21))+(COUNTIF('L HAY LES ROSES'!$G$7:$G$50,'LUXE DRIVE'!A21))+(COUNTIF(RUNGIS!$G$7:$G$50,'LUXE DRIVE'!A21))+(COUNTIF(SCEAUX!$G$7:$G$50,'LUXE DRIVE'!A21))+(COUNTIF('INSTANCE C1'!$G$7:$G$50,'LUXE DRIVE'!A21))+(COUNTIF('INSTANCE C2'!$G$7:$G$50,'LUXE DRIVE'!A21))+(COUNTIF(INTERNES!$G$7:$G$50,'LUXE DRIVE'!A21))+(COUNTIF('EN PANNE'!$G$7:$G$50,'LUXE DRIVE'!A21))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EXPRESS'!$G$7:$G$50,'LUXE DRIVE'!G21))+(COUNTIF('2 ZT'!$G$7:$G$50,'LUXE DRIVE'!G21))+(COUNTIF('GO TRANSPORT'!$G$7:$G$50,'LUXE DRIVE'!G21))+(COUNTIF('HMZ - KAIS'!$G$7:$G$50,'LUXE DRIVE'!G21))+(COUNTIF('IB TRANSPORT'!$G$7:$G$50,'LUXE DRIVE'!G21))+(COUNTIF(JSL!$G$7:$G$50,'LUXE DRIVE'!G21))+(COUNTIF(KIFAITOUT!$G$7:$G$50,'LUXE DRIVE'!G21))+(COUNTIF('LUXE DRIVE'!$G$7:$G$50,'LUXE DRIVE'!G21))+(COUNTIF(SSN!$G$7:$G$50,'LUXE DRIVE'!G21))+(COUNTIF('W3'!$G$7:$G$50,'LUXE DRIVE'!G21))+(COUNTIF('ATHIS MONS'!$G$7:$G$50,'LUXE DRIVE'!G21))+(COUNTIF('L HAY LES ROSES'!$G$7:$G$50,'LUXE DRIVE'!G21))+(COUNTIF(RUNGIS!$G$7:$G$50,'LUXE DRIVE'!G21))+(COUNTIF(SCEAUX!$G$7:$G$50,'LUXE DRIVE'!G21))+(COUNTIF('INSTANCE C1'!$G$7:$G$50,'LUXE DRIVE'!G21))+(COUNTIF('INSTANCE C2'!$G$7:$G$50,'LUXE DRIVE'!G21))+(COUNTIF(INTERNES!$G$7:$G$50,'LUXE DRIVE'!G21))+(COUNTIF('EN PANNE'!$G$7:$G$50,'LUXE DRIVE'!G21))-I21</f>
        <v>0</v>
      </c>
      <c r="I21" s="23">
        <f>(COUNTIF('2S EXPRESS'!$A$7:$A$50,'LUXE DRIVE'!G21))+(COUNTIF('2 ZT'!$A$7:$A$50,'LUXE DRIVE'!G21))+(COUNTIF('GO TRANSPORT'!$A$7:$A$50,'LUXE DRIVE'!G21))+(COUNTIF('HMZ - KAIS'!$A$7:$A$50,'LUXE DRIVE'!G21))+(COUNTIF('IB TRANSPORT'!$A$7:$A$50,'LUXE DRIVE'!G21))+(COUNTIF(JSL!$A$7:$A$50,'LUXE DRIVE'!G21))+(COUNTIF(KIFAITOUT!$A$7:$A$50,'LUXE DRIVE'!G21))+(COUNTIF('LUXE DRIVE'!$A$7:$A$50,'LUXE DRIVE'!G21))+(COUNTIF(SSN!$A$7:$A$50,'LUXE DRIVE'!G21))+(COUNTIF('W3'!$A$7:$A$50,'LUXE DRIVE'!G21))+(COUNTIF('ATHIS MONS'!$A$7:$A$50,'LUXE DRIVE'!G21))+(COUNTIF('L HAY LES ROSES'!$A$7:$A$50,'LUXE DRIVE'!G21))+(COUNTIF(RUNGIS!$A$7:$A$50,'LUXE DRIVE'!G21))+(COUNTIF(SCEAUX!$A$7:$A$50,'LUXE DRIVE'!G21))+(COUNTIF('INSTANCE C1'!$A$7:$A$50,'LUXE DRIVE'!G21))+(COUNTIF('INSTANCE C2'!$A$7:$A$50,'LUXE DRIVE'!G21))+(COUNTIF(INTERNES!$A$7:$A$50,'LUXE DRIVE'!G21))+(COUNTIF('EN PANNE'!$A$7:$A$50,'LUXE DRIVE'!G21))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S21" s="60">
        <f t="shared" si="1"/>
        <v>0</v>
      </c>
      <c r="T21" s="67">
        <f t="shared" si="2"/>
        <v>0</v>
      </c>
    </row>
    <row r="22" spans="1:20" ht="24.95" customHeight="1" x14ac:dyDescent="0.2">
      <c r="A22" s="20"/>
      <c r="B22" s="23">
        <f>(COUNTIF('2S EXPRESS'!$A$7:$A$50,'LUXE DRIVE'!A22))+(COUNTIF('2 ZT'!$A$7:$A$50,'LUXE DRIVE'!A22))+(COUNTIF('GO TRANSPORT'!$A$7:$A$50,'LUXE DRIVE'!A22))+(COUNTIF('HMZ - KAIS'!$A$7:$A$50,'LUXE DRIVE'!A22))+(COUNTIF('IB TRANSPORT'!$A$7:$A$50,'LUXE DRIVE'!A22))+(COUNTIF(JSL!$A$7:$A$50,'LUXE DRIVE'!A22))+(COUNTIF(KIFAITOUT!$A$7:$A$50,'LUXE DRIVE'!A22))+(COUNTIF('LUXE DRIVE'!$A$7:$A$50,'LUXE DRIVE'!A22))+(COUNTIF(SSN!$A$7:$A$50,'LUXE DRIVE'!A22))+(COUNTIF('W3'!$A$7:$A$50,'LUXE DRIVE'!A22))+(COUNTIF('ATHIS MONS'!$A$7:$A$50,'LUXE DRIVE'!A22))+(COUNTIF('L HAY LES ROSES'!$A$7:$A$50,'LUXE DRIVE'!A22))+(COUNTIF(RUNGIS!$A$7:$A$50,'LUXE DRIVE'!A22))+(COUNTIF(SCEAUX!$A$7:$A$50,'LUXE DRIVE'!A22))+(COUNTIF('INSTANCE C1'!$A$7:$A$50,'LUXE DRIVE'!A22))+(COUNTIF('INSTANCE C2'!$A$7:$A$50,'LUXE DRIVE'!A22))+(COUNTIF(INTERNES!$A$7:$A$50,'LUXE DRIVE'!A22))+(COUNTIF('EN PANNE'!$A$7:$A$50,'LUXE DRIVE'!A22))-C22</f>
        <v>0</v>
      </c>
      <c r="C22" s="23">
        <f>(COUNTIF('2S EXPRESS'!$G$7:$G$50,'LUXE DRIVE'!A22))+(COUNTIF('2 ZT'!$G$7:$G$50,'LUXE DRIVE'!A22))+(COUNTIF('GO TRANSPORT'!$G$7:$G$50,'LUXE DRIVE'!A22))+(COUNTIF('LUXE DRIVE'!$G$7:$G$50,'LUXE DRIVE'!A22))+(COUNTIF('IB TRANSPORT'!$G$7:$G$50,'LUXE DRIVE'!A22))+(COUNTIF(JSL!$G$7:$G$50,'LUXE DRIVE'!A22))+(COUNTIF(KIFAITOUT!$G$7:$G$50,'LUXE DRIVE'!A22))+(COUNTIF('LUXE DRIVE'!$G$7:$G$50,'LUXE DRIVE'!A22))+(COUNTIF(SSN!$G$7:$G$50,'LUXE DRIVE'!A22))+(COUNTIF('W3'!$G$7:$G$50,'LUXE DRIVE'!A22))+(COUNTIF('ATHIS MONS'!$G$7:$G$50,'LUXE DRIVE'!A22))+(COUNTIF('L HAY LES ROSES'!$G$7:$G$50,'LUXE DRIVE'!A22))+(COUNTIF(RUNGIS!$G$7:$G$50,'LUXE DRIVE'!A22))+(COUNTIF(SCEAUX!$G$7:$G$50,'LUXE DRIVE'!A22))+(COUNTIF('INSTANCE C1'!$G$7:$G$50,'LUXE DRIVE'!A22))+(COUNTIF('INSTANCE C2'!$G$7:$G$50,'LUXE DRIVE'!A22))+(COUNTIF(INTERNES!$G$7:$G$50,'LUXE DRIVE'!A22))+(COUNTIF('EN PANNE'!$G$7:$G$50,'LUXE DRIVE'!A22))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EXPRESS'!$G$7:$G$50,'LUXE DRIVE'!G22))+(COUNTIF('2 ZT'!$G$7:$G$50,'LUXE DRIVE'!G22))+(COUNTIF('GO TRANSPORT'!$G$7:$G$50,'LUXE DRIVE'!G22))+(COUNTIF('HMZ - KAIS'!$G$7:$G$50,'LUXE DRIVE'!G22))+(COUNTIF('IB TRANSPORT'!$G$7:$G$50,'LUXE DRIVE'!G22))+(COUNTIF(JSL!$G$7:$G$50,'LUXE DRIVE'!G22))+(COUNTIF(KIFAITOUT!$G$7:$G$50,'LUXE DRIVE'!G22))+(COUNTIF('LUXE DRIVE'!$G$7:$G$50,'LUXE DRIVE'!G22))+(COUNTIF(SSN!$G$7:$G$50,'LUXE DRIVE'!G22))+(COUNTIF('W3'!$G$7:$G$50,'LUXE DRIVE'!G22))+(COUNTIF('ATHIS MONS'!$G$7:$G$50,'LUXE DRIVE'!G22))+(COUNTIF('L HAY LES ROSES'!$G$7:$G$50,'LUXE DRIVE'!G22))+(COUNTIF(RUNGIS!$G$7:$G$50,'LUXE DRIVE'!G22))+(COUNTIF(SCEAUX!$G$7:$G$50,'LUXE DRIVE'!G22))+(COUNTIF('INSTANCE C1'!$G$7:$G$50,'LUXE DRIVE'!G22))+(COUNTIF('INSTANCE C2'!$G$7:$G$50,'LUXE DRIVE'!G22))+(COUNTIF(INTERNES!$G$7:$G$50,'LUXE DRIVE'!G22))+(COUNTIF('EN PANNE'!$G$7:$G$50,'LUXE DRIVE'!G22))-I22</f>
        <v>0</v>
      </c>
      <c r="I22" s="23">
        <f>(COUNTIF('2S EXPRESS'!$A$7:$A$50,'LUXE DRIVE'!G22))+(COUNTIF('2 ZT'!$A$7:$A$50,'LUXE DRIVE'!G22))+(COUNTIF('GO TRANSPORT'!$A$7:$A$50,'LUXE DRIVE'!G22))+(COUNTIF('HMZ - KAIS'!$A$7:$A$50,'LUXE DRIVE'!G22))+(COUNTIF('IB TRANSPORT'!$A$7:$A$50,'LUXE DRIVE'!G22))+(COUNTIF(JSL!$A$7:$A$50,'LUXE DRIVE'!G22))+(COUNTIF(KIFAITOUT!$A$7:$A$50,'LUXE DRIVE'!G22))+(COUNTIF('LUXE DRIVE'!$A$7:$A$50,'LUXE DRIVE'!G22))+(COUNTIF(SSN!$A$7:$A$50,'LUXE DRIVE'!G22))+(COUNTIF('W3'!$A$7:$A$50,'LUXE DRIVE'!G22))+(COUNTIF('ATHIS MONS'!$A$7:$A$50,'LUXE DRIVE'!G22))+(COUNTIF('L HAY LES ROSES'!$A$7:$A$50,'LUXE DRIVE'!G22))+(COUNTIF(RUNGIS!$A$7:$A$50,'LUXE DRIVE'!G22))+(COUNTIF(SCEAUX!$A$7:$A$50,'LUXE DRIVE'!G22))+(COUNTIF('INSTANCE C1'!$A$7:$A$50,'LUXE DRIVE'!G22))+(COUNTIF('INSTANCE C2'!$A$7:$A$50,'LUXE DRIVE'!G22))+(COUNTIF(INTERNES!$A$7:$A$50,'LUXE DRIVE'!G22))+(COUNTIF('EN PANNE'!$A$7:$A$50,'LUXE DRIVE'!G22))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S22" s="60">
        <f t="shared" si="1"/>
        <v>0</v>
      </c>
      <c r="T22" s="67">
        <f t="shared" si="2"/>
        <v>0</v>
      </c>
    </row>
    <row r="23" spans="1:20" ht="24.95" customHeight="1" x14ac:dyDescent="0.2">
      <c r="A23" s="20"/>
      <c r="B23" s="23">
        <f>(COUNTIF('2S EXPRESS'!$A$7:$A$50,'LUXE DRIVE'!A23))+(COUNTIF('2 ZT'!$A$7:$A$50,'LUXE DRIVE'!A23))+(COUNTIF('GO TRANSPORT'!$A$7:$A$50,'LUXE DRIVE'!A23))+(COUNTIF('HMZ - KAIS'!$A$7:$A$50,'LUXE DRIVE'!A23))+(COUNTIF('IB TRANSPORT'!$A$7:$A$50,'LUXE DRIVE'!A23))+(COUNTIF(JSL!$A$7:$A$50,'LUXE DRIVE'!A23))+(COUNTIF(KIFAITOUT!$A$7:$A$50,'LUXE DRIVE'!A23))+(COUNTIF('LUXE DRIVE'!$A$7:$A$50,'LUXE DRIVE'!A23))+(COUNTIF(SSN!$A$7:$A$50,'LUXE DRIVE'!A23))+(COUNTIF('W3'!$A$7:$A$50,'LUXE DRIVE'!A23))+(COUNTIF('ATHIS MONS'!$A$7:$A$50,'LUXE DRIVE'!A23))+(COUNTIF('L HAY LES ROSES'!$A$7:$A$50,'LUXE DRIVE'!A23))+(COUNTIF(RUNGIS!$A$7:$A$50,'LUXE DRIVE'!A23))+(COUNTIF(SCEAUX!$A$7:$A$50,'LUXE DRIVE'!A23))+(COUNTIF('INSTANCE C1'!$A$7:$A$50,'LUXE DRIVE'!A23))+(COUNTIF('INSTANCE C2'!$A$7:$A$50,'LUXE DRIVE'!A23))+(COUNTIF(INTERNES!$A$7:$A$50,'LUXE DRIVE'!A23))+(COUNTIF('EN PANNE'!$A$7:$A$50,'LUXE DRIVE'!A23))-C23</f>
        <v>0</v>
      </c>
      <c r="C23" s="23">
        <f>(COUNTIF('2S EXPRESS'!$G$7:$G$50,'LUXE DRIVE'!A23))+(COUNTIF('2 ZT'!$G$7:$G$50,'LUXE DRIVE'!A23))+(COUNTIF('GO TRANSPORT'!$G$7:$G$50,'LUXE DRIVE'!A23))+(COUNTIF('LUXE DRIVE'!$G$7:$G$50,'LUXE DRIVE'!A23))+(COUNTIF('IB TRANSPORT'!$G$7:$G$50,'LUXE DRIVE'!A23))+(COUNTIF(JSL!$G$7:$G$50,'LUXE DRIVE'!A23))+(COUNTIF(KIFAITOUT!$G$7:$G$50,'LUXE DRIVE'!A23))+(COUNTIF('LUXE DRIVE'!$G$7:$G$50,'LUXE DRIVE'!A23))+(COUNTIF(SSN!$G$7:$G$50,'LUXE DRIVE'!A23))+(COUNTIF('W3'!$G$7:$G$50,'LUXE DRIVE'!A23))+(COUNTIF('ATHIS MONS'!$G$7:$G$50,'LUXE DRIVE'!A23))+(COUNTIF('L HAY LES ROSES'!$G$7:$G$50,'LUXE DRIVE'!A23))+(COUNTIF(RUNGIS!$G$7:$G$50,'LUXE DRIVE'!A23))+(COUNTIF(SCEAUX!$G$7:$G$50,'LUXE DRIVE'!A23))+(COUNTIF('INSTANCE C1'!$G$7:$G$50,'LUXE DRIVE'!A23))+(COUNTIF('INSTANCE C2'!$G$7:$G$50,'LUXE DRIVE'!A23))+(COUNTIF(INTERNES!$G$7:$G$50,'LUXE DRIVE'!A23))+(COUNTIF('EN PANNE'!$G$7:$G$50,'LUXE DRIVE'!A23))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EXPRESS'!$G$7:$G$50,'LUXE DRIVE'!G23))+(COUNTIF('2 ZT'!$G$7:$G$50,'LUXE DRIVE'!G23))+(COUNTIF('GO TRANSPORT'!$G$7:$G$50,'LUXE DRIVE'!G23))+(COUNTIF('HMZ - KAIS'!$G$7:$G$50,'LUXE DRIVE'!G23))+(COUNTIF('IB TRANSPORT'!$G$7:$G$50,'LUXE DRIVE'!G23))+(COUNTIF(JSL!$G$7:$G$50,'LUXE DRIVE'!G23))+(COUNTIF(KIFAITOUT!$G$7:$G$50,'LUXE DRIVE'!G23))+(COUNTIF('LUXE DRIVE'!$G$7:$G$50,'LUXE DRIVE'!G23))+(COUNTIF(SSN!$G$7:$G$50,'LUXE DRIVE'!G23))+(COUNTIF('W3'!$G$7:$G$50,'LUXE DRIVE'!G23))+(COUNTIF('ATHIS MONS'!$G$7:$G$50,'LUXE DRIVE'!G23))+(COUNTIF('L HAY LES ROSES'!$G$7:$G$50,'LUXE DRIVE'!G23))+(COUNTIF(RUNGIS!$G$7:$G$50,'LUXE DRIVE'!G23))+(COUNTIF(SCEAUX!$G$7:$G$50,'LUXE DRIVE'!G23))+(COUNTIF('INSTANCE C1'!$G$7:$G$50,'LUXE DRIVE'!G23))+(COUNTIF('INSTANCE C2'!$G$7:$G$50,'LUXE DRIVE'!G23))+(COUNTIF(INTERNES!$G$7:$G$50,'LUXE DRIVE'!G23))+(COUNTIF('EN PANNE'!$G$7:$G$50,'LUXE DRIVE'!G23))-I23</f>
        <v>0</v>
      </c>
      <c r="I23" s="23">
        <f>(COUNTIF('2S EXPRESS'!$A$7:$A$50,'LUXE DRIVE'!G23))+(COUNTIF('2 ZT'!$A$7:$A$50,'LUXE DRIVE'!G23))+(COUNTIF('GO TRANSPORT'!$A$7:$A$50,'LUXE DRIVE'!G23))+(COUNTIF('HMZ - KAIS'!$A$7:$A$50,'LUXE DRIVE'!G23))+(COUNTIF('IB TRANSPORT'!$A$7:$A$50,'LUXE DRIVE'!G23))+(COUNTIF(JSL!$A$7:$A$50,'LUXE DRIVE'!G23))+(COUNTIF(KIFAITOUT!$A$7:$A$50,'LUXE DRIVE'!G23))+(COUNTIF('LUXE DRIVE'!$A$7:$A$50,'LUXE DRIVE'!G23))+(COUNTIF(SSN!$A$7:$A$50,'LUXE DRIVE'!G23))+(COUNTIF('W3'!$A$7:$A$50,'LUXE DRIVE'!G23))+(COUNTIF('ATHIS MONS'!$A$7:$A$50,'LUXE DRIVE'!G23))+(COUNTIF('L HAY LES ROSES'!$A$7:$A$50,'LUXE DRIVE'!G23))+(COUNTIF(RUNGIS!$A$7:$A$50,'LUXE DRIVE'!G23))+(COUNTIF(SCEAUX!$A$7:$A$50,'LUXE DRIVE'!G23))+(COUNTIF('INSTANCE C1'!$A$7:$A$50,'LUXE DRIVE'!G23))+(COUNTIF('INSTANCE C2'!$A$7:$A$50,'LUXE DRIVE'!G23))+(COUNTIF(INTERNES!$A$7:$A$50,'LUXE DRIVE'!G23))+(COUNTIF('EN PANNE'!$A$7:$A$50,'LUXE DRIVE'!G23))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S23" s="60">
        <f t="shared" si="1"/>
        <v>0</v>
      </c>
      <c r="T23" s="67">
        <f t="shared" si="2"/>
        <v>0</v>
      </c>
    </row>
    <row r="24" spans="1:20" ht="24.95" customHeight="1" x14ac:dyDescent="0.2">
      <c r="A24" s="20"/>
      <c r="B24" s="23">
        <f>(COUNTIF('2S EXPRESS'!$A$7:$A$50,'LUXE DRIVE'!A24))+(COUNTIF('2 ZT'!$A$7:$A$50,'LUXE DRIVE'!A24))+(COUNTIF('GO TRANSPORT'!$A$7:$A$50,'LUXE DRIVE'!A24))+(COUNTIF('HMZ - KAIS'!$A$7:$A$50,'LUXE DRIVE'!A24))+(COUNTIF('IB TRANSPORT'!$A$7:$A$50,'LUXE DRIVE'!A24))+(COUNTIF(JSL!$A$7:$A$50,'LUXE DRIVE'!A24))+(COUNTIF(KIFAITOUT!$A$7:$A$50,'LUXE DRIVE'!A24))+(COUNTIF('LUXE DRIVE'!$A$7:$A$50,'LUXE DRIVE'!A24))+(COUNTIF(SSN!$A$7:$A$50,'LUXE DRIVE'!A24))+(COUNTIF('W3'!$A$7:$A$50,'LUXE DRIVE'!A24))+(COUNTIF('ATHIS MONS'!$A$7:$A$50,'LUXE DRIVE'!A24))+(COUNTIF('L HAY LES ROSES'!$A$7:$A$50,'LUXE DRIVE'!A24))+(COUNTIF(RUNGIS!$A$7:$A$50,'LUXE DRIVE'!A24))+(COUNTIF(SCEAUX!$A$7:$A$50,'LUXE DRIVE'!A24))+(COUNTIF('INSTANCE C1'!$A$7:$A$50,'LUXE DRIVE'!A24))+(COUNTIF('INSTANCE C2'!$A$7:$A$50,'LUXE DRIVE'!A24))+(COUNTIF(INTERNES!$A$7:$A$50,'LUXE DRIVE'!A24))+(COUNTIF('EN PANNE'!$A$7:$A$50,'LUXE DRIVE'!A24))-C24</f>
        <v>0</v>
      </c>
      <c r="C24" s="23">
        <f>(COUNTIF('2S EXPRESS'!$G$7:$G$50,'LUXE DRIVE'!A24))+(COUNTIF('2 ZT'!$G$7:$G$50,'LUXE DRIVE'!A24))+(COUNTIF('GO TRANSPORT'!$G$7:$G$50,'LUXE DRIVE'!A24))+(COUNTIF('LUXE DRIVE'!$G$7:$G$50,'LUXE DRIVE'!A24))+(COUNTIF('IB TRANSPORT'!$G$7:$G$50,'LUXE DRIVE'!A24))+(COUNTIF(JSL!$G$7:$G$50,'LUXE DRIVE'!A24))+(COUNTIF(KIFAITOUT!$G$7:$G$50,'LUXE DRIVE'!A24))+(COUNTIF('LUXE DRIVE'!$G$7:$G$50,'LUXE DRIVE'!A24))+(COUNTIF(SSN!$G$7:$G$50,'LUXE DRIVE'!A24))+(COUNTIF('W3'!$G$7:$G$50,'LUXE DRIVE'!A24))+(COUNTIF('ATHIS MONS'!$G$7:$G$50,'LUXE DRIVE'!A24))+(COUNTIF('L HAY LES ROSES'!$G$7:$G$50,'LUXE DRIVE'!A24))+(COUNTIF(RUNGIS!$G$7:$G$50,'LUXE DRIVE'!A24))+(COUNTIF(SCEAUX!$G$7:$G$50,'LUXE DRIVE'!A24))+(COUNTIF('INSTANCE C1'!$G$7:$G$50,'LUXE DRIVE'!A24))+(COUNTIF('INSTANCE C2'!$G$7:$G$50,'LUXE DRIVE'!A24))+(COUNTIF(INTERNES!$G$7:$G$50,'LUXE DRIVE'!A24))+(COUNTIF('EN PANNE'!$G$7:$G$50,'LUXE DRIVE'!A24))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EXPRESS'!$G$7:$G$50,'LUXE DRIVE'!G24))+(COUNTIF('2 ZT'!$G$7:$G$50,'LUXE DRIVE'!G24))+(COUNTIF('GO TRANSPORT'!$G$7:$G$50,'LUXE DRIVE'!G24))+(COUNTIF('HMZ - KAIS'!$G$7:$G$50,'LUXE DRIVE'!G24))+(COUNTIF('IB TRANSPORT'!$G$7:$G$50,'LUXE DRIVE'!G24))+(COUNTIF(JSL!$G$7:$G$50,'LUXE DRIVE'!G24))+(COUNTIF(KIFAITOUT!$G$7:$G$50,'LUXE DRIVE'!G24))+(COUNTIF('LUXE DRIVE'!$G$7:$G$50,'LUXE DRIVE'!G24))+(COUNTIF(SSN!$G$7:$G$50,'LUXE DRIVE'!G24))+(COUNTIF('W3'!$G$7:$G$50,'LUXE DRIVE'!G24))+(COUNTIF('ATHIS MONS'!$G$7:$G$50,'LUXE DRIVE'!G24))+(COUNTIF('L HAY LES ROSES'!$G$7:$G$50,'LUXE DRIVE'!G24))+(COUNTIF(RUNGIS!$G$7:$G$50,'LUXE DRIVE'!G24))+(COUNTIF(SCEAUX!$G$7:$G$50,'LUXE DRIVE'!G24))+(COUNTIF('INSTANCE C1'!$G$7:$G$50,'LUXE DRIVE'!G24))+(COUNTIF('INSTANCE C2'!$G$7:$G$50,'LUXE DRIVE'!G24))+(COUNTIF(INTERNES!$G$7:$G$50,'LUXE DRIVE'!G24))+(COUNTIF('EN PANNE'!$G$7:$G$50,'LUXE DRIVE'!G24))-I24</f>
        <v>0</v>
      </c>
      <c r="I24" s="23">
        <f>(COUNTIF('2S EXPRESS'!$A$7:$A$50,'LUXE DRIVE'!G24))+(COUNTIF('2 ZT'!$A$7:$A$50,'LUXE DRIVE'!G24))+(COUNTIF('GO TRANSPORT'!$A$7:$A$50,'LUXE DRIVE'!G24))+(COUNTIF('HMZ - KAIS'!$A$7:$A$50,'LUXE DRIVE'!G24))+(COUNTIF('IB TRANSPORT'!$A$7:$A$50,'LUXE DRIVE'!G24))+(COUNTIF(JSL!$A$7:$A$50,'LUXE DRIVE'!G24))+(COUNTIF(KIFAITOUT!$A$7:$A$50,'LUXE DRIVE'!G24))+(COUNTIF('LUXE DRIVE'!$A$7:$A$50,'LUXE DRIVE'!G24))+(COUNTIF(SSN!$A$7:$A$50,'LUXE DRIVE'!G24))+(COUNTIF('W3'!$A$7:$A$50,'LUXE DRIVE'!G24))+(COUNTIF('ATHIS MONS'!$A$7:$A$50,'LUXE DRIVE'!G24))+(COUNTIF('L HAY LES ROSES'!$A$7:$A$50,'LUXE DRIVE'!G24))+(COUNTIF(RUNGIS!$A$7:$A$50,'LUXE DRIVE'!G24))+(COUNTIF(SCEAUX!$A$7:$A$50,'LUXE DRIVE'!G24))+(COUNTIF('INSTANCE C1'!$A$7:$A$50,'LUXE DRIVE'!G24))+(COUNTIF('INSTANCE C2'!$A$7:$A$50,'LUXE DRIVE'!G24))+(COUNTIF(INTERNES!$A$7:$A$50,'LUXE DRIVE'!G24))+(COUNTIF('EN PANNE'!$A$7:$A$50,'LUXE DRIVE'!G24))</f>
        <v>0</v>
      </c>
      <c r="J24" s="28">
        <f t="shared" si="4"/>
        <v>0</v>
      </c>
      <c r="K24" s="2"/>
      <c r="L24" s="47"/>
      <c r="S24" s="60">
        <f t="shared" si="1"/>
        <v>0</v>
      </c>
      <c r="T24" s="67">
        <f t="shared" si="2"/>
        <v>0</v>
      </c>
    </row>
    <row r="25" spans="1:20" ht="24.95" customHeight="1" x14ac:dyDescent="0.2">
      <c r="A25" s="20"/>
      <c r="B25" s="23">
        <f>(COUNTIF('2S EXPRESS'!$A$7:$A$50,'LUXE DRIVE'!A25))+(COUNTIF('2 ZT'!$A$7:$A$50,'LUXE DRIVE'!A25))+(COUNTIF('GO TRANSPORT'!$A$7:$A$50,'LUXE DRIVE'!A25))+(COUNTIF('HMZ - KAIS'!$A$7:$A$50,'LUXE DRIVE'!A25))+(COUNTIF('IB TRANSPORT'!$A$7:$A$50,'LUXE DRIVE'!A25))+(COUNTIF(JSL!$A$7:$A$50,'LUXE DRIVE'!A25))+(COUNTIF(KIFAITOUT!$A$7:$A$50,'LUXE DRIVE'!A25))+(COUNTIF('LUXE DRIVE'!$A$7:$A$50,'LUXE DRIVE'!A25))+(COUNTIF(SSN!$A$7:$A$50,'LUXE DRIVE'!A25))+(COUNTIF('W3'!$A$7:$A$50,'LUXE DRIVE'!A25))+(COUNTIF('ATHIS MONS'!$A$7:$A$50,'LUXE DRIVE'!A25))+(COUNTIF('L HAY LES ROSES'!$A$7:$A$50,'LUXE DRIVE'!A25))+(COUNTIF(RUNGIS!$A$7:$A$50,'LUXE DRIVE'!A25))+(COUNTIF(SCEAUX!$A$7:$A$50,'LUXE DRIVE'!A25))+(COUNTIF('INSTANCE C1'!$A$7:$A$50,'LUXE DRIVE'!A25))+(COUNTIF('INSTANCE C2'!$A$7:$A$50,'LUXE DRIVE'!A25))+(COUNTIF(INTERNES!$A$7:$A$50,'LUXE DRIVE'!A25))+(COUNTIF('EN PANNE'!$A$7:$A$50,'LUXE DRIVE'!A25))-C25</f>
        <v>0</v>
      </c>
      <c r="C25" s="23">
        <f>(COUNTIF('2S EXPRESS'!$G$7:$G$50,'LUXE DRIVE'!A25))+(COUNTIF('2 ZT'!$G$7:$G$50,'LUXE DRIVE'!A25))+(COUNTIF('GO TRANSPORT'!$G$7:$G$50,'LUXE DRIVE'!A25))+(COUNTIF('LUXE DRIVE'!$G$7:$G$50,'LUXE DRIVE'!A25))+(COUNTIF('IB TRANSPORT'!$G$7:$G$50,'LUXE DRIVE'!A25))+(COUNTIF(JSL!$G$7:$G$50,'LUXE DRIVE'!A25))+(COUNTIF(KIFAITOUT!$G$7:$G$50,'LUXE DRIVE'!A25))+(COUNTIF('LUXE DRIVE'!$G$7:$G$50,'LUXE DRIVE'!A25))+(COUNTIF(SSN!$G$7:$G$50,'LUXE DRIVE'!A25))+(COUNTIF('W3'!$G$7:$G$50,'LUXE DRIVE'!A25))+(COUNTIF('ATHIS MONS'!$G$7:$G$50,'LUXE DRIVE'!A25))+(COUNTIF('L HAY LES ROSES'!$G$7:$G$50,'LUXE DRIVE'!A25))+(COUNTIF(RUNGIS!$G$7:$G$50,'LUXE DRIVE'!A25))+(COUNTIF(SCEAUX!$G$7:$G$50,'LUXE DRIVE'!A25))+(COUNTIF('INSTANCE C1'!$G$7:$G$50,'LUXE DRIVE'!A25))+(COUNTIF('INSTANCE C2'!$G$7:$G$50,'LUXE DRIVE'!A25))+(COUNTIF(INTERNES!$G$7:$G$50,'LUXE DRIVE'!A25))+(COUNTIF('EN PANNE'!$G$7:$G$50,'LUXE DRIVE'!A25))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EXPRESS'!$G$7:$G$50,'LUXE DRIVE'!G25))+(COUNTIF('2 ZT'!$G$7:$G$50,'LUXE DRIVE'!G25))+(COUNTIF('GO TRANSPORT'!$G$7:$G$50,'LUXE DRIVE'!G25))+(COUNTIF('HMZ - KAIS'!$G$7:$G$50,'LUXE DRIVE'!G25))+(COUNTIF('IB TRANSPORT'!$G$7:$G$50,'LUXE DRIVE'!G25))+(COUNTIF(JSL!$G$7:$G$50,'LUXE DRIVE'!G25))+(COUNTIF(KIFAITOUT!$G$7:$G$50,'LUXE DRIVE'!G25))+(COUNTIF('LUXE DRIVE'!$G$7:$G$50,'LUXE DRIVE'!G25))+(COUNTIF(SSN!$G$7:$G$50,'LUXE DRIVE'!G25))+(COUNTIF('W3'!$G$7:$G$50,'LUXE DRIVE'!G25))+(COUNTIF('ATHIS MONS'!$G$7:$G$50,'LUXE DRIVE'!G25))+(COUNTIF('L HAY LES ROSES'!$G$7:$G$50,'LUXE DRIVE'!G25))+(COUNTIF(RUNGIS!$G$7:$G$50,'LUXE DRIVE'!G25))+(COUNTIF(SCEAUX!$G$7:$G$50,'LUXE DRIVE'!G25))+(COUNTIF('INSTANCE C1'!$G$7:$G$50,'LUXE DRIVE'!G25))+(COUNTIF('INSTANCE C2'!$G$7:$G$50,'LUXE DRIVE'!G25))+(COUNTIF(INTERNES!$G$7:$G$50,'LUXE DRIVE'!G25))+(COUNTIF('EN PANNE'!$G$7:$G$50,'LUXE DRIVE'!G25))-I25</f>
        <v>0</v>
      </c>
      <c r="I25" s="23">
        <f>(COUNTIF('2S EXPRESS'!$A$7:$A$50,'LUXE DRIVE'!G25))+(COUNTIF('2 ZT'!$A$7:$A$50,'LUXE DRIVE'!G25))+(COUNTIF('GO TRANSPORT'!$A$7:$A$50,'LUXE DRIVE'!G25))+(COUNTIF('HMZ - KAIS'!$A$7:$A$50,'LUXE DRIVE'!G25))+(COUNTIF('IB TRANSPORT'!$A$7:$A$50,'LUXE DRIVE'!G25))+(COUNTIF(JSL!$A$7:$A$50,'LUXE DRIVE'!G25))+(COUNTIF(KIFAITOUT!$A$7:$A$50,'LUXE DRIVE'!G25))+(COUNTIF('LUXE DRIVE'!$A$7:$A$50,'LUXE DRIVE'!G25))+(COUNTIF(SSN!$A$7:$A$50,'LUXE DRIVE'!G25))+(COUNTIF('W3'!$A$7:$A$50,'LUXE DRIVE'!G25))+(COUNTIF('ATHIS MONS'!$A$7:$A$50,'LUXE DRIVE'!G25))+(COUNTIF('L HAY LES ROSES'!$A$7:$A$50,'LUXE DRIVE'!G25))+(COUNTIF(RUNGIS!$A$7:$A$50,'LUXE DRIVE'!G25))+(COUNTIF(SCEAUX!$A$7:$A$50,'LUXE DRIVE'!G25))+(COUNTIF('INSTANCE C1'!$A$7:$A$50,'LUXE DRIVE'!G25))+(COUNTIF('INSTANCE C2'!$A$7:$A$50,'LUXE DRIVE'!G25))+(COUNTIF(INTERNES!$A$7:$A$50,'LUXE DRIVE'!G25))+(COUNTIF('EN PANNE'!$A$7:$A$50,'LUXE DRIVE'!G25))</f>
        <v>0</v>
      </c>
      <c r="J25" s="28">
        <f t="shared" si="4"/>
        <v>0</v>
      </c>
      <c r="K25" s="2"/>
      <c r="L25" s="47"/>
      <c r="S25" s="60">
        <f t="shared" si="1"/>
        <v>0</v>
      </c>
      <c r="T25" s="67">
        <f t="shared" si="2"/>
        <v>0</v>
      </c>
    </row>
    <row r="26" spans="1:20" ht="24.95" customHeight="1" x14ac:dyDescent="0.2">
      <c r="A26" s="20"/>
      <c r="B26" s="23">
        <f>(COUNTIF('2S EXPRESS'!$A$7:$A$50,'LUXE DRIVE'!A26))+(COUNTIF('2 ZT'!$A$7:$A$50,'LUXE DRIVE'!A26))+(COUNTIF('GO TRANSPORT'!$A$7:$A$50,'LUXE DRIVE'!A26))+(COUNTIF('HMZ - KAIS'!$A$7:$A$50,'LUXE DRIVE'!A26))+(COUNTIF('IB TRANSPORT'!$A$7:$A$50,'LUXE DRIVE'!A26))+(COUNTIF(JSL!$A$7:$A$50,'LUXE DRIVE'!A26))+(COUNTIF(KIFAITOUT!$A$7:$A$50,'LUXE DRIVE'!A26))+(COUNTIF('LUXE DRIVE'!$A$7:$A$50,'LUXE DRIVE'!A26))+(COUNTIF(SSN!$A$7:$A$50,'LUXE DRIVE'!A26))+(COUNTIF('W3'!$A$7:$A$50,'LUXE DRIVE'!A26))+(COUNTIF('ATHIS MONS'!$A$7:$A$50,'LUXE DRIVE'!A26))+(COUNTIF('L HAY LES ROSES'!$A$7:$A$50,'LUXE DRIVE'!A26))+(COUNTIF(RUNGIS!$A$7:$A$50,'LUXE DRIVE'!A26))+(COUNTIF(SCEAUX!$A$7:$A$50,'LUXE DRIVE'!A26))+(COUNTIF('INSTANCE C1'!$A$7:$A$50,'LUXE DRIVE'!A26))+(COUNTIF('INSTANCE C2'!$A$7:$A$50,'LUXE DRIVE'!A26))+(COUNTIF(INTERNES!$A$7:$A$50,'LUXE DRIVE'!A26))+(COUNTIF('EN PANNE'!$A$7:$A$50,'LUXE DRIVE'!A26))-C26</f>
        <v>0</v>
      </c>
      <c r="C26" s="23">
        <f>(COUNTIF('2S EXPRESS'!$G$7:$G$50,'LUXE DRIVE'!A26))+(COUNTIF('2 ZT'!$G$7:$G$50,'LUXE DRIVE'!A26))+(COUNTIF('GO TRANSPORT'!$G$7:$G$50,'LUXE DRIVE'!A26))+(COUNTIF('LUXE DRIVE'!$G$7:$G$50,'LUXE DRIVE'!A26))+(COUNTIF('IB TRANSPORT'!$G$7:$G$50,'LUXE DRIVE'!A26))+(COUNTIF(JSL!$G$7:$G$50,'LUXE DRIVE'!A26))+(COUNTIF(KIFAITOUT!$G$7:$G$50,'LUXE DRIVE'!A26))+(COUNTIF('LUXE DRIVE'!$G$7:$G$50,'LUXE DRIVE'!A26))+(COUNTIF(SSN!$G$7:$G$50,'LUXE DRIVE'!A26))+(COUNTIF('W3'!$G$7:$G$50,'LUXE DRIVE'!A26))+(COUNTIF('ATHIS MONS'!$G$7:$G$50,'LUXE DRIVE'!A26))+(COUNTIF('L HAY LES ROSES'!$G$7:$G$50,'LUXE DRIVE'!A26))+(COUNTIF(RUNGIS!$G$7:$G$50,'LUXE DRIVE'!A26))+(COUNTIF(SCEAUX!$G$7:$G$50,'LUXE DRIVE'!A26))+(COUNTIF('INSTANCE C1'!$G$7:$G$50,'LUXE DRIVE'!A26))+(COUNTIF('INSTANCE C2'!$G$7:$G$50,'LUXE DRIVE'!A26))+(COUNTIF(INTERNES!$G$7:$G$50,'LUXE DRIVE'!A26))+(COUNTIF('EN PANNE'!$G$7:$G$50,'LUXE DRIVE'!A26))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EXPRESS'!$G$7:$G$50,'LUXE DRIVE'!G26))+(COUNTIF('2 ZT'!$G$7:$G$50,'LUXE DRIVE'!G26))+(COUNTIF('GO TRANSPORT'!$G$7:$G$50,'LUXE DRIVE'!G26))+(COUNTIF('HMZ - KAIS'!$G$7:$G$50,'LUXE DRIVE'!G26))+(COUNTIF('IB TRANSPORT'!$G$7:$G$50,'LUXE DRIVE'!G26))+(COUNTIF(JSL!$G$7:$G$50,'LUXE DRIVE'!G26))+(COUNTIF(KIFAITOUT!$G$7:$G$50,'LUXE DRIVE'!G26))+(COUNTIF('LUXE DRIVE'!$G$7:$G$50,'LUXE DRIVE'!G26))+(COUNTIF(SSN!$G$7:$G$50,'LUXE DRIVE'!G26))+(COUNTIF('W3'!$G$7:$G$50,'LUXE DRIVE'!G26))+(COUNTIF('ATHIS MONS'!$G$7:$G$50,'LUXE DRIVE'!G26))+(COUNTIF('L HAY LES ROSES'!$G$7:$G$50,'LUXE DRIVE'!G26))+(COUNTIF(RUNGIS!$G$7:$G$50,'LUXE DRIVE'!G26))+(COUNTIF(SCEAUX!$G$7:$G$50,'LUXE DRIVE'!G26))+(COUNTIF('INSTANCE C1'!$G$7:$G$50,'LUXE DRIVE'!G26))+(COUNTIF('INSTANCE C2'!$G$7:$G$50,'LUXE DRIVE'!G26))+(COUNTIF(INTERNES!$G$7:$G$50,'LUXE DRIVE'!G26))+(COUNTIF('EN PANNE'!$G$7:$G$50,'LUXE DRIVE'!G26))-I26</f>
        <v>0</v>
      </c>
      <c r="I26" s="23">
        <f>(COUNTIF('2S EXPRESS'!$A$7:$A$50,'LUXE DRIVE'!G26))+(COUNTIF('2 ZT'!$A$7:$A$50,'LUXE DRIVE'!G26))+(COUNTIF('GO TRANSPORT'!$A$7:$A$50,'LUXE DRIVE'!G26))+(COUNTIF('HMZ - KAIS'!$A$7:$A$50,'LUXE DRIVE'!G26))+(COUNTIF('IB TRANSPORT'!$A$7:$A$50,'LUXE DRIVE'!G26))+(COUNTIF(JSL!$A$7:$A$50,'LUXE DRIVE'!G26))+(COUNTIF(KIFAITOUT!$A$7:$A$50,'LUXE DRIVE'!G26))+(COUNTIF('LUXE DRIVE'!$A$7:$A$50,'LUXE DRIVE'!G26))+(COUNTIF(SSN!$A$7:$A$50,'LUXE DRIVE'!G26))+(COUNTIF('W3'!$A$7:$A$50,'LUXE DRIVE'!G26))+(COUNTIF('ATHIS MONS'!$A$7:$A$50,'LUXE DRIVE'!G26))+(COUNTIF('L HAY LES ROSES'!$A$7:$A$50,'LUXE DRIVE'!G26))+(COUNTIF(RUNGIS!$A$7:$A$50,'LUXE DRIVE'!G26))+(COUNTIF(SCEAUX!$A$7:$A$50,'LUXE DRIVE'!G26))+(COUNTIF('INSTANCE C1'!$A$7:$A$50,'LUXE DRIVE'!G26))+(COUNTIF('INSTANCE C2'!$A$7:$A$50,'LUXE DRIVE'!G26))+(COUNTIF(INTERNES!$A$7:$A$50,'LUXE DRIVE'!G26))+(COUNTIF('EN PANNE'!$A$7:$A$50,'LUXE DRIVE'!G26))</f>
        <v>0</v>
      </c>
      <c r="J26" s="28">
        <f t="shared" si="4"/>
        <v>0</v>
      </c>
      <c r="K26" s="2"/>
      <c r="L26" s="47"/>
      <c r="S26" s="60">
        <f t="shared" si="1"/>
        <v>0</v>
      </c>
      <c r="T26" s="67">
        <f t="shared" si="2"/>
        <v>0</v>
      </c>
    </row>
    <row r="27" spans="1:20" ht="24.95" customHeight="1" x14ac:dyDescent="0.2">
      <c r="A27" s="20"/>
      <c r="B27" s="23">
        <f>(COUNTIF('2S EXPRESS'!$A$7:$A$50,'LUXE DRIVE'!A27))+(COUNTIF('2 ZT'!$A$7:$A$50,'LUXE DRIVE'!A27))+(COUNTIF('GO TRANSPORT'!$A$7:$A$50,'LUXE DRIVE'!A27))+(COUNTIF('HMZ - KAIS'!$A$7:$A$50,'LUXE DRIVE'!A27))+(COUNTIF('IB TRANSPORT'!$A$7:$A$50,'LUXE DRIVE'!A27))+(COUNTIF(JSL!$A$7:$A$50,'LUXE DRIVE'!A27))+(COUNTIF(KIFAITOUT!$A$7:$A$50,'LUXE DRIVE'!A27))+(COUNTIF('LUXE DRIVE'!$A$7:$A$50,'LUXE DRIVE'!A27))+(COUNTIF(SSN!$A$7:$A$50,'LUXE DRIVE'!A27))+(COUNTIF('W3'!$A$7:$A$50,'LUXE DRIVE'!A27))+(COUNTIF('ATHIS MONS'!$A$7:$A$50,'LUXE DRIVE'!A27))+(COUNTIF('L HAY LES ROSES'!$A$7:$A$50,'LUXE DRIVE'!A27))+(COUNTIF(RUNGIS!$A$7:$A$50,'LUXE DRIVE'!A27))+(COUNTIF(SCEAUX!$A$7:$A$50,'LUXE DRIVE'!A27))+(COUNTIF('INSTANCE C1'!$A$7:$A$50,'LUXE DRIVE'!A27))+(COUNTIF('INSTANCE C2'!$A$7:$A$50,'LUXE DRIVE'!A27))+(COUNTIF(INTERNES!$A$7:$A$50,'LUXE DRIVE'!A27))+(COUNTIF('EN PANNE'!$A$7:$A$50,'LUXE DRIVE'!A27))-C27</f>
        <v>0</v>
      </c>
      <c r="C27" s="23">
        <f>(COUNTIF('2S EXPRESS'!$G$7:$G$50,'LUXE DRIVE'!A27))+(COUNTIF('2 ZT'!$G$7:$G$50,'LUXE DRIVE'!A27))+(COUNTIF('GO TRANSPORT'!$G$7:$G$50,'LUXE DRIVE'!A27))+(COUNTIF('LUXE DRIVE'!$G$7:$G$50,'LUXE DRIVE'!A27))+(COUNTIF('IB TRANSPORT'!$G$7:$G$50,'LUXE DRIVE'!A27))+(COUNTIF(JSL!$G$7:$G$50,'LUXE DRIVE'!A27))+(COUNTIF(KIFAITOUT!$G$7:$G$50,'LUXE DRIVE'!A27))+(COUNTIF('LUXE DRIVE'!$G$7:$G$50,'LUXE DRIVE'!A27))+(COUNTIF(SSN!$G$7:$G$50,'LUXE DRIVE'!A27))+(COUNTIF('W3'!$G$7:$G$50,'LUXE DRIVE'!A27))+(COUNTIF('ATHIS MONS'!$G$7:$G$50,'LUXE DRIVE'!A27))+(COUNTIF('L HAY LES ROSES'!$G$7:$G$50,'LUXE DRIVE'!A27))+(COUNTIF(RUNGIS!$G$7:$G$50,'LUXE DRIVE'!A27))+(COUNTIF(SCEAUX!$G$7:$G$50,'LUXE DRIVE'!A27))+(COUNTIF('INSTANCE C1'!$G$7:$G$50,'LUXE DRIVE'!A27))+(COUNTIF('INSTANCE C2'!$G$7:$G$50,'LUXE DRIVE'!A27))+(COUNTIF(INTERNES!$G$7:$G$50,'LUXE DRIVE'!A27))+(COUNTIF('EN PANNE'!$G$7:$G$50,'LUXE DRIVE'!A27))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EXPRESS'!$G$7:$G$50,'LUXE DRIVE'!G27))+(COUNTIF('2 ZT'!$G$7:$G$50,'LUXE DRIVE'!G27))+(COUNTIF('GO TRANSPORT'!$G$7:$G$50,'LUXE DRIVE'!G27))+(COUNTIF('HMZ - KAIS'!$G$7:$G$50,'LUXE DRIVE'!G27))+(COUNTIF('IB TRANSPORT'!$G$7:$G$50,'LUXE DRIVE'!G27))+(COUNTIF(JSL!$G$7:$G$50,'LUXE DRIVE'!G27))+(COUNTIF(KIFAITOUT!$G$7:$G$50,'LUXE DRIVE'!G27))+(COUNTIF('LUXE DRIVE'!$G$7:$G$50,'LUXE DRIVE'!G27))+(COUNTIF(SSN!$G$7:$G$50,'LUXE DRIVE'!G27))+(COUNTIF('W3'!$G$7:$G$50,'LUXE DRIVE'!G27))+(COUNTIF('ATHIS MONS'!$G$7:$G$50,'LUXE DRIVE'!G27))+(COUNTIF('L HAY LES ROSES'!$G$7:$G$50,'LUXE DRIVE'!G27))+(COUNTIF(RUNGIS!$G$7:$G$50,'LUXE DRIVE'!G27))+(COUNTIF(SCEAUX!$G$7:$G$50,'LUXE DRIVE'!G27))+(COUNTIF('INSTANCE C1'!$G$7:$G$50,'LUXE DRIVE'!G27))+(COUNTIF('INSTANCE C2'!$G$7:$G$50,'LUXE DRIVE'!G27))+(COUNTIF(INTERNES!$G$7:$G$50,'LUXE DRIVE'!G27))+(COUNTIF('EN PANNE'!$G$7:$G$50,'LUXE DRIVE'!G27))-I27</f>
        <v>0</v>
      </c>
      <c r="I27" s="23">
        <f>(COUNTIF('2S EXPRESS'!$A$7:$A$50,'LUXE DRIVE'!G27))+(COUNTIF('2 ZT'!$A$7:$A$50,'LUXE DRIVE'!G27))+(COUNTIF('GO TRANSPORT'!$A$7:$A$50,'LUXE DRIVE'!G27))+(COUNTIF('HMZ - KAIS'!$A$7:$A$50,'LUXE DRIVE'!G27))+(COUNTIF('IB TRANSPORT'!$A$7:$A$50,'LUXE DRIVE'!G27))+(COUNTIF(JSL!$A$7:$A$50,'LUXE DRIVE'!G27))+(COUNTIF(KIFAITOUT!$A$7:$A$50,'LUXE DRIVE'!G27))+(COUNTIF('LUXE DRIVE'!$A$7:$A$50,'LUXE DRIVE'!G27))+(COUNTIF(SSN!$A$7:$A$50,'LUXE DRIVE'!G27))+(COUNTIF('W3'!$A$7:$A$50,'LUXE DRIVE'!G27))+(COUNTIF('ATHIS MONS'!$A$7:$A$50,'LUXE DRIVE'!G27))+(COUNTIF('L HAY LES ROSES'!$A$7:$A$50,'LUXE DRIVE'!G27))+(COUNTIF(RUNGIS!$A$7:$A$50,'LUXE DRIVE'!G27))+(COUNTIF(SCEAUX!$A$7:$A$50,'LUXE DRIVE'!G27))+(COUNTIF('INSTANCE C1'!$A$7:$A$50,'LUXE DRIVE'!G27))+(COUNTIF('INSTANCE C2'!$A$7:$A$50,'LUXE DRIVE'!G27))+(COUNTIF(INTERNES!$A$7:$A$50,'LUXE DRIVE'!G27))+(COUNTIF('EN PANNE'!$A$7:$A$50,'LUXE DRIVE'!G27))</f>
        <v>0</v>
      </c>
      <c r="J27" s="28">
        <f t="shared" si="4"/>
        <v>0</v>
      </c>
      <c r="K27" s="2"/>
      <c r="L27" s="47"/>
      <c r="S27" s="60">
        <f t="shared" si="1"/>
        <v>0</v>
      </c>
      <c r="T27" s="67">
        <f t="shared" si="2"/>
        <v>0</v>
      </c>
    </row>
    <row r="28" spans="1:20" ht="24.95" customHeight="1" x14ac:dyDescent="0.2">
      <c r="A28" s="20"/>
      <c r="B28" s="23">
        <f>(COUNTIF('2S EXPRESS'!$A$7:$A$50,'LUXE DRIVE'!A28))+(COUNTIF('2 ZT'!$A$7:$A$50,'LUXE DRIVE'!A28))+(COUNTIF('GO TRANSPORT'!$A$7:$A$50,'LUXE DRIVE'!A28))+(COUNTIF('HMZ - KAIS'!$A$7:$A$50,'LUXE DRIVE'!A28))+(COUNTIF('IB TRANSPORT'!$A$7:$A$50,'LUXE DRIVE'!A28))+(COUNTIF(JSL!$A$7:$A$50,'LUXE DRIVE'!A28))+(COUNTIF(KIFAITOUT!$A$7:$A$50,'LUXE DRIVE'!A28))+(COUNTIF('LUXE DRIVE'!$A$7:$A$50,'LUXE DRIVE'!A28))+(COUNTIF(SSN!$A$7:$A$50,'LUXE DRIVE'!A28))+(COUNTIF('W3'!$A$7:$A$50,'LUXE DRIVE'!A28))+(COUNTIF('ATHIS MONS'!$A$7:$A$50,'LUXE DRIVE'!A28))+(COUNTIF('L HAY LES ROSES'!$A$7:$A$50,'LUXE DRIVE'!A28))+(COUNTIF(RUNGIS!$A$7:$A$50,'LUXE DRIVE'!A28))+(COUNTIF(SCEAUX!$A$7:$A$50,'LUXE DRIVE'!A28))+(COUNTIF('INSTANCE C1'!$A$7:$A$50,'LUXE DRIVE'!A28))+(COUNTIF('INSTANCE C2'!$A$7:$A$50,'LUXE DRIVE'!A28))+(COUNTIF(INTERNES!$A$7:$A$50,'LUXE DRIVE'!A28))+(COUNTIF('EN PANNE'!$A$7:$A$50,'LUXE DRIVE'!A28))-C28</f>
        <v>0</v>
      </c>
      <c r="C28" s="23">
        <f>(COUNTIF('2S EXPRESS'!$G$7:$G$50,'LUXE DRIVE'!A28))+(COUNTIF('2 ZT'!$G$7:$G$50,'LUXE DRIVE'!A28))+(COUNTIF('GO TRANSPORT'!$G$7:$G$50,'LUXE DRIVE'!A28))+(COUNTIF('LUXE DRIVE'!$G$7:$G$50,'LUXE DRIVE'!A28))+(COUNTIF('IB TRANSPORT'!$G$7:$G$50,'LUXE DRIVE'!A28))+(COUNTIF(JSL!$G$7:$G$50,'LUXE DRIVE'!A28))+(COUNTIF(KIFAITOUT!$G$7:$G$50,'LUXE DRIVE'!A28))+(COUNTIF('LUXE DRIVE'!$G$7:$G$50,'LUXE DRIVE'!A28))+(COUNTIF(SSN!$G$7:$G$50,'LUXE DRIVE'!A28))+(COUNTIF('W3'!$G$7:$G$50,'LUXE DRIVE'!A28))+(COUNTIF('ATHIS MONS'!$G$7:$G$50,'LUXE DRIVE'!A28))+(COUNTIF('L HAY LES ROSES'!$G$7:$G$50,'LUXE DRIVE'!A28))+(COUNTIF(RUNGIS!$G$7:$G$50,'LUXE DRIVE'!A28))+(COUNTIF(SCEAUX!$G$7:$G$50,'LUXE DRIVE'!A28))+(COUNTIF('INSTANCE C1'!$G$7:$G$50,'LUXE DRIVE'!A28))+(COUNTIF('INSTANCE C2'!$G$7:$G$50,'LUXE DRIVE'!A28))+(COUNTIF(INTERNES!$G$7:$G$50,'LUXE DRIVE'!A28))+(COUNTIF('EN PANNE'!$G$7:$G$50,'LUXE DRIVE'!A28))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EXPRESS'!$G$7:$G$50,'LUXE DRIVE'!G28))+(COUNTIF('2 ZT'!$G$7:$G$50,'LUXE DRIVE'!G28))+(COUNTIF('GO TRANSPORT'!$G$7:$G$50,'LUXE DRIVE'!G28))+(COUNTIF('HMZ - KAIS'!$G$7:$G$50,'LUXE DRIVE'!G28))+(COUNTIF('IB TRANSPORT'!$G$7:$G$50,'LUXE DRIVE'!G28))+(COUNTIF(JSL!$G$7:$G$50,'LUXE DRIVE'!G28))+(COUNTIF(KIFAITOUT!$G$7:$G$50,'LUXE DRIVE'!G28))+(COUNTIF('LUXE DRIVE'!$G$7:$G$50,'LUXE DRIVE'!G28))+(COUNTIF(SSN!$G$7:$G$50,'LUXE DRIVE'!G28))+(COUNTIF('W3'!$G$7:$G$50,'LUXE DRIVE'!G28))+(COUNTIF('ATHIS MONS'!$G$7:$G$50,'LUXE DRIVE'!G28))+(COUNTIF('L HAY LES ROSES'!$G$7:$G$50,'LUXE DRIVE'!G28))+(COUNTIF(RUNGIS!$G$7:$G$50,'LUXE DRIVE'!G28))+(COUNTIF(SCEAUX!$G$7:$G$50,'LUXE DRIVE'!G28))+(COUNTIF('INSTANCE C1'!$G$7:$G$50,'LUXE DRIVE'!G28))+(COUNTIF('INSTANCE C2'!$G$7:$G$50,'LUXE DRIVE'!G28))+(COUNTIF(INTERNES!$G$7:$G$50,'LUXE DRIVE'!G28))+(COUNTIF('EN PANNE'!$G$7:$G$50,'LUXE DRIVE'!G28))-I28</f>
        <v>0</v>
      </c>
      <c r="I28" s="23">
        <f>(COUNTIF('2S EXPRESS'!$A$7:$A$50,'LUXE DRIVE'!G28))+(COUNTIF('2 ZT'!$A$7:$A$50,'LUXE DRIVE'!G28))+(COUNTIF('GO TRANSPORT'!$A$7:$A$50,'LUXE DRIVE'!G28))+(COUNTIF('HMZ - KAIS'!$A$7:$A$50,'LUXE DRIVE'!G28))+(COUNTIF('IB TRANSPORT'!$A$7:$A$50,'LUXE DRIVE'!G28))+(COUNTIF(JSL!$A$7:$A$50,'LUXE DRIVE'!G28))+(COUNTIF(KIFAITOUT!$A$7:$A$50,'LUXE DRIVE'!G28))+(COUNTIF('LUXE DRIVE'!$A$7:$A$50,'LUXE DRIVE'!G28))+(COUNTIF(SSN!$A$7:$A$50,'LUXE DRIVE'!G28))+(COUNTIF('W3'!$A$7:$A$50,'LUXE DRIVE'!G28))+(COUNTIF('ATHIS MONS'!$A$7:$A$50,'LUXE DRIVE'!G28))+(COUNTIF('L HAY LES ROSES'!$A$7:$A$50,'LUXE DRIVE'!G28))+(COUNTIF(RUNGIS!$A$7:$A$50,'LUXE DRIVE'!G28))+(COUNTIF(SCEAUX!$A$7:$A$50,'LUXE DRIVE'!G28))+(COUNTIF('INSTANCE C1'!$A$7:$A$50,'LUXE DRIVE'!G28))+(COUNTIF('INSTANCE C2'!$A$7:$A$50,'LUXE DRIVE'!G28))+(COUNTIF(INTERNES!$A$7:$A$50,'LUXE DRIVE'!G28))+(COUNTIF('EN PANNE'!$A$7:$A$50,'LUXE DRIVE'!G28))</f>
        <v>0</v>
      </c>
      <c r="J28" s="28">
        <f t="shared" si="4"/>
        <v>0</v>
      </c>
      <c r="K28" s="2"/>
      <c r="L28" s="47"/>
      <c r="S28" s="60">
        <f t="shared" si="1"/>
        <v>0</v>
      </c>
      <c r="T28" s="67">
        <f t="shared" si="2"/>
        <v>0</v>
      </c>
    </row>
    <row r="29" spans="1:20" ht="24.95" customHeight="1" x14ac:dyDescent="0.2">
      <c r="A29" s="20"/>
      <c r="B29" s="23">
        <f>(COUNTIF('2S EXPRESS'!$A$7:$A$50,'LUXE DRIVE'!A29))+(COUNTIF('2 ZT'!$A$7:$A$50,'LUXE DRIVE'!A29))+(COUNTIF('GO TRANSPORT'!$A$7:$A$50,'LUXE DRIVE'!A29))+(COUNTIF('HMZ - KAIS'!$A$7:$A$50,'LUXE DRIVE'!A29))+(COUNTIF('IB TRANSPORT'!$A$7:$A$50,'LUXE DRIVE'!A29))+(COUNTIF(JSL!$A$7:$A$50,'LUXE DRIVE'!A29))+(COUNTIF(KIFAITOUT!$A$7:$A$50,'LUXE DRIVE'!A29))+(COUNTIF('LUXE DRIVE'!$A$7:$A$50,'LUXE DRIVE'!A29))+(COUNTIF(SSN!$A$7:$A$50,'LUXE DRIVE'!A29))+(COUNTIF('W3'!$A$7:$A$50,'LUXE DRIVE'!A29))+(COUNTIF('ATHIS MONS'!$A$7:$A$50,'LUXE DRIVE'!A29))+(COUNTIF('L HAY LES ROSES'!$A$7:$A$50,'LUXE DRIVE'!A29))+(COUNTIF(RUNGIS!$A$7:$A$50,'LUXE DRIVE'!A29))+(COUNTIF(SCEAUX!$A$7:$A$50,'LUXE DRIVE'!A29))+(COUNTIF('INSTANCE C1'!$A$7:$A$50,'LUXE DRIVE'!A29))+(COUNTIF('INSTANCE C2'!$A$7:$A$50,'LUXE DRIVE'!A29))+(COUNTIF(INTERNES!$A$7:$A$50,'LUXE DRIVE'!A29))+(COUNTIF('EN PANNE'!$A$7:$A$50,'LUXE DRIVE'!A29))-C29</f>
        <v>0</v>
      </c>
      <c r="C29" s="23">
        <f>(COUNTIF('2S EXPRESS'!$G$7:$G$50,'LUXE DRIVE'!A29))+(COUNTIF('2 ZT'!$G$7:$G$50,'LUXE DRIVE'!A29))+(COUNTIF('GO TRANSPORT'!$G$7:$G$50,'LUXE DRIVE'!A29))+(COUNTIF('LUXE DRIVE'!$G$7:$G$50,'LUXE DRIVE'!A29))+(COUNTIF('IB TRANSPORT'!$G$7:$G$50,'LUXE DRIVE'!A29))+(COUNTIF(JSL!$G$7:$G$50,'LUXE DRIVE'!A29))+(COUNTIF(KIFAITOUT!$G$7:$G$50,'LUXE DRIVE'!A29))+(COUNTIF('LUXE DRIVE'!$G$7:$G$50,'LUXE DRIVE'!A29))+(COUNTIF(SSN!$G$7:$G$50,'LUXE DRIVE'!A29))+(COUNTIF('W3'!$G$7:$G$50,'LUXE DRIVE'!A29))+(COUNTIF('ATHIS MONS'!$G$7:$G$50,'LUXE DRIVE'!A29))+(COUNTIF('L HAY LES ROSES'!$G$7:$G$50,'LUXE DRIVE'!A29))+(COUNTIF(RUNGIS!$G$7:$G$50,'LUXE DRIVE'!A29))+(COUNTIF(SCEAUX!$G$7:$G$50,'LUXE DRIVE'!A29))+(COUNTIF('INSTANCE C1'!$G$7:$G$50,'LUXE DRIVE'!A29))+(COUNTIF('INSTANCE C2'!$G$7:$G$50,'LUXE DRIVE'!A29))+(COUNTIF(INTERNES!$G$7:$G$50,'LUXE DRIVE'!A29))+(COUNTIF('EN PANNE'!$G$7:$G$50,'LUXE DRIVE'!A29))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EXPRESS'!$G$7:$G$50,'LUXE DRIVE'!G29))+(COUNTIF('2 ZT'!$G$7:$G$50,'LUXE DRIVE'!G29))+(COUNTIF('GO TRANSPORT'!$G$7:$G$50,'LUXE DRIVE'!G29))+(COUNTIF('HMZ - KAIS'!$G$7:$G$50,'LUXE DRIVE'!G29))+(COUNTIF('IB TRANSPORT'!$G$7:$G$50,'LUXE DRIVE'!G29))+(COUNTIF(JSL!$G$7:$G$50,'LUXE DRIVE'!G29))+(COUNTIF(KIFAITOUT!$G$7:$G$50,'LUXE DRIVE'!G29))+(COUNTIF('LUXE DRIVE'!$G$7:$G$50,'LUXE DRIVE'!G29))+(COUNTIF(SSN!$G$7:$G$50,'LUXE DRIVE'!G29))+(COUNTIF('W3'!$G$7:$G$50,'LUXE DRIVE'!G29))+(COUNTIF('ATHIS MONS'!$G$7:$G$50,'LUXE DRIVE'!G29))+(COUNTIF('L HAY LES ROSES'!$G$7:$G$50,'LUXE DRIVE'!G29))+(COUNTIF(RUNGIS!$G$7:$G$50,'LUXE DRIVE'!G29))+(COUNTIF(SCEAUX!$G$7:$G$50,'LUXE DRIVE'!G29))+(COUNTIF('INSTANCE C1'!$G$7:$G$50,'LUXE DRIVE'!G29))+(COUNTIF('INSTANCE C2'!$G$7:$G$50,'LUXE DRIVE'!G29))+(COUNTIF(INTERNES!$G$7:$G$50,'LUXE DRIVE'!G29))+(COUNTIF('EN PANNE'!$G$7:$G$50,'LUXE DRIVE'!G29))-I29</f>
        <v>0</v>
      </c>
      <c r="I29" s="23">
        <f>(COUNTIF('2S EXPRESS'!$A$7:$A$50,'LUXE DRIVE'!G29))+(COUNTIF('2 ZT'!$A$7:$A$50,'LUXE DRIVE'!G29))+(COUNTIF('GO TRANSPORT'!$A$7:$A$50,'LUXE DRIVE'!G29))+(COUNTIF('HMZ - KAIS'!$A$7:$A$50,'LUXE DRIVE'!G29))+(COUNTIF('IB TRANSPORT'!$A$7:$A$50,'LUXE DRIVE'!G29))+(COUNTIF(JSL!$A$7:$A$50,'LUXE DRIVE'!G29))+(COUNTIF(KIFAITOUT!$A$7:$A$50,'LUXE DRIVE'!G29))+(COUNTIF('LUXE DRIVE'!$A$7:$A$50,'LUXE DRIVE'!G29))+(COUNTIF(SSN!$A$7:$A$50,'LUXE DRIVE'!G29))+(COUNTIF('W3'!$A$7:$A$50,'LUXE DRIVE'!G29))+(COUNTIF('ATHIS MONS'!$A$7:$A$50,'LUXE DRIVE'!G29))+(COUNTIF('L HAY LES ROSES'!$A$7:$A$50,'LUXE DRIVE'!G29))+(COUNTIF(RUNGIS!$A$7:$A$50,'LUXE DRIVE'!G29))+(COUNTIF(SCEAUX!$A$7:$A$50,'LUXE DRIVE'!G29))+(COUNTIF('INSTANCE C1'!$A$7:$A$50,'LUXE DRIVE'!G29))+(COUNTIF('INSTANCE C2'!$A$7:$A$50,'LUXE DRIVE'!G29))+(COUNTIF(INTERNES!$A$7:$A$50,'LUXE DRIVE'!G29))+(COUNTIF('EN PANNE'!$A$7:$A$50,'LUXE DRIVE'!G29))</f>
        <v>0</v>
      </c>
      <c r="J29" s="28">
        <f t="shared" si="4"/>
        <v>0</v>
      </c>
      <c r="K29" s="2"/>
      <c r="L29" s="47"/>
      <c r="S29" s="60">
        <f t="shared" si="1"/>
        <v>0</v>
      </c>
      <c r="T29" s="67">
        <f t="shared" si="2"/>
        <v>0</v>
      </c>
    </row>
    <row r="30" spans="1:20" ht="24.95" customHeight="1" x14ac:dyDescent="0.2">
      <c r="A30" s="20"/>
      <c r="B30" s="23">
        <f>(COUNTIF('2S EXPRESS'!$A$7:$A$50,'LUXE DRIVE'!A30))+(COUNTIF('2 ZT'!$A$7:$A$50,'LUXE DRIVE'!A30))+(COUNTIF('GO TRANSPORT'!$A$7:$A$50,'LUXE DRIVE'!A30))+(COUNTIF('HMZ - KAIS'!$A$7:$A$50,'LUXE DRIVE'!A30))+(COUNTIF('IB TRANSPORT'!$A$7:$A$50,'LUXE DRIVE'!A30))+(COUNTIF(JSL!$A$7:$A$50,'LUXE DRIVE'!A30))+(COUNTIF(KIFAITOUT!$A$7:$A$50,'LUXE DRIVE'!A30))+(COUNTIF('LUXE DRIVE'!$A$7:$A$50,'LUXE DRIVE'!A30))+(COUNTIF(SSN!$A$7:$A$50,'LUXE DRIVE'!A30))+(COUNTIF('W3'!$A$7:$A$50,'LUXE DRIVE'!A30))+(COUNTIF('ATHIS MONS'!$A$7:$A$50,'LUXE DRIVE'!A30))+(COUNTIF('L HAY LES ROSES'!$A$7:$A$50,'LUXE DRIVE'!A30))+(COUNTIF(RUNGIS!$A$7:$A$50,'LUXE DRIVE'!A30))+(COUNTIF(SCEAUX!$A$7:$A$50,'LUXE DRIVE'!A30))+(COUNTIF('INSTANCE C1'!$A$7:$A$50,'LUXE DRIVE'!A30))+(COUNTIF('INSTANCE C2'!$A$7:$A$50,'LUXE DRIVE'!A30))+(COUNTIF(INTERNES!$A$7:$A$50,'LUXE DRIVE'!A30))+(COUNTIF('EN PANNE'!$A$7:$A$50,'LUXE DRIVE'!A30))-C30</f>
        <v>0</v>
      </c>
      <c r="C30" s="23">
        <f>(COUNTIF('2S EXPRESS'!$G$7:$G$50,'LUXE DRIVE'!A30))+(COUNTIF('2 ZT'!$G$7:$G$50,'LUXE DRIVE'!A30))+(COUNTIF('GO TRANSPORT'!$G$7:$G$50,'LUXE DRIVE'!A30))+(COUNTIF('LUXE DRIVE'!$G$7:$G$50,'LUXE DRIVE'!A30))+(COUNTIF('IB TRANSPORT'!$G$7:$G$50,'LUXE DRIVE'!A30))+(COUNTIF(JSL!$G$7:$G$50,'LUXE DRIVE'!A30))+(COUNTIF(KIFAITOUT!$G$7:$G$50,'LUXE DRIVE'!A30))+(COUNTIF('LUXE DRIVE'!$G$7:$G$50,'LUXE DRIVE'!A30))+(COUNTIF(SSN!$G$7:$G$50,'LUXE DRIVE'!A30))+(COUNTIF('W3'!$G$7:$G$50,'LUXE DRIVE'!A30))+(COUNTIF('ATHIS MONS'!$G$7:$G$50,'LUXE DRIVE'!A30))+(COUNTIF('L HAY LES ROSES'!$G$7:$G$50,'LUXE DRIVE'!A30))+(COUNTIF(RUNGIS!$G$7:$G$50,'LUXE DRIVE'!A30))+(COUNTIF(SCEAUX!$G$7:$G$50,'LUXE DRIVE'!A30))+(COUNTIF('INSTANCE C1'!$G$7:$G$50,'LUXE DRIVE'!A30))+(COUNTIF('INSTANCE C2'!$G$7:$G$50,'LUXE DRIVE'!A30))+(COUNTIF(INTERNES!$G$7:$G$50,'LUXE DRIVE'!A30))+(COUNTIF('EN PANNE'!$G$7:$G$50,'LUXE DRIVE'!A30))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EXPRESS'!$G$7:$G$50,'LUXE DRIVE'!G30))+(COUNTIF('2 ZT'!$G$7:$G$50,'LUXE DRIVE'!G30))+(COUNTIF('GO TRANSPORT'!$G$7:$G$50,'LUXE DRIVE'!G30))+(COUNTIF('HMZ - KAIS'!$G$7:$G$50,'LUXE DRIVE'!G30))+(COUNTIF('IB TRANSPORT'!$G$7:$G$50,'LUXE DRIVE'!G30))+(COUNTIF(JSL!$G$7:$G$50,'LUXE DRIVE'!G30))+(COUNTIF(KIFAITOUT!$G$7:$G$50,'LUXE DRIVE'!G30))+(COUNTIF('LUXE DRIVE'!$G$7:$G$50,'LUXE DRIVE'!G30))+(COUNTIF(SSN!$G$7:$G$50,'LUXE DRIVE'!G30))+(COUNTIF('W3'!$G$7:$G$50,'LUXE DRIVE'!G30))+(COUNTIF('ATHIS MONS'!$G$7:$G$50,'LUXE DRIVE'!G30))+(COUNTIF('L HAY LES ROSES'!$G$7:$G$50,'LUXE DRIVE'!G30))+(COUNTIF(RUNGIS!$G$7:$G$50,'LUXE DRIVE'!G30))+(COUNTIF(SCEAUX!$G$7:$G$50,'LUXE DRIVE'!G30))+(COUNTIF('INSTANCE C1'!$G$7:$G$50,'LUXE DRIVE'!G30))+(COUNTIF('INSTANCE C2'!$G$7:$G$50,'LUXE DRIVE'!G30))+(COUNTIF(INTERNES!$G$7:$G$50,'LUXE DRIVE'!G30))+(COUNTIF('EN PANNE'!$G$7:$G$50,'LUXE DRIVE'!G30))-I30</f>
        <v>0</v>
      </c>
      <c r="I30" s="23">
        <f>(COUNTIF('2S EXPRESS'!$A$7:$A$50,'LUXE DRIVE'!G30))+(COUNTIF('2 ZT'!$A$7:$A$50,'LUXE DRIVE'!G30))+(COUNTIF('GO TRANSPORT'!$A$7:$A$50,'LUXE DRIVE'!G30))+(COUNTIF('HMZ - KAIS'!$A$7:$A$50,'LUXE DRIVE'!G30))+(COUNTIF('IB TRANSPORT'!$A$7:$A$50,'LUXE DRIVE'!G30))+(COUNTIF(JSL!$A$7:$A$50,'LUXE DRIVE'!G30))+(COUNTIF(KIFAITOUT!$A$7:$A$50,'LUXE DRIVE'!G30))+(COUNTIF('LUXE DRIVE'!$A$7:$A$50,'LUXE DRIVE'!G30))+(COUNTIF(SSN!$A$7:$A$50,'LUXE DRIVE'!G30))+(COUNTIF('W3'!$A$7:$A$50,'LUXE DRIVE'!G30))+(COUNTIF('ATHIS MONS'!$A$7:$A$50,'LUXE DRIVE'!G30))+(COUNTIF('L HAY LES ROSES'!$A$7:$A$50,'LUXE DRIVE'!G30))+(COUNTIF(RUNGIS!$A$7:$A$50,'LUXE DRIVE'!G30))+(COUNTIF(SCEAUX!$A$7:$A$50,'LUXE DRIVE'!G30))+(COUNTIF('INSTANCE C1'!$A$7:$A$50,'LUXE DRIVE'!G30))+(COUNTIF('INSTANCE C2'!$A$7:$A$50,'LUXE DRIVE'!G30))+(COUNTIF(INTERNES!$A$7:$A$50,'LUXE DRIVE'!G30))+(COUNTIF('EN PANNE'!$A$7:$A$50,'LUXE DRIVE'!G30))</f>
        <v>0</v>
      </c>
      <c r="J30" s="28">
        <f t="shared" si="4"/>
        <v>0</v>
      </c>
      <c r="K30" s="2"/>
      <c r="L30" s="47"/>
      <c r="S30" s="60">
        <f t="shared" si="1"/>
        <v>0</v>
      </c>
      <c r="T30" s="67">
        <f t="shared" si="2"/>
        <v>0</v>
      </c>
    </row>
    <row r="31" spans="1:20" ht="24.95" customHeight="1" x14ac:dyDescent="0.2">
      <c r="A31" s="20"/>
      <c r="B31" s="23">
        <f>(COUNTIF('2S EXPRESS'!$A$7:$A$50,'LUXE DRIVE'!A31))+(COUNTIF('2 ZT'!$A$7:$A$50,'LUXE DRIVE'!A31))+(COUNTIF('GO TRANSPORT'!$A$7:$A$50,'LUXE DRIVE'!A31))+(COUNTIF('HMZ - KAIS'!$A$7:$A$50,'LUXE DRIVE'!A31))+(COUNTIF('IB TRANSPORT'!$A$7:$A$50,'LUXE DRIVE'!A31))+(COUNTIF(JSL!$A$7:$A$50,'LUXE DRIVE'!A31))+(COUNTIF(KIFAITOUT!$A$7:$A$50,'LUXE DRIVE'!A31))+(COUNTIF('LUXE DRIVE'!$A$7:$A$50,'LUXE DRIVE'!A31))+(COUNTIF(SSN!$A$7:$A$50,'LUXE DRIVE'!A31))+(COUNTIF('W3'!$A$7:$A$50,'LUXE DRIVE'!A31))+(COUNTIF('ATHIS MONS'!$A$7:$A$50,'LUXE DRIVE'!A31))+(COUNTIF('L HAY LES ROSES'!$A$7:$A$50,'LUXE DRIVE'!A31))+(COUNTIF(RUNGIS!$A$7:$A$50,'LUXE DRIVE'!A31))+(COUNTIF(SCEAUX!$A$7:$A$50,'LUXE DRIVE'!A31))+(COUNTIF('INSTANCE C1'!$A$7:$A$50,'LUXE DRIVE'!A31))+(COUNTIF('INSTANCE C2'!$A$7:$A$50,'LUXE DRIVE'!A31))+(COUNTIF(INTERNES!$A$7:$A$50,'LUXE DRIVE'!A31))+(COUNTIF('EN PANNE'!$A$7:$A$50,'LUXE DRIVE'!A31))-C31</f>
        <v>0</v>
      </c>
      <c r="C31" s="23">
        <f>(COUNTIF('2S EXPRESS'!$G$7:$G$50,'LUXE DRIVE'!A31))+(COUNTIF('2 ZT'!$G$7:$G$50,'LUXE DRIVE'!A31))+(COUNTIF('GO TRANSPORT'!$G$7:$G$50,'LUXE DRIVE'!A31))+(COUNTIF('LUXE DRIVE'!$G$7:$G$50,'LUXE DRIVE'!A31))+(COUNTIF('IB TRANSPORT'!$G$7:$G$50,'LUXE DRIVE'!A31))+(COUNTIF(JSL!$G$7:$G$50,'LUXE DRIVE'!A31))+(COUNTIF(KIFAITOUT!$G$7:$G$50,'LUXE DRIVE'!A31))+(COUNTIF('LUXE DRIVE'!$G$7:$G$50,'LUXE DRIVE'!A31))+(COUNTIF(SSN!$G$7:$G$50,'LUXE DRIVE'!A31))+(COUNTIF('W3'!$G$7:$G$50,'LUXE DRIVE'!A31))+(COUNTIF('ATHIS MONS'!$G$7:$G$50,'LUXE DRIVE'!A31))+(COUNTIF('L HAY LES ROSES'!$G$7:$G$50,'LUXE DRIVE'!A31))+(COUNTIF(RUNGIS!$G$7:$G$50,'LUXE DRIVE'!A31))+(COUNTIF(SCEAUX!$G$7:$G$50,'LUXE DRIVE'!A31))+(COUNTIF('INSTANCE C1'!$G$7:$G$50,'LUXE DRIVE'!A31))+(COUNTIF('INSTANCE C2'!$G$7:$G$50,'LUXE DRIVE'!A31))+(COUNTIF(INTERNES!$G$7:$G$50,'LUXE DRIVE'!A31))+(COUNTIF('EN PANNE'!$G$7:$G$50,'LUXE DRIVE'!A31))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EXPRESS'!$G$7:$G$50,'LUXE DRIVE'!G31))+(COUNTIF('2 ZT'!$G$7:$G$50,'LUXE DRIVE'!G31))+(COUNTIF('GO TRANSPORT'!$G$7:$G$50,'LUXE DRIVE'!G31))+(COUNTIF('HMZ - KAIS'!$G$7:$G$50,'LUXE DRIVE'!G31))+(COUNTIF('IB TRANSPORT'!$G$7:$G$50,'LUXE DRIVE'!G31))+(COUNTIF(JSL!$G$7:$G$50,'LUXE DRIVE'!G31))+(COUNTIF(KIFAITOUT!$G$7:$G$50,'LUXE DRIVE'!G31))+(COUNTIF('LUXE DRIVE'!$G$7:$G$50,'LUXE DRIVE'!G31))+(COUNTIF(SSN!$G$7:$G$50,'LUXE DRIVE'!G31))+(COUNTIF('W3'!$G$7:$G$50,'LUXE DRIVE'!G31))+(COUNTIF('ATHIS MONS'!$G$7:$G$50,'LUXE DRIVE'!G31))+(COUNTIF('L HAY LES ROSES'!$G$7:$G$50,'LUXE DRIVE'!G31))+(COUNTIF(RUNGIS!$G$7:$G$50,'LUXE DRIVE'!G31))+(COUNTIF(SCEAUX!$G$7:$G$50,'LUXE DRIVE'!G31))+(COUNTIF('INSTANCE C1'!$G$7:$G$50,'LUXE DRIVE'!G31))+(COUNTIF('INSTANCE C2'!$G$7:$G$50,'LUXE DRIVE'!G31))+(COUNTIF(INTERNES!$G$7:$G$50,'LUXE DRIVE'!G31))+(COUNTIF('EN PANNE'!$G$7:$G$50,'LUXE DRIVE'!G31))-I31</f>
        <v>0</v>
      </c>
      <c r="I31" s="23">
        <f>(COUNTIF('2S EXPRESS'!$A$7:$A$50,'LUXE DRIVE'!G31))+(COUNTIF('2 ZT'!$A$7:$A$50,'LUXE DRIVE'!G31))+(COUNTIF('GO TRANSPORT'!$A$7:$A$50,'LUXE DRIVE'!G31))+(COUNTIF('HMZ - KAIS'!$A$7:$A$50,'LUXE DRIVE'!G31))+(COUNTIF('IB TRANSPORT'!$A$7:$A$50,'LUXE DRIVE'!G31))+(COUNTIF(JSL!$A$7:$A$50,'LUXE DRIVE'!G31))+(COUNTIF(KIFAITOUT!$A$7:$A$50,'LUXE DRIVE'!G31))+(COUNTIF('LUXE DRIVE'!$A$7:$A$50,'LUXE DRIVE'!G31))+(COUNTIF(SSN!$A$7:$A$50,'LUXE DRIVE'!G31))+(COUNTIF('W3'!$A$7:$A$50,'LUXE DRIVE'!G31))+(COUNTIF('ATHIS MONS'!$A$7:$A$50,'LUXE DRIVE'!G31))+(COUNTIF('L HAY LES ROSES'!$A$7:$A$50,'LUXE DRIVE'!G31))+(COUNTIF(RUNGIS!$A$7:$A$50,'LUXE DRIVE'!G31))+(COUNTIF(SCEAUX!$A$7:$A$50,'LUXE DRIVE'!G31))+(COUNTIF('INSTANCE C1'!$A$7:$A$50,'LUXE DRIVE'!G31))+(COUNTIF('INSTANCE C2'!$A$7:$A$50,'LUXE DRIVE'!G31))+(COUNTIF(INTERNES!$A$7:$A$50,'LUXE DRIVE'!G31))+(COUNTIF('EN PANNE'!$A$7:$A$50,'LUXE DRIVE'!G31))</f>
        <v>0</v>
      </c>
      <c r="J31" s="28">
        <f t="shared" si="4"/>
        <v>0</v>
      </c>
      <c r="K31" s="2"/>
      <c r="L31" s="47"/>
      <c r="S31" s="60">
        <f t="shared" si="1"/>
        <v>0</v>
      </c>
      <c r="T31" s="67">
        <f t="shared" si="2"/>
        <v>0</v>
      </c>
    </row>
    <row r="32" spans="1:20" ht="24.95" customHeight="1" x14ac:dyDescent="0.2">
      <c r="A32" s="20"/>
      <c r="B32" s="23">
        <f>(COUNTIF('2S EXPRESS'!$A$7:$A$50,'LUXE DRIVE'!A32))+(COUNTIF('2 ZT'!$A$7:$A$50,'LUXE DRIVE'!A32))+(COUNTIF('GO TRANSPORT'!$A$7:$A$50,'LUXE DRIVE'!A32))+(COUNTIF('HMZ - KAIS'!$A$7:$A$50,'LUXE DRIVE'!A32))+(COUNTIF('IB TRANSPORT'!$A$7:$A$50,'LUXE DRIVE'!A32))+(COUNTIF(JSL!$A$7:$A$50,'LUXE DRIVE'!A32))+(COUNTIF(KIFAITOUT!$A$7:$A$50,'LUXE DRIVE'!A32))+(COUNTIF('LUXE DRIVE'!$A$7:$A$50,'LUXE DRIVE'!A32))+(COUNTIF(SSN!$A$7:$A$50,'LUXE DRIVE'!A32))+(COUNTIF('W3'!$A$7:$A$50,'LUXE DRIVE'!A32))+(COUNTIF('ATHIS MONS'!$A$7:$A$50,'LUXE DRIVE'!A32))+(COUNTIF('L HAY LES ROSES'!$A$7:$A$50,'LUXE DRIVE'!A32))+(COUNTIF(RUNGIS!$A$7:$A$50,'LUXE DRIVE'!A32))+(COUNTIF(SCEAUX!$A$7:$A$50,'LUXE DRIVE'!A32))+(COUNTIF('INSTANCE C1'!$A$7:$A$50,'LUXE DRIVE'!A32))+(COUNTIF('INSTANCE C2'!$A$7:$A$50,'LUXE DRIVE'!A32))+(COUNTIF(INTERNES!$A$7:$A$50,'LUXE DRIVE'!A32))+(COUNTIF('EN PANNE'!$A$7:$A$50,'LUXE DRIVE'!A32))-C32</f>
        <v>0</v>
      </c>
      <c r="C32" s="23">
        <f>(COUNTIF('2S EXPRESS'!$G$7:$G$50,'LUXE DRIVE'!A32))+(COUNTIF('2 ZT'!$G$7:$G$50,'LUXE DRIVE'!A32))+(COUNTIF('GO TRANSPORT'!$G$7:$G$50,'LUXE DRIVE'!A32))+(COUNTIF('LUXE DRIVE'!$G$7:$G$50,'LUXE DRIVE'!A32))+(COUNTIF('IB TRANSPORT'!$G$7:$G$50,'LUXE DRIVE'!A32))+(COUNTIF(JSL!$G$7:$G$50,'LUXE DRIVE'!A32))+(COUNTIF(KIFAITOUT!$G$7:$G$50,'LUXE DRIVE'!A32))+(COUNTIF('LUXE DRIVE'!$G$7:$G$50,'LUXE DRIVE'!A32))+(COUNTIF(SSN!$G$7:$G$50,'LUXE DRIVE'!A32))+(COUNTIF('W3'!$G$7:$G$50,'LUXE DRIVE'!A32))+(COUNTIF('ATHIS MONS'!$G$7:$G$50,'LUXE DRIVE'!A32))+(COUNTIF('L HAY LES ROSES'!$G$7:$G$50,'LUXE DRIVE'!A32))+(COUNTIF(RUNGIS!$G$7:$G$50,'LUXE DRIVE'!A32))+(COUNTIF(SCEAUX!$G$7:$G$50,'LUXE DRIVE'!A32))+(COUNTIF('INSTANCE C1'!$G$7:$G$50,'LUXE DRIVE'!A32))+(COUNTIF('INSTANCE C2'!$G$7:$G$50,'LUXE DRIVE'!A32))+(COUNTIF(INTERNES!$G$7:$G$50,'LUXE DRIVE'!A32))+(COUNTIF('EN PANNE'!$G$7:$G$50,'LUXE DRIVE'!A32))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EXPRESS'!$G$7:$G$50,'LUXE DRIVE'!G32))+(COUNTIF('2 ZT'!$G$7:$G$50,'LUXE DRIVE'!G32))+(COUNTIF('GO TRANSPORT'!$G$7:$G$50,'LUXE DRIVE'!G32))+(COUNTIF('HMZ - KAIS'!$G$7:$G$50,'LUXE DRIVE'!G32))+(COUNTIF('IB TRANSPORT'!$G$7:$G$50,'LUXE DRIVE'!G32))+(COUNTIF(JSL!$G$7:$G$50,'LUXE DRIVE'!G32))+(COUNTIF(KIFAITOUT!$G$7:$G$50,'LUXE DRIVE'!G32))+(COUNTIF('LUXE DRIVE'!$G$7:$G$50,'LUXE DRIVE'!G32))+(COUNTIF(SSN!$G$7:$G$50,'LUXE DRIVE'!G32))+(COUNTIF('W3'!$G$7:$G$50,'LUXE DRIVE'!G32))+(COUNTIF('ATHIS MONS'!$G$7:$G$50,'LUXE DRIVE'!G32))+(COUNTIF('L HAY LES ROSES'!$G$7:$G$50,'LUXE DRIVE'!G32))+(COUNTIF(RUNGIS!$G$7:$G$50,'LUXE DRIVE'!G32))+(COUNTIF(SCEAUX!$G$7:$G$50,'LUXE DRIVE'!G32))+(COUNTIF('INSTANCE C1'!$G$7:$G$50,'LUXE DRIVE'!G32))+(COUNTIF('INSTANCE C2'!$G$7:$G$50,'LUXE DRIVE'!G32))+(COUNTIF(INTERNES!$G$7:$G$50,'LUXE DRIVE'!G32))+(COUNTIF('EN PANNE'!$G$7:$G$50,'LUXE DRIVE'!G32))-I32</f>
        <v>0</v>
      </c>
      <c r="I32" s="23">
        <f>(COUNTIF('2S EXPRESS'!$A$7:$A$50,'LUXE DRIVE'!G32))+(COUNTIF('2 ZT'!$A$7:$A$50,'LUXE DRIVE'!G32))+(COUNTIF('GO TRANSPORT'!$A$7:$A$50,'LUXE DRIVE'!G32))+(COUNTIF('HMZ - KAIS'!$A$7:$A$50,'LUXE DRIVE'!G32))+(COUNTIF('IB TRANSPORT'!$A$7:$A$50,'LUXE DRIVE'!G32))+(COUNTIF(JSL!$A$7:$A$50,'LUXE DRIVE'!G32))+(COUNTIF(KIFAITOUT!$A$7:$A$50,'LUXE DRIVE'!G32))+(COUNTIF('LUXE DRIVE'!$A$7:$A$50,'LUXE DRIVE'!G32))+(COUNTIF(SSN!$A$7:$A$50,'LUXE DRIVE'!G32))+(COUNTIF('W3'!$A$7:$A$50,'LUXE DRIVE'!G32))+(COUNTIF('ATHIS MONS'!$A$7:$A$50,'LUXE DRIVE'!G32))+(COUNTIF('L HAY LES ROSES'!$A$7:$A$50,'LUXE DRIVE'!G32))+(COUNTIF(RUNGIS!$A$7:$A$50,'LUXE DRIVE'!G32))+(COUNTIF(SCEAUX!$A$7:$A$50,'LUXE DRIVE'!G32))+(COUNTIF('INSTANCE C1'!$A$7:$A$50,'LUXE DRIVE'!G32))+(COUNTIF('INSTANCE C2'!$A$7:$A$50,'LUXE DRIVE'!G32))+(COUNTIF(INTERNES!$A$7:$A$50,'LUXE DRIVE'!G32))+(COUNTIF('EN PANNE'!$A$7:$A$50,'LUXE DRIVE'!G32))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S32" s="60">
        <f t="shared" si="1"/>
        <v>0</v>
      </c>
      <c r="T32" s="67">
        <f t="shared" si="2"/>
        <v>0</v>
      </c>
    </row>
    <row r="33" spans="1:20" ht="24.95" customHeight="1" x14ac:dyDescent="0.2">
      <c r="A33" s="20"/>
      <c r="B33" s="23">
        <f>(COUNTIF('2S EXPRESS'!$A$7:$A$50,'LUXE DRIVE'!A33))+(COUNTIF('2 ZT'!$A$7:$A$50,'LUXE DRIVE'!A33))+(COUNTIF('GO TRANSPORT'!$A$7:$A$50,'LUXE DRIVE'!A33))+(COUNTIF('HMZ - KAIS'!$A$7:$A$50,'LUXE DRIVE'!A33))+(COUNTIF('IB TRANSPORT'!$A$7:$A$50,'LUXE DRIVE'!A33))+(COUNTIF(JSL!$A$7:$A$50,'LUXE DRIVE'!A33))+(COUNTIF(KIFAITOUT!$A$7:$A$50,'LUXE DRIVE'!A33))+(COUNTIF('LUXE DRIVE'!$A$7:$A$50,'LUXE DRIVE'!A33))+(COUNTIF(SSN!$A$7:$A$50,'LUXE DRIVE'!A33))+(COUNTIF('W3'!$A$7:$A$50,'LUXE DRIVE'!A33))+(COUNTIF('ATHIS MONS'!$A$7:$A$50,'LUXE DRIVE'!A33))+(COUNTIF('L HAY LES ROSES'!$A$7:$A$50,'LUXE DRIVE'!A33))+(COUNTIF(RUNGIS!$A$7:$A$50,'LUXE DRIVE'!A33))+(COUNTIF(SCEAUX!$A$7:$A$50,'LUXE DRIVE'!A33))+(COUNTIF('INSTANCE C1'!$A$7:$A$50,'LUXE DRIVE'!A33))+(COUNTIF('INSTANCE C2'!$A$7:$A$50,'LUXE DRIVE'!A33))+(COUNTIF(INTERNES!$A$7:$A$50,'LUXE DRIVE'!A33))+(COUNTIF('EN PANNE'!$A$7:$A$50,'LUXE DRIVE'!A33))-C33</f>
        <v>0</v>
      </c>
      <c r="C33" s="23">
        <f>(COUNTIF('2S EXPRESS'!$G$7:$G$50,'LUXE DRIVE'!A33))+(COUNTIF('2 ZT'!$G$7:$G$50,'LUXE DRIVE'!A33))+(COUNTIF('GO TRANSPORT'!$G$7:$G$50,'LUXE DRIVE'!A33))+(COUNTIF('LUXE DRIVE'!$G$7:$G$50,'LUXE DRIVE'!A33))+(COUNTIF('IB TRANSPORT'!$G$7:$G$50,'LUXE DRIVE'!A33))+(COUNTIF(JSL!$G$7:$G$50,'LUXE DRIVE'!A33))+(COUNTIF(KIFAITOUT!$G$7:$G$50,'LUXE DRIVE'!A33))+(COUNTIF('LUXE DRIVE'!$G$7:$G$50,'LUXE DRIVE'!A33))+(COUNTIF(SSN!$G$7:$G$50,'LUXE DRIVE'!A33))+(COUNTIF('W3'!$G$7:$G$50,'LUXE DRIVE'!A33))+(COUNTIF('ATHIS MONS'!$G$7:$G$50,'LUXE DRIVE'!A33))+(COUNTIF('L HAY LES ROSES'!$G$7:$G$50,'LUXE DRIVE'!A33))+(COUNTIF(RUNGIS!$G$7:$G$50,'LUXE DRIVE'!A33))+(COUNTIF(SCEAUX!$G$7:$G$50,'LUXE DRIVE'!A33))+(COUNTIF('INSTANCE C1'!$G$7:$G$50,'LUXE DRIVE'!A33))+(COUNTIF('INSTANCE C2'!$G$7:$G$50,'LUXE DRIVE'!A33))+(COUNTIF(INTERNES!$G$7:$G$50,'LUXE DRIVE'!A33))+(COUNTIF('EN PANNE'!$G$7:$G$50,'LUXE DRIVE'!A33))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EXPRESS'!$G$7:$G$50,'LUXE DRIVE'!G33))+(COUNTIF('2 ZT'!$G$7:$G$50,'LUXE DRIVE'!G33))+(COUNTIF('GO TRANSPORT'!$G$7:$G$50,'LUXE DRIVE'!G33))+(COUNTIF('HMZ - KAIS'!$G$7:$G$50,'LUXE DRIVE'!G33))+(COUNTIF('IB TRANSPORT'!$G$7:$G$50,'LUXE DRIVE'!G33))+(COUNTIF(JSL!$G$7:$G$50,'LUXE DRIVE'!G33))+(COUNTIF(KIFAITOUT!$G$7:$G$50,'LUXE DRIVE'!G33))+(COUNTIF('LUXE DRIVE'!$G$7:$G$50,'LUXE DRIVE'!G33))+(COUNTIF(SSN!$G$7:$G$50,'LUXE DRIVE'!G33))+(COUNTIF('W3'!$G$7:$G$50,'LUXE DRIVE'!G33))+(COUNTIF('ATHIS MONS'!$G$7:$G$50,'LUXE DRIVE'!G33))+(COUNTIF('L HAY LES ROSES'!$G$7:$G$50,'LUXE DRIVE'!G33))+(COUNTIF(RUNGIS!$G$7:$G$50,'LUXE DRIVE'!G33))+(COUNTIF(SCEAUX!$G$7:$G$50,'LUXE DRIVE'!G33))+(COUNTIF('INSTANCE C1'!$G$7:$G$50,'LUXE DRIVE'!G33))+(COUNTIF('INSTANCE C2'!$G$7:$G$50,'LUXE DRIVE'!G33))+(COUNTIF(INTERNES!$G$7:$G$50,'LUXE DRIVE'!G33))+(COUNTIF('EN PANNE'!$G$7:$G$50,'LUXE DRIVE'!G33))-I33</f>
        <v>0</v>
      </c>
      <c r="I33" s="23">
        <f>(COUNTIF('2S EXPRESS'!$A$7:$A$50,'LUXE DRIVE'!G33))+(COUNTIF('2 ZT'!$A$7:$A$50,'LUXE DRIVE'!G33))+(COUNTIF('GO TRANSPORT'!$A$7:$A$50,'LUXE DRIVE'!G33))+(COUNTIF('HMZ - KAIS'!$A$7:$A$50,'LUXE DRIVE'!G33))+(COUNTIF('IB TRANSPORT'!$A$7:$A$50,'LUXE DRIVE'!G33))+(COUNTIF(JSL!$A$7:$A$50,'LUXE DRIVE'!G33))+(COUNTIF(KIFAITOUT!$A$7:$A$50,'LUXE DRIVE'!G33))+(COUNTIF('LUXE DRIVE'!$A$7:$A$50,'LUXE DRIVE'!G33))+(COUNTIF(SSN!$A$7:$A$50,'LUXE DRIVE'!G33))+(COUNTIF('W3'!$A$7:$A$50,'LUXE DRIVE'!G33))+(COUNTIF('ATHIS MONS'!$A$7:$A$50,'LUXE DRIVE'!G33))+(COUNTIF('L HAY LES ROSES'!$A$7:$A$50,'LUXE DRIVE'!G33))+(COUNTIF(RUNGIS!$A$7:$A$50,'LUXE DRIVE'!G33))+(COUNTIF(SCEAUX!$A$7:$A$50,'LUXE DRIVE'!G33))+(COUNTIF('INSTANCE C1'!$A$7:$A$50,'LUXE DRIVE'!G33))+(COUNTIF('INSTANCE C2'!$A$7:$A$50,'LUXE DRIVE'!G33))+(COUNTIF(INTERNES!$A$7:$A$50,'LUXE DRIVE'!G33))+(COUNTIF('EN PANNE'!$A$7:$A$50,'LUXE DRIVE'!G33))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S33" s="60">
        <f t="shared" si="1"/>
        <v>0</v>
      </c>
      <c r="T33" s="67">
        <f t="shared" si="2"/>
        <v>0</v>
      </c>
    </row>
    <row r="34" spans="1:20" ht="24.95" customHeight="1" x14ac:dyDescent="0.2">
      <c r="A34" s="20"/>
      <c r="B34" s="23">
        <f>(COUNTIF('2S EXPRESS'!$A$7:$A$50,'LUXE DRIVE'!A34))+(COUNTIF('2 ZT'!$A$7:$A$50,'LUXE DRIVE'!A34))+(COUNTIF('GO TRANSPORT'!$A$7:$A$50,'LUXE DRIVE'!A34))+(COUNTIF('HMZ - KAIS'!$A$7:$A$50,'LUXE DRIVE'!A34))+(COUNTIF('IB TRANSPORT'!$A$7:$A$50,'LUXE DRIVE'!A34))+(COUNTIF(JSL!$A$7:$A$50,'LUXE DRIVE'!A34))+(COUNTIF(KIFAITOUT!$A$7:$A$50,'LUXE DRIVE'!A34))+(COUNTIF('LUXE DRIVE'!$A$7:$A$50,'LUXE DRIVE'!A34))+(COUNTIF(SSN!$A$7:$A$50,'LUXE DRIVE'!A34))+(COUNTIF('W3'!$A$7:$A$50,'LUXE DRIVE'!A34))+(COUNTIF('ATHIS MONS'!$A$7:$A$50,'LUXE DRIVE'!A34))+(COUNTIF('L HAY LES ROSES'!$A$7:$A$50,'LUXE DRIVE'!A34))+(COUNTIF(RUNGIS!$A$7:$A$50,'LUXE DRIVE'!A34))+(COUNTIF(SCEAUX!$A$7:$A$50,'LUXE DRIVE'!A34))+(COUNTIF('INSTANCE C1'!$A$7:$A$50,'LUXE DRIVE'!A34))+(COUNTIF('INSTANCE C2'!$A$7:$A$50,'LUXE DRIVE'!A34))+(COUNTIF(INTERNES!$A$7:$A$50,'LUXE DRIVE'!A34))+(COUNTIF('EN PANNE'!$A$7:$A$50,'LUXE DRIVE'!A34))-C34</f>
        <v>0</v>
      </c>
      <c r="C34" s="23">
        <f>(COUNTIF('2S EXPRESS'!$G$7:$G$50,'LUXE DRIVE'!A34))+(COUNTIF('2 ZT'!$G$7:$G$50,'LUXE DRIVE'!A34))+(COUNTIF('GO TRANSPORT'!$G$7:$G$50,'LUXE DRIVE'!A34))+(COUNTIF('LUXE DRIVE'!$G$7:$G$50,'LUXE DRIVE'!A34))+(COUNTIF('IB TRANSPORT'!$G$7:$G$50,'LUXE DRIVE'!A34))+(COUNTIF(JSL!$G$7:$G$50,'LUXE DRIVE'!A34))+(COUNTIF(KIFAITOUT!$G$7:$G$50,'LUXE DRIVE'!A34))+(COUNTIF('LUXE DRIVE'!$G$7:$G$50,'LUXE DRIVE'!A34))+(COUNTIF(SSN!$G$7:$G$50,'LUXE DRIVE'!A34))+(COUNTIF('W3'!$G$7:$G$50,'LUXE DRIVE'!A34))+(COUNTIF('ATHIS MONS'!$G$7:$G$50,'LUXE DRIVE'!A34))+(COUNTIF('L HAY LES ROSES'!$G$7:$G$50,'LUXE DRIVE'!A34))+(COUNTIF(RUNGIS!$G$7:$G$50,'LUXE DRIVE'!A34))+(COUNTIF(SCEAUX!$G$7:$G$50,'LUXE DRIVE'!A34))+(COUNTIF('INSTANCE C1'!$G$7:$G$50,'LUXE DRIVE'!A34))+(COUNTIF('INSTANCE C2'!$G$7:$G$50,'LUXE DRIVE'!A34))+(COUNTIF(INTERNES!$G$7:$G$50,'LUXE DRIVE'!A34))+(COUNTIF('EN PANNE'!$G$7:$G$50,'LUXE DRIVE'!A34))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EXPRESS'!$G$7:$G$50,'LUXE DRIVE'!G34))+(COUNTIF('2 ZT'!$G$7:$G$50,'LUXE DRIVE'!G34))+(COUNTIF('GO TRANSPORT'!$G$7:$G$50,'LUXE DRIVE'!G34))+(COUNTIF('HMZ - KAIS'!$G$7:$G$50,'LUXE DRIVE'!G34))+(COUNTIF('IB TRANSPORT'!$G$7:$G$50,'LUXE DRIVE'!G34))+(COUNTIF(JSL!$G$7:$G$50,'LUXE DRIVE'!G34))+(COUNTIF(KIFAITOUT!$G$7:$G$50,'LUXE DRIVE'!G34))+(COUNTIF('LUXE DRIVE'!$G$7:$G$50,'LUXE DRIVE'!G34))+(COUNTIF(SSN!$G$7:$G$50,'LUXE DRIVE'!G34))+(COUNTIF('W3'!$G$7:$G$50,'LUXE DRIVE'!G34))+(COUNTIF('ATHIS MONS'!$G$7:$G$50,'LUXE DRIVE'!G34))+(COUNTIF('L HAY LES ROSES'!$G$7:$G$50,'LUXE DRIVE'!G34))+(COUNTIF(RUNGIS!$G$7:$G$50,'LUXE DRIVE'!G34))+(COUNTIF(SCEAUX!$G$7:$G$50,'LUXE DRIVE'!G34))+(COUNTIF('INSTANCE C1'!$G$7:$G$50,'LUXE DRIVE'!G34))+(COUNTIF('INSTANCE C2'!$G$7:$G$50,'LUXE DRIVE'!G34))+(COUNTIF(INTERNES!$G$7:$G$50,'LUXE DRIVE'!G34))+(COUNTIF('EN PANNE'!$G$7:$G$50,'LUXE DRIVE'!G34))-I34</f>
        <v>0</v>
      </c>
      <c r="I34" s="23">
        <f>(COUNTIF('2S EXPRESS'!$A$7:$A$50,'LUXE DRIVE'!G34))+(COUNTIF('2 ZT'!$A$7:$A$50,'LUXE DRIVE'!G34))+(COUNTIF('GO TRANSPORT'!$A$7:$A$50,'LUXE DRIVE'!G34))+(COUNTIF('HMZ - KAIS'!$A$7:$A$50,'LUXE DRIVE'!G34))+(COUNTIF('IB TRANSPORT'!$A$7:$A$50,'LUXE DRIVE'!G34))+(COUNTIF(JSL!$A$7:$A$50,'LUXE DRIVE'!G34))+(COUNTIF(KIFAITOUT!$A$7:$A$50,'LUXE DRIVE'!G34))+(COUNTIF('LUXE DRIVE'!$A$7:$A$50,'LUXE DRIVE'!G34))+(COUNTIF(SSN!$A$7:$A$50,'LUXE DRIVE'!G34))+(COUNTIF('W3'!$A$7:$A$50,'LUXE DRIVE'!G34))+(COUNTIF('ATHIS MONS'!$A$7:$A$50,'LUXE DRIVE'!G34))+(COUNTIF('L HAY LES ROSES'!$A$7:$A$50,'LUXE DRIVE'!G34))+(COUNTIF(RUNGIS!$A$7:$A$50,'LUXE DRIVE'!G34))+(COUNTIF(SCEAUX!$A$7:$A$50,'LUXE DRIVE'!G34))+(COUNTIF('INSTANCE C1'!$A$7:$A$50,'LUXE DRIVE'!G34))+(COUNTIF('INSTANCE C2'!$A$7:$A$50,'LUXE DRIVE'!G34))+(COUNTIF(INTERNES!$A$7:$A$50,'LUXE DRIVE'!G34))+(COUNTIF('EN PANNE'!$A$7:$A$50,'LUXE DRIVE'!G34))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S34" s="60">
        <f t="shared" si="1"/>
        <v>0</v>
      </c>
      <c r="T34" s="67">
        <f t="shared" si="2"/>
        <v>0</v>
      </c>
    </row>
    <row r="35" spans="1:20" ht="24.95" customHeight="1" x14ac:dyDescent="0.2">
      <c r="A35" s="20"/>
      <c r="B35" s="23">
        <f>(COUNTIF('2S EXPRESS'!$A$7:$A$50,'LUXE DRIVE'!A35))+(COUNTIF('2 ZT'!$A$7:$A$50,'LUXE DRIVE'!A35))+(COUNTIF('GO TRANSPORT'!$A$7:$A$50,'LUXE DRIVE'!A35))+(COUNTIF('HMZ - KAIS'!$A$7:$A$50,'LUXE DRIVE'!A35))+(COUNTIF('IB TRANSPORT'!$A$7:$A$50,'LUXE DRIVE'!A35))+(COUNTIF(JSL!$A$7:$A$50,'LUXE DRIVE'!A35))+(COUNTIF(KIFAITOUT!$A$7:$A$50,'LUXE DRIVE'!A35))+(COUNTIF('LUXE DRIVE'!$A$7:$A$50,'LUXE DRIVE'!A35))+(COUNTIF(SSN!$A$7:$A$50,'LUXE DRIVE'!A35))+(COUNTIF('W3'!$A$7:$A$50,'LUXE DRIVE'!A35))+(COUNTIF('ATHIS MONS'!$A$7:$A$50,'LUXE DRIVE'!A35))+(COUNTIF('L HAY LES ROSES'!$A$7:$A$50,'LUXE DRIVE'!A35))+(COUNTIF(RUNGIS!$A$7:$A$50,'LUXE DRIVE'!A35))+(COUNTIF(SCEAUX!$A$7:$A$50,'LUXE DRIVE'!A35))+(COUNTIF('INSTANCE C1'!$A$7:$A$50,'LUXE DRIVE'!A35))+(COUNTIF('INSTANCE C2'!$A$7:$A$50,'LUXE DRIVE'!A35))+(COUNTIF(INTERNES!$A$7:$A$50,'LUXE DRIVE'!A35))+(COUNTIF('EN PANNE'!$A$7:$A$50,'LUXE DRIVE'!A35))-C35</f>
        <v>0</v>
      </c>
      <c r="C35" s="23">
        <f>(COUNTIF('2S EXPRESS'!$G$7:$G$50,'LUXE DRIVE'!A35))+(COUNTIF('2 ZT'!$G$7:$G$50,'LUXE DRIVE'!A35))+(COUNTIF('GO TRANSPORT'!$G$7:$G$50,'LUXE DRIVE'!A35))+(COUNTIF('LUXE DRIVE'!$G$7:$G$50,'LUXE DRIVE'!A35))+(COUNTIF('IB TRANSPORT'!$G$7:$G$50,'LUXE DRIVE'!A35))+(COUNTIF(JSL!$G$7:$G$50,'LUXE DRIVE'!A35))+(COUNTIF(KIFAITOUT!$G$7:$G$50,'LUXE DRIVE'!A35))+(COUNTIF('LUXE DRIVE'!$G$7:$G$50,'LUXE DRIVE'!A35))+(COUNTIF(SSN!$G$7:$G$50,'LUXE DRIVE'!A35))+(COUNTIF('W3'!$G$7:$G$50,'LUXE DRIVE'!A35))+(COUNTIF('ATHIS MONS'!$G$7:$G$50,'LUXE DRIVE'!A35))+(COUNTIF('L HAY LES ROSES'!$G$7:$G$50,'LUXE DRIVE'!A35))+(COUNTIF(RUNGIS!$G$7:$G$50,'LUXE DRIVE'!A35))+(COUNTIF(SCEAUX!$G$7:$G$50,'LUXE DRIVE'!A35))+(COUNTIF('INSTANCE C1'!$G$7:$G$50,'LUXE DRIVE'!A35))+(COUNTIF('INSTANCE C2'!$G$7:$G$50,'LUXE DRIVE'!A35))+(COUNTIF(INTERNES!$G$7:$G$50,'LUXE DRIVE'!A35))+(COUNTIF('EN PANNE'!$G$7:$G$50,'LUXE DRIVE'!A35))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EXPRESS'!$G$7:$G$50,'LUXE DRIVE'!G35))+(COUNTIF('2 ZT'!$G$7:$G$50,'LUXE DRIVE'!G35))+(COUNTIF('GO TRANSPORT'!$G$7:$G$50,'LUXE DRIVE'!G35))+(COUNTIF('HMZ - KAIS'!$G$7:$G$50,'LUXE DRIVE'!G35))+(COUNTIF('IB TRANSPORT'!$G$7:$G$50,'LUXE DRIVE'!G35))+(COUNTIF(JSL!$G$7:$G$50,'LUXE DRIVE'!G35))+(COUNTIF(KIFAITOUT!$G$7:$G$50,'LUXE DRIVE'!G35))+(COUNTIF('LUXE DRIVE'!$G$7:$G$50,'LUXE DRIVE'!G35))+(COUNTIF(SSN!$G$7:$G$50,'LUXE DRIVE'!G35))+(COUNTIF('W3'!$G$7:$G$50,'LUXE DRIVE'!G35))+(COUNTIF('ATHIS MONS'!$G$7:$G$50,'LUXE DRIVE'!G35))+(COUNTIF('L HAY LES ROSES'!$G$7:$G$50,'LUXE DRIVE'!G35))+(COUNTIF(RUNGIS!$G$7:$G$50,'LUXE DRIVE'!G35))+(COUNTIF(SCEAUX!$G$7:$G$50,'LUXE DRIVE'!G35))+(COUNTIF('INSTANCE C1'!$G$7:$G$50,'LUXE DRIVE'!G35))+(COUNTIF('INSTANCE C2'!$G$7:$G$50,'LUXE DRIVE'!G35))+(COUNTIF(INTERNES!$G$7:$G$50,'LUXE DRIVE'!G35))+(COUNTIF('EN PANNE'!$G$7:$G$50,'LUXE DRIVE'!G35))-I35</f>
        <v>0</v>
      </c>
      <c r="I35" s="23">
        <f>(COUNTIF('2S EXPRESS'!$A$7:$A$50,'LUXE DRIVE'!G35))+(COUNTIF('2 ZT'!$A$7:$A$50,'LUXE DRIVE'!G35))+(COUNTIF('GO TRANSPORT'!$A$7:$A$50,'LUXE DRIVE'!G35))+(COUNTIF('HMZ - KAIS'!$A$7:$A$50,'LUXE DRIVE'!G35))+(COUNTIF('IB TRANSPORT'!$A$7:$A$50,'LUXE DRIVE'!G35))+(COUNTIF(JSL!$A$7:$A$50,'LUXE DRIVE'!G35))+(COUNTIF(KIFAITOUT!$A$7:$A$50,'LUXE DRIVE'!G35))+(COUNTIF('LUXE DRIVE'!$A$7:$A$50,'LUXE DRIVE'!G35))+(COUNTIF(SSN!$A$7:$A$50,'LUXE DRIVE'!G35))+(COUNTIF('W3'!$A$7:$A$50,'LUXE DRIVE'!G35))+(COUNTIF('ATHIS MONS'!$A$7:$A$50,'LUXE DRIVE'!G35))+(COUNTIF('L HAY LES ROSES'!$A$7:$A$50,'LUXE DRIVE'!G35))+(COUNTIF(RUNGIS!$A$7:$A$50,'LUXE DRIVE'!G35))+(COUNTIF(SCEAUX!$A$7:$A$50,'LUXE DRIVE'!G35))+(COUNTIF('INSTANCE C1'!$A$7:$A$50,'LUXE DRIVE'!G35))+(COUNTIF('INSTANCE C2'!$A$7:$A$50,'LUXE DRIVE'!G35))+(COUNTIF(INTERNES!$A$7:$A$50,'LUXE DRIVE'!G35))+(COUNTIF('EN PANNE'!$A$7:$A$50,'LUXE DRIVE'!G35))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S35" s="60">
        <f t="shared" si="1"/>
        <v>0</v>
      </c>
      <c r="T35" s="67">
        <f t="shared" si="2"/>
        <v>0</v>
      </c>
    </row>
    <row r="36" spans="1:20" ht="24.95" customHeight="1" x14ac:dyDescent="0.2">
      <c r="A36" s="20"/>
      <c r="B36" s="23">
        <f>(COUNTIF('2S EXPRESS'!$A$7:$A$50,'LUXE DRIVE'!A36))+(COUNTIF('2 ZT'!$A$7:$A$50,'LUXE DRIVE'!A36))+(COUNTIF('GO TRANSPORT'!$A$7:$A$50,'LUXE DRIVE'!A36))+(COUNTIF('HMZ - KAIS'!$A$7:$A$50,'LUXE DRIVE'!A36))+(COUNTIF('IB TRANSPORT'!$A$7:$A$50,'LUXE DRIVE'!A36))+(COUNTIF(JSL!$A$7:$A$50,'LUXE DRIVE'!A36))+(COUNTIF(KIFAITOUT!$A$7:$A$50,'LUXE DRIVE'!A36))+(COUNTIF('LUXE DRIVE'!$A$7:$A$50,'LUXE DRIVE'!A36))+(COUNTIF(SSN!$A$7:$A$50,'LUXE DRIVE'!A36))+(COUNTIF('W3'!$A$7:$A$50,'LUXE DRIVE'!A36))+(COUNTIF('ATHIS MONS'!$A$7:$A$50,'LUXE DRIVE'!A36))+(COUNTIF('L HAY LES ROSES'!$A$7:$A$50,'LUXE DRIVE'!A36))+(COUNTIF(RUNGIS!$A$7:$A$50,'LUXE DRIVE'!A36))+(COUNTIF(SCEAUX!$A$7:$A$50,'LUXE DRIVE'!A36))+(COUNTIF('INSTANCE C1'!$A$7:$A$50,'LUXE DRIVE'!A36))+(COUNTIF('INSTANCE C2'!$A$7:$A$50,'LUXE DRIVE'!A36))+(COUNTIF(INTERNES!$A$7:$A$50,'LUXE DRIVE'!A36))+(COUNTIF('EN PANNE'!$A$7:$A$50,'LUXE DRIVE'!A36))-C36</f>
        <v>0</v>
      </c>
      <c r="C36" s="23">
        <f>(COUNTIF('2S EXPRESS'!$G$7:$G$50,'LUXE DRIVE'!A36))+(COUNTIF('2 ZT'!$G$7:$G$50,'LUXE DRIVE'!A36))+(COUNTIF('GO TRANSPORT'!$G$7:$G$50,'LUXE DRIVE'!A36))+(COUNTIF('LUXE DRIVE'!$G$7:$G$50,'LUXE DRIVE'!A36))+(COUNTIF('IB TRANSPORT'!$G$7:$G$50,'LUXE DRIVE'!A36))+(COUNTIF(JSL!$G$7:$G$50,'LUXE DRIVE'!A36))+(COUNTIF(KIFAITOUT!$G$7:$G$50,'LUXE DRIVE'!A36))+(COUNTIF('LUXE DRIVE'!$G$7:$G$50,'LUXE DRIVE'!A36))+(COUNTIF(SSN!$G$7:$G$50,'LUXE DRIVE'!A36))+(COUNTIF('W3'!$G$7:$G$50,'LUXE DRIVE'!A36))+(COUNTIF('ATHIS MONS'!$G$7:$G$50,'LUXE DRIVE'!A36))+(COUNTIF('L HAY LES ROSES'!$G$7:$G$50,'LUXE DRIVE'!A36))+(COUNTIF(RUNGIS!$G$7:$G$50,'LUXE DRIVE'!A36))+(COUNTIF(SCEAUX!$G$7:$G$50,'LUXE DRIVE'!A36))+(COUNTIF('INSTANCE C1'!$G$7:$G$50,'LUXE DRIVE'!A36))+(COUNTIF('INSTANCE C2'!$G$7:$G$50,'LUXE DRIVE'!A36))+(COUNTIF(INTERNES!$G$7:$G$50,'LUXE DRIVE'!A36))+(COUNTIF('EN PANNE'!$G$7:$G$50,'LUXE DRIVE'!A36))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EXPRESS'!$G$7:$G$50,'LUXE DRIVE'!G36))+(COUNTIF('2 ZT'!$G$7:$G$50,'LUXE DRIVE'!G36))+(COUNTIF('GO TRANSPORT'!$G$7:$G$50,'LUXE DRIVE'!G36))+(COUNTIF('HMZ - KAIS'!$G$7:$G$50,'LUXE DRIVE'!G36))+(COUNTIF('IB TRANSPORT'!$G$7:$G$50,'LUXE DRIVE'!G36))+(COUNTIF(JSL!$G$7:$G$50,'LUXE DRIVE'!G36))+(COUNTIF(KIFAITOUT!$G$7:$G$50,'LUXE DRIVE'!G36))+(COUNTIF('LUXE DRIVE'!$G$7:$G$50,'LUXE DRIVE'!G36))+(COUNTIF(SSN!$G$7:$G$50,'LUXE DRIVE'!G36))+(COUNTIF('W3'!$G$7:$G$50,'LUXE DRIVE'!G36))+(COUNTIF('ATHIS MONS'!$G$7:$G$50,'LUXE DRIVE'!G36))+(COUNTIF('L HAY LES ROSES'!$G$7:$G$50,'LUXE DRIVE'!G36))+(COUNTIF(RUNGIS!$G$7:$G$50,'LUXE DRIVE'!G36))+(COUNTIF(SCEAUX!$G$7:$G$50,'LUXE DRIVE'!G36))+(COUNTIF('INSTANCE C1'!$G$7:$G$50,'LUXE DRIVE'!G36))+(COUNTIF('INSTANCE C2'!$G$7:$G$50,'LUXE DRIVE'!G36))+(COUNTIF(INTERNES!$G$7:$G$50,'LUXE DRIVE'!G36))+(COUNTIF('EN PANNE'!$G$7:$G$50,'LUXE DRIVE'!G36))-I36</f>
        <v>0</v>
      </c>
      <c r="I36" s="23">
        <f>(COUNTIF('2S EXPRESS'!$A$7:$A$50,'LUXE DRIVE'!G36))+(COUNTIF('2 ZT'!$A$7:$A$50,'LUXE DRIVE'!G36))+(COUNTIF('GO TRANSPORT'!$A$7:$A$50,'LUXE DRIVE'!G36))+(COUNTIF('HMZ - KAIS'!$A$7:$A$50,'LUXE DRIVE'!G36))+(COUNTIF('IB TRANSPORT'!$A$7:$A$50,'LUXE DRIVE'!G36))+(COUNTIF(JSL!$A$7:$A$50,'LUXE DRIVE'!G36))+(COUNTIF(KIFAITOUT!$A$7:$A$50,'LUXE DRIVE'!G36))+(COUNTIF('LUXE DRIVE'!$A$7:$A$50,'LUXE DRIVE'!G36))+(COUNTIF(SSN!$A$7:$A$50,'LUXE DRIVE'!G36))+(COUNTIF('W3'!$A$7:$A$50,'LUXE DRIVE'!G36))+(COUNTIF('ATHIS MONS'!$A$7:$A$50,'LUXE DRIVE'!G36))+(COUNTIF('L HAY LES ROSES'!$A$7:$A$50,'LUXE DRIVE'!G36))+(COUNTIF(RUNGIS!$A$7:$A$50,'LUXE DRIVE'!G36))+(COUNTIF(SCEAUX!$A$7:$A$50,'LUXE DRIVE'!G36))+(COUNTIF('INSTANCE C1'!$A$7:$A$50,'LUXE DRIVE'!G36))+(COUNTIF('INSTANCE C2'!$A$7:$A$50,'LUXE DRIVE'!G36))+(COUNTIF(INTERNES!$A$7:$A$50,'LUXE DRIVE'!G36))+(COUNTIF('EN PANNE'!$A$7:$A$50,'LUXE DRIVE'!G36))</f>
        <v>0</v>
      </c>
      <c r="J36" s="28">
        <f t="shared" si="4"/>
        <v>0</v>
      </c>
      <c r="K36" s="2"/>
      <c r="L36" s="47"/>
      <c r="S36" s="60">
        <f t="shared" si="1"/>
        <v>0</v>
      </c>
      <c r="T36" s="67">
        <f t="shared" si="2"/>
        <v>0</v>
      </c>
    </row>
    <row r="37" spans="1:20" ht="24.95" customHeight="1" x14ac:dyDescent="0.2">
      <c r="A37" s="20"/>
      <c r="B37" s="23">
        <f>(COUNTIF('2S EXPRESS'!$A$7:$A$50,'LUXE DRIVE'!A37))+(COUNTIF('2 ZT'!$A$7:$A$50,'LUXE DRIVE'!A37))+(COUNTIF('GO TRANSPORT'!$A$7:$A$50,'LUXE DRIVE'!A37))+(COUNTIF('HMZ - KAIS'!$A$7:$A$50,'LUXE DRIVE'!A37))+(COUNTIF('IB TRANSPORT'!$A$7:$A$50,'LUXE DRIVE'!A37))+(COUNTIF(JSL!$A$7:$A$50,'LUXE DRIVE'!A37))+(COUNTIF(KIFAITOUT!$A$7:$A$50,'LUXE DRIVE'!A37))+(COUNTIF('LUXE DRIVE'!$A$7:$A$50,'LUXE DRIVE'!A37))+(COUNTIF(SSN!$A$7:$A$50,'LUXE DRIVE'!A37))+(COUNTIF('W3'!$A$7:$A$50,'LUXE DRIVE'!A37))+(COUNTIF('ATHIS MONS'!$A$7:$A$50,'LUXE DRIVE'!A37))+(COUNTIF('L HAY LES ROSES'!$A$7:$A$50,'LUXE DRIVE'!A37))+(COUNTIF(RUNGIS!$A$7:$A$50,'LUXE DRIVE'!A37))+(COUNTIF(SCEAUX!$A$7:$A$50,'LUXE DRIVE'!A37))+(COUNTIF('INSTANCE C1'!$A$7:$A$50,'LUXE DRIVE'!A37))+(COUNTIF('INSTANCE C2'!$A$7:$A$50,'LUXE DRIVE'!A37))+(COUNTIF(INTERNES!$A$7:$A$50,'LUXE DRIVE'!A37))+(COUNTIF('EN PANNE'!$A$7:$A$50,'LUXE DRIVE'!A37))-C37</f>
        <v>0</v>
      </c>
      <c r="C37" s="23">
        <f>(COUNTIF('2S EXPRESS'!$G$7:$G$50,'LUXE DRIVE'!A37))+(COUNTIF('2 ZT'!$G$7:$G$50,'LUXE DRIVE'!A37))+(COUNTIF('GO TRANSPORT'!$G$7:$G$50,'LUXE DRIVE'!A37))+(COUNTIF('LUXE DRIVE'!$G$7:$G$50,'LUXE DRIVE'!A37))+(COUNTIF('IB TRANSPORT'!$G$7:$G$50,'LUXE DRIVE'!A37))+(COUNTIF(JSL!$G$7:$G$50,'LUXE DRIVE'!A37))+(COUNTIF(KIFAITOUT!$G$7:$G$50,'LUXE DRIVE'!A37))+(COUNTIF('LUXE DRIVE'!$G$7:$G$50,'LUXE DRIVE'!A37))+(COUNTIF(SSN!$G$7:$G$50,'LUXE DRIVE'!A37))+(COUNTIF('W3'!$G$7:$G$50,'LUXE DRIVE'!A37))+(COUNTIF('ATHIS MONS'!$G$7:$G$50,'LUXE DRIVE'!A37))+(COUNTIF('L HAY LES ROSES'!$G$7:$G$50,'LUXE DRIVE'!A37))+(COUNTIF(RUNGIS!$G$7:$G$50,'LUXE DRIVE'!A37))+(COUNTIF(SCEAUX!$G$7:$G$50,'LUXE DRIVE'!A37))+(COUNTIF('INSTANCE C1'!$G$7:$G$50,'LUXE DRIVE'!A37))+(COUNTIF('INSTANCE C2'!$G$7:$G$50,'LUXE DRIVE'!A37))+(COUNTIF(INTERNES!$G$7:$G$50,'LUXE DRIVE'!A37))+(COUNTIF('EN PANNE'!$G$7:$G$50,'LUXE DRIVE'!A37))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EXPRESS'!$G$7:$G$50,'LUXE DRIVE'!G37))+(COUNTIF('2 ZT'!$G$7:$G$50,'LUXE DRIVE'!G37))+(COUNTIF('GO TRANSPORT'!$G$7:$G$50,'LUXE DRIVE'!G37))+(COUNTIF('HMZ - KAIS'!$G$7:$G$50,'LUXE DRIVE'!G37))+(COUNTIF('IB TRANSPORT'!$G$7:$G$50,'LUXE DRIVE'!G37))+(COUNTIF(JSL!$G$7:$G$50,'LUXE DRIVE'!G37))+(COUNTIF(KIFAITOUT!$G$7:$G$50,'LUXE DRIVE'!G37))+(COUNTIF('LUXE DRIVE'!$G$7:$G$50,'LUXE DRIVE'!G37))+(COUNTIF(SSN!$G$7:$G$50,'LUXE DRIVE'!G37))+(COUNTIF('W3'!$G$7:$G$50,'LUXE DRIVE'!G37))+(COUNTIF('ATHIS MONS'!$G$7:$G$50,'LUXE DRIVE'!G37))+(COUNTIF('L HAY LES ROSES'!$G$7:$G$50,'LUXE DRIVE'!G37))+(COUNTIF(RUNGIS!$G$7:$G$50,'LUXE DRIVE'!G37))+(COUNTIF(SCEAUX!$G$7:$G$50,'LUXE DRIVE'!G37))+(COUNTIF('INSTANCE C1'!$G$7:$G$50,'LUXE DRIVE'!G37))+(COUNTIF('INSTANCE C2'!$G$7:$G$50,'LUXE DRIVE'!G37))+(COUNTIF(INTERNES!$G$7:$G$50,'LUXE DRIVE'!G37))+(COUNTIF('EN PANNE'!$G$7:$G$50,'LUXE DRIVE'!G37))-I37</f>
        <v>0</v>
      </c>
      <c r="I37" s="23">
        <f>(COUNTIF('2S EXPRESS'!$A$7:$A$50,'LUXE DRIVE'!G37))+(COUNTIF('2 ZT'!$A$7:$A$50,'LUXE DRIVE'!G37))+(COUNTIF('GO TRANSPORT'!$A$7:$A$50,'LUXE DRIVE'!G37))+(COUNTIF('HMZ - KAIS'!$A$7:$A$50,'LUXE DRIVE'!G37))+(COUNTIF('IB TRANSPORT'!$A$7:$A$50,'LUXE DRIVE'!G37))+(COUNTIF(JSL!$A$7:$A$50,'LUXE DRIVE'!G37))+(COUNTIF(KIFAITOUT!$A$7:$A$50,'LUXE DRIVE'!G37))+(COUNTIF('LUXE DRIVE'!$A$7:$A$50,'LUXE DRIVE'!G37))+(COUNTIF(SSN!$A$7:$A$50,'LUXE DRIVE'!G37))+(COUNTIF('W3'!$A$7:$A$50,'LUXE DRIVE'!G37))+(COUNTIF('ATHIS MONS'!$A$7:$A$50,'LUXE DRIVE'!G37))+(COUNTIF('L HAY LES ROSES'!$A$7:$A$50,'LUXE DRIVE'!G37))+(COUNTIF(RUNGIS!$A$7:$A$50,'LUXE DRIVE'!G37))+(COUNTIF(SCEAUX!$A$7:$A$50,'LUXE DRIVE'!G37))+(COUNTIF('INSTANCE C1'!$A$7:$A$50,'LUXE DRIVE'!G37))+(COUNTIF('INSTANCE C2'!$A$7:$A$50,'LUXE DRIVE'!G37))+(COUNTIF(INTERNES!$A$7:$A$50,'LUXE DRIVE'!G37))+(COUNTIF('EN PANNE'!$A$7:$A$50,'LUXE DRIVE'!G37))</f>
        <v>0</v>
      </c>
      <c r="J37" s="28">
        <f t="shared" si="4"/>
        <v>0</v>
      </c>
      <c r="K37" s="2"/>
      <c r="L37" s="47"/>
      <c r="S37" s="60">
        <f t="shared" si="1"/>
        <v>0</v>
      </c>
      <c r="T37" s="67">
        <f t="shared" si="2"/>
        <v>0</v>
      </c>
    </row>
    <row r="38" spans="1:20" ht="24.95" customHeight="1" x14ac:dyDescent="0.2">
      <c r="A38" s="20"/>
      <c r="B38" s="23">
        <f>(COUNTIF('2S EXPRESS'!$A$7:$A$50,'LUXE DRIVE'!A38))+(COUNTIF('2 ZT'!$A$7:$A$50,'LUXE DRIVE'!A38))+(COUNTIF('GO TRANSPORT'!$A$7:$A$50,'LUXE DRIVE'!A38))+(COUNTIF('HMZ - KAIS'!$A$7:$A$50,'LUXE DRIVE'!A38))+(COUNTIF('IB TRANSPORT'!$A$7:$A$50,'LUXE DRIVE'!A38))+(COUNTIF(JSL!$A$7:$A$50,'LUXE DRIVE'!A38))+(COUNTIF(KIFAITOUT!$A$7:$A$50,'LUXE DRIVE'!A38))+(COUNTIF('LUXE DRIVE'!$A$7:$A$50,'LUXE DRIVE'!A38))+(COUNTIF(SSN!$A$7:$A$50,'LUXE DRIVE'!A38))+(COUNTIF('W3'!$A$7:$A$50,'LUXE DRIVE'!A38))+(COUNTIF('ATHIS MONS'!$A$7:$A$50,'LUXE DRIVE'!A38))+(COUNTIF('L HAY LES ROSES'!$A$7:$A$50,'LUXE DRIVE'!A38))+(COUNTIF(RUNGIS!$A$7:$A$50,'LUXE DRIVE'!A38))+(COUNTIF(SCEAUX!$A$7:$A$50,'LUXE DRIVE'!A38))+(COUNTIF('INSTANCE C1'!$A$7:$A$50,'LUXE DRIVE'!A38))+(COUNTIF('INSTANCE C2'!$A$7:$A$50,'LUXE DRIVE'!A38))+(COUNTIF(INTERNES!$A$7:$A$50,'LUXE DRIVE'!A38))+(COUNTIF('EN PANNE'!$A$7:$A$50,'LUXE DRIVE'!A38))-C38</f>
        <v>0</v>
      </c>
      <c r="C38" s="23">
        <f>(COUNTIF('2S EXPRESS'!$G$7:$G$50,'LUXE DRIVE'!A38))+(COUNTIF('2 ZT'!$G$7:$G$50,'LUXE DRIVE'!A38))+(COUNTIF('GO TRANSPORT'!$G$7:$G$50,'LUXE DRIVE'!A38))+(COUNTIF('LUXE DRIVE'!$G$7:$G$50,'LUXE DRIVE'!A38))+(COUNTIF('IB TRANSPORT'!$G$7:$G$50,'LUXE DRIVE'!A38))+(COUNTIF(JSL!$G$7:$G$50,'LUXE DRIVE'!A38))+(COUNTIF(KIFAITOUT!$G$7:$G$50,'LUXE DRIVE'!A38))+(COUNTIF('LUXE DRIVE'!$G$7:$G$50,'LUXE DRIVE'!A38))+(COUNTIF(SSN!$G$7:$G$50,'LUXE DRIVE'!A38))+(COUNTIF('W3'!$G$7:$G$50,'LUXE DRIVE'!A38))+(COUNTIF('ATHIS MONS'!$G$7:$G$50,'LUXE DRIVE'!A38))+(COUNTIF('L HAY LES ROSES'!$G$7:$G$50,'LUXE DRIVE'!A38))+(COUNTIF(RUNGIS!$G$7:$G$50,'LUXE DRIVE'!A38))+(COUNTIF(SCEAUX!$G$7:$G$50,'LUXE DRIVE'!A38))+(COUNTIF('INSTANCE C1'!$G$7:$G$50,'LUXE DRIVE'!A38))+(COUNTIF('INSTANCE C2'!$G$7:$G$50,'LUXE DRIVE'!A38))+(COUNTIF(INTERNES!$G$7:$G$50,'LUXE DRIVE'!A38))+(COUNTIF('EN PANNE'!$G$7:$G$50,'LUXE DRIVE'!A38))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EXPRESS'!$G$7:$G$50,'LUXE DRIVE'!G38))+(COUNTIF('2 ZT'!$G$7:$G$50,'LUXE DRIVE'!G38))+(COUNTIF('GO TRANSPORT'!$G$7:$G$50,'LUXE DRIVE'!G38))+(COUNTIF('HMZ - KAIS'!$G$7:$G$50,'LUXE DRIVE'!G38))+(COUNTIF('IB TRANSPORT'!$G$7:$G$50,'LUXE DRIVE'!G38))+(COUNTIF(JSL!$G$7:$G$50,'LUXE DRIVE'!G38))+(COUNTIF(KIFAITOUT!$G$7:$G$50,'LUXE DRIVE'!G38))+(COUNTIF('LUXE DRIVE'!$G$7:$G$50,'LUXE DRIVE'!G38))+(COUNTIF(SSN!$G$7:$G$50,'LUXE DRIVE'!G38))+(COUNTIF('W3'!$G$7:$G$50,'LUXE DRIVE'!G38))+(COUNTIF('ATHIS MONS'!$G$7:$G$50,'LUXE DRIVE'!G38))+(COUNTIF('L HAY LES ROSES'!$G$7:$G$50,'LUXE DRIVE'!G38))+(COUNTIF(RUNGIS!$G$7:$G$50,'LUXE DRIVE'!G38))+(COUNTIF(SCEAUX!$G$7:$G$50,'LUXE DRIVE'!G38))+(COUNTIF('INSTANCE C1'!$G$7:$G$50,'LUXE DRIVE'!G38))+(COUNTIF('INSTANCE C2'!$G$7:$G$50,'LUXE DRIVE'!G38))+(COUNTIF(INTERNES!$G$7:$G$50,'LUXE DRIVE'!G38))+(COUNTIF('EN PANNE'!$G$7:$G$50,'LUXE DRIVE'!G38))-I38</f>
        <v>0</v>
      </c>
      <c r="I38" s="23">
        <f>(COUNTIF('2S EXPRESS'!$A$7:$A$50,'LUXE DRIVE'!G38))+(COUNTIF('2 ZT'!$A$7:$A$50,'LUXE DRIVE'!G38))+(COUNTIF('GO TRANSPORT'!$A$7:$A$50,'LUXE DRIVE'!G38))+(COUNTIF('HMZ - KAIS'!$A$7:$A$50,'LUXE DRIVE'!G38))+(COUNTIF('IB TRANSPORT'!$A$7:$A$50,'LUXE DRIVE'!G38))+(COUNTIF(JSL!$A$7:$A$50,'LUXE DRIVE'!G38))+(COUNTIF(KIFAITOUT!$A$7:$A$50,'LUXE DRIVE'!G38))+(COUNTIF('LUXE DRIVE'!$A$7:$A$50,'LUXE DRIVE'!G38))+(COUNTIF(SSN!$A$7:$A$50,'LUXE DRIVE'!G38))+(COUNTIF('W3'!$A$7:$A$50,'LUXE DRIVE'!G38))+(COUNTIF('ATHIS MONS'!$A$7:$A$50,'LUXE DRIVE'!G38))+(COUNTIF('L HAY LES ROSES'!$A$7:$A$50,'LUXE DRIVE'!G38))+(COUNTIF(RUNGIS!$A$7:$A$50,'LUXE DRIVE'!G38))+(COUNTIF(SCEAUX!$A$7:$A$50,'LUXE DRIVE'!G38))+(COUNTIF('INSTANCE C1'!$A$7:$A$50,'LUXE DRIVE'!G38))+(COUNTIF('INSTANCE C2'!$A$7:$A$50,'LUXE DRIVE'!G38))+(COUNTIF(INTERNES!$A$7:$A$50,'LUXE DRIVE'!G38))+(COUNTIF('EN PANNE'!$A$7:$A$50,'LUXE DRIVE'!G38))</f>
        <v>0</v>
      </c>
      <c r="J38" s="28">
        <f t="shared" si="4"/>
        <v>0</v>
      </c>
      <c r="K38" s="2"/>
      <c r="L38" s="47"/>
      <c r="S38" s="60">
        <f t="shared" si="1"/>
        <v>0</v>
      </c>
      <c r="T38" s="67">
        <f t="shared" si="2"/>
        <v>0</v>
      </c>
    </row>
    <row r="39" spans="1:20" ht="24.95" customHeight="1" x14ac:dyDescent="0.2">
      <c r="A39" s="20"/>
      <c r="B39" s="23">
        <f>(COUNTIF('2S EXPRESS'!$A$7:$A$50,'LUXE DRIVE'!A39))+(COUNTIF('2 ZT'!$A$7:$A$50,'LUXE DRIVE'!A39))+(COUNTIF('GO TRANSPORT'!$A$7:$A$50,'LUXE DRIVE'!A39))+(COUNTIF('HMZ - KAIS'!$A$7:$A$50,'LUXE DRIVE'!A39))+(COUNTIF('IB TRANSPORT'!$A$7:$A$50,'LUXE DRIVE'!A39))+(COUNTIF(JSL!$A$7:$A$50,'LUXE DRIVE'!A39))+(COUNTIF(KIFAITOUT!$A$7:$A$50,'LUXE DRIVE'!A39))+(COUNTIF('LUXE DRIVE'!$A$7:$A$50,'LUXE DRIVE'!A39))+(COUNTIF(SSN!$A$7:$A$50,'LUXE DRIVE'!A39))+(COUNTIF('W3'!$A$7:$A$50,'LUXE DRIVE'!A39))+(COUNTIF('ATHIS MONS'!$A$7:$A$50,'LUXE DRIVE'!A39))+(COUNTIF('L HAY LES ROSES'!$A$7:$A$50,'LUXE DRIVE'!A39))+(COUNTIF(RUNGIS!$A$7:$A$50,'LUXE DRIVE'!A39))+(COUNTIF(SCEAUX!$A$7:$A$50,'LUXE DRIVE'!A39))+(COUNTIF('INSTANCE C1'!$A$7:$A$50,'LUXE DRIVE'!A39))+(COUNTIF('INSTANCE C2'!$A$7:$A$50,'LUXE DRIVE'!A39))+(COUNTIF(INTERNES!$A$7:$A$50,'LUXE DRIVE'!A39))+(COUNTIF('EN PANNE'!$A$7:$A$50,'LUXE DRIVE'!A39))-C39</f>
        <v>0</v>
      </c>
      <c r="C39" s="23">
        <f>(COUNTIF('2S EXPRESS'!$G$7:$G$50,'LUXE DRIVE'!A39))+(COUNTIF('2 ZT'!$G$7:$G$50,'LUXE DRIVE'!A39))+(COUNTIF('GO TRANSPORT'!$G$7:$G$50,'LUXE DRIVE'!A39))+(COUNTIF('LUXE DRIVE'!$G$7:$G$50,'LUXE DRIVE'!A39))+(COUNTIF('IB TRANSPORT'!$G$7:$G$50,'LUXE DRIVE'!A39))+(COUNTIF(JSL!$G$7:$G$50,'LUXE DRIVE'!A39))+(COUNTIF(KIFAITOUT!$G$7:$G$50,'LUXE DRIVE'!A39))+(COUNTIF('LUXE DRIVE'!$G$7:$G$50,'LUXE DRIVE'!A39))+(COUNTIF(SSN!$G$7:$G$50,'LUXE DRIVE'!A39))+(COUNTIF('W3'!$G$7:$G$50,'LUXE DRIVE'!A39))+(COUNTIF('ATHIS MONS'!$G$7:$G$50,'LUXE DRIVE'!A39))+(COUNTIF('L HAY LES ROSES'!$G$7:$G$50,'LUXE DRIVE'!A39))+(COUNTIF(RUNGIS!$G$7:$G$50,'LUXE DRIVE'!A39))+(COUNTIF(SCEAUX!$G$7:$G$50,'LUXE DRIVE'!A39))+(COUNTIF('INSTANCE C1'!$G$7:$G$50,'LUXE DRIVE'!A39))+(COUNTIF('INSTANCE C2'!$G$7:$G$50,'LUXE DRIVE'!A39))+(COUNTIF(INTERNES!$G$7:$G$50,'LUXE DRIVE'!A39))+(COUNTIF('EN PANNE'!$G$7:$G$50,'LUXE DRIVE'!A39))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EXPRESS'!$G$7:$G$50,'LUXE DRIVE'!G39))+(COUNTIF('2 ZT'!$G$7:$G$50,'LUXE DRIVE'!G39))+(COUNTIF('GO TRANSPORT'!$G$7:$G$50,'LUXE DRIVE'!G39))+(COUNTIF('HMZ - KAIS'!$G$7:$G$50,'LUXE DRIVE'!G39))+(COUNTIF('IB TRANSPORT'!$G$7:$G$50,'LUXE DRIVE'!G39))+(COUNTIF(JSL!$G$7:$G$50,'LUXE DRIVE'!G39))+(COUNTIF(KIFAITOUT!$G$7:$G$50,'LUXE DRIVE'!G39))+(COUNTIF('LUXE DRIVE'!$G$7:$G$50,'LUXE DRIVE'!G39))+(COUNTIF(SSN!$G$7:$G$50,'LUXE DRIVE'!G39))+(COUNTIF('W3'!$G$7:$G$50,'LUXE DRIVE'!G39))+(COUNTIF('ATHIS MONS'!$G$7:$G$50,'LUXE DRIVE'!G39))+(COUNTIF('L HAY LES ROSES'!$G$7:$G$50,'LUXE DRIVE'!G39))+(COUNTIF(RUNGIS!$G$7:$G$50,'LUXE DRIVE'!G39))+(COUNTIF(SCEAUX!$G$7:$G$50,'LUXE DRIVE'!G39))+(COUNTIF('INSTANCE C1'!$G$7:$G$50,'LUXE DRIVE'!G39))+(COUNTIF('INSTANCE C2'!$G$7:$G$50,'LUXE DRIVE'!G39))+(COUNTIF(INTERNES!$G$7:$G$50,'LUXE DRIVE'!G39))+(COUNTIF('EN PANNE'!$G$7:$G$50,'LUXE DRIVE'!G39))-I39</f>
        <v>0</v>
      </c>
      <c r="I39" s="23">
        <f>(COUNTIF('2S EXPRESS'!$A$7:$A$50,'LUXE DRIVE'!G39))+(COUNTIF('2 ZT'!$A$7:$A$50,'LUXE DRIVE'!G39))+(COUNTIF('GO TRANSPORT'!$A$7:$A$50,'LUXE DRIVE'!G39))+(COUNTIF('HMZ - KAIS'!$A$7:$A$50,'LUXE DRIVE'!G39))+(COUNTIF('IB TRANSPORT'!$A$7:$A$50,'LUXE DRIVE'!G39))+(COUNTIF(JSL!$A$7:$A$50,'LUXE DRIVE'!G39))+(COUNTIF(KIFAITOUT!$A$7:$A$50,'LUXE DRIVE'!G39))+(COUNTIF('LUXE DRIVE'!$A$7:$A$50,'LUXE DRIVE'!G39))+(COUNTIF(SSN!$A$7:$A$50,'LUXE DRIVE'!G39))+(COUNTIF('W3'!$A$7:$A$50,'LUXE DRIVE'!G39))+(COUNTIF('ATHIS MONS'!$A$7:$A$50,'LUXE DRIVE'!G39))+(COUNTIF('L HAY LES ROSES'!$A$7:$A$50,'LUXE DRIVE'!G39))+(COUNTIF(RUNGIS!$A$7:$A$50,'LUXE DRIVE'!G39))+(COUNTIF(SCEAUX!$A$7:$A$50,'LUXE DRIVE'!G39))+(COUNTIF('INSTANCE C1'!$A$7:$A$50,'LUXE DRIVE'!G39))+(COUNTIF('INSTANCE C2'!$A$7:$A$50,'LUXE DRIVE'!G39))+(COUNTIF(INTERNES!$A$7:$A$50,'LUXE DRIVE'!G39))+(COUNTIF('EN PANNE'!$A$7:$A$50,'LUXE DRIVE'!G39))</f>
        <v>0</v>
      </c>
      <c r="J39" s="28">
        <f t="shared" si="4"/>
        <v>0</v>
      </c>
      <c r="K39" s="2"/>
      <c r="L39" s="47"/>
      <c r="S39" s="60">
        <f t="shared" si="1"/>
        <v>0</v>
      </c>
      <c r="T39" s="67">
        <f t="shared" si="2"/>
        <v>0</v>
      </c>
    </row>
    <row r="40" spans="1:20" ht="24.95" customHeight="1" x14ac:dyDescent="0.2">
      <c r="A40" s="20"/>
      <c r="B40" s="23">
        <f>(COUNTIF('2S EXPRESS'!$A$7:$A$50,'LUXE DRIVE'!A40))+(COUNTIF('2 ZT'!$A$7:$A$50,'LUXE DRIVE'!A40))+(COUNTIF('GO TRANSPORT'!$A$7:$A$50,'LUXE DRIVE'!A40))+(COUNTIF('HMZ - KAIS'!$A$7:$A$50,'LUXE DRIVE'!A40))+(COUNTIF('IB TRANSPORT'!$A$7:$A$50,'LUXE DRIVE'!A40))+(COUNTIF(JSL!$A$7:$A$50,'LUXE DRIVE'!A40))+(COUNTIF(KIFAITOUT!$A$7:$A$50,'LUXE DRIVE'!A40))+(COUNTIF('LUXE DRIVE'!$A$7:$A$50,'LUXE DRIVE'!A40))+(COUNTIF(SSN!$A$7:$A$50,'LUXE DRIVE'!A40))+(COUNTIF('W3'!$A$7:$A$50,'LUXE DRIVE'!A40))+(COUNTIF('ATHIS MONS'!$A$7:$A$50,'LUXE DRIVE'!A40))+(COUNTIF('L HAY LES ROSES'!$A$7:$A$50,'LUXE DRIVE'!A40))+(COUNTIF(RUNGIS!$A$7:$A$50,'LUXE DRIVE'!A40))+(COUNTIF(SCEAUX!$A$7:$A$50,'LUXE DRIVE'!A40))+(COUNTIF('INSTANCE C1'!$A$7:$A$50,'LUXE DRIVE'!A40))+(COUNTIF('INSTANCE C2'!$A$7:$A$50,'LUXE DRIVE'!A40))+(COUNTIF(INTERNES!$A$7:$A$50,'LUXE DRIVE'!A40))+(COUNTIF('EN PANNE'!$A$7:$A$50,'LUXE DRIVE'!A40))-C40</f>
        <v>0</v>
      </c>
      <c r="C40" s="23">
        <f>(COUNTIF('2S EXPRESS'!$G$7:$G$50,'LUXE DRIVE'!A40))+(COUNTIF('2 ZT'!$G$7:$G$50,'LUXE DRIVE'!A40))+(COUNTIF('GO TRANSPORT'!$G$7:$G$50,'LUXE DRIVE'!A40))+(COUNTIF('LUXE DRIVE'!$G$7:$G$50,'LUXE DRIVE'!A40))+(COUNTIF('IB TRANSPORT'!$G$7:$G$50,'LUXE DRIVE'!A40))+(COUNTIF(JSL!$G$7:$G$50,'LUXE DRIVE'!A40))+(COUNTIF(KIFAITOUT!$G$7:$G$50,'LUXE DRIVE'!A40))+(COUNTIF('LUXE DRIVE'!$G$7:$G$50,'LUXE DRIVE'!A40))+(COUNTIF(SSN!$G$7:$G$50,'LUXE DRIVE'!A40))+(COUNTIF('W3'!$G$7:$G$50,'LUXE DRIVE'!A40))+(COUNTIF('ATHIS MONS'!$G$7:$G$50,'LUXE DRIVE'!A40))+(COUNTIF('L HAY LES ROSES'!$G$7:$G$50,'LUXE DRIVE'!A40))+(COUNTIF(RUNGIS!$G$7:$G$50,'LUXE DRIVE'!A40))+(COUNTIF(SCEAUX!$G$7:$G$50,'LUXE DRIVE'!A40))+(COUNTIF('INSTANCE C1'!$G$7:$G$50,'LUXE DRIVE'!A40))+(COUNTIF('INSTANCE C2'!$G$7:$G$50,'LUXE DRIVE'!A40))+(COUNTIF(INTERNES!$G$7:$G$50,'LUXE DRIVE'!A40))+(COUNTIF('EN PANNE'!$G$7:$G$50,'LUXE DRIVE'!A40))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EXPRESS'!$G$7:$G$50,'LUXE DRIVE'!G40))+(COUNTIF('2 ZT'!$G$7:$G$50,'LUXE DRIVE'!G40))+(COUNTIF('GO TRANSPORT'!$G$7:$G$50,'LUXE DRIVE'!G40))+(COUNTIF('HMZ - KAIS'!$G$7:$G$50,'LUXE DRIVE'!G40))+(COUNTIF('IB TRANSPORT'!$G$7:$G$50,'LUXE DRIVE'!G40))+(COUNTIF(JSL!$G$7:$G$50,'LUXE DRIVE'!G40))+(COUNTIF(KIFAITOUT!$G$7:$G$50,'LUXE DRIVE'!G40))+(COUNTIF('LUXE DRIVE'!$G$7:$G$50,'LUXE DRIVE'!G40))+(COUNTIF(SSN!$G$7:$G$50,'LUXE DRIVE'!G40))+(COUNTIF('W3'!$G$7:$G$50,'LUXE DRIVE'!G40))+(COUNTIF('ATHIS MONS'!$G$7:$G$50,'LUXE DRIVE'!G40))+(COUNTIF('L HAY LES ROSES'!$G$7:$G$50,'LUXE DRIVE'!G40))+(COUNTIF(RUNGIS!$G$7:$G$50,'LUXE DRIVE'!G40))+(COUNTIF(SCEAUX!$G$7:$G$50,'LUXE DRIVE'!G40))+(COUNTIF('INSTANCE C1'!$G$7:$G$50,'LUXE DRIVE'!G40))+(COUNTIF('INSTANCE C2'!$G$7:$G$50,'LUXE DRIVE'!G40))+(COUNTIF(INTERNES!$G$7:$G$50,'LUXE DRIVE'!G40))+(COUNTIF('EN PANNE'!$G$7:$G$50,'LUXE DRIVE'!G40))-I40</f>
        <v>0</v>
      </c>
      <c r="I40" s="23">
        <f>(COUNTIF('2S EXPRESS'!$A$7:$A$50,'LUXE DRIVE'!G40))+(COUNTIF('2 ZT'!$A$7:$A$50,'LUXE DRIVE'!G40))+(COUNTIF('GO TRANSPORT'!$A$7:$A$50,'LUXE DRIVE'!G40))+(COUNTIF('HMZ - KAIS'!$A$7:$A$50,'LUXE DRIVE'!G40))+(COUNTIF('IB TRANSPORT'!$A$7:$A$50,'LUXE DRIVE'!G40))+(COUNTIF(JSL!$A$7:$A$50,'LUXE DRIVE'!G40))+(COUNTIF(KIFAITOUT!$A$7:$A$50,'LUXE DRIVE'!G40))+(COUNTIF('LUXE DRIVE'!$A$7:$A$50,'LUXE DRIVE'!G40))+(COUNTIF(SSN!$A$7:$A$50,'LUXE DRIVE'!G40))+(COUNTIF('W3'!$A$7:$A$50,'LUXE DRIVE'!G40))+(COUNTIF('ATHIS MONS'!$A$7:$A$50,'LUXE DRIVE'!G40))+(COUNTIF('L HAY LES ROSES'!$A$7:$A$50,'LUXE DRIVE'!G40))+(COUNTIF(RUNGIS!$A$7:$A$50,'LUXE DRIVE'!G40))+(COUNTIF(SCEAUX!$A$7:$A$50,'LUXE DRIVE'!G40))+(COUNTIF('INSTANCE C1'!$A$7:$A$50,'LUXE DRIVE'!G40))+(COUNTIF('INSTANCE C2'!$A$7:$A$50,'LUXE DRIVE'!G40))+(COUNTIF(INTERNES!$A$7:$A$50,'LUXE DRIVE'!G40))+(COUNTIF('EN PANNE'!$A$7:$A$50,'LUXE DRIVE'!G40))</f>
        <v>0</v>
      </c>
      <c r="J40" s="28">
        <f t="shared" si="4"/>
        <v>0</v>
      </c>
      <c r="K40" s="2"/>
      <c r="L40" s="47"/>
      <c r="S40" s="60">
        <f t="shared" si="1"/>
        <v>0</v>
      </c>
      <c r="T40" s="67">
        <f t="shared" si="2"/>
        <v>0</v>
      </c>
    </row>
    <row r="41" spans="1:20" ht="24.95" customHeight="1" x14ac:dyDescent="0.2">
      <c r="A41" s="20"/>
      <c r="B41" s="23">
        <f>(COUNTIF('2S EXPRESS'!$A$7:$A$50,'LUXE DRIVE'!A41))+(COUNTIF('2 ZT'!$A$7:$A$50,'LUXE DRIVE'!A41))+(COUNTIF('GO TRANSPORT'!$A$7:$A$50,'LUXE DRIVE'!A41))+(COUNTIF('HMZ - KAIS'!$A$7:$A$50,'LUXE DRIVE'!A41))+(COUNTIF('IB TRANSPORT'!$A$7:$A$50,'LUXE DRIVE'!A41))+(COUNTIF(JSL!$A$7:$A$50,'LUXE DRIVE'!A41))+(COUNTIF(KIFAITOUT!$A$7:$A$50,'LUXE DRIVE'!A41))+(COUNTIF('LUXE DRIVE'!$A$7:$A$50,'LUXE DRIVE'!A41))+(COUNTIF(SSN!$A$7:$A$50,'LUXE DRIVE'!A41))+(COUNTIF('W3'!$A$7:$A$50,'LUXE DRIVE'!A41))+(COUNTIF('ATHIS MONS'!$A$7:$A$50,'LUXE DRIVE'!A41))+(COUNTIF('L HAY LES ROSES'!$A$7:$A$50,'LUXE DRIVE'!A41))+(COUNTIF(RUNGIS!$A$7:$A$50,'LUXE DRIVE'!A41))+(COUNTIF(SCEAUX!$A$7:$A$50,'LUXE DRIVE'!A41))+(COUNTIF('INSTANCE C1'!$A$7:$A$50,'LUXE DRIVE'!A41))+(COUNTIF('INSTANCE C2'!$A$7:$A$50,'LUXE DRIVE'!A41))+(COUNTIF(INTERNES!$A$7:$A$50,'LUXE DRIVE'!A41))+(COUNTIF('EN PANNE'!$A$7:$A$50,'LUXE DRIVE'!A41))-C41</f>
        <v>0</v>
      </c>
      <c r="C41" s="23">
        <f>(COUNTIF('2S EXPRESS'!$G$7:$G$50,'LUXE DRIVE'!A41))+(COUNTIF('2 ZT'!$G$7:$G$50,'LUXE DRIVE'!A41))+(COUNTIF('GO TRANSPORT'!$G$7:$G$50,'LUXE DRIVE'!A41))+(COUNTIF('LUXE DRIVE'!$G$7:$G$50,'LUXE DRIVE'!A41))+(COUNTIF('IB TRANSPORT'!$G$7:$G$50,'LUXE DRIVE'!A41))+(COUNTIF(JSL!$G$7:$G$50,'LUXE DRIVE'!A41))+(COUNTIF(KIFAITOUT!$G$7:$G$50,'LUXE DRIVE'!A41))+(COUNTIF('LUXE DRIVE'!$G$7:$G$50,'LUXE DRIVE'!A41))+(COUNTIF(SSN!$G$7:$G$50,'LUXE DRIVE'!A41))+(COUNTIF('W3'!$G$7:$G$50,'LUXE DRIVE'!A41))+(COUNTIF('ATHIS MONS'!$G$7:$G$50,'LUXE DRIVE'!A41))+(COUNTIF('L HAY LES ROSES'!$G$7:$G$50,'LUXE DRIVE'!A41))+(COUNTIF(RUNGIS!$G$7:$G$50,'LUXE DRIVE'!A41))+(COUNTIF(SCEAUX!$G$7:$G$50,'LUXE DRIVE'!A41))+(COUNTIF('INSTANCE C1'!$G$7:$G$50,'LUXE DRIVE'!A41))+(COUNTIF('INSTANCE C2'!$G$7:$G$50,'LUXE DRIVE'!A41))+(COUNTIF(INTERNES!$G$7:$G$50,'LUXE DRIVE'!A41))+(COUNTIF('EN PANNE'!$G$7:$G$50,'LUXE DRIVE'!A41))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EXPRESS'!$G$7:$G$50,'LUXE DRIVE'!G41))+(COUNTIF('2 ZT'!$G$7:$G$50,'LUXE DRIVE'!G41))+(COUNTIF('GO TRANSPORT'!$G$7:$G$50,'LUXE DRIVE'!G41))+(COUNTIF('HMZ - KAIS'!$G$7:$G$50,'LUXE DRIVE'!G41))+(COUNTIF('IB TRANSPORT'!$G$7:$G$50,'LUXE DRIVE'!G41))+(COUNTIF(JSL!$G$7:$G$50,'LUXE DRIVE'!G41))+(COUNTIF(KIFAITOUT!$G$7:$G$50,'LUXE DRIVE'!G41))+(COUNTIF('LUXE DRIVE'!$G$7:$G$50,'LUXE DRIVE'!G41))+(COUNTIF(SSN!$G$7:$G$50,'LUXE DRIVE'!G41))+(COUNTIF('W3'!$G$7:$G$50,'LUXE DRIVE'!G41))+(COUNTIF('ATHIS MONS'!$G$7:$G$50,'LUXE DRIVE'!G41))+(COUNTIF('L HAY LES ROSES'!$G$7:$G$50,'LUXE DRIVE'!G41))+(COUNTIF(RUNGIS!$G$7:$G$50,'LUXE DRIVE'!G41))+(COUNTIF(SCEAUX!$G$7:$G$50,'LUXE DRIVE'!G41))+(COUNTIF('INSTANCE C1'!$G$7:$G$50,'LUXE DRIVE'!G41))+(COUNTIF('INSTANCE C2'!$G$7:$G$50,'LUXE DRIVE'!G41))+(COUNTIF(INTERNES!$G$7:$G$50,'LUXE DRIVE'!G41))+(COUNTIF('EN PANNE'!$G$7:$G$50,'LUXE DRIVE'!G41))-I41</f>
        <v>0</v>
      </c>
      <c r="I41" s="23">
        <f>(COUNTIF('2S EXPRESS'!$A$7:$A$50,'LUXE DRIVE'!G41))+(COUNTIF('2 ZT'!$A$7:$A$50,'LUXE DRIVE'!G41))+(COUNTIF('GO TRANSPORT'!$A$7:$A$50,'LUXE DRIVE'!G41))+(COUNTIF('HMZ - KAIS'!$A$7:$A$50,'LUXE DRIVE'!G41))+(COUNTIF('IB TRANSPORT'!$A$7:$A$50,'LUXE DRIVE'!G41))+(COUNTIF(JSL!$A$7:$A$50,'LUXE DRIVE'!G41))+(COUNTIF(KIFAITOUT!$A$7:$A$50,'LUXE DRIVE'!G41))+(COUNTIF('LUXE DRIVE'!$A$7:$A$50,'LUXE DRIVE'!G41))+(COUNTIF(SSN!$A$7:$A$50,'LUXE DRIVE'!G41))+(COUNTIF('W3'!$A$7:$A$50,'LUXE DRIVE'!G41))+(COUNTIF('ATHIS MONS'!$A$7:$A$50,'LUXE DRIVE'!G41))+(COUNTIF('L HAY LES ROSES'!$A$7:$A$50,'LUXE DRIVE'!G41))+(COUNTIF(RUNGIS!$A$7:$A$50,'LUXE DRIVE'!G41))+(COUNTIF(SCEAUX!$A$7:$A$50,'LUXE DRIVE'!G41))+(COUNTIF('INSTANCE C1'!$A$7:$A$50,'LUXE DRIVE'!G41))+(COUNTIF('INSTANCE C2'!$A$7:$A$50,'LUXE DRIVE'!G41))+(COUNTIF(INTERNES!$A$7:$A$50,'LUXE DRIVE'!G41))+(COUNTIF('EN PANNE'!$A$7:$A$50,'LUXE DRIVE'!G41))</f>
        <v>0</v>
      </c>
      <c r="J41" s="28">
        <f t="shared" si="4"/>
        <v>0</v>
      </c>
      <c r="K41" s="2"/>
      <c r="L41" s="47"/>
      <c r="S41" s="60">
        <f t="shared" si="1"/>
        <v>0</v>
      </c>
      <c r="T41" s="67">
        <f t="shared" si="2"/>
        <v>0</v>
      </c>
    </row>
    <row r="42" spans="1:20" ht="24.95" customHeight="1" x14ac:dyDescent="0.2">
      <c r="A42" s="20"/>
      <c r="B42" s="23">
        <f>(COUNTIF('2S EXPRESS'!$A$7:$A$50,'LUXE DRIVE'!A42))+(COUNTIF('2 ZT'!$A$7:$A$50,'LUXE DRIVE'!A42))+(COUNTIF('GO TRANSPORT'!$A$7:$A$50,'LUXE DRIVE'!A42))+(COUNTIF('HMZ - KAIS'!$A$7:$A$50,'LUXE DRIVE'!A42))+(COUNTIF('IB TRANSPORT'!$A$7:$A$50,'LUXE DRIVE'!A42))+(COUNTIF(JSL!$A$7:$A$50,'LUXE DRIVE'!A42))+(COUNTIF(KIFAITOUT!$A$7:$A$50,'LUXE DRIVE'!A42))+(COUNTIF('LUXE DRIVE'!$A$7:$A$50,'LUXE DRIVE'!A42))+(COUNTIF(SSN!$A$7:$A$50,'LUXE DRIVE'!A42))+(COUNTIF('W3'!$A$7:$A$50,'LUXE DRIVE'!A42))+(COUNTIF('ATHIS MONS'!$A$7:$A$50,'LUXE DRIVE'!A42))+(COUNTIF('L HAY LES ROSES'!$A$7:$A$50,'LUXE DRIVE'!A42))+(COUNTIF(RUNGIS!$A$7:$A$50,'LUXE DRIVE'!A42))+(COUNTIF(SCEAUX!$A$7:$A$50,'LUXE DRIVE'!A42))+(COUNTIF('INSTANCE C1'!$A$7:$A$50,'LUXE DRIVE'!A42))+(COUNTIF('INSTANCE C2'!$A$7:$A$50,'LUXE DRIVE'!A42))+(COUNTIF(INTERNES!$A$7:$A$50,'LUXE DRIVE'!A42))+(COUNTIF('EN PANNE'!$A$7:$A$50,'LUXE DRIVE'!A42))-C42</f>
        <v>0</v>
      </c>
      <c r="C42" s="23">
        <f>(COUNTIF('2S EXPRESS'!$G$7:$G$50,'LUXE DRIVE'!A42))+(COUNTIF('2 ZT'!$G$7:$G$50,'LUXE DRIVE'!A42))+(COUNTIF('GO TRANSPORT'!$G$7:$G$50,'LUXE DRIVE'!A42))+(COUNTIF('LUXE DRIVE'!$G$7:$G$50,'LUXE DRIVE'!A42))+(COUNTIF('IB TRANSPORT'!$G$7:$G$50,'LUXE DRIVE'!A42))+(COUNTIF(JSL!$G$7:$G$50,'LUXE DRIVE'!A42))+(COUNTIF(KIFAITOUT!$G$7:$G$50,'LUXE DRIVE'!A42))+(COUNTIF('LUXE DRIVE'!$G$7:$G$50,'LUXE DRIVE'!A42))+(COUNTIF(SSN!$G$7:$G$50,'LUXE DRIVE'!A42))+(COUNTIF('W3'!$G$7:$G$50,'LUXE DRIVE'!A42))+(COUNTIF('ATHIS MONS'!$G$7:$G$50,'LUXE DRIVE'!A42))+(COUNTIF('L HAY LES ROSES'!$G$7:$G$50,'LUXE DRIVE'!A42))+(COUNTIF(RUNGIS!$G$7:$G$50,'LUXE DRIVE'!A42))+(COUNTIF(SCEAUX!$G$7:$G$50,'LUXE DRIVE'!A42))+(COUNTIF('INSTANCE C1'!$G$7:$G$50,'LUXE DRIVE'!A42))+(COUNTIF('INSTANCE C2'!$G$7:$G$50,'LUXE DRIVE'!A42))+(COUNTIF(INTERNES!$G$7:$G$50,'LUXE DRIVE'!A42))+(COUNTIF('EN PANNE'!$G$7:$G$50,'LUXE DRIVE'!A42))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EXPRESS'!$G$7:$G$50,'LUXE DRIVE'!G42))+(COUNTIF('2 ZT'!$G$7:$G$50,'LUXE DRIVE'!G42))+(COUNTIF('GO TRANSPORT'!$G$7:$G$50,'LUXE DRIVE'!G42))+(COUNTIF('HMZ - KAIS'!$G$7:$G$50,'LUXE DRIVE'!G42))+(COUNTIF('IB TRANSPORT'!$G$7:$G$50,'LUXE DRIVE'!G42))+(COUNTIF(JSL!$G$7:$G$50,'LUXE DRIVE'!G42))+(COUNTIF(KIFAITOUT!$G$7:$G$50,'LUXE DRIVE'!G42))+(COUNTIF('LUXE DRIVE'!$G$7:$G$50,'LUXE DRIVE'!G42))+(COUNTIF(SSN!$G$7:$G$50,'LUXE DRIVE'!G42))+(COUNTIF('W3'!$G$7:$G$50,'LUXE DRIVE'!G42))+(COUNTIF('ATHIS MONS'!$G$7:$G$50,'LUXE DRIVE'!G42))+(COUNTIF('L HAY LES ROSES'!$G$7:$G$50,'LUXE DRIVE'!G42))+(COUNTIF(RUNGIS!$G$7:$G$50,'LUXE DRIVE'!G42))+(COUNTIF(SCEAUX!$G$7:$G$50,'LUXE DRIVE'!G42))+(COUNTIF('INSTANCE C1'!$G$7:$G$50,'LUXE DRIVE'!G42))+(COUNTIF('INSTANCE C2'!$G$7:$G$50,'LUXE DRIVE'!G42))+(COUNTIF(INTERNES!$G$7:$G$50,'LUXE DRIVE'!G42))+(COUNTIF('EN PANNE'!$G$7:$G$50,'LUXE DRIVE'!G42))-I42</f>
        <v>0</v>
      </c>
      <c r="I42" s="23">
        <f>(COUNTIF('2S EXPRESS'!$A$7:$A$50,'LUXE DRIVE'!G42))+(COUNTIF('2 ZT'!$A$7:$A$50,'LUXE DRIVE'!G42))+(COUNTIF('GO TRANSPORT'!$A$7:$A$50,'LUXE DRIVE'!G42))+(COUNTIF('HMZ - KAIS'!$A$7:$A$50,'LUXE DRIVE'!G42))+(COUNTIF('IB TRANSPORT'!$A$7:$A$50,'LUXE DRIVE'!G42))+(COUNTIF(JSL!$A$7:$A$50,'LUXE DRIVE'!G42))+(COUNTIF(KIFAITOUT!$A$7:$A$50,'LUXE DRIVE'!G42))+(COUNTIF('LUXE DRIVE'!$A$7:$A$50,'LUXE DRIVE'!G42))+(COUNTIF(SSN!$A$7:$A$50,'LUXE DRIVE'!G42))+(COUNTIF('W3'!$A$7:$A$50,'LUXE DRIVE'!G42))+(COUNTIF('ATHIS MONS'!$A$7:$A$50,'LUXE DRIVE'!G42))+(COUNTIF('L HAY LES ROSES'!$A$7:$A$50,'LUXE DRIVE'!G42))+(COUNTIF(RUNGIS!$A$7:$A$50,'LUXE DRIVE'!G42))+(COUNTIF(SCEAUX!$A$7:$A$50,'LUXE DRIVE'!G42))+(COUNTIF('INSTANCE C1'!$A$7:$A$50,'LUXE DRIVE'!G42))+(COUNTIF('INSTANCE C2'!$A$7:$A$50,'LUXE DRIVE'!G42))+(COUNTIF(INTERNES!$A$7:$A$50,'LUXE DRIVE'!G42))+(COUNTIF('EN PANNE'!$A$7:$A$50,'LUXE DRIVE'!G42))</f>
        <v>0</v>
      </c>
      <c r="J42" s="28">
        <f t="shared" si="4"/>
        <v>0</v>
      </c>
      <c r="K42" s="2"/>
      <c r="L42" s="47"/>
      <c r="S42" s="60">
        <f t="shared" si="1"/>
        <v>0</v>
      </c>
      <c r="T42" s="67">
        <f t="shared" si="2"/>
        <v>0</v>
      </c>
    </row>
    <row r="43" spans="1:20" ht="24.95" customHeight="1" x14ac:dyDescent="0.2">
      <c r="A43" s="20"/>
      <c r="B43" s="23">
        <f>(COUNTIF('2S EXPRESS'!$A$7:$A$50,'LUXE DRIVE'!A43))+(COUNTIF('2 ZT'!$A$7:$A$50,'LUXE DRIVE'!A43))+(COUNTIF('GO TRANSPORT'!$A$7:$A$50,'LUXE DRIVE'!A43))+(COUNTIF('HMZ - KAIS'!$A$7:$A$50,'LUXE DRIVE'!A43))+(COUNTIF('IB TRANSPORT'!$A$7:$A$50,'LUXE DRIVE'!A43))+(COUNTIF(JSL!$A$7:$A$50,'LUXE DRIVE'!A43))+(COUNTIF(KIFAITOUT!$A$7:$A$50,'LUXE DRIVE'!A43))+(COUNTIF('LUXE DRIVE'!$A$7:$A$50,'LUXE DRIVE'!A43))+(COUNTIF(SSN!$A$7:$A$50,'LUXE DRIVE'!A43))+(COUNTIF('W3'!$A$7:$A$50,'LUXE DRIVE'!A43))+(COUNTIF('ATHIS MONS'!$A$7:$A$50,'LUXE DRIVE'!A43))+(COUNTIF('L HAY LES ROSES'!$A$7:$A$50,'LUXE DRIVE'!A43))+(COUNTIF(RUNGIS!$A$7:$A$50,'LUXE DRIVE'!A43))+(COUNTIF(SCEAUX!$A$7:$A$50,'LUXE DRIVE'!A43))+(COUNTIF('INSTANCE C1'!$A$7:$A$50,'LUXE DRIVE'!A43))+(COUNTIF('INSTANCE C2'!$A$7:$A$50,'LUXE DRIVE'!A43))+(COUNTIF(INTERNES!$A$7:$A$50,'LUXE DRIVE'!A43))+(COUNTIF('EN PANNE'!$A$7:$A$50,'LUXE DRIVE'!A43))-C43</f>
        <v>0</v>
      </c>
      <c r="C43" s="23">
        <f>(COUNTIF('2S EXPRESS'!$G$7:$G$50,'LUXE DRIVE'!A43))+(COUNTIF('2 ZT'!$G$7:$G$50,'LUXE DRIVE'!A43))+(COUNTIF('GO TRANSPORT'!$G$7:$G$50,'LUXE DRIVE'!A43))+(COUNTIF('LUXE DRIVE'!$G$7:$G$50,'LUXE DRIVE'!A43))+(COUNTIF('IB TRANSPORT'!$G$7:$G$50,'LUXE DRIVE'!A43))+(COUNTIF(JSL!$G$7:$G$50,'LUXE DRIVE'!A43))+(COUNTIF(KIFAITOUT!$G$7:$G$50,'LUXE DRIVE'!A43))+(COUNTIF('LUXE DRIVE'!$G$7:$G$50,'LUXE DRIVE'!A43))+(COUNTIF(SSN!$G$7:$G$50,'LUXE DRIVE'!A43))+(COUNTIF('W3'!$G$7:$G$50,'LUXE DRIVE'!A43))+(COUNTIF('ATHIS MONS'!$G$7:$G$50,'LUXE DRIVE'!A43))+(COUNTIF('L HAY LES ROSES'!$G$7:$G$50,'LUXE DRIVE'!A43))+(COUNTIF(RUNGIS!$G$7:$G$50,'LUXE DRIVE'!A43))+(COUNTIF(SCEAUX!$G$7:$G$50,'LUXE DRIVE'!A43))+(COUNTIF('INSTANCE C1'!$G$7:$G$50,'LUXE DRIVE'!A43))+(COUNTIF('INSTANCE C2'!$G$7:$G$50,'LUXE DRIVE'!A43))+(COUNTIF(INTERNES!$G$7:$G$50,'LUXE DRIVE'!A43))+(COUNTIF('EN PANNE'!$G$7:$G$50,'LUXE DRIVE'!A43))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EXPRESS'!$G$7:$G$50,'LUXE DRIVE'!G43))+(COUNTIF('2 ZT'!$G$7:$G$50,'LUXE DRIVE'!G43))+(COUNTIF('GO TRANSPORT'!$G$7:$G$50,'LUXE DRIVE'!G43))+(COUNTIF('HMZ - KAIS'!$G$7:$G$50,'LUXE DRIVE'!G43))+(COUNTIF('IB TRANSPORT'!$G$7:$G$50,'LUXE DRIVE'!G43))+(COUNTIF(JSL!$G$7:$G$50,'LUXE DRIVE'!G43))+(COUNTIF(KIFAITOUT!$G$7:$G$50,'LUXE DRIVE'!G43))+(COUNTIF('LUXE DRIVE'!$G$7:$G$50,'LUXE DRIVE'!G43))+(COUNTIF(SSN!$G$7:$G$50,'LUXE DRIVE'!G43))+(COUNTIF('W3'!$G$7:$G$50,'LUXE DRIVE'!G43))+(COUNTIF('ATHIS MONS'!$G$7:$G$50,'LUXE DRIVE'!G43))+(COUNTIF('L HAY LES ROSES'!$G$7:$G$50,'LUXE DRIVE'!G43))+(COUNTIF(RUNGIS!$G$7:$G$50,'LUXE DRIVE'!G43))+(COUNTIF(SCEAUX!$G$7:$G$50,'LUXE DRIVE'!G43))+(COUNTIF('INSTANCE C1'!$G$7:$G$50,'LUXE DRIVE'!G43))+(COUNTIF('INSTANCE C2'!$G$7:$G$50,'LUXE DRIVE'!G43))+(COUNTIF(INTERNES!$G$7:$G$50,'LUXE DRIVE'!G43))+(COUNTIF('EN PANNE'!$G$7:$G$50,'LUXE DRIVE'!G43))-I43</f>
        <v>0</v>
      </c>
      <c r="I43" s="23">
        <f>(COUNTIF('2S EXPRESS'!$A$7:$A$50,'LUXE DRIVE'!G43))+(COUNTIF('2 ZT'!$A$7:$A$50,'LUXE DRIVE'!G43))+(COUNTIF('GO TRANSPORT'!$A$7:$A$50,'LUXE DRIVE'!G43))+(COUNTIF('HMZ - KAIS'!$A$7:$A$50,'LUXE DRIVE'!G43))+(COUNTIF('IB TRANSPORT'!$A$7:$A$50,'LUXE DRIVE'!G43))+(COUNTIF(JSL!$A$7:$A$50,'LUXE DRIVE'!G43))+(COUNTIF(KIFAITOUT!$A$7:$A$50,'LUXE DRIVE'!G43))+(COUNTIF('LUXE DRIVE'!$A$7:$A$50,'LUXE DRIVE'!G43))+(COUNTIF(SSN!$A$7:$A$50,'LUXE DRIVE'!G43))+(COUNTIF('W3'!$A$7:$A$50,'LUXE DRIVE'!G43))+(COUNTIF('ATHIS MONS'!$A$7:$A$50,'LUXE DRIVE'!G43))+(COUNTIF('L HAY LES ROSES'!$A$7:$A$50,'LUXE DRIVE'!G43))+(COUNTIF(RUNGIS!$A$7:$A$50,'LUXE DRIVE'!G43))+(COUNTIF(SCEAUX!$A$7:$A$50,'LUXE DRIVE'!G43))+(COUNTIF('INSTANCE C1'!$A$7:$A$50,'LUXE DRIVE'!G43))+(COUNTIF('INSTANCE C2'!$A$7:$A$50,'LUXE DRIVE'!G43))+(COUNTIF(INTERNES!$A$7:$A$50,'LUXE DRIVE'!G43))+(COUNTIF('EN PANNE'!$A$7:$A$50,'LUXE DRIVE'!G43))</f>
        <v>0</v>
      </c>
      <c r="J43" s="28">
        <f t="shared" si="4"/>
        <v>0</v>
      </c>
      <c r="K43" s="2"/>
      <c r="L43" s="47"/>
      <c r="S43" s="60">
        <f t="shared" si="1"/>
        <v>0</v>
      </c>
      <c r="T43" s="67">
        <f t="shared" si="2"/>
        <v>0</v>
      </c>
    </row>
    <row r="44" spans="1:20" ht="24.95" customHeight="1" x14ac:dyDescent="0.2">
      <c r="A44" s="20"/>
      <c r="B44" s="23">
        <f>(COUNTIF('2S EXPRESS'!$A$7:$A$50,'LUXE DRIVE'!A44))+(COUNTIF('2 ZT'!$A$7:$A$50,'LUXE DRIVE'!A44))+(COUNTIF('GO TRANSPORT'!$A$7:$A$50,'LUXE DRIVE'!A44))+(COUNTIF('HMZ - KAIS'!$A$7:$A$50,'LUXE DRIVE'!A44))+(COUNTIF('IB TRANSPORT'!$A$7:$A$50,'LUXE DRIVE'!A44))+(COUNTIF(JSL!$A$7:$A$50,'LUXE DRIVE'!A44))+(COUNTIF(KIFAITOUT!$A$7:$A$50,'LUXE DRIVE'!A44))+(COUNTIF('LUXE DRIVE'!$A$7:$A$50,'LUXE DRIVE'!A44))+(COUNTIF(SSN!$A$7:$A$50,'LUXE DRIVE'!A44))+(COUNTIF('W3'!$A$7:$A$50,'LUXE DRIVE'!A44))+(COUNTIF('ATHIS MONS'!$A$7:$A$50,'LUXE DRIVE'!A44))+(COUNTIF('L HAY LES ROSES'!$A$7:$A$50,'LUXE DRIVE'!A44))+(COUNTIF(RUNGIS!$A$7:$A$50,'LUXE DRIVE'!A44))+(COUNTIF(SCEAUX!$A$7:$A$50,'LUXE DRIVE'!A44))+(COUNTIF('INSTANCE C1'!$A$7:$A$50,'LUXE DRIVE'!A44))+(COUNTIF('INSTANCE C2'!$A$7:$A$50,'LUXE DRIVE'!A44))+(COUNTIF(INTERNES!$A$7:$A$50,'LUXE DRIVE'!A44))+(COUNTIF('EN PANNE'!$A$7:$A$50,'LUXE DRIVE'!A44))-C44</f>
        <v>0</v>
      </c>
      <c r="C44" s="23">
        <f>(COUNTIF('2S EXPRESS'!$G$7:$G$50,'LUXE DRIVE'!A44))+(COUNTIF('2 ZT'!$G$7:$G$50,'LUXE DRIVE'!A44))+(COUNTIF('GO TRANSPORT'!$G$7:$G$50,'LUXE DRIVE'!A44))+(COUNTIF('LUXE DRIVE'!$G$7:$G$50,'LUXE DRIVE'!A44))+(COUNTIF('IB TRANSPORT'!$G$7:$G$50,'LUXE DRIVE'!A44))+(COUNTIF(JSL!$G$7:$G$50,'LUXE DRIVE'!A44))+(COUNTIF(KIFAITOUT!$G$7:$G$50,'LUXE DRIVE'!A44))+(COUNTIF('LUXE DRIVE'!$G$7:$G$50,'LUXE DRIVE'!A44))+(COUNTIF(SSN!$G$7:$G$50,'LUXE DRIVE'!A44))+(COUNTIF('W3'!$G$7:$G$50,'LUXE DRIVE'!A44))+(COUNTIF('ATHIS MONS'!$G$7:$G$50,'LUXE DRIVE'!A44))+(COUNTIF('L HAY LES ROSES'!$G$7:$G$50,'LUXE DRIVE'!A44))+(COUNTIF(RUNGIS!$G$7:$G$50,'LUXE DRIVE'!A44))+(COUNTIF(SCEAUX!$G$7:$G$50,'LUXE DRIVE'!A44))+(COUNTIF('INSTANCE C1'!$G$7:$G$50,'LUXE DRIVE'!A44))+(COUNTIF('INSTANCE C2'!$G$7:$G$50,'LUXE DRIVE'!A44))+(COUNTIF(INTERNES!$G$7:$G$50,'LUXE DRIVE'!A44))+(COUNTIF('EN PANNE'!$G$7:$G$50,'LUXE DRIVE'!A44))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EXPRESS'!$G$7:$G$50,'LUXE DRIVE'!G44))+(COUNTIF('2 ZT'!$G$7:$G$50,'LUXE DRIVE'!G44))+(COUNTIF('GO TRANSPORT'!$G$7:$G$50,'LUXE DRIVE'!G44))+(COUNTIF('HMZ - KAIS'!$G$7:$G$50,'LUXE DRIVE'!G44))+(COUNTIF('IB TRANSPORT'!$G$7:$G$50,'LUXE DRIVE'!G44))+(COUNTIF(JSL!$G$7:$G$50,'LUXE DRIVE'!G44))+(COUNTIF(KIFAITOUT!$G$7:$G$50,'LUXE DRIVE'!G44))+(COUNTIF('LUXE DRIVE'!$G$7:$G$50,'LUXE DRIVE'!G44))+(COUNTIF(SSN!$G$7:$G$50,'LUXE DRIVE'!G44))+(COUNTIF('W3'!$G$7:$G$50,'LUXE DRIVE'!G44))+(COUNTIF('ATHIS MONS'!$G$7:$G$50,'LUXE DRIVE'!G44))+(COUNTIF('L HAY LES ROSES'!$G$7:$G$50,'LUXE DRIVE'!G44))+(COUNTIF(RUNGIS!$G$7:$G$50,'LUXE DRIVE'!G44))+(COUNTIF(SCEAUX!$G$7:$G$50,'LUXE DRIVE'!G44))+(COUNTIF('INSTANCE C1'!$G$7:$G$50,'LUXE DRIVE'!G44))+(COUNTIF('INSTANCE C2'!$G$7:$G$50,'LUXE DRIVE'!G44))+(COUNTIF(INTERNES!$G$7:$G$50,'LUXE DRIVE'!G44))+(COUNTIF('EN PANNE'!$G$7:$G$50,'LUXE DRIVE'!G44))-I44</f>
        <v>0</v>
      </c>
      <c r="I44" s="23">
        <f>(COUNTIF('2S EXPRESS'!$A$7:$A$50,'LUXE DRIVE'!G44))+(COUNTIF('2 ZT'!$A$7:$A$50,'LUXE DRIVE'!G44))+(COUNTIF('GO TRANSPORT'!$A$7:$A$50,'LUXE DRIVE'!G44))+(COUNTIF('HMZ - KAIS'!$A$7:$A$50,'LUXE DRIVE'!G44))+(COUNTIF('IB TRANSPORT'!$A$7:$A$50,'LUXE DRIVE'!G44))+(COUNTIF(JSL!$A$7:$A$50,'LUXE DRIVE'!G44))+(COUNTIF(KIFAITOUT!$A$7:$A$50,'LUXE DRIVE'!G44))+(COUNTIF('LUXE DRIVE'!$A$7:$A$50,'LUXE DRIVE'!G44))+(COUNTIF(SSN!$A$7:$A$50,'LUXE DRIVE'!G44))+(COUNTIF('W3'!$A$7:$A$50,'LUXE DRIVE'!G44))+(COUNTIF('ATHIS MONS'!$A$7:$A$50,'LUXE DRIVE'!G44))+(COUNTIF('L HAY LES ROSES'!$A$7:$A$50,'LUXE DRIVE'!G44))+(COUNTIF(RUNGIS!$A$7:$A$50,'LUXE DRIVE'!G44))+(COUNTIF(SCEAUX!$A$7:$A$50,'LUXE DRIVE'!G44))+(COUNTIF('INSTANCE C1'!$A$7:$A$50,'LUXE DRIVE'!G44))+(COUNTIF('INSTANCE C2'!$A$7:$A$50,'LUXE DRIVE'!G44))+(COUNTIF(INTERNES!$A$7:$A$50,'LUXE DRIVE'!G44))+(COUNTIF('EN PANNE'!$A$7:$A$50,'LUXE DRIVE'!G44))</f>
        <v>0</v>
      </c>
      <c r="J44" s="28">
        <f t="shared" si="4"/>
        <v>0</v>
      </c>
      <c r="K44" s="2"/>
      <c r="L44" s="47"/>
      <c r="S44" s="60">
        <f t="shared" si="1"/>
        <v>0</v>
      </c>
      <c r="T44" s="67">
        <f t="shared" si="2"/>
        <v>0</v>
      </c>
    </row>
    <row r="45" spans="1:20" ht="24.95" customHeight="1" x14ac:dyDescent="0.2">
      <c r="A45" s="20"/>
      <c r="B45" s="23">
        <f>(COUNTIF('2S EXPRESS'!$A$7:$A$50,'LUXE DRIVE'!A45))+(COUNTIF('2 ZT'!$A$7:$A$50,'LUXE DRIVE'!A45))+(COUNTIF('GO TRANSPORT'!$A$7:$A$50,'LUXE DRIVE'!A45))+(COUNTIF('HMZ - KAIS'!$A$7:$A$50,'LUXE DRIVE'!A45))+(COUNTIF('IB TRANSPORT'!$A$7:$A$50,'LUXE DRIVE'!A45))+(COUNTIF(JSL!$A$7:$A$50,'LUXE DRIVE'!A45))+(COUNTIF(KIFAITOUT!$A$7:$A$50,'LUXE DRIVE'!A45))+(COUNTIF('LUXE DRIVE'!$A$7:$A$50,'LUXE DRIVE'!A45))+(COUNTIF(SSN!$A$7:$A$50,'LUXE DRIVE'!A45))+(COUNTIF('W3'!$A$7:$A$50,'LUXE DRIVE'!A45))+(COUNTIF('ATHIS MONS'!$A$7:$A$50,'LUXE DRIVE'!A45))+(COUNTIF('L HAY LES ROSES'!$A$7:$A$50,'LUXE DRIVE'!A45))+(COUNTIF(RUNGIS!$A$7:$A$50,'LUXE DRIVE'!A45))+(COUNTIF(SCEAUX!$A$7:$A$50,'LUXE DRIVE'!A45))+(COUNTIF('INSTANCE C1'!$A$7:$A$50,'LUXE DRIVE'!A45))+(COUNTIF('INSTANCE C2'!$A$7:$A$50,'LUXE DRIVE'!A45))+(COUNTIF(INTERNES!$A$7:$A$50,'LUXE DRIVE'!A45))+(COUNTIF('EN PANNE'!$A$7:$A$50,'LUXE DRIVE'!A45))-C45</f>
        <v>0</v>
      </c>
      <c r="C45" s="23">
        <f>(COUNTIF('2S EXPRESS'!$G$7:$G$50,'LUXE DRIVE'!A45))+(COUNTIF('2 ZT'!$G$7:$G$50,'LUXE DRIVE'!A45))+(COUNTIF('GO TRANSPORT'!$G$7:$G$50,'LUXE DRIVE'!A45))+(COUNTIF('LUXE DRIVE'!$G$7:$G$50,'LUXE DRIVE'!A45))+(COUNTIF('IB TRANSPORT'!$G$7:$G$50,'LUXE DRIVE'!A45))+(COUNTIF(JSL!$G$7:$G$50,'LUXE DRIVE'!A45))+(COUNTIF(KIFAITOUT!$G$7:$G$50,'LUXE DRIVE'!A45))+(COUNTIF('LUXE DRIVE'!$G$7:$G$50,'LUXE DRIVE'!A45))+(COUNTIF(SSN!$G$7:$G$50,'LUXE DRIVE'!A45))+(COUNTIF('W3'!$G$7:$G$50,'LUXE DRIVE'!A45))+(COUNTIF('ATHIS MONS'!$G$7:$G$50,'LUXE DRIVE'!A45))+(COUNTIF('L HAY LES ROSES'!$G$7:$G$50,'LUXE DRIVE'!A45))+(COUNTIF(RUNGIS!$G$7:$G$50,'LUXE DRIVE'!A45))+(COUNTIF(SCEAUX!$G$7:$G$50,'LUXE DRIVE'!A45))+(COUNTIF('INSTANCE C1'!$G$7:$G$50,'LUXE DRIVE'!A45))+(COUNTIF('INSTANCE C2'!$G$7:$G$50,'LUXE DRIVE'!A45))+(COUNTIF(INTERNES!$G$7:$G$50,'LUXE DRIVE'!A45))+(COUNTIF('EN PANNE'!$G$7:$G$50,'LUXE DRIVE'!A45))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EXPRESS'!$G$7:$G$50,'LUXE DRIVE'!G45))+(COUNTIF('2 ZT'!$G$7:$G$50,'LUXE DRIVE'!G45))+(COUNTIF('GO TRANSPORT'!$G$7:$G$50,'LUXE DRIVE'!G45))+(COUNTIF('HMZ - KAIS'!$G$7:$G$50,'LUXE DRIVE'!G45))+(COUNTIF('IB TRANSPORT'!$G$7:$G$50,'LUXE DRIVE'!G45))+(COUNTIF(JSL!$G$7:$G$50,'LUXE DRIVE'!G45))+(COUNTIF(KIFAITOUT!$G$7:$G$50,'LUXE DRIVE'!G45))+(COUNTIF('LUXE DRIVE'!$G$7:$G$50,'LUXE DRIVE'!G45))+(COUNTIF(SSN!$G$7:$G$50,'LUXE DRIVE'!G45))+(COUNTIF('W3'!$G$7:$G$50,'LUXE DRIVE'!G45))+(COUNTIF('ATHIS MONS'!$G$7:$G$50,'LUXE DRIVE'!G45))+(COUNTIF('L HAY LES ROSES'!$G$7:$G$50,'LUXE DRIVE'!G45))+(COUNTIF(RUNGIS!$G$7:$G$50,'LUXE DRIVE'!G45))+(COUNTIF(SCEAUX!$G$7:$G$50,'LUXE DRIVE'!G45))+(COUNTIF('INSTANCE C1'!$G$7:$G$50,'LUXE DRIVE'!G45))+(COUNTIF('INSTANCE C2'!$G$7:$G$50,'LUXE DRIVE'!G45))+(COUNTIF(INTERNES!$G$7:$G$50,'LUXE DRIVE'!G45))+(COUNTIF('EN PANNE'!$G$7:$G$50,'LUXE DRIVE'!G45))-I45</f>
        <v>0</v>
      </c>
      <c r="I45" s="23">
        <f>(COUNTIF('2S EXPRESS'!$A$7:$A$50,'LUXE DRIVE'!G45))+(COUNTIF('2 ZT'!$A$7:$A$50,'LUXE DRIVE'!G45))+(COUNTIF('GO TRANSPORT'!$A$7:$A$50,'LUXE DRIVE'!G45))+(COUNTIF('HMZ - KAIS'!$A$7:$A$50,'LUXE DRIVE'!G45))+(COUNTIF('IB TRANSPORT'!$A$7:$A$50,'LUXE DRIVE'!G45))+(COUNTIF(JSL!$A$7:$A$50,'LUXE DRIVE'!G45))+(COUNTIF(KIFAITOUT!$A$7:$A$50,'LUXE DRIVE'!G45))+(COUNTIF('LUXE DRIVE'!$A$7:$A$50,'LUXE DRIVE'!G45))+(COUNTIF(SSN!$A$7:$A$50,'LUXE DRIVE'!G45))+(COUNTIF('W3'!$A$7:$A$50,'LUXE DRIVE'!G45))+(COUNTIF('ATHIS MONS'!$A$7:$A$50,'LUXE DRIVE'!G45))+(COUNTIF('L HAY LES ROSES'!$A$7:$A$50,'LUXE DRIVE'!G45))+(COUNTIF(RUNGIS!$A$7:$A$50,'LUXE DRIVE'!G45))+(COUNTIF(SCEAUX!$A$7:$A$50,'LUXE DRIVE'!G45))+(COUNTIF('INSTANCE C1'!$A$7:$A$50,'LUXE DRIVE'!G45))+(COUNTIF('INSTANCE C2'!$A$7:$A$50,'LUXE DRIVE'!G45))+(COUNTIF(INTERNES!$A$7:$A$50,'LUXE DRIVE'!G45))+(COUNTIF('EN PANNE'!$A$7:$A$50,'LUXE DRIVE'!G45))</f>
        <v>0</v>
      </c>
      <c r="J45" s="28">
        <f t="shared" si="4"/>
        <v>0</v>
      </c>
      <c r="K45" s="2"/>
      <c r="L45" s="47"/>
      <c r="S45" s="60">
        <f t="shared" si="1"/>
        <v>0</v>
      </c>
      <c r="T45" s="67">
        <f t="shared" si="2"/>
        <v>0</v>
      </c>
    </row>
    <row r="46" spans="1:20" ht="24.95" customHeight="1" x14ac:dyDescent="0.2">
      <c r="A46" s="20"/>
      <c r="B46" s="23">
        <f>(COUNTIF('2S EXPRESS'!$A$7:$A$50,'LUXE DRIVE'!A46))+(COUNTIF('2 ZT'!$A$7:$A$50,'LUXE DRIVE'!A46))+(COUNTIF('GO TRANSPORT'!$A$7:$A$50,'LUXE DRIVE'!A46))+(COUNTIF('HMZ - KAIS'!$A$7:$A$50,'LUXE DRIVE'!A46))+(COUNTIF('IB TRANSPORT'!$A$7:$A$50,'LUXE DRIVE'!A46))+(COUNTIF(JSL!$A$7:$A$50,'LUXE DRIVE'!A46))+(COUNTIF(KIFAITOUT!$A$7:$A$50,'LUXE DRIVE'!A46))+(COUNTIF('LUXE DRIVE'!$A$7:$A$50,'LUXE DRIVE'!A46))+(COUNTIF(SSN!$A$7:$A$50,'LUXE DRIVE'!A46))+(COUNTIF('W3'!$A$7:$A$50,'LUXE DRIVE'!A46))+(COUNTIF('ATHIS MONS'!$A$7:$A$50,'LUXE DRIVE'!A46))+(COUNTIF('L HAY LES ROSES'!$A$7:$A$50,'LUXE DRIVE'!A46))+(COUNTIF(RUNGIS!$A$7:$A$50,'LUXE DRIVE'!A46))+(COUNTIF(SCEAUX!$A$7:$A$50,'LUXE DRIVE'!A46))+(COUNTIF('INSTANCE C1'!$A$7:$A$50,'LUXE DRIVE'!A46))+(COUNTIF('INSTANCE C2'!$A$7:$A$50,'LUXE DRIVE'!A46))+(COUNTIF(INTERNES!$A$7:$A$50,'LUXE DRIVE'!A46))+(COUNTIF('EN PANNE'!$A$7:$A$50,'LUXE DRIVE'!A46))-C46</f>
        <v>0</v>
      </c>
      <c r="C46" s="23">
        <f>(COUNTIF('2S EXPRESS'!$G$7:$G$50,'LUXE DRIVE'!A46))+(COUNTIF('2 ZT'!$G$7:$G$50,'LUXE DRIVE'!A46))+(COUNTIF('GO TRANSPORT'!$G$7:$G$50,'LUXE DRIVE'!A46))+(COUNTIF('LUXE DRIVE'!$G$7:$G$50,'LUXE DRIVE'!A46))+(COUNTIF('IB TRANSPORT'!$G$7:$G$50,'LUXE DRIVE'!A46))+(COUNTIF(JSL!$G$7:$G$50,'LUXE DRIVE'!A46))+(COUNTIF(KIFAITOUT!$G$7:$G$50,'LUXE DRIVE'!A46))+(COUNTIF('LUXE DRIVE'!$G$7:$G$50,'LUXE DRIVE'!A46))+(COUNTIF(SSN!$G$7:$G$50,'LUXE DRIVE'!A46))+(COUNTIF('W3'!$G$7:$G$50,'LUXE DRIVE'!A46))+(COUNTIF('ATHIS MONS'!$G$7:$G$50,'LUXE DRIVE'!A46))+(COUNTIF('L HAY LES ROSES'!$G$7:$G$50,'LUXE DRIVE'!A46))+(COUNTIF(RUNGIS!$G$7:$G$50,'LUXE DRIVE'!A46))+(COUNTIF(SCEAUX!$G$7:$G$50,'LUXE DRIVE'!A46))+(COUNTIF('INSTANCE C1'!$G$7:$G$50,'LUXE DRIVE'!A46))+(COUNTIF('INSTANCE C2'!$G$7:$G$50,'LUXE DRIVE'!A46))+(COUNTIF(INTERNES!$G$7:$G$50,'LUXE DRIVE'!A46))+(COUNTIF('EN PANNE'!$G$7:$G$50,'LUXE DRIVE'!A46))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EXPRESS'!$G$7:$G$50,'LUXE DRIVE'!G46))+(COUNTIF('2 ZT'!$G$7:$G$50,'LUXE DRIVE'!G46))+(COUNTIF('GO TRANSPORT'!$G$7:$G$50,'LUXE DRIVE'!G46))+(COUNTIF('HMZ - KAIS'!$G$7:$G$50,'LUXE DRIVE'!G46))+(COUNTIF('IB TRANSPORT'!$G$7:$G$50,'LUXE DRIVE'!G46))+(COUNTIF(JSL!$G$7:$G$50,'LUXE DRIVE'!G46))+(COUNTIF(KIFAITOUT!$G$7:$G$50,'LUXE DRIVE'!G46))+(COUNTIF('LUXE DRIVE'!$G$7:$G$50,'LUXE DRIVE'!G46))+(COUNTIF(SSN!$G$7:$G$50,'LUXE DRIVE'!G46))+(COUNTIF('W3'!$G$7:$G$50,'LUXE DRIVE'!G46))+(COUNTIF('ATHIS MONS'!$G$7:$G$50,'LUXE DRIVE'!G46))+(COUNTIF('L HAY LES ROSES'!$G$7:$G$50,'LUXE DRIVE'!G46))+(COUNTIF(RUNGIS!$G$7:$G$50,'LUXE DRIVE'!G46))+(COUNTIF(SCEAUX!$G$7:$G$50,'LUXE DRIVE'!G46))+(COUNTIF('INSTANCE C1'!$G$7:$G$50,'LUXE DRIVE'!G46))+(COUNTIF('INSTANCE C2'!$G$7:$G$50,'LUXE DRIVE'!G46))+(COUNTIF(INTERNES!$G$7:$G$50,'LUXE DRIVE'!G46))+(COUNTIF('EN PANNE'!$G$7:$G$50,'LUXE DRIVE'!G46))-I46</f>
        <v>0</v>
      </c>
      <c r="I46" s="23">
        <f>(COUNTIF('2S EXPRESS'!$A$7:$A$50,'LUXE DRIVE'!G46))+(COUNTIF('2 ZT'!$A$7:$A$50,'LUXE DRIVE'!G46))+(COUNTIF('GO TRANSPORT'!$A$7:$A$50,'LUXE DRIVE'!G46))+(COUNTIF('HMZ - KAIS'!$A$7:$A$50,'LUXE DRIVE'!G46))+(COUNTIF('IB TRANSPORT'!$A$7:$A$50,'LUXE DRIVE'!G46))+(COUNTIF(JSL!$A$7:$A$50,'LUXE DRIVE'!G46))+(COUNTIF(KIFAITOUT!$A$7:$A$50,'LUXE DRIVE'!G46))+(COUNTIF('LUXE DRIVE'!$A$7:$A$50,'LUXE DRIVE'!G46))+(COUNTIF(SSN!$A$7:$A$50,'LUXE DRIVE'!G46))+(COUNTIF('W3'!$A$7:$A$50,'LUXE DRIVE'!G46))+(COUNTIF('ATHIS MONS'!$A$7:$A$50,'LUXE DRIVE'!G46))+(COUNTIF('L HAY LES ROSES'!$A$7:$A$50,'LUXE DRIVE'!G46))+(COUNTIF(RUNGIS!$A$7:$A$50,'LUXE DRIVE'!G46))+(COUNTIF(SCEAUX!$A$7:$A$50,'LUXE DRIVE'!G46))+(COUNTIF('INSTANCE C1'!$A$7:$A$50,'LUXE DRIVE'!G46))+(COUNTIF('INSTANCE C2'!$A$7:$A$50,'LUXE DRIVE'!G46))+(COUNTIF(INTERNES!$A$7:$A$50,'LUXE DRIVE'!G46))+(COUNTIF('EN PANNE'!$A$7:$A$50,'LUXE DRIVE'!G46))</f>
        <v>0</v>
      </c>
      <c r="J46" s="28">
        <f t="shared" si="4"/>
        <v>0</v>
      </c>
      <c r="K46" s="2"/>
      <c r="L46" s="47"/>
      <c r="S46" s="60">
        <f t="shared" si="1"/>
        <v>0</v>
      </c>
      <c r="T46" s="67">
        <f t="shared" si="2"/>
        <v>0</v>
      </c>
    </row>
    <row r="47" spans="1:20" ht="24.95" customHeight="1" x14ac:dyDescent="0.2">
      <c r="A47" s="20"/>
      <c r="B47" s="23">
        <f>(COUNTIF('2S EXPRESS'!$A$7:$A$50,'LUXE DRIVE'!A47))+(COUNTIF('2 ZT'!$A$7:$A$50,'LUXE DRIVE'!A47))+(COUNTIF('GO TRANSPORT'!$A$7:$A$50,'LUXE DRIVE'!A47))+(COUNTIF('HMZ - KAIS'!$A$7:$A$50,'LUXE DRIVE'!A47))+(COUNTIF('IB TRANSPORT'!$A$7:$A$50,'LUXE DRIVE'!A47))+(COUNTIF(JSL!$A$7:$A$50,'LUXE DRIVE'!A47))+(COUNTIF(KIFAITOUT!$A$7:$A$50,'LUXE DRIVE'!A47))+(COUNTIF('LUXE DRIVE'!$A$7:$A$50,'LUXE DRIVE'!A47))+(COUNTIF(SSN!$A$7:$A$50,'LUXE DRIVE'!A47))+(COUNTIF('W3'!$A$7:$A$50,'LUXE DRIVE'!A47))+(COUNTIF('ATHIS MONS'!$A$7:$A$50,'LUXE DRIVE'!A47))+(COUNTIF('L HAY LES ROSES'!$A$7:$A$50,'LUXE DRIVE'!A47))+(COUNTIF(RUNGIS!$A$7:$A$50,'LUXE DRIVE'!A47))+(COUNTIF(SCEAUX!$A$7:$A$50,'LUXE DRIVE'!A47))+(COUNTIF('INSTANCE C1'!$A$7:$A$50,'LUXE DRIVE'!A47))+(COUNTIF('INSTANCE C2'!$A$7:$A$50,'LUXE DRIVE'!A47))+(COUNTIF(INTERNES!$A$7:$A$50,'LUXE DRIVE'!A47))+(COUNTIF('EN PANNE'!$A$7:$A$50,'LUXE DRIVE'!A47))-C47</f>
        <v>0</v>
      </c>
      <c r="C47" s="23">
        <f>(COUNTIF('2S EXPRESS'!$G$7:$G$50,'LUXE DRIVE'!A47))+(COUNTIF('2 ZT'!$G$7:$G$50,'LUXE DRIVE'!A47))+(COUNTIF('GO TRANSPORT'!$G$7:$G$50,'LUXE DRIVE'!A47))+(COUNTIF('LUXE DRIVE'!$G$7:$G$50,'LUXE DRIVE'!A47))+(COUNTIF('IB TRANSPORT'!$G$7:$G$50,'LUXE DRIVE'!A47))+(COUNTIF(JSL!$G$7:$G$50,'LUXE DRIVE'!A47))+(COUNTIF(KIFAITOUT!$G$7:$G$50,'LUXE DRIVE'!A47))+(COUNTIF('LUXE DRIVE'!$G$7:$G$50,'LUXE DRIVE'!A47))+(COUNTIF(SSN!$G$7:$G$50,'LUXE DRIVE'!A47))+(COUNTIF('W3'!$G$7:$G$50,'LUXE DRIVE'!A47))+(COUNTIF('ATHIS MONS'!$G$7:$G$50,'LUXE DRIVE'!A47))+(COUNTIF('L HAY LES ROSES'!$G$7:$G$50,'LUXE DRIVE'!A47))+(COUNTIF(RUNGIS!$G$7:$G$50,'LUXE DRIVE'!A47))+(COUNTIF(SCEAUX!$G$7:$G$50,'LUXE DRIVE'!A47))+(COUNTIF('INSTANCE C1'!$G$7:$G$50,'LUXE DRIVE'!A47))+(COUNTIF('INSTANCE C2'!$G$7:$G$50,'LUXE DRIVE'!A47))+(COUNTIF(INTERNES!$G$7:$G$50,'LUXE DRIVE'!A47))+(COUNTIF('EN PANNE'!$G$7:$G$50,'LUXE DRIVE'!A47))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EXPRESS'!$G$7:$G$50,'LUXE DRIVE'!G47))+(COUNTIF('2 ZT'!$G$7:$G$50,'LUXE DRIVE'!G47))+(COUNTIF('GO TRANSPORT'!$G$7:$G$50,'LUXE DRIVE'!G47))+(COUNTIF('HMZ - KAIS'!$G$7:$G$50,'LUXE DRIVE'!G47))+(COUNTIF('IB TRANSPORT'!$G$7:$G$50,'LUXE DRIVE'!G47))+(COUNTIF(JSL!$G$7:$G$50,'LUXE DRIVE'!G47))+(COUNTIF(KIFAITOUT!$G$7:$G$50,'LUXE DRIVE'!G47))+(COUNTIF('LUXE DRIVE'!$G$7:$G$50,'LUXE DRIVE'!G47))+(COUNTIF(SSN!$G$7:$G$50,'LUXE DRIVE'!G47))+(COUNTIF('W3'!$G$7:$G$50,'LUXE DRIVE'!G47))+(COUNTIF('ATHIS MONS'!$G$7:$G$50,'LUXE DRIVE'!G47))+(COUNTIF('L HAY LES ROSES'!$G$7:$G$50,'LUXE DRIVE'!G47))+(COUNTIF(RUNGIS!$G$7:$G$50,'LUXE DRIVE'!G47))+(COUNTIF(SCEAUX!$G$7:$G$50,'LUXE DRIVE'!G47))+(COUNTIF('INSTANCE C1'!$G$7:$G$50,'LUXE DRIVE'!G47))+(COUNTIF('INSTANCE C2'!$G$7:$G$50,'LUXE DRIVE'!G47))+(COUNTIF(INTERNES!$G$7:$G$50,'LUXE DRIVE'!G47))+(COUNTIF('EN PANNE'!$G$7:$G$50,'LUXE DRIVE'!G47))-I47</f>
        <v>0</v>
      </c>
      <c r="I47" s="23">
        <f>(COUNTIF('2S EXPRESS'!$A$7:$A$50,'LUXE DRIVE'!G47))+(COUNTIF('2 ZT'!$A$7:$A$50,'LUXE DRIVE'!G47))+(COUNTIF('GO TRANSPORT'!$A$7:$A$50,'LUXE DRIVE'!G47))+(COUNTIF('HMZ - KAIS'!$A$7:$A$50,'LUXE DRIVE'!G47))+(COUNTIF('IB TRANSPORT'!$A$7:$A$50,'LUXE DRIVE'!G47))+(COUNTIF(JSL!$A$7:$A$50,'LUXE DRIVE'!G47))+(COUNTIF(KIFAITOUT!$A$7:$A$50,'LUXE DRIVE'!G47))+(COUNTIF('LUXE DRIVE'!$A$7:$A$50,'LUXE DRIVE'!G47))+(COUNTIF(SSN!$A$7:$A$50,'LUXE DRIVE'!G47))+(COUNTIF('W3'!$A$7:$A$50,'LUXE DRIVE'!G47))+(COUNTIF('ATHIS MONS'!$A$7:$A$50,'LUXE DRIVE'!G47))+(COUNTIF('L HAY LES ROSES'!$A$7:$A$50,'LUXE DRIVE'!G47))+(COUNTIF(RUNGIS!$A$7:$A$50,'LUXE DRIVE'!G47))+(COUNTIF(SCEAUX!$A$7:$A$50,'LUXE DRIVE'!G47))+(COUNTIF('INSTANCE C1'!$A$7:$A$50,'LUXE DRIVE'!G47))+(COUNTIF('INSTANCE C2'!$A$7:$A$50,'LUXE DRIVE'!G47))+(COUNTIF(INTERNES!$A$7:$A$50,'LUXE DRIVE'!G47))+(COUNTIF('EN PANNE'!$A$7:$A$50,'LUXE DRIVE'!G47))</f>
        <v>0</v>
      </c>
      <c r="J47" s="28">
        <f t="shared" si="4"/>
        <v>0</v>
      </c>
      <c r="K47" s="2"/>
      <c r="L47" s="47"/>
      <c r="S47" s="60">
        <f t="shared" si="1"/>
        <v>0</v>
      </c>
      <c r="T47" s="67">
        <f t="shared" si="2"/>
        <v>0</v>
      </c>
    </row>
    <row r="48" spans="1:20" ht="24.95" customHeight="1" x14ac:dyDescent="0.2">
      <c r="A48" s="20"/>
      <c r="B48" s="23">
        <f>(COUNTIF('2S EXPRESS'!$A$7:$A$50,'LUXE DRIVE'!A48))+(COUNTIF('2 ZT'!$A$7:$A$50,'LUXE DRIVE'!A48))+(COUNTIF('GO TRANSPORT'!$A$7:$A$50,'LUXE DRIVE'!A48))+(COUNTIF('HMZ - KAIS'!$A$7:$A$50,'LUXE DRIVE'!A48))+(COUNTIF('IB TRANSPORT'!$A$7:$A$50,'LUXE DRIVE'!A48))+(COUNTIF(JSL!$A$7:$A$50,'LUXE DRIVE'!A48))+(COUNTIF(KIFAITOUT!$A$7:$A$50,'LUXE DRIVE'!A48))+(COUNTIF('LUXE DRIVE'!$A$7:$A$50,'LUXE DRIVE'!A48))+(COUNTIF(SSN!$A$7:$A$50,'LUXE DRIVE'!A48))+(COUNTIF('W3'!$A$7:$A$50,'LUXE DRIVE'!A48))+(COUNTIF('ATHIS MONS'!$A$7:$A$50,'LUXE DRIVE'!A48))+(COUNTIF('L HAY LES ROSES'!$A$7:$A$50,'LUXE DRIVE'!A48))+(COUNTIF(RUNGIS!$A$7:$A$50,'LUXE DRIVE'!A48))+(COUNTIF(SCEAUX!$A$7:$A$50,'LUXE DRIVE'!A48))+(COUNTIF('INSTANCE C1'!$A$7:$A$50,'LUXE DRIVE'!A48))+(COUNTIF('INSTANCE C2'!$A$7:$A$50,'LUXE DRIVE'!A48))+(COUNTIF(INTERNES!$A$7:$A$50,'LUXE DRIVE'!A48))+(COUNTIF('EN PANNE'!$A$7:$A$50,'LUXE DRIVE'!A48))-C48</f>
        <v>0</v>
      </c>
      <c r="C48" s="23">
        <f>(COUNTIF('2S EXPRESS'!$G$7:$G$50,'LUXE DRIVE'!A48))+(COUNTIF('2 ZT'!$G$7:$G$50,'LUXE DRIVE'!A48))+(COUNTIF('GO TRANSPORT'!$G$7:$G$50,'LUXE DRIVE'!A48))+(COUNTIF('LUXE DRIVE'!$G$7:$G$50,'LUXE DRIVE'!A48))+(COUNTIF('IB TRANSPORT'!$G$7:$G$50,'LUXE DRIVE'!A48))+(COUNTIF(JSL!$G$7:$G$50,'LUXE DRIVE'!A48))+(COUNTIF(KIFAITOUT!$G$7:$G$50,'LUXE DRIVE'!A48))+(COUNTIF('LUXE DRIVE'!$G$7:$G$50,'LUXE DRIVE'!A48))+(COUNTIF(SSN!$G$7:$G$50,'LUXE DRIVE'!A48))+(COUNTIF('W3'!$G$7:$G$50,'LUXE DRIVE'!A48))+(COUNTIF('ATHIS MONS'!$G$7:$G$50,'LUXE DRIVE'!A48))+(COUNTIF('L HAY LES ROSES'!$G$7:$G$50,'LUXE DRIVE'!A48))+(COUNTIF(RUNGIS!$G$7:$G$50,'LUXE DRIVE'!A48))+(COUNTIF(SCEAUX!$G$7:$G$50,'LUXE DRIVE'!A48))+(COUNTIF('INSTANCE C1'!$G$7:$G$50,'LUXE DRIVE'!A48))+(COUNTIF('INSTANCE C2'!$G$7:$G$50,'LUXE DRIVE'!A48))+(COUNTIF(INTERNES!$G$7:$G$50,'LUXE DRIVE'!A48))+(COUNTIF('EN PANNE'!$G$7:$G$50,'LUXE DRIVE'!A48))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EXPRESS'!$G$7:$G$50,'LUXE DRIVE'!G48))+(COUNTIF('2 ZT'!$G$7:$G$50,'LUXE DRIVE'!G48))+(COUNTIF('GO TRANSPORT'!$G$7:$G$50,'LUXE DRIVE'!G48))+(COUNTIF('HMZ - KAIS'!$G$7:$G$50,'LUXE DRIVE'!G48))+(COUNTIF('IB TRANSPORT'!$G$7:$G$50,'LUXE DRIVE'!G48))+(COUNTIF(JSL!$G$7:$G$50,'LUXE DRIVE'!G48))+(COUNTIF(KIFAITOUT!$G$7:$G$50,'LUXE DRIVE'!G48))+(COUNTIF('LUXE DRIVE'!$G$7:$G$50,'LUXE DRIVE'!G48))+(COUNTIF(SSN!$G$7:$G$50,'LUXE DRIVE'!G48))+(COUNTIF('W3'!$G$7:$G$50,'LUXE DRIVE'!G48))+(COUNTIF('ATHIS MONS'!$G$7:$G$50,'LUXE DRIVE'!G48))+(COUNTIF('L HAY LES ROSES'!$G$7:$G$50,'LUXE DRIVE'!G48))+(COUNTIF(RUNGIS!$G$7:$G$50,'LUXE DRIVE'!G48))+(COUNTIF(SCEAUX!$G$7:$G$50,'LUXE DRIVE'!G48))+(COUNTIF('INSTANCE C1'!$G$7:$G$50,'LUXE DRIVE'!G48))+(COUNTIF('INSTANCE C2'!$G$7:$G$50,'LUXE DRIVE'!G48))+(COUNTIF(INTERNES!$G$7:$G$50,'LUXE DRIVE'!G48))+(COUNTIF('EN PANNE'!$G$7:$G$50,'LUXE DRIVE'!G48))-I48</f>
        <v>0</v>
      </c>
      <c r="I48" s="23">
        <f>(COUNTIF('2S EXPRESS'!$A$7:$A$50,'LUXE DRIVE'!G48))+(COUNTIF('2 ZT'!$A$7:$A$50,'LUXE DRIVE'!G48))+(COUNTIF('GO TRANSPORT'!$A$7:$A$50,'LUXE DRIVE'!G48))+(COUNTIF('HMZ - KAIS'!$A$7:$A$50,'LUXE DRIVE'!G48))+(COUNTIF('IB TRANSPORT'!$A$7:$A$50,'LUXE DRIVE'!G48))+(COUNTIF(JSL!$A$7:$A$50,'LUXE DRIVE'!G48))+(COUNTIF(KIFAITOUT!$A$7:$A$50,'LUXE DRIVE'!G48))+(COUNTIF('LUXE DRIVE'!$A$7:$A$50,'LUXE DRIVE'!G48))+(COUNTIF(SSN!$A$7:$A$50,'LUXE DRIVE'!G48))+(COUNTIF('W3'!$A$7:$A$50,'LUXE DRIVE'!G48))+(COUNTIF('ATHIS MONS'!$A$7:$A$50,'LUXE DRIVE'!G48))+(COUNTIF('L HAY LES ROSES'!$A$7:$A$50,'LUXE DRIVE'!G48))+(COUNTIF(RUNGIS!$A$7:$A$50,'LUXE DRIVE'!G48))+(COUNTIF(SCEAUX!$A$7:$A$50,'LUXE DRIVE'!G48))+(COUNTIF('INSTANCE C1'!$A$7:$A$50,'LUXE DRIVE'!G48))+(COUNTIF('INSTANCE C2'!$A$7:$A$50,'LUXE DRIVE'!G48))+(COUNTIF(INTERNES!$A$7:$A$50,'LUXE DRIVE'!G48))+(COUNTIF('EN PANNE'!$A$7:$A$50,'LUXE DRIVE'!G48))</f>
        <v>0</v>
      </c>
      <c r="J48" s="28">
        <f t="shared" si="4"/>
        <v>0</v>
      </c>
      <c r="K48" s="2"/>
      <c r="L48" s="47"/>
      <c r="S48" s="60">
        <f t="shared" si="1"/>
        <v>0</v>
      </c>
      <c r="T48" s="67">
        <f t="shared" si="2"/>
        <v>0</v>
      </c>
    </row>
    <row r="49" spans="1:20" ht="24.95" customHeight="1" x14ac:dyDescent="0.2">
      <c r="A49" s="20"/>
      <c r="B49" s="23">
        <f>(COUNTIF('2S EXPRESS'!$A$7:$A$50,'LUXE DRIVE'!A49))+(COUNTIF('2 ZT'!$A$7:$A$50,'LUXE DRIVE'!A49))+(COUNTIF('GO TRANSPORT'!$A$7:$A$50,'LUXE DRIVE'!A49))+(COUNTIF('HMZ - KAIS'!$A$7:$A$50,'LUXE DRIVE'!A49))+(COUNTIF('IB TRANSPORT'!$A$7:$A$50,'LUXE DRIVE'!A49))+(COUNTIF(JSL!$A$7:$A$50,'LUXE DRIVE'!A49))+(COUNTIF(KIFAITOUT!$A$7:$A$50,'LUXE DRIVE'!A49))+(COUNTIF('LUXE DRIVE'!$A$7:$A$50,'LUXE DRIVE'!A49))+(COUNTIF(SSN!$A$7:$A$50,'LUXE DRIVE'!A49))+(COUNTIF('W3'!$A$7:$A$50,'LUXE DRIVE'!A49))+(COUNTIF('ATHIS MONS'!$A$7:$A$50,'LUXE DRIVE'!A49))+(COUNTIF('L HAY LES ROSES'!$A$7:$A$50,'LUXE DRIVE'!A49))+(COUNTIF(RUNGIS!$A$7:$A$50,'LUXE DRIVE'!A49))+(COUNTIF(SCEAUX!$A$7:$A$50,'LUXE DRIVE'!A49))+(COUNTIF('INSTANCE C1'!$A$7:$A$50,'LUXE DRIVE'!A49))+(COUNTIF('INSTANCE C2'!$A$7:$A$50,'LUXE DRIVE'!A49))+(COUNTIF(INTERNES!$A$7:$A$50,'LUXE DRIVE'!A49))+(COUNTIF('EN PANNE'!$A$7:$A$50,'LUXE DRIVE'!A49))-C49</f>
        <v>0</v>
      </c>
      <c r="C49" s="23">
        <f>(COUNTIF('2S EXPRESS'!$G$7:$G$50,'LUXE DRIVE'!A49))+(COUNTIF('2 ZT'!$G$7:$G$50,'LUXE DRIVE'!A49))+(COUNTIF('GO TRANSPORT'!$G$7:$G$50,'LUXE DRIVE'!A49))+(COUNTIF('LUXE DRIVE'!$G$7:$G$50,'LUXE DRIVE'!A49))+(COUNTIF('IB TRANSPORT'!$G$7:$G$50,'LUXE DRIVE'!A49))+(COUNTIF(JSL!$G$7:$G$50,'LUXE DRIVE'!A49))+(COUNTIF(KIFAITOUT!$G$7:$G$50,'LUXE DRIVE'!A49))+(COUNTIF('LUXE DRIVE'!$G$7:$G$50,'LUXE DRIVE'!A49))+(COUNTIF(SSN!$G$7:$G$50,'LUXE DRIVE'!A49))+(COUNTIF('W3'!$G$7:$G$50,'LUXE DRIVE'!A49))+(COUNTIF('ATHIS MONS'!$G$7:$G$50,'LUXE DRIVE'!A49))+(COUNTIF('L HAY LES ROSES'!$G$7:$G$50,'LUXE DRIVE'!A49))+(COUNTIF(RUNGIS!$G$7:$G$50,'LUXE DRIVE'!A49))+(COUNTIF(SCEAUX!$G$7:$G$50,'LUXE DRIVE'!A49))+(COUNTIF('INSTANCE C1'!$G$7:$G$50,'LUXE DRIVE'!A49))+(COUNTIF('INSTANCE C2'!$G$7:$G$50,'LUXE DRIVE'!A49))+(COUNTIF(INTERNES!$G$7:$G$50,'LUXE DRIVE'!A49))+(COUNTIF('EN PANNE'!$G$7:$G$50,'LUXE DRIVE'!A49))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EXPRESS'!$G$7:$G$50,'LUXE DRIVE'!G49))+(COUNTIF('2 ZT'!$G$7:$G$50,'LUXE DRIVE'!G49))+(COUNTIF('GO TRANSPORT'!$G$7:$G$50,'LUXE DRIVE'!G49))+(COUNTIF('HMZ - KAIS'!$G$7:$G$50,'LUXE DRIVE'!G49))+(COUNTIF('IB TRANSPORT'!$G$7:$G$50,'LUXE DRIVE'!G49))+(COUNTIF(JSL!$G$7:$G$50,'LUXE DRIVE'!G49))+(COUNTIF(KIFAITOUT!$G$7:$G$50,'LUXE DRIVE'!G49))+(COUNTIF('LUXE DRIVE'!$G$7:$G$50,'LUXE DRIVE'!G49))+(COUNTIF(SSN!$G$7:$G$50,'LUXE DRIVE'!G49))+(COUNTIF('W3'!$G$7:$G$50,'LUXE DRIVE'!G49))+(COUNTIF('ATHIS MONS'!$G$7:$G$50,'LUXE DRIVE'!G49))+(COUNTIF('L HAY LES ROSES'!$G$7:$G$50,'LUXE DRIVE'!G49))+(COUNTIF(RUNGIS!$G$7:$G$50,'LUXE DRIVE'!G49))+(COUNTIF(SCEAUX!$G$7:$G$50,'LUXE DRIVE'!G49))+(COUNTIF('INSTANCE C1'!$G$7:$G$50,'LUXE DRIVE'!G49))+(COUNTIF('INSTANCE C2'!$G$7:$G$50,'LUXE DRIVE'!G49))+(COUNTIF(INTERNES!$G$7:$G$50,'LUXE DRIVE'!G49))+(COUNTIF('EN PANNE'!$G$7:$G$50,'LUXE DRIVE'!G49))-I49</f>
        <v>0</v>
      </c>
      <c r="I49" s="23">
        <f>(COUNTIF('2S EXPRESS'!$A$7:$A$50,'LUXE DRIVE'!G49))+(COUNTIF('2 ZT'!$A$7:$A$50,'LUXE DRIVE'!G49))+(COUNTIF('GO TRANSPORT'!$A$7:$A$50,'LUXE DRIVE'!G49))+(COUNTIF('HMZ - KAIS'!$A$7:$A$50,'LUXE DRIVE'!G49))+(COUNTIF('IB TRANSPORT'!$A$7:$A$50,'LUXE DRIVE'!G49))+(COUNTIF(JSL!$A$7:$A$50,'LUXE DRIVE'!G49))+(COUNTIF(KIFAITOUT!$A$7:$A$50,'LUXE DRIVE'!G49))+(COUNTIF('LUXE DRIVE'!$A$7:$A$50,'LUXE DRIVE'!G49))+(COUNTIF(SSN!$A$7:$A$50,'LUXE DRIVE'!G49))+(COUNTIF('W3'!$A$7:$A$50,'LUXE DRIVE'!G49))+(COUNTIF('ATHIS MONS'!$A$7:$A$50,'LUXE DRIVE'!G49))+(COUNTIF('L HAY LES ROSES'!$A$7:$A$50,'LUXE DRIVE'!G49))+(COUNTIF(RUNGIS!$A$7:$A$50,'LUXE DRIVE'!G49))+(COUNTIF(SCEAUX!$A$7:$A$50,'LUXE DRIVE'!G49))+(COUNTIF('INSTANCE C1'!$A$7:$A$50,'LUXE DRIVE'!G49))+(COUNTIF('INSTANCE C2'!$A$7:$A$50,'LUXE DRIVE'!G49))+(COUNTIF(INTERNES!$A$7:$A$50,'LUXE DRIVE'!G49))+(COUNTIF('EN PANNE'!$A$7:$A$50,'LUXE DRIVE'!G49))</f>
        <v>0</v>
      </c>
      <c r="J49" s="28">
        <f t="shared" si="4"/>
        <v>0</v>
      </c>
      <c r="K49" s="2"/>
      <c r="L49" s="47"/>
      <c r="S49" s="60">
        <f t="shared" si="1"/>
        <v>0</v>
      </c>
      <c r="T49" s="67">
        <f t="shared" si="2"/>
        <v>0</v>
      </c>
    </row>
    <row r="50" spans="1:20" ht="24.95" customHeight="1" thickBot="1" x14ac:dyDescent="0.25">
      <c r="A50" s="21"/>
      <c r="B50" s="25">
        <f>(COUNTIF('2S EXPRESS'!$A$7:$A$50,'LUXE DRIVE'!A50))+(COUNTIF('2 ZT'!$A$7:$A$50,'LUXE DRIVE'!A50))+(COUNTIF('GO TRANSPORT'!$A$7:$A$50,'LUXE DRIVE'!A50))+(COUNTIF('HMZ - KAIS'!$A$7:$A$50,'LUXE DRIVE'!A50))+(COUNTIF('IB TRANSPORT'!$A$7:$A$50,'LUXE DRIVE'!A50))+(COUNTIF(JSL!$A$7:$A$50,'LUXE DRIVE'!A50))+(COUNTIF(KIFAITOUT!$A$7:$A$50,'LUXE DRIVE'!A50))+(COUNTIF('LUXE DRIVE'!$A$7:$A$50,'LUXE DRIVE'!A50))+(COUNTIF(SSN!$A$7:$A$50,'LUXE DRIVE'!A50))+(COUNTIF('W3'!$A$7:$A$50,'LUXE DRIVE'!A50))+(COUNTIF('ATHIS MONS'!$A$7:$A$50,'LUXE DRIVE'!A50))+(COUNTIF('L HAY LES ROSES'!$A$7:$A$50,'LUXE DRIVE'!A50))+(COUNTIF(RUNGIS!$A$7:$A$50,'LUXE DRIVE'!A50))+(COUNTIF(SCEAUX!$A$7:$A$50,'LUXE DRIVE'!A50))+(COUNTIF('INSTANCE C1'!$A$7:$A$50,'LUXE DRIVE'!A50))+(COUNTIF('INSTANCE C2'!$A$7:$A$50,'LUXE DRIVE'!A50))+(COUNTIF(INTERNES!$A$7:$A$50,'LUXE DRIVE'!A50))+(COUNTIF('EN PANNE'!$A$7:$A$50,'LUXE DRIVE'!A50))-C50</f>
        <v>0</v>
      </c>
      <c r="C50" s="23">
        <f>(COUNTIF('2S EXPRESS'!$G$7:$G$50,'HMZ - KAIS'!A50))+(COUNTIF('2 ZT'!$G$7:$G$50,'HMZ - KAIS'!A50))+(COUNTIF('GO TRANSPORT'!$G$7:$G$50,'HMZ - KAIS'!A50))+(COUNTIF('HMZ - KAIS'!$G$7:$G$50,'HMZ - KAIS'!A50))+(COUNTIF('IB TRANSPORT'!$G$7:$G$50,'HMZ - KAIS'!A50))+(COUNTIF(JSL!$G$7:$G$50,'HMZ - KAIS'!A50))+(COUNTIF(KIFAITOUT!$G$7:$G$50,'HMZ - KAIS'!A50))+(COUNTIF('LUXE DRIVE'!$G$7:$G$50,'HMZ - KAIS'!A50))+(COUNTIF(SSN!$G$7:$G$50,'HMZ - KAIS'!A50))+(COUNTIF('W3'!$G$7:$G$50,'HMZ - KAIS'!A50))+(COUNTIF('ATHIS MONS'!$G$7:$G$50,'HMZ - KAIS'!A50))+(COUNTIF('L HAY LES ROSES'!$G$7:$G$50,'HMZ - KAIS'!A50))+(COUNTIF(RUNGIS!$G$7:$G$50,'HMZ - KAIS'!A50))+(COUNTIF(SCEAUX!$G$7:$G$50,'HMZ - KAIS'!A50))+(COUNTIF('INSTANCE C1'!$G$7:$G$50,'HMZ - KAIS'!A50))+(COUNTIF('INSTANCE C2'!$G$7:$G$50,'HMZ - KAIS'!A50))+(COUNTIF(INTERNES!$G$7:$G$50,'HMZ - KAIS'!A50))+(COUNTIF('EN PANNE'!$G$7:$G$50,'HMZ - KAIS'!A50))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EXPRESS'!$G$7:$G$50,'LUXE DRIVE'!G50))+(COUNTIF('2 ZT'!$G$7:$G$50,'LUXE DRIVE'!G50))+(COUNTIF('GO TRANSPORT'!$G$7:$G$50,'LUXE DRIVE'!G50))+(COUNTIF('HMZ - KAIS'!$G$7:$G$50,'LUXE DRIVE'!G50))+(COUNTIF('IB TRANSPORT'!$G$7:$G$50,'LUXE DRIVE'!G50))+(COUNTIF(JSL!$G$7:$G$50,'LUXE DRIVE'!G50))+(COUNTIF(KIFAITOUT!$G$7:$G$50,'LUXE DRIVE'!G50))+(COUNTIF('LUXE DRIVE'!$G$7:$G$50,'LUXE DRIVE'!G50))+(COUNTIF(SSN!$G$7:$G$50,'LUXE DRIVE'!G50))+(COUNTIF('W3'!$G$7:$G$50,'LUXE DRIVE'!G50))+(COUNTIF('ATHIS MONS'!$G$7:$G$50,'LUXE DRIVE'!G50))+(COUNTIF('L HAY LES ROSES'!$G$7:$G$50,'LUXE DRIVE'!G50))+(COUNTIF(RUNGIS!$G$7:$G$50,'LUXE DRIVE'!G50))+(COUNTIF(SCEAUX!$G$7:$G$50,'LUXE DRIVE'!G50))+(COUNTIF('INSTANCE C1'!$G$7:$G$50,'LUXE DRIVE'!G50))+(COUNTIF('INSTANCE C2'!$G$7:$G$50,'LUXE DRIVE'!G50))+(COUNTIF(INTERNES!$G$7:$G$50,'LUXE DRIVE'!G50))+(COUNTIF('EN PANNE'!$G$7:$G$50,'LUXE DRIVE'!G50))-I50</f>
        <v>0</v>
      </c>
      <c r="I50" s="25">
        <f>(COUNTIF('2S EXPRESS'!$A$7:$A$50,'LUXE DRIVE'!G50))+(COUNTIF('2 ZT'!$A$7:$A$50,'LUXE DRIVE'!G50))+(COUNTIF('GO TRANSPORT'!$A$7:$A$50,'LUXE DRIVE'!G50))+(COUNTIF('HMZ - KAIS'!$A$7:$A$50,'LUXE DRIVE'!G50))+(COUNTIF('IB TRANSPORT'!$A$7:$A$50,'LUXE DRIVE'!G50))+(COUNTIF(JSL!$A$7:$A$50,'LUXE DRIVE'!G50))+(COUNTIF(KIFAITOUT!$A$7:$A$50,'LUXE DRIVE'!G50))+(COUNTIF('LUXE DRIVE'!$A$7:$A$50,'LUXE DRIVE'!G50))+(COUNTIF(SSN!$A$7:$A$50,'LUXE DRIVE'!G50))+(COUNTIF('W3'!$A$7:$A$50,'LUXE DRIVE'!G50))+(COUNTIF('ATHIS MONS'!$A$7:$A$50,'LUXE DRIVE'!G50))+(COUNTIF('L HAY LES ROSES'!$A$7:$A$50,'LUXE DRIVE'!G50))+(COUNTIF(RUNGIS!$A$7:$A$50,'LUXE DRIVE'!G50))+(COUNTIF(SCEAUX!$A$7:$A$50,'LUXE DRIVE'!G50))+(COUNTIF('INSTANCE C1'!$A$7:$A$50,'LUXE DRIVE'!G50))+(COUNTIF('INSTANCE C2'!$A$7:$A$50,'LUXE DRIVE'!G50))+(COUNTIF(INTERNES!$A$7:$A$50,'LUXE DRIVE'!G50))+(COUNTIF('EN PANNE'!$A$7:$A$50,'LUXE DRIVE'!G50))</f>
        <v>0</v>
      </c>
      <c r="J50" s="29">
        <f t="shared" si="4"/>
        <v>0</v>
      </c>
      <c r="K50" s="3"/>
      <c r="L50" s="47"/>
      <c r="S50" s="60">
        <f t="shared" si="1"/>
        <v>0</v>
      </c>
      <c r="T50" s="67">
        <f t="shared" si="2"/>
        <v>0</v>
      </c>
    </row>
    <row r="51" spans="1:20" x14ac:dyDescent="0.2">
      <c r="A51" s="9"/>
    </row>
    <row r="52" spans="1:20" x14ac:dyDescent="0.2">
      <c r="A52" s="9"/>
    </row>
    <row r="53" spans="1:20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</row>
  </sheetData>
  <mergeCells count="13">
    <mergeCell ref="M12:P12"/>
    <mergeCell ref="B2:E3"/>
    <mergeCell ref="G2:K3"/>
    <mergeCell ref="A4:E4"/>
    <mergeCell ref="G4:K4"/>
    <mergeCell ref="G5:G6"/>
    <mergeCell ref="K5:K6"/>
    <mergeCell ref="M8:P8"/>
    <mergeCell ref="M9:P9"/>
    <mergeCell ref="M11:P11"/>
    <mergeCell ref="E5:E6"/>
    <mergeCell ref="F5:F6"/>
    <mergeCell ref="A5:A6"/>
  </mergeCells>
  <conditionalFormatting sqref="F7:F50">
    <cfRule type="cellIs" dxfId="121" priority="10" operator="equal">
      <formula>1</formula>
    </cfRule>
  </conditionalFormatting>
  <conditionalFormatting sqref="A7:A50">
    <cfRule type="duplicateValues" dxfId="120" priority="8"/>
  </conditionalFormatting>
  <conditionalFormatting sqref="L7:L50">
    <cfRule type="cellIs" dxfId="119" priority="7" operator="greaterThan">
      <formula>0</formula>
    </cfRule>
  </conditionalFormatting>
  <conditionalFormatting sqref="D7">
    <cfRule type="cellIs" dxfId="118" priority="6" operator="greaterThan">
      <formula>0</formula>
    </cfRule>
  </conditionalFormatting>
  <conditionalFormatting sqref="D8:D50">
    <cfRule type="cellIs" dxfId="117" priority="5" operator="greaterThan">
      <formula>0</formula>
    </cfRule>
  </conditionalFormatting>
  <conditionalFormatting sqref="G7:G50">
    <cfRule type="duplicateValues" dxfId="116" priority="4"/>
  </conditionalFormatting>
  <conditionalFormatting sqref="J7">
    <cfRule type="cellIs" dxfId="115" priority="3" operator="greaterThan">
      <formula>0</formula>
    </cfRule>
  </conditionalFormatting>
  <conditionalFormatting sqref="J8:J50">
    <cfRule type="cellIs" dxfId="114" priority="2" operator="greaterThan">
      <formula>0</formula>
    </cfRule>
  </conditionalFormatting>
  <conditionalFormatting sqref="S7:S50">
    <cfRule type="cellIs" dxfId="113" priority="1" operator="greaterThan">
      <formula>0</formula>
    </cfRule>
  </conditionalFormatting>
  <dataValidations count="1">
    <dataValidation type="list" allowBlank="1" showInputMessage="1" showErrorMessage="1" sqref="K7:K50 E7:E50" xr:uid="{F22B3D9A-209D-4680-8410-6AB9B1969A02}">
      <formula1>$Q$9:$Q$17</formula1>
    </dataValidation>
  </dataValidations>
  <pageMargins left="0.25" right="0.25" top="0.75" bottom="0.75" header="0.3" footer="0.3"/>
  <pageSetup paperSize="9" scale="88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CC4B554C-151B-43C1-9641-7B0A015AB8F7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9">
    <tabColor rgb="FF92D050"/>
    <pageSetUpPr fitToPage="1"/>
  </sheetPr>
  <dimension ref="A1:Z53"/>
  <sheetViews>
    <sheetView showGridLines="0" topLeftCell="F1" zoomScaleNormal="100" workbookViewId="0">
      <selection activeCell="X19" sqref="X19"/>
    </sheetView>
  </sheetViews>
  <sheetFormatPr baseColWidth="10" defaultColWidth="11.42578125" defaultRowHeight="12.75" x14ac:dyDescent="0.2"/>
  <cols>
    <col min="1" max="1" width="25.7109375" style="9" customWidth="1"/>
    <col min="2" max="3" width="10.7109375" style="9" hidden="1" customWidth="1"/>
    <col min="4" max="4" width="7.7109375" style="9" customWidth="1"/>
    <col min="5" max="5" width="50.7109375" style="9" customWidth="1"/>
    <col min="6" max="6" width="13.7109375" style="9" customWidth="1"/>
    <col min="7" max="7" width="25.7109375" style="9" customWidth="1"/>
    <col min="8" max="9" width="10.7109375" style="9" hidden="1" customWidth="1"/>
    <col min="10" max="10" width="7.7109375" style="9" customWidth="1"/>
    <col min="11" max="11" width="50.7109375" style="9" customWidth="1"/>
    <col min="12" max="16" width="7.7109375" style="9" customWidth="1"/>
    <col min="17" max="17" width="22.7109375" style="9" hidden="1" customWidth="1"/>
    <col min="18" max="18" width="14.28515625" style="56" hidden="1" customWidth="1"/>
    <col min="19" max="20" width="11.42578125" style="56" hidden="1" customWidth="1"/>
    <col min="21" max="21" width="11.42578125" style="56" customWidth="1"/>
    <col min="22" max="26" width="11.42578125" style="56"/>
    <col min="27" max="16384" width="11.42578125" style="9"/>
  </cols>
  <sheetData>
    <row r="1" spans="1:26" ht="13.5" thickBot="1" x14ac:dyDescent="0.25">
      <c r="A1" s="33"/>
      <c r="B1" s="35"/>
      <c r="C1" s="35"/>
      <c r="D1" s="35"/>
      <c r="E1" s="10"/>
      <c r="F1" s="34"/>
      <c r="I1" s="10"/>
    </row>
    <row r="2" spans="1:26" s="39" customFormat="1" ht="24.95" customHeight="1" x14ac:dyDescent="0.2">
      <c r="A2" s="36"/>
      <c r="B2" s="194" t="s">
        <v>41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1"/>
      <c r="S2" s="71"/>
      <c r="T2" s="71"/>
      <c r="U2" s="71"/>
      <c r="V2" s="71"/>
      <c r="W2" s="71"/>
      <c r="X2" s="71"/>
      <c r="Y2" s="71"/>
      <c r="Z2" s="71"/>
    </row>
    <row r="3" spans="1:26" s="39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1"/>
      <c r="S3" s="71"/>
      <c r="T3" s="71"/>
      <c r="U3" s="71"/>
      <c r="V3" s="71"/>
      <c r="W3" s="71"/>
      <c r="X3" s="71"/>
      <c r="Y3" s="71"/>
      <c r="Z3" s="71"/>
    </row>
    <row r="4" spans="1:26" s="39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1"/>
      <c r="T4" s="71"/>
      <c r="U4" s="71"/>
      <c r="V4" s="71"/>
      <c r="W4" s="71"/>
      <c r="X4" s="71"/>
      <c r="Y4" s="71"/>
      <c r="Z4" s="71"/>
    </row>
    <row r="5" spans="1:26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</row>
    <row r="6" spans="1:26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</row>
    <row r="7" spans="1:26" ht="24.95" customHeight="1" thickBot="1" x14ac:dyDescent="0.25">
      <c r="A7" s="19"/>
      <c r="B7" s="22">
        <f>(COUNTIF('2S EXPRESS'!$A$7:$A$50,SSN!A7))+(COUNTIF('2 ZT'!$A$7:$A$50,SSN!A7))+(COUNTIF('GO TRANSPORT'!$A$7:$A$50,SSN!A7))+(COUNTIF('HMZ - KAIS'!$A$7:$A$50,SSN!A7))+(COUNTIF('IB TRANSPORT'!$A$7:$A$50,SSN!A7))+(COUNTIF(JSL!$A$7:$A$50,SSN!A7))+(COUNTIF(KIFAITOUT!$A$7:$A$50,SSN!A7))+(COUNTIF('LUXE DRIVE'!$A$7:$A$50,SSN!A7))+(COUNTIF(SSN!$A$7:$A$50,SSN!A7))+(COUNTIF('W3'!$A$7:$A$50,SSN!A7))+(COUNTIF('ATHIS MONS'!$A$7:$A$50,SSN!A7))+(COUNTIF('L HAY LES ROSES'!$A$7:$A$50,SSN!A7))+(COUNTIF(RUNGIS!$A$7:$A$50,SSN!A7))+(COUNTIF(SCEAUX!$A$7:$A$50,SSN!A7))+(COUNTIF('INSTANCE C1'!$A$7:$A$50,SSN!A7))+(COUNTIF('INSTANCE C2'!$A$7:$A$50,SSN!A7))+(COUNTIF(INTERNES!$A$7:$A$50,SSN!A7))+(COUNTIF('EN PANNE'!$A$7:$A$50,SSN!A7))+(COUNTIF(TJM!$A$7:$A$50,SSN!A7))-C7</f>
        <v>0</v>
      </c>
      <c r="C7" s="23">
        <f>(COUNTIF('2S EXPRESS'!$G$7:$G$50,SSN!A7))+(COUNTIF('2 ZT'!$G$7:$G$50,SSN!A7))+(COUNTIF('GO TRANSPORT'!$G$7:$G$50,SSN!A7))+(COUNTIF(SSN!$G$7:$G$50,SSN!A7))+(COUNTIF('IB TRANSPORT'!$G$7:$G$50,SSN!A7))+(COUNTIF(JSL!$G$7:$G$50,SSN!A7))+(COUNTIF(KIFAITOUT!$G$7:$G$50,SSN!A7))+(COUNTIF('LUXE DRIVE'!$G$7:$G$50,SSN!A7))+(COUNTIF(SSN!$G$7:$G$50,SSN!A7))+(COUNTIF('W3'!$G$7:$G$50,SSN!A7))+(COUNTIF('ATHIS MONS'!$G$7:$G$50,SSN!A7))+(COUNTIF('L HAY LES ROSES'!$G$7:$G$50,SSN!A7))+(COUNTIF(RUNGIS!$G$7:$G$50,SSN!A7))+(COUNTIF(SCEAUX!$G$7:$G$50,SSN!A7))+(COUNTIF('INSTANCE C1'!$G$7:$G$50,SSN!A7))+(COUNTIF('INSTANCE C2'!$G$7:$G$50,SSN!A7))+(COUNTIF(INTERNES!$G$7:$G$50,SSN!A7))+(COUNTIF('EN PANNE'!$G$7:$G$50,SSN!A7))+(COUNTIF(TJM!$G$7:$G$50,SSN!A7))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EXPRESS'!$G$7:$G$50,SSN!G7))+(COUNTIF('2 ZT'!$G$7:$G$50,SSN!G7))+(COUNTIF('GO TRANSPORT'!$G$7:$G$50,SSN!G7))+(COUNTIF('HMZ - KAIS'!$G$7:$G$50,SSN!G7))+(COUNTIF('IB TRANSPORT'!$G$7:$G$50,SSN!G7))+(COUNTIF(JSL!$G$7:$G$50,SSN!G7))+(COUNTIF(KIFAITOUT!$G$7:$G$50,SSN!G7))+(COUNTIF('LUXE DRIVE'!$G$7:$G$50,SSN!G7))+(COUNTIF(SSN!$G$7:$G$50,SSN!G7))+(COUNTIF('W3'!$G$7:$G$50,SSN!G7))+(COUNTIF('ATHIS MONS'!$G$7:$G$50,SSN!G7))+(COUNTIF('L HAY LES ROSES'!$G$7:$G$50,SSN!G7))+(COUNTIF(RUNGIS!$G$7:$G$50,SSN!G7))+(COUNTIF(SCEAUX!$G$7:$G$50,SSN!G7))+(COUNTIF('INSTANCE C1'!$G$7:$G$50,SSN!G7))+(COUNTIF('INSTANCE C2'!$G$7:$G$50,SSN!G7))+(COUNTIF(INTERNES!$G$7:$G$50,SSN!G7))+(COUNTIF('EN PANNE'!$G$7:$G$50,SSN!G7))+(COUNTIF(TJM!$G$7:$G$50,SSN!G7))-I7</f>
        <v>0</v>
      </c>
      <c r="I7" s="22">
        <f>(COUNTIF('2S EXPRESS'!$A$7:$A$50,SSN!G7))+(COUNTIF('2 ZT'!$A$7:$A$50,SSN!G7))+(COUNTIF('GO TRANSPORT'!$A$7:$A$50,SSN!G7))+(COUNTIF('HMZ - KAIS'!$A$7:$A$50,SSN!G7))+(COUNTIF('IB TRANSPORT'!$A$7:$A$50,SSN!G7))+(COUNTIF(JSL!$A$7:$A$50,SSN!G7))+(COUNTIF(KIFAITOUT!$A$7:$A$50,SSN!G7))+(COUNTIF('LUXE DRIVE'!$A$7:$A$50,SSN!G7))+(COUNTIF(SSN!$A$7:$A$50,SSN!G7))+(COUNTIF('W3'!$A$7:$A$50,SSN!G7))+(COUNTIF('ATHIS MONS'!$A$7:$A$50,SSN!G7))+(COUNTIF('L HAY LES ROSES'!$A$7:$A$50,SSN!G7))+(COUNTIF(RUNGIS!$A$7:$A$50,SSN!G7))+(COUNTIF(SCEAUX!$A$7:$A$50,SSN!G7))+(COUNTIF('INSTANCE C1'!$A$7:$A$50,SSN!G7))+(COUNTIF('INSTANCE C2'!$A$7:$A$50,SSN!G7))+(COUNTIF(INTERNES!$A$7:$A$50,SSN!G7))+(COUNTIF('EN PANNE'!$A$7:$A$50,SSN!G7))+(COUNTIF(TJM!$A$7:$A$50,SSN!G7))</f>
        <v>0</v>
      </c>
      <c r="J7" s="27">
        <f>IF(H7&gt;=2,1,0)</f>
        <v>0</v>
      </c>
      <c r="K7" s="1"/>
      <c r="L7" s="47"/>
      <c r="M7" s="48"/>
      <c r="O7" s="48"/>
      <c r="P7" s="48"/>
      <c r="Q7" s="48"/>
      <c r="R7" s="50"/>
      <c r="S7" s="60">
        <f t="shared" ref="S7:S50" si="1">COUNTIF($G$7:$G$50,$A7)</f>
        <v>0</v>
      </c>
      <c r="T7" s="67">
        <f t="shared" ref="T7:T50" si="2">IF($S7=1,"",$A7)</f>
        <v>0</v>
      </c>
    </row>
    <row r="8" spans="1:26" ht="24.95" customHeight="1" thickBot="1" x14ac:dyDescent="0.25">
      <c r="A8" s="20"/>
      <c r="B8" s="23">
        <f>(COUNTIF('2S EXPRESS'!$A$7:$A$50,SSN!A8))+(COUNTIF('2 ZT'!$A$7:$A$50,SSN!A8))+(COUNTIF('GO TRANSPORT'!$A$7:$A$50,SSN!A8))+(COUNTIF('HMZ - KAIS'!$A$7:$A$50,SSN!A8))+(COUNTIF('IB TRANSPORT'!$A$7:$A$50,SSN!A8))+(COUNTIF(JSL!$A$7:$A$50,SSN!A8))+(COUNTIF(KIFAITOUT!$A$7:$A$50,SSN!A8))+(COUNTIF('LUXE DRIVE'!$A$7:$A$50,SSN!A8))+(COUNTIF(SSN!$A$7:$A$50,SSN!A8))+(COUNTIF('W3'!$A$7:$A$50,SSN!A8))+(COUNTIF('ATHIS MONS'!$A$7:$A$50,SSN!A8))+(COUNTIF('L HAY LES ROSES'!$A$7:$A$50,SSN!A8))+(COUNTIF(RUNGIS!$A$7:$A$50,SSN!A8))+(COUNTIF(SCEAUX!$A$7:$A$50,SSN!A8))+(COUNTIF('INSTANCE C1'!$A$7:$A$50,SSN!A8))+(COUNTIF('INSTANCE C2'!$A$7:$A$50,SSN!A8))+(COUNTIF(INTERNES!$A$7:$A$50,SSN!A8))+(COUNTIF('EN PANNE'!$A$7:$A$50,SSN!A8))+(COUNTIF(TJM!$A$7:$A$50,SSN!A8))-C8</f>
        <v>0</v>
      </c>
      <c r="C8" s="23">
        <f>(COUNTIF('2S EXPRESS'!$G$7:$G$50,SSN!A8))+(COUNTIF('2 ZT'!$G$7:$G$50,SSN!A8))+(COUNTIF('GO TRANSPORT'!$G$7:$G$50,SSN!A8))+(COUNTIF(SSN!$G$7:$G$50,SSN!A8))+(COUNTIF('IB TRANSPORT'!$G$7:$G$50,SSN!A8))+(COUNTIF(JSL!$G$7:$G$50,SSN!A8))+(COUNTIF(KIFAITOUT!$G$7:$G$50,SSN!A8))+(COUNTIF('LUXE DRIVE'!$G$7:$G$50,SSN!A8))+(COUNTIF(SSN!$G$7:$G$50,SSN!A8))+(COUNTIF('W3'!$G$7:$G$50,SSN!A8))+(COUNTIF('ATHIS MONS'!$G$7:$G$50,SSN!A8))+(COUNTIF('L HAY LES ROSES'!$G$7:$G$50,SSN!A8))+(COUNTIF(RUNGIS!$G$7:$G$50,SSN!A8))+(COUNTIF(SCEAUX!$G$7:$G$50,SSN!A8))+(COUNTIF('INSTANCE C1'!$G$7:$G$50,SSN!A8))+(COUNTIF('INSTANCE C2'!$G$7:$G$50,SSN!A8))+(COUNTIF(INTERNES!$G$7:$G$50,SSN!A8))+(COUNTIF('EN PANNE'!$G$7:$G$50,SSN!A8))+(COUNTIF(TJM!$A$7:$A$50,SSN!A8))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EXPRESS'!$G$7:$G$50,SSN!G8))+(COUNTIF('2 ZT'!$G$7:$G$50,SSN!G8))+(COUNTIF('GO TRANSPORT'!$G$7:$G$50,SSN!G8))+(COUNTIF('HMZ - KAIS'!$G$7:$G$50,SSN!G8))+(COUNTIF('IB TRANSPORT'!$G$7:$G$50,SSN!G8))+(COUNTIF(JSL!$G$7:$G$50,SSN!G8))+(COUNTIF(KIFAITOUT!$G$7:$G$50,SSN!G8))+(COUNTIF('LUXE DRIVE'!$G$7:$G$50,SSN!G8))+(COUNTIF(SSN!$G$7:$G$50,SSN!G8))+(COUNTIF('W3'!$G$7:$G$50,SSN!G8))+(COUNTIF('ATHIS MONS'!$G$7:$G$50,SSN!G8))+(COUNTIF('L HAY LES ROSES'!$G$7:$G$50,SSN!G8))+(COUNTIF(RUNGIS!$G$7:$G$50,SSN!G8))+(COUNTIF(SCEAUX!$G$7:$G$50,SSN!G8))+(COUNTIF('INSTANCE C1'!$G$7:$G$50,SSN!G8))+(COUNTIF('INSTANCE C2'!$G$7:$G$50,SSN!G8))+(COUNTIF(INTERNES!$G$7:$G$50,SSN!G8))+(COUNTIF('EN PANNE'!$G$7:$G$50,SSN!G8))+(COUNTIF(TJM!$G$7:$G$50,SSN!G8))-I8</f>
        <v>0</v>
      </c>
      <c r="I8" s="23">
        <f>(COUNTIF('2S EXPRESS'!$A$7:$A$50,SSN!G8))+(COUNTIF('2 ZT'!$A$7:$A$50,SSN!G8))+(COUNTIF('GO TRANSPORT'!$A$7:$A$50,SSN!G8))+(COUNTIF('HMZ - KAIS'!$A$7:$A$50,SSN!G8))+(COUNTIF('IB TRANSPORT'!$A$7:$A$50,SSN!G8))+(COUNTIF(JSL!$A$7:$A$50,SSN!G8))+(COUNTIF(KIFAITOUT!$A$7:$A$50,SSN!G8))+(COUNTIF('LUXE DRIVE'!$A$7:$A$50,SSN!G8))+(COUNTIF(SSN!$A$7:$A$50,SSN!G8))+(COUNTIF('W3'!$A$7:$A$50,SSN!G8))+(COUNTIF('ATHIS MONS'!$A$7:$A$50,SSN!G8))+(COUNTIF('L HAY LES ROSES'!$A$7:$A$50,SSN!G8))+(COUNTIF(RUNGIS!$A$7:$A$50,SSN!G8))+(COUNTIF(SCEAUX!$A$7:$A$50,SSN!G8))+(COUNTIF('INSTANCE C1'!$A$7:$A$50,SSN!G8))+(COUNTIF('INSTANCE C2'!$A$7:$A$50,SSN!G8))+(COUNTIF(INTERNES!$A$7:$A$50,SSN!G8))+(COUNTIF('EN PANNE'!$A$7:$A$50,SSN!G8))+(COUNTIF(TJM!$A$7:$A$50,SSN!G8))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50"/>
      <c r="S8" s="60">
        <f t="shared" si="1"/>
        <v>0</v>
      </c>
      <c r="T8" s="67">
        <f t="shared" si="2"/>
        <v>0</v>
      </c>
    </row>
    <row r="9" spans="1:26" ht="24.95" customHeight="1" thickBot="1" x14ac:dyDescent="0.25">
      <c r="A9" s="20"/>
      <c r="B9" s="23">
        <f>(COUNTIF('2S EXPRESS'!$A$7:$A$50,SSN!A9))+(COUNTIF('2 ZT'!$A$7:$A$50,SSN!A9))+(COUNTIF('GO TRANSPORT'!$A$7:$A$50,SSN!A9))+(COUNTIF('HMZ - KAIS'!$A$7:$A$50,SSN!A9))+(COUNTIF('IB TRANSPORT'!$A$7:$A$50,SSN!A9))+(COUNTIF(JSL!$A$7:$A$50,SSN!A9))+(COUNTIF(KIFAITOUT!$A$7:$A$50,SSN!A9))+(COUNTIF('LUXE DRIVE'!$A$7:$A$50,SSN!A9))+(COUNTIF(SSN!$A$7:$A$50,SSN!A9))+(COUNTIF('W3'!$A$7:$A$50,SSN!A9))+(COUNTIF('ATHIS MONS'!$A$7:$A$50,SSN!A9))+(COUNTIF('L HAY LES ROSES'!$A$7:$A$50,SSN!A9))+(COUNTIF(RUNGIS!$A$7:$A$50,SSN!A9))+(COUNTIF(SCEAUX!$A$7:$A$50,SSN!A9))+(COUNTIF('INSTANCE C1'!$A$7:$A$50,SSN!A9))+(COUNTIF('INSTANCE C2'!$A$7:$A$50,SSN!A9))+(COUNTIF(INTERNES!$A$7:$A$50,SSN!A9))+(COUNTIF('EN PANNE'!$A$7:$A$50,SSN!A9))+(COUNTIF(TJM!$A$7:$A$50,SSN!A9))-C9</f>
        <v>0</v>
      </c>
      <c r="C9" s="23">
        <f>(COUNTIF('2S EXPRESS'!$G$7:$G$50,SSN!A9))+(COUNTIF('2 ZT'!$G$7:$G$50,SSN!A9))+(COUNTIF('GO TRANSPORT'!$G$7:$G$50,SSN!A9))+(COUNTIF(SSN!$G$7:$G$50,SSN!A9))+(COUNTIF('IB TRANSPORT'!$G$7:$G$50,SSN!A9))+(COUNTIF(JSL!$G$7:$G$50,SSN!A9))+(COUNTIF(KIFAITOUT!$G$7:$G$50,SSN!A9))+(COUNTIF('LUXE DRIVE'!$G$7:$G$50,SSN!A9))+(COUNTIF(SSN!$G$7:$G$50,SSN!A9))+(COUNTIF('W3'!$G$7:$G$50,SSN!A9))+(COUNTIF('ATHIS MONS'!$G$7:$G$50,SSN!A9))+(COUNTIF('L HAY LES ROSES'!$G$7:$G$50,SSN!A9))+(COUNTIF(RUNGIS!$G$7:$G$50,SSN!A9))+(COUNTIF(SCEAUX!$G$7:$G$50,SSN!A9))+(COUNTIF('INSTANCE C1'!$G$7:$G$50,SSN!A9))+(COUNTIF('INSTANCE C2'!$G$7:$G$50,SSN!A9))+(COUNTIF(INTERNES!$G$7:$G$50,SSN!A9))+(COUNTIF('EN PANNE'!$G$7:$G$50,SSN!A9))+(COUNTIF(TJM!$A$7:$A$50,SSN!A9))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EXPRESS'!$G$7:$G$50,SSN!G9))+(COUNTIF('2 ZT'!$G$7:$G$50,SSN!G9))+(COUNTIF('GO TRANSPORT'!$G$7:$G$50,SSN!G9))+(COUNTIF('HMZ - KAIS'!$G$7:$G$50,SSN!G9))+(COUNTIF('IB TRANSPORT'!$G$7:$G$50,SSN!G9))+(COUNTIF(JSL!$G$7:$G$50,SSN!G9))+(COUNTIF(KIFAITOUT!$G$7:$G$50,SSN!G9))+(COUNTIF('LUXE DRIVE'!$G$7:$G$50,SSN!G9))+(COUNTIF(SSN!$G$7:$G$50,SSN!G9))+(COUNTIF('W3'!$G$7:$G$50,SSN!G9))+(COUNTIF('ATHIS MONS'!$G$7:$G$50,SSN!G9))+(COUNTIF('L HAY LES ROSES'!$G$7:$G$50,SSN!G9))+(COUNTIF(RUNGIS!$G$7:$G$50,SSN!G9))+(COUNTIF(SCEAUX!$G$7:$G$50,SSN!G9))+(COUNTIF('INSTANCE C1'!$G$7:$G$50,SSN!G9))+(COUNTIF('INSTANCE C2'!$G$7:$G$50,SSN!G9))+(COUNTIF(INTERNES!$G$7:$G$50,SSN!G9))+(COUNTIF('EN PANNE'!$G$7:$G$50,SSN!G9))+(COUNTIF(TJM!$G$7:$G$50,SSN!G9))-I9</f>
        <v>0</v>
      </c>
      <c r="I9" s="23">
        <f>(COUNTIF('2S EXPRESS'!$A$7:$A$50,SSN!G9))+(COUNTIF('2 ZT'!$A$7:$A$50,SSN!G9))+(COUNTIF('GO TRANSPORT'!$A$7:$A$50,SSN!G9))+(COUNTIF('HMZ - KAIS'!$A$7:$A$50,SSN!G9))+(COUNTIF('IB TRANSPORT'!$A$7:$A$50,SSN!G9))+(COUNTIF(JSL!$A$7:$A$50,SSN!G9))+(COUNTIF(KIFAITOUT!$A$7:$A$50,SSN!G9))+(COUNTIF('LUXE DRIVE'!$A$7:$A$50,SSN!G9))+(COUNTIF(SSN!$A$7:$A$50,SSN!G9))+(COUNTIF('W3'!$A$7:$A$50,SSN!G9))+(COUNTIF('ATHIS MONS'!$A$7:$A$50,SSN!G9))+(COUNTIF('L HAY LES ROSES'!$A$7:$A$50,SSN!G9))+(COUNTIF(RUNGIS!$A$7:$A$50,SSN!G9))+(COUNTIF(SCEAUX!$A$7:$A$50,SSN!G9))+(COUNTIF('INSTANCE C1'!$A$7:$A$50,SSN!G9))+(COUNTIF('INSTANCE C2'!$A$7:$A$50,SSN!G9))+(COUNTIF(INTERNES!$A$7:$A$50,SSN!G9))+(COUNTIF('EN PANNE'!$A$7:$A$50,SSN!G9))+(COUNTIF(TJM!$A$7:$A$50,SSN!G9))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50"/>
      <c r="S9" s="60">
        <f t="shared" si="1"/>
        <v>0</v>
      </c>
      <c r="T9" s="67">
        <f t="shared" si="2"/>
        <v>0</v>
      </c>
    </row>
    <row r="10" spans="1:26" ht="24.95" customHeight="1" thickBot="1" x14ac:dyDescent="0.25">
      <c r="A10" s="20"/>
      <c r="B10" s="23">
        <f>(COUNTIF('2S EXPRESS'!$A$7:$A$50,SSN!A10))+(COUNTIF('2 ZT'!$A$7:$A$50,SSN!A10))+(COUNTIF('GO TRANSPORT'!$A$7:$A$50,SSN!A10))+(COUNTIF('HMZ - KAIS'!$A$7:$A$50,SSN!A10))+(COUNTIF('IB TRANSPORT'!$A$7:$A$50,SSN!A10))+(COUNTIF(JSL!$A$7:$A$50,SSN!A10))+(COUNTIF(KIFAITOUT!$A$7:$A$50,SSN!A10))+(COUNTIF('LUXE DRIVE'!$A$7:$A$50,SSN!A10))+(COUNTIF(SSN!$A$7:$A$50,SSN!A10))+(COUNTIF('W3'!$A$7:$A$50,SSN!A10))+(COUNTIF('ATHIS MONS'!$A$7:$A$50,SSN!A10))+(COUNTIF('L HAY LES ROSES'!$A$7:$A$50,SSN!A10))+(COUNTIF(RUNGIS!$A$7:$A$50,SSN!A10))+(COUNTIF(SCEAUX!$A$7:$A$50,SSN!A10))+(COUNTIF('INSTANCE C1'!$A$7:$A$50,SSN!A10))+(COUNTIF('INSTANCE C2'!$A$7:$A$50,SSN!A10))+(COUNTIF(INTERNES!$A$7:$A$50,SSN!A10))+(COUNTIF('EN PANNE'!$A$7:$A$50,SSN!A10))+(COUNTIF(TJM!$A$7:$A$50,SSN!A10))-C10</f>
        <v>0</v>
      </c>
      <c r="C10" s="23">
        <f>(COUNTIF('2S EXPRESS'!$G$7:$G$50,SSN!A10))+(COUNTIF('2 ZT'!$G$7:$G$50,SSN!A10))+(COUNTIF('GO TRANSPORT'!$G$7:$G$50,SSN!A10))+(COUNTIF(SSN!$G$7:$G$50,SSN!A10))+(COUNTIF('IB TRANSPORT'!$G$7:$G$50,SSN!A10))+(COUNTIF(JSL!$G$7:$G$50,SSN!A10))+(COUNTIF(KIFAITOUT!$G$7:$G$50,SSN!A10))+(COUNTIF('LUXE DRIVE'!$G$7:$G$50,SSN!A10))+(COUNTIF(SSN!$G$7:$G$50,SSN!A10))+(COUNTIF('W3'!$G$7:$G$50,SSN!A10))+(COUNTIF('ATHIS MONS'!$G$7:$G$50,SSN!A10))+(COUNTIF('L HAY LES ROSES'!$G$7:$G$50,SSN!A10))+(COUNTIF(RUNGIS!$G$7:$G$50,SSN!A10))+(COUNTIF(SCEAUX!$G$7:$G$50,SSN!A10))+(COUNTIF('INSTANCE C1'!$G$7:$G$50,SSN!A10))+(COUNTIF('INSTANCE C2'!$G$7:$G$50,SSN!A10))+(COUNTIF(INTERNES!$G$7:$G$50,SSN!A10))+(COUNTIF('EN PANNE'!$G$7:$G$50,SSN!A10))+(COUNTIF(TJM!$A$7:$A$50,SSN!A10))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EXPRESS'!$G$7:$G$50,SSN!G10))+(COUNTIF('2 ZT'!$G$7:$G$50,SSN!G10))+(COUNTIF('GO TRANSPORT'!$G$7:$G$50,SSN!G10))+(COUNTIF('HMZ - KAIS'!$G$7:$G$50,SSN!G10))+(COUNTIF('IB TRANSPORT'!$G$7:$G$50,SSN!G10))+(COUNTIF(JSL!$G$7:$G$50,SSN!G10))+(COUNTIF(KIFAITOUT!$G$7:$G$50,SSN!G10))+(COUNTIF('LUXE DRIVE'!$G$7:$G$50,SSN!G10))+(COUNTIF(SSN!$G$7:$G$50,SSN!G10))+(COUNTIF('W3'!$G$7:$G$50,SSN!G10))+(COUNTIF('ATHIS MONS'!$G$7:$G$50,SSN!G10))+(COUNTIF('L HAY LES ROSES'!$G$7:$G$50,SSN!G10))+(COUNTIF(RUNGIS!$G$7:$G$50,SSN!G10))+(COUNTIF(SCEAUX!$G$7:$G$50,SSN!G10))+(COUNTIF('INSTANCE C1'!$G$7:$G$50,SSN!G10))+(COUNTIF('INSTANCE C2'!$G$7:$G$50,SSN!G10))+(COUNTIF(INTERNES!$G$7:$G$50,SSN!G10))+(COUNTIF('EN PANNE'!$G$7:$G$50,SSN!G10))+(COUNTIF(TJM!$G$7:$G$50,SSN!G10))-I10</f>
        <v>0</v>
      </c>
      <c r="I10" s="23">
        <f>(COUNTIF('2S EXPRESS'!$A$7:$A$50,SSN!G10))+(COUNTIF('2 ZT'!$A$7:$A$50,SSN!G10))+(COUNTIF('GO TRANSPORT'!$A$7:$A$50,SSN!G10))+(COUNTIF('HMZ - KAIS'!$A$7:$A$50,SSN!G10))+(COUNTIF('IB TRANSPORT'!$A$7:$A$50,SSN!G10))+(COUNTIF(JSL!$A$7:$A$50,SSN!G10))+(COUNTIF(KIFAITOUT!$A$7:$A$50,SSN!G10))+(COUNTIF('LUXE DRIVE'!$A$7:$A$50,SSN!G10))+(COUNTIF(SSN!$A$7:$A$50,SSN!G10))+(COUNTIF('W3'!$A$7:$A$50,SSN!G10))+(COUNTIF('ATHIS MONS'!$A$7:$A$50,SSN!G10))+(COUNTIF('L HAY LES ROSES'!$A$7:$A$50,SSN!G10))+(COUNTIF(RUNGIS!$A$7:$A$50,SSN!G10))+(COUNTIF(SCEAUX!$A$7:$A$50,SSN!G10))+(COUNTIF('INSTANCE C1'!$A$7:$A$50,SSN!G10))+(COUNTIF('INSTANCE C2'!$A$7:$A$50,SSN!G10))+(COUNTIF(INTERNES!$A$7:$A$50,SSN!G10))+(COUNTIF('EN PANNE'!$A$7:$A$50,SSN!G10))+(COUNTIF(TJM!$A$7:$A$50,SSN!G10))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R10" s="50"/>
      <c r="S10" s="60">
        <f t="shared" si="1"/>
        <v>0</v>
      </c>
      <c r="T10" s="67">
        <f t="shared" si="2"/>
        <v>0</v>
      </c>
    </row>
    <row r="11" spans="1:26" ht="24.95" customHeight="1" thickBot="1" x14ac:dyDescent="0.25">
      <c r="A11" s="20"/>
      <c r="B11" s="23">
        <f>(COUNTIF('2S EXPRESS'!$A$7:$A$50,SSN!A11))+(COUNTIF('2 ZT'!$A$7:$A$50,SSN!A11))+(COUNTIF('GO TRANSPORT'!$A$7:$A$50,SSN!A11))+(COUNTIF('HMZ - KAIS'!$A$7:$A$50,SSN!A11))+(COUNTIF('IB TRANSPORT'!$A$7:$A$50,SSN!A11))+(COUNTIF(JSL!$A$7:$A$50,SSN!A11))+(COUNTIF(KIFAITOUT!$A$7:$A$50,SSN!A11))+(COUNTIF('LUXE DRIVE'!$A$7:$A$50,SSN!A11))+(COUNTIF(SSN!$A$7:$A$50,SSN!A11))+(COUNTIF('W3'!$A$7:$A$50,SSN!A11))+(COUNTIF('ATHIS MONS'!$A$7:$A$50,SSN!A11))+(COUNTIF('L HAY LES ROSES'!$A$7:$A$50,SSN!A11))+(COUNTIF(RUNGIS!$A$7:$A$50,SSN!A11))+(COUNTIF(SCEAUX!$A$7:$A$50,SSN!A11))+(COUNTIF('INSTANCE C1'!$A$7:$A$50,SSN!A11))+(COUNTIF('INSTANCE C2'!$A$7:$A$50,SSN!A11))+(COUNTIF(INTERNES!$A$7:$A$50,SSN!A11))+(COUNTIF('EN PANNE'!$A$7:$A$50,SSN!A11))+(COUNTIF(TJM!$A$7:$A$50,SSN!A11))-C11</f>
        <v>0</v>
      </c>
      <c r="C11" s="23">
        <f>(COUNTIF('2S EXPRESS'!$G$7:$G$50,SSN!A11))+(COUNTIF('2 ZT'!$G$7:$G$50,SSN!A11))+(COUNTIF('GO TRANSPORT'!$G$7:$G$50,SSN!A11))+(COUNTIF(SSN!$G$7:$G$50,SSN!A11))+(COUNTIF('IB TRANSPORT'!$G$7:$G$50,SSN!A11))+(COUNTIF(JSL!$G$7:$G$50,SSN!A11))+(COUNTIF(KIFAITOUT!$G$7:$G$50,SSN!A11))+(COUNTIF('LUXE DRIVE'!$G$7:$G$50,SSN!A11))+(COUNTIF(SSN!$G$7:$G$50,SSN!A11))+(COUNTIF('W3'!$G$7:$G$50,SSN!A11))+(COUNTIF('ATHIS MONS'!$G$7:$G$50,SSN!A11))+(COUNTIF('L HAY LES ROSES'!$G$7:$G$50,SSN!A11))+(COUNTIF(RUNGIS!$G$7:$G$50,SSN!A11))+(COUNTIF(SCEAUX!$G$7:$G$50,SSN!A11))+(COUNTIF('INSTANCE C1'!$G$7:$G$50,SSN!A11))+(COUNTIF('INSTANCE C2'!$G$7:$G$50,SSN!A11))+(COUNTIF(INTERNES!$G$7:$G$50,SSN!A11))+(COUNTIF('EN PANNE'!$G$7:$G$50,SSN!A11))+(COUNTIF(TJM!$A$7:$A$50,SSN!A11))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EXPRESS'!$G$7:$G$50,SSN!G11))+(COUNTIF('2 ZT'!$G$7:$G$50,SSN!G11))+(COUNTIF('GO TRANSPORT'!$G$7:$G$50,SSN!G11))+(COUNTIF('HMZ - KAIS'!$G$7:$G$50,SSN!G11))+(COUNTIF('IB TRANSPORT'!$G$7:$G$50,SSN!G11))+(COUNTIF(JSL!$G$7:$G$50,SSN!G11))+(COUNTIF(KIFAITOUT!$G$7:$G$50,SSN!G11))+(COUNTIF('LUXE DRIVE'!$G$7:$G$50,SSN!G11))+(COUNTIF(SSN!$G$7:$G$50,SSN!G11))+(COUNTIF('W3'!$G$7:$G$50,SSN!G11))+(COUNTIF('ATHIS MONS'!$G$7:$G$50,SSN!G11))+(COUNTIF('L HAY LES ROSES'!$G$7:$G$50,SSN!G11))+(COUNTIF(RUNGIS!$G$7:$G$50,SSN!G11))+(COUNTIF(SCEAUX!$G$7:$G$50,SSN!G11))+(COUNTIF('INSTANCE C1'!$G$7:$G$50,SSN!G11))+(COUNTIF('INSTANCE C2'!$G$7:$G$50,SSN!G11))+(COUNTIF(INTERNES!$G$7:$G$50,SSN!G11))+(COUNTIF('EN PANNE'!$G$7:$G$50,SSN!G11))+(COUNTIF(TJM!$G$7:$G$50,SSN!G11))-I11</f>
        <v>0</v>
      </c>
      <c r="I11" s="23">
        <f>(COUNTIF('2S EXPRESS'!$A$7:$A$50,SSN!G11))+(COUNTIF('2 ZT'!$A$7:$A$50,SSN!G11))+(COUNTIF('GO TRANSPORT'!$A$7:$A$50,SSN!G11))+(COUNTIF('HMZ - KAIS'!$A$7:$A$50,SSN!G11))+(COUNTIF('IB TRANSPORT'!$A$7:$A$50,SSN!G11))+(COUNTIF(JSL!$A$7:$A$50,SSN!G11))+(COUNTIF(KIFAITOUT!$A$7:$A$50,SSN!G11))+(COUNTIF('LUXE DRIVE'!$A$7:$A$50,SSN!G11))+(COUNTIF(SSN!$A$7:$A$50,SSN!G11))+(COUNTIF('W3'!$A$7:$A$50,SSN!G11))+(COUNTIF('ATHIS MONS'!$A$7:$A$50,SSN!G11))+(COUNTIF('L HAY LES ROSES'!$A$7:$A$50,SSN!G11))+(COUNTIF(RUNGIS!$A$7:$A$50,SSN!G11))+(COUNTIF(SCEAUX!$A$7:$A$50,SSN!G11))+(COUNTIF('INSTANCE C1'!$A$7:$A$50,SSN!G11))+(COUNTIF('INSTANCE C2'!$A$7:$A$50,SSN!G11))+(COUNTIF(INTERNES!$A$7:$A$50,SSN!G11))+(COUNTIF('EN PANNE'!$A$7:$A$50,SSN!G11))+(COUNTIF(TJM!$A$7:$A$50,SSN!G11))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R11" s="50"/>
      <c r="S11" s="60">
        <f t="shared" si="1"/>
        <v>0</v>
      </c>
      <c r="T11" s="67">
        <f t="shared" si="2"/>
        <v>0</v>
      </c>
    </row>
    <row r="12" spans="1:26" ht="24.95" customHeight="1" thickBot="1" x14ac:dyDescent="0.25">
      <c r="A12" s="20"/>
      <c r="B12" s="23">
        <f>(COUNTIF('2S EXPRESS'!$A$7:$A$50,SSN!A12))+(COUNTIF('2 ZT'!$A$7:$A$50,SSN!A12))+(COUNTIF('GO TRANSPORT'!$A$7:$A$50,SSN!A12))+(COUNTIF('HMZ - KAIS'!$A$7:$A$50,SSN!A12))+(COUNTIF('IB TRANSPORT'!$A$7:$A$50,SSN!A12))+(COUNTIF(JSL!$A$7:$A$50,SSN!A12))+(COUNTIF(KIFAITOUT!$A$7:$A$50,SSN!A12))+(COUNTIF('LUXE DRIVE'!$A$7:$A$50,SSN!A12))+(COUNTIF(SSN!$A$7:$A$50,SSN!A12))+(COUNTIF('W3'!$A$7:$A$50,SSN!A12))+(COUNTIF('ATHIS MONS'!$A$7:$A$50,SSN!A12))+(COUNTIF('L HAY LES ROSES'!$A$7:$A$50,SSN!A12))+(COUNTIF(RUNGIS!$A$7:$A$50,SSN!A12))+(COUNTIF(SCEAUX!$A$7:$A$50,SSN!A12))+(COUNTIF('INSTANCE C1'!$A$7:$A$50,SSN!A12))+(COUNTIF('INSTANCE C2'!$A$7:$A$50,SSN!A12))+(COUNTIF(INTERNES!$A$7:$A$50,SSN!A12))+(COUNTIF('EN PANNE'!$A$7:$A$50,SSN!A12))+(COUNTIF(TJM!$A$7:$A$50,SSN!A12))-C12</f>
        <v>0</v>
      </c>
      <c r="C12" s="23">
        <f>(COUNTIF('2S EXPRESS'!$G$7:$G$50,SSN!A12))+(COUNTIF('2 ZT'!$G$7:$G$50,SSN!A12))+(COUNTIF('GO TRANSPORT'!$G$7:$G$50,SSN!A12))+(COUNTIF(SSN!$G$7:$G$50,SSN!A12))+(COUNTIF('IB TRANSPORT'!$G$7:$G$50,SSN!A12))+(COUNTIF(JSL!$G$7:$G$50,SSN!A12))+(COUNTIF(KIFAITOUT!$G$7:$G$50,SSN!A12))+(COUNTIF('LUXE DRIVE'!$G$7:$G$50,SSN!A12))+(COUNTIF(SSN!$G$7:$G$50,SSN!A12))+(COUNTIF('W3'!$G$7:$G$50,SSN!A12))+(COUNTIF('ATHIS MONS'!$G$7:$G$50,SSN!A12))+(COUNTIF('L HAY LES ROSES'!$G$7:$G$50,SSN!A12))+(COUNTIF(RUNGIS!$G$7:$G$50,SSN!A12))+(COUNTIF(SCEAUX!$G$7:$G$50,SSN!A12))+(COUNTIF('INSTANCE C1'!$G$7:$G$50,SSN!A12))+(COUNTIF('INSTANCE C2'!$G$7:$G$50,SSN!A12))+(COUNTIF(INTERNES!$G$7:$G$50,SSN!A12))+(COUNTIF('EN PANNE'!$G$7:$G$50,SSN!A12))+(COUNTIF(TJM!$A$7:$A$50,SSN!A12))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EXPRESS'!$G$7:$G$50,SSN!G12))+(COUNTIF('2 ZT'!$G$7:$G$50,SSN!G12))+(COUNTIF('GO TRANSPORT'!$G$7:$G$50,SSN!G12))+(COUNTIF('HMZ - KAIS'!$G$7:$G$50,SSN!G12))+(COUNTIF('IB TRANSPORT'!$G$7:$G$50,SSN!G12))+(COUNTIF(JSL!$G$7:$G$50,SSN!G12))+(COUNTIF(KIFAITOUT!$G$7:$G$50,SSN!G12))+(COUNTIF('LUXE DRIVE'!$G$7:$G$50,SSN!G12))+(COUNTIF(SSN!$G$7:$G$50,SSN!G12))+(COUNTIF('W3'!$G$7:$G$50,SSN!G12))+(COUNTIF('ATHIS MONS'!$G$7:$G$50,SSN!G12))+(COUNTIF('L HAY LES ROSES'!$G$7:$G$50,SSN!G12))+(COUNTIF(RUNGIS!$G$7:$G$50,SSN!G12))+(COUNTIF(SCEAUX!$G$7:$G$50,SSN!G12))+(COUNTIF('INSTANCE C1'!$G$7:$G$50,SSN!G12))+(COUNTIF('INSTANCE C2'!$G$7:$G$50,SSN!G12))+(COUNTIF(INTERNES!$G$7:$G$50,SSN!G12))+(COUNTIF('EN PANNE'!$G$7:$G$50,SSN!G12))+(COUNTIF(TJM!$G$7:$G$50,SSN!G12))-I12</f>
        <v>0</v>
      </c>
      <c r="I12" s="23">
        <f>(COUNTIF('2S EXPRESS'!$A$7:$A$50,SSN!G12))+(COUNTIF('2 ZT'!$A$7:$A$50,SSN!G12))+(COUNTIF('GO TRANSPORT'!$A$7:$A$50,SSN!G12))+(COUNTIF('HMZ - KAIS'!$A$7:$A$50,SSN!G12))+(COUNTIF('IB TRANSPORT'!$A$7:$A$50,SSN!G12))+(COUNTIF(JSL!$A$7:$A$50,SSN!G12))+(COUNTIF(KIFAITOUT!$A$7:$A$50,SSN!G12))+(COUNTIF('LUXE DRIVE'!$A$7:$A$50,SSN!G12))+(COUNTIF(SSN!$A$7:$A$50,SSN!G12))+(COUNTIF('W3'!$A$7:$A$50,SSN!G12))+(COUNTIF('ATHIS MONS'!$A$7:$A$50,SSN!G12))+(COUNTIF('L HAY LES ROSES'!$A$7:$A$50,SSN!G12))+(COUNTIF(RUNGIS!$A$7:$A$50,SSN!G12))+(COUNTIF(SCEAUX!$A$7:$A$50,SSN!G12))+(COUNTIF('INSTANCE C1'!$A$7:$A$50,SSN!G12))+(COUNTIF('INSTANCE C2'!$A$7:$A$50,SSN!G12))+(COUNTIF(INTERNES!$A$7:$A$50,SSN!G12))+(COUNTIF('EN PANNE'!$A$7:$A$50,SSN!G12))+(COUNTIF(TJM!$A$7:$A$50,SSN!G12))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R12" s="50"/>
      <c r="S12" s="60">
        <f t="shared" si="1"/>
        <v>0</v>
      </c>
      <c r="T12" s="67">
        <f t="shared" si="2"/>
        <v>0</v>
      </c>
    </row>
    <row r="13" spans="1:26" ht="24.95" customHeight="1" x14ac:dyDescent="0.2">
      <c r="A13" s="20"/>
      <c r="B13" s="23">
        <f>(COUNTIF('2S EXPRESS'!$A$7:$A$50,SSN!A13))+(COUNTIF('2 ZT'!$A$7:$A$50,SSN!A13))+(COUNTIF('GO TRANSPORT'!$A$7:$A$50,SSN!A13))+(COUNTIF('HMZ - KAIS'!$A$7:$A$50,SSN!A13))+(COUNTIF('IB TRANSPORT'!$A$7:$A$50,SSN!A13))+(COUNTIF(JSL!$A$7:$A$50,SSN!A13))+(COUNTIF(KIFAITOUT!$A$7:$A$50,SSN!A13))+(COUNTIF('LUXE DRIVE'!$A$7:$A$50,SSN!A13))+(COUNTIF(SSN!$A$7:$A$50,SSN!A13))+(COUNTIF('W3'!$A$7:$A$50,SSN!A13))+(COUNTIF('ATHIS MONS'!$A$7:$A$50,SSN!A13))+(COUNTIF('L HAY LES ROSES'!$A$7:$A$50,SSN!A13))+(COUNTIF(RUNGIS!$A$7:$A$50,SSN!A13))+(COUNTIF(SCEAUX!$A$7:$A$50,SSN!A13))+(COUNTIF('INSTANCE C1'!$A$7:$A$50,SSN!A13))+(COUNTIF('INSTANCE C2'!$A$7:$A$50,SSN!A13))+(COUNTIF(INTERNES!$A$7:$A$50,SSN!A13))+(COUNTIF('EN PANNE'!$A$7:$A$50,SSN!A13))+(COUNTIF(TJM!$A$7:$A$50,SSN!A13))-C13</f>
        <v>0</v>
      </c>
      <c r="C13" s="23">
        <f>(COUNTIF('2S EXPRESS'!$G$7:$G$50,SSN!A13))+(COUNTIF('2 ZT'!$G$7:$G$50,SSN!A13))+(COUNTIF('GO TRANSPORT'!$G$7:$G$50,SSN!A13))+(COUNTIF(SSN!$G$7:$G$50,SSN!A13))+(COUNTIF('IB TRANSPORT'!$G$7:$G$50,SSN!A13))+(COUNTIF(JSL!$G$7:$G$50,SSN!A13))+(COUNTIF(KIFAITOUT!$G$7:$G$50,SSN!A13))+(COUNTIF('LUXE DRIVE'!$G$7:$G$50,SSN!A13))+(COUNTIF(SSN!$G$7:$G$50,SSN!A13))+(COUNTIF('W3'!$G$7:$G$50,SSN!A13))+(COUNTIF('ATHIS MONS'!$G$7:$G$50,SSN!A13))+(COUNTIF('L HAY LES ROSES'!$G$7:$G$50,SSN!A13))+(COUNTIF(RUNGIS!$G$7:$G$50,SSN!A13))+(COUNTIF(SCEAUX!$G$7:$G$50,SSN!A13))+(COUNTIF('INSTANCE C1'!$G$7:$G$50,SSN!A13))+(COUNTIF('INSTANCE C2'!$G$7:$G$50,SSN!A13))+(COUNTIF(INTERNES!$G$7:$G$50,SSN!A13))+(COUNTIF('EN PANNE'!$G$7:$G$50,SSN!A13))+(COUNTIF(TJM!$A$7:$A$50,SSN!A13))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EXPRESS'!$G$7:$G$50,SSN!G13))+(COUNTIF('2 ZT'!$G$7:$G$50,SSN!G13))+(COUNTIF('GO TRANSPORT'!$G$7:$G$50,SSN!G13))+(COUNTIF('HMZ - KAIS'!$G$7:$G$50,SSN!G13))+(COUNTIF('IB TRANSPORT'!$G$7:$G$50,SSN!G13))+(COUNTIF(JSL!$G$7:$G$50,SSN!G13))+(COUNTIF(KIFAITOUT!$G$7:$G$50,SSN!G13))+(COUNTIF('LUXE DRIVE'!$G$7:$G$50,SSN!G13))+(COUNTIF(SSN!$G$7:$G$50,SSN!G13))+(COUNTIF('W3'!$G$7:$G$50,SSN!G13))+(COUNTIF('ATHIS MONS'!$G$7:$G$50,SSN!G13))+(COUNTIF('L HAY LES ROSES'!$G$7:$G$50,SSN!G13))+(COUNTIF(RUNGIS!$G$7:$G$50,SSN!G13))+(COUNTIF(SCEAUX!$G$7:$G$50,SSN!G13))+(COUNTIF('INSTANCE C1'!$G$7:$G$50,SSN!G13))+(COUNTIF('INSTANCE C2'!$G$7:$G$50,SSN!G13))+(COUNTIF(INTERNES!$G$7:$G$50,SSN!G13))+(COUNTIF('EN PANNE'!$G$7:$G$50,SSN!G13))+(COUNTIF(TJM!$G$7:$G$50,SSN!G13))-I13</f>
        <v>0</v>
      </c>
      <c r="I13" s="23">
        <f>(COUNTIF('2S EXPRESS'!$A$7:$A$50,SSN!G13))+(COUNTIF('2 ZT'!$A$7:$A$50,SSN!G13))+(COUNTIF('GO TRANSPORT'!$A$7:$A$50,SSN!G13))+(COUNTIF('HMZ - KAIS'!$A$7:$A$50,SSN!G13))+(COUNTIF('IB TRANSPORT'!$A$7:$A$50,SSN!G13))+(COUNTIF(JSL!$A$7:$A$50,SSN!G13))+(COUNTIF(KIFAITOUT!$A$7:$A$50,SSN!G13))+(COUNTIF('LUXE DRIVE'!$A$7:$A$50,SSN!G13))+(COUNTIF(SSN!$A$7:$A$50,SSN!G13))+(COUNTIF('W3'!$A$7:$A$50,SSN!G13))+(COUNTIF('ATHIS MONS'!$A$7:$A$50,SSN!G13))+(COUNTIF('L HAY LES ROSES'!$A$7:$A$50,SSN!G13))+(COUNTIF(RUNGIS!$A$7:$A$50,SSN!G13))+(COUNTIF(SCEAUX!$A$7:$A$50,SSN!G13))+(COUNTIF('INSTANCE C1'!$A$7:$A$50,SSN!G13))+(COUNTIF('INSTANCE C2'!$A$7:$A$50,SSN!G13))+(COUNTIF(INTERNES!$A$7:$A$50,SSN!G13))+(COUNTIF('EN PANNE'!$A$7:$A$50,SSN!G13))+(COUNTIF(TJM!$A$7:$A$50,SSN!G13))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S13" s="60">
        <f t="shared" si="1"/>
        <v>0</v>
      </c>
      <c r="T13" s="67">
        <f t="shared" si="2"/>
        <v>0</v>
      </c>
    </row>
    <row r="14" spans="1:26" ht="24.95" customHeight="1" x14ac:dyDescent="0.2">
      <c r="A14" s="20"/>
      <c r="B14" s="23">
        <f>(COUNTIF('2S EXPRESS'!$A$7:$A$50,SSN!A14))+(COUNTIF('2 ZT'!$A$7:$A$50,SSN!A14))+(COUNTIF('GO TRANSPORT'!$A$7:$A$50,SSN!A14))+(COUNTIF('HMZ - KAIS'!$A$7:$A$50,SSN!A14))+(COUNTIF('IB TRANSPORT'!$A$7:$A$50,SSN!A14))+(COUNTIF(JSL!$A$7:$A$50,SSN!A14))+(COUNTIF(KIFAITOUT!$A$7:$A$50,SSN!A14))+(COUNTIF('LUXE DRIVE'!$A$7:$A$50,SSN!A14))+(COUNTIF(SSN!$A$7:$A$50,SSN!A14))+(COUNTIF('W3'!$A$7:$A$50,SSN!A14))+(COUNTIF('ATHIS MONS'!$A$7:$A$50,SSN!A14))+(COUNTIF('L HAY LES ROSES'!$A$7:$A$50,SSN!A14))+(COUNTIF(RUNGIS!$A$7:$A$50,SSN!A14))+(COUNTIF(SCEAUX!$A$7:$A$50,SSN!A14))+(COUNTIF('INSTANCE C1'!$A$7:$A$50,SSN!A14))+(COUNTIF('INSTANCE C2'!$A$7:$A$50,SSN!A14))+(COUNTIF(INTERNES!$A$7:$A$50,SSN!A14))+(COUNTIF('EN PANNE'!$A$7:$A$50,SSN!A14))+(COUNTIF(TJM!$A$7:$A$50,SSN!A14))-C14</f>
        <v>0</v>
      </c>
      <c r="C14" s="23">
        <f>(COUNTIF('2S EXPRESS'!$G$7:$G$50,SSN!A14))+(COUNTIF('2 ZT'!$G$7:$G$50,SSN!A14))+(COUNTIF('GO TRANSPORT'!$G$7:$G$50,SSN!A14))+(COUNTIF(SSN!$G$7:$G$50,SSN!A14))+(COUNTIF('IB TRANSPORT'!$G$7:$G$50,SSN!A14))+(COUNTIF(JSL!$G$7:$G$50,SSN!A14))+(COUNTIF(KIFAITOUT!$G$7:$G$50,SSN!A14))+(COUNTIF('LUXE DRIVE'!$G$7:$G$50,SSN!A14))+(COUNTIF(SSN!$G$7:$G$50,SSN!A14))+(COUNTIF('W3'!$G$7:$G$50,SSN!A14))+(COUNTIF('ATHIS MONS'!$G$7:$G$50,SSN!A14))+(COUNTIF('L HAY LES ROSES'!$G$7:$G$50,SSN!A14))+(COUNTIF(RUNGIS!$G$7:$G$50,SSN!A14))+(COUNTIF(SCEAUX!$G$7:$G$50,SSN!A14))+(COUNTIF('INSTANCE C1'!$G$7:$G$50,SSN!A14))+(COUNTIF('INSTANCE C2'!$G$7:$G$50,SSN!A14))+(COUNTIF(INTERNES!$G$7:$G$50,SSN!A14))+(COUNTIF('EN PANNE'!$G$7:$G$50,SSN!A14))+(COUNTIF(TJM!$A$7:$A$50,SSN!A14))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EXPRESS'!$G$7:$G$50,SSN!G14))+(COUNTIF('2 ZT'!$G$7:$G$50,SSN!G14))+(COUNTIF('GO TRANSPORT'!$G$7:$G$50,SSN!G14))+(COUNTIF('HMZ - KAIS'!$G$7:$G$50,SSN!G14))+(COUNTIF('IB TRANSPORT'!$G$7:$G$50,SSN!G14))+(COUNTIF(JSL!$G$7:$G$50,SSN!G14))+(COUNTIF(KIFAITOUT!$G$7:$G$50,SSN!G14))+(COUNTIF('LUXE DRIVE'!$G$7:$G$50,SSN!G14))+(COUNTIF(SSN!$G$7:$G$50,SSN!G14))+(COUNTIF('W3'!$G$7:$G$50,SSN!G14))+(COUNTIF('ATHIS MONS'!$G$7:$G$50,SSN!G14))+(COUNTIF('L HAY LES ROSES'!$G$7:$G$50,SSN!G14))+(COUNTIF(RUNGIS!$G$7:$G$50,SSN!G14))+(COUNTIF(SCEAUX!$G$7:$G$50,SSN!G14))+(COUNTIF('INSTANCE C1'!$G$7:$G$50,SSN!G14))+(COUNTIF('INSTANCE C2'!$G$7:$G$50,SSN!G14))+(COUNTIF(INTERNES!$G$7:$G$50,SSN!G14))+(COUNTIF('EN PANNE'!$G$7:$G$50,SSN!G14))+(COUNTIF(TJM!$G$7:$G$50,SSN!G14))-I14</f>
        <v>0</v>
      </c>
      <c r="I14" s="23">
        <f>(COUNTIF('2S EXPRESS'!$A$7:$A$50,SSN!G14))+(COUNTIF('2 ZT'!$A$7:$A$50,SSN!G14))+(COUNTIF('GO TRANSPORT'!$A$7:$A$50,SSN!G14))+(COUNTIF('HMZ - KAIS'!$A$7:$A$50,SSN!G14))+(COUNTIF('IB TRANSPORT'!$A$7:$A$50,SSN!G14))+(COUNTIF(JSL!$A$7:$A$50,SSN!G14))+(COUNTIF(KIFAITOUT!$A$7:$A$50,SSN!G14))+(COUNTIF('LUXE DRIVE'!$A$7:$A$50,SSN!G14))+(COUNTIF(SSN!$A$7:$A$50,SSN!G14))+(COUNTIF('W3'!$A$7:$A$50,SSN!G14))+(COUNTIF('ATHIS MONS'!$A$7:$A$50,SSN!G14))+(COUNTIF('L HAY LES ROSES'!$A$7:$A$50,SSN!G14))+(COUNTIF(RUNGIS!$A$7:$A$50,SSN!G14))+(COUNTIF(SCEAUX!$A$7:$A$50,SSN!G14))+(COUNTIF('INSTANCE C1'!$A$7:$A$50,SSN!G14))+(COUNTIF('INSTANCE C2'!$A$7:$A$50,SSN!G14))+(COUNTIF(INTERNES!$A$7:$A$50,SSN!G14))+(COUNTIF('EN PANNE'!$A$7:$A$50,SSN!G14))+(COUNTIF(TJM!$A$7:$A$50,SSN!G14))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S14" s="60">
        <f t="shared" si="1"/>
        <v>0</v>
      </c>
      <c r="T14" s="67">
        <f t="shared" si="2"/>
        <v>0</v>
      </c>
    </row>
    <row r="15" spans="1:26" ht="24.95" customHeight="1" x14ac:dyDescent="0.2">
      <c r="A15" s="20"/>
      <c r="B15" s="23">
        <f>(COUNTIF('2S EXPRESS'!$A$7:$A$50,SSN!A15))+(COUNTIF('2 ZT'!$A$7:$A$50,SSN!A15))+(COUNTIF('GO TRANSPORT'!$A$7:$A$50,SSN!A15))+(COUNTIF('HMZ - KAIS'!$A$7:$A$50,SSN!A15))+(COUNTIF('IB TRANSPORT'!$A$7:$A$50,SSN!A15))+(COUNTIF(JSL!$A$7:$A$50,SSN!A15))+(COUNTIF(KIFAITOUT!$A$7:$A$50,SSN!A15))+(COUNTIF('LUXE DRIVE'!$A$7:$A$50,SSN!A15))+(COUNTIF(SSN!$A$7:$A$50,SSN!A15))+(COUNTIF('W3'!$A$7:$A$50,SSN!A15))+(COUNTIF('ATHIS MONS'!$A$7:$A$50,SSN!A15))+(COUNTIF('L HAY LES ROSES'!$A$7:$A$50,SSN!A15))+(COUNTIF(RUNGIS!$A$7:$A$50,SSN!A15))+(COUNTIF(SCEAUX!$A$7:$A$50,SSN!A15))+(COUNTIF('INSTANCE C1'!$A$7:$A$50,SSN!A15))+(COUNTIF('INSTANCE C2'!$A$7:$A$50,SSN!A15))+(COUNTIF(INTERNES!$A$7:$A$50,SSN!A15))+(COUNTIF('EN PANNE'!$A$7:$A$50,SSN!A15))+(COUNTIF(TJM!$A$7:$A$50,SSN!A15))-C15</f>
        <v>0</v>
      </c>
      <c r="C15" s="23">
        <f>(COUNTIF('2S EXPRESS'!$G$7:$G$50,SSN!A15))+(COUNTIF('2 ZT'!$G$7:$G$50,SSN!A15))+(COUNTIF('GO TRANSPORT'!$G$7:$G$50,SSN!A15))+(COUNTIF(SSN!$G$7:$G$50,SSN!A15))+(COUNTIF('IB TRANSPORT'!$G$7:$G$50,SSN!A15))+(COUNTIF(JSL!$G$7:$G$50,SSN!A15))+(COUNTIF(KIFAITOUT!$G$7:$G$50,SSN!A15))+(COUNTIF('LUXE DRIVE'!$G$7:$G$50,SSN!A15))+(COUNTIF(SSN!$G$7:$G$50,SSN!A15))+(COUNTIF('W3'!$G$7:$G$50,SSN!A15))+(COUNTIF('ATHIS MONS'!$G$7:$G$50,SSN!A15))+(COUNTIF('L HAY LES ROSES'!$G$7:$G$50,SSN!A15))+(COUNTIF(RUNGIS!$G$7:$G$50,SSN!A15))+(COUNTIF(SCEAUX!$G$7:$G$50,SSN!A15))+(COUNTIF('INSTANCE C1'!$G$7:$G$50,SSN!A15))+(COUNTIF('INSTANCE C2'!$G$7:$G$50,SSN!A15))+(COUNTIF(INTERNES!$G$7:$G$50,SSN!A15))+(COUNTIF('EN PANNE'!$G$7:$G$50,SSN!A15))+(COUNTIF(TJM!$A$7:$A$50,SSN!A15))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EXPRESS'!$G$7:$G$50,SSN!G15))+(COUNTIF('2 ZT'!$G$7:$G$50,SSN!G15))+(COUNTIF('GO TRANSPORT'!$G$7:$G$50,SSN!G15))+(COUNTIF('HMZ - KAIS'!$G$7:$G$50,SSN!G15))+(COUNTIF('IB TRANSPORT'!$G$7:$G$50,SSN!G15))+(COUNTIF(JSL!$G$7:$G$50,SSN!G15))+(COUNTIF(KIFAITOUT!$G$7:$G$50,SSN!G15))+(COUNTIF('LUXE DRIVE'!$G$7:$G$50,SSN!G15))+(COUNTIF(SSN!$G$7:$G$50,SSN!G15))+(COUNTIF('W3'!$G$7:$G$50,SSN!G15))+(COUNTIF('ATHIS MONS'!$G$7:$G$50,SSN!G15))+(COUNTIF('L HAY LES ROSES'!$G$7:$G$50,SSN!G15))+(COUNTIF(RUNGIS!$G$7:$G$50,SSN!G15))+(COUNTIF(SCEAUX!$G$7:$G$50,SSN!G15))+(COUNTIF('INSTANCE C1'!$G$7:$G$50,SSN!G15))+(COUNTIF('INSTANCE C2'!$G$7:$G$50,SSN!G15))+(COUNTIF(INTERNES!$G$7:$G$50,SSN!G15))+(COUNTIF('EN PANNE'!$G$7:$G$50,SSN!G15))+(COUNTIF(TJM!$G$7:$G$50,SSN!G15))-I15</f>
        <v>0</v>
      </c>
      <c r="I15" s="23">
        <f>(COUNTIF('2S EXPRESS'!$A$7:$A$50,SSN!G15))+(COUNTIF('2 ZT'!$A$7:$A$50,SSN!G15))+(COUNTIF('GO TRANSPORT'!$A$7:$A$50,SSN!G15))+(COUNTIF('HMZ - KAIS'!$A$7:$A$50,SSN!G15))+(COUNTIF('IB TRANSPORT'!$A$7:$A$50,SSN!G15))+(COUNTIF(JSL!$A$7:$A$50,SSN!G15))+(COUNTIF(KIFAITOUT!$A$7:$A$50,SSN!G15))+(COUNTIF('LUXE DRIVE'!$A$7:$A$50,SSN!G15))+(COUNTIF(SSN!$A$7:$A$50,SSN!G15))+(COUNTIF('W3'!$A$7:$A$50,SSN!G15))+(COUNTIF('ATHIS MONS'!$A$7:$A$50,SSN!G15))+(COUNTIF('L HAY LES ROSES'!$A$7:$A$50,SSN!G15))+(COUNTIF(RUNGIS!$A$7:$A$50,SSN!G15))+(COUNTIF(SCEAUX!$A$7:$A$50,SSN!G15))+(COUNTIF('INSTANCE C1'!$A$7:$A$50,SSN!G15))+(COUNTIF('INSTANCE C2'!$A$7:$A$50,SSN!G15))+(COUNTIF(INTERNES!$A$7:$A$50,SSN!G15))+(COUNTIF('EN PANNE'!$A$7:$A$50,SSN!G15))+(COUNTIF(TJM!$A$7:$A$50,SSN!G15))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S15" s="60">
        <f t="shared" si="1"/>
        <v>0</v>
      </c>
      <c r="T15" s="67">
        <f t="shared" si="2"/>
        <v>0</v>
      </c>
    </row>
    <row r="16" spans="1:26" ht="24.95" customHeight="1" x14ac:dyDescent="0.2">
      <c r="A16" s="20"/>
      <c r="B16" s="23">
        <f>(COUNTIF('2S EXPRESS'!$A$7:$A$50,SSN!A16))+(COUNTIF('2 ZT'!$A$7:$A$50,SSN!A16))+(COUNTIF('GO TRANSPORT'!$A$7:$A$50,SSN!A16))+(COUNTIF('HMZ - KAIS'!$A$7:$A$50,SSN!A16))+(COUNTIF('IB TRANSPORT'!$A$7:$A$50,SSN!A16))+(COUNTIF(JSL!$A$7:$A$50,SSN!A16))+(COUNTIF(KIFAITOUT!$A$7:$A$50,SSN!A16))+(COUNTIF('LUXE DRIVE'!$A$7:$A$50,SSN!A16))+(COUNTIF(SSN!$A$7:$A$50,SSN!A16))+(COUNTIF('W3'!$A$7:$A$50,SSN!A16))+(COUNTIF('ATHIS MONS'!$A$7:$A$50,SSN!A16))+(COUNTIF('L HAY LES ROSES'!$A$7:$A$50,SSN!A16))+(COUNTIF(RUNGIS!$A$7:$A$50,SSN!A16))+(COUNTIF(SCEAUX!$A$7:$A$50,SSN!A16))+(COUNTIF('INSTANCE C1'!$A$7:$A$50,SSN!A16))+(COUNTIF('INSTANCE C2'!$A$7:$A$50,SSN!A16))+(COUNTIF(INTERNES!$A$7:$A$50,SSN!A16))+(COUNTIF('EN PANNE'!$A$7:$A$50,SSN!A16))+(COUNTIF(TJM!$A$7:$A$50,SSN!A16))-C16</f>
        <v>0</v>
      </c>
      <c r="C16" s="23">
        <f>(COUNTIF('2S EXPRESS'!$G$7:$G$50,SSN!A16))+(COUNTIF('2 ZT'!$G$7:$G$50,SSN!A16))+(COUNTIF('GO TRANSPORT'!$G$7:$G$50,SSN!A16))+(COUNTIF(SSN!$G$7:$G$50,SSN!A16))+(COUNTIF('IB TRANSPORT'!$G$7:$G$50,SSN!A16))+(COUNTIF(JSL!$G$7:$G$50,SSN!A16))+(COUNTIF(KIFAITOUT!$G$7:$G$50,SSN!A16))+(COUNTIF('LUXE DRIVE'!$G$7:$G$50,SSN!A16))+(COUNTIF(SSN!$G$7:$G$50,SSN!A16))+(COUNTIF('W3'!$G$7:$G$50,SSN!A16))+(COUNTIF('ATHIS MONS'!$G$7:$G$50,SSN!A16))+(COUNTIF('L HAY LES ROSES'!$G$7:$G$50,SSN!A16))+(COUNTIF(RUNGIS!$G$7:$G$50,SSN!A16))+(COUNTIF(SCEAUX!$G$7:$G$50,SSN!A16))+(COUNTIF('INSTANCE C1'!$G$7:$G$50,SSN!A16))+(COUNTIF('INSTANCE C2'!$G$7:$G$50,SSN!A16))+(COUNTIF(INTERNES!$G$7:$G$50,SSN!A16))+(COUNTIF('EN PANNE'!$G$7:$G$50,SSN!A16))+(COUNTIF(TJM!$A$7:$A$50,SSN!A16))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EXPRESS'!$G$7:$G$50,SSN!G16))+(COUNTIF('2 ZT'!$G$7:$G$50,SSN!G16))+(COUNTIF('GO TRANSPORT'!$G$7:$G$50,SSN!G16))+(COUNTIF('HMZ - KAIS'!$G$7:$G$50,SSN!G16))+(COUNTIF('IB TRANSPORT'!$G$7:$G$50,SSN!G16))+(COUNTIF(JSL!$G$7:$G$50,SSN!G16))+(COUNTIF(KIFAITOUT!$G$7:$G$50,SSN!G16))+(COUNTIF('LUXE DRIVE'!$G$7:$G$50,SSN!G16))+(COUNTIF(SSN!$G$7:$G$50,SSN!G16))+(COUNTIF('W3'!$G$7:$G$50,SSN!G16))+(COUNTIF('ATHIS MONS'!$G$7:$G$50,SSN!G16))+(COUNTIF('L HAY LES ROSES'!$G$7:$G$50,SSN!G16))+(COUNTIF(RUNGIS!$G$7:$G$50,SSN!G16))+(COUNTIF(SCEAUX!$G$7:$G$50,SSN!G16))+(COUNTIF('INSTANCE C1'!$G$7:$G$50,SSN!G16))+(COUNTIF('INSTANCE C2'!$G$7:$G$50,SSN!G16))+(COUNTIF(INTERNES!$G$7:$G$50,SSN!G16))+(COUNTIF('EN PANNE'!$G$7:$G$50,SSN!G16))+(COUNTIF(TJM!$G$7:$G$50,SSN!G16))-I16</f>
        <v>0</v>
      </c>
      <c r="I16" s="23">
        <f>(COUNTIF('2S EXPRESS'!$A$7:$A$50,SSN!G16))+(COUNTIF('2 ZT'!$A$7:$A$50,SSN!G16))+(COUNTIF('GO TRANSPORT'!$A$7:$A$50,SSN!G16))+(COUNTIF('HMZ - KAIS'!$A$7:$A$50,SSN!G16))+(COUNTIF('IB TRANSPORT'!$A$7:$A$50,SSN!G16))+(COUNTIF(JSL!$A$7:$A$50,SSN!G16))+(COUNTIF(KIFAITOUT!$A$7:$A$50,SSN!G16))+(COUNTIF('LUXE DRIVE'!$A$7:$A$50,SSN!G16))+(COUNTIF(SSN!$A$7:$A$50,SSN!G16))+(COUNTIF('W3'!$A$7:$A$50,SSN!G16))+(COUNTIF('ATHIS MONS'!$A$7:$A$50,SSN!G16))+(COUNTIF('L HAY LES ROSES'!$A$7:$A$50,SSN!G16))+(COUNTIF(RUNGIS!$A$7:$A$50,SSN!G16))+(COUNTIF(SCEAUX!$A$7:$A$50,SSN!G16))+(COUNTIF('INSTANCE C1'!$A$7:$A$50,SSN!G16))+(COUNTIF('INSTANCE C2'!$A$7:$A$50,SSN!G16))+(COUNTIF(INTERNES!$A$7:$A$50,SSN!G16))+(COUNTIF('EN PANNE'!$A$7:$A$50,SSN!G16))+(COUNTIF(TJM!$A$7:$A$50,SSN!G16))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S16" s="60">
        <f t="shared" si="1"/>
        <v>0</v>
      </c>
      <c r="T16" s="67">
        <f t="shared" si="2"/>
        <v>0</v>
      </c>
    </row>
    <row r="17" spans="1:20" ht="24.95" customHeight="1" x14ac:dyDescent="0.2">
      <c r="A17" s="20"/>
      <c r="B17" s="23">
        <f>(COUNTIF('2S EXPRESS'!$A$7:$A$50,SSN!A17))+(COUNTIF('2 ZT'!$A$7:$A$50,SSN!A17))+(COUNTIF('GO TRANSPORT'!$A$7:$A$50,SSN!A17))+(COUNTIF('HMZ - KAIS'!$A$7:$A$50,SSN!A17))+(COUNTIF('IB TRANSPORT'!$A$7:$A$50,SSN!A17))+(COUNTIF(JSL!$A$7:$A$50,SSN!A17))+(COUNTIF(KIFAITOUT!$A$7:$A$50,SSN!A17))+(COUNTIF('LUXE DRIVE'!$A$7:$A$50,SSN!A17))+(COUNTIF(SSN!$A$7:$A$50,SSN!A17))+(COUNTIF('W3'!$A$7:$A$50,SSN!A17))+(COUNTIF('ATHIS MONS'!$A$7:$A$50,SSN!A17))+(COUNTIF('L HAY LES ROSES'!$A$7:$A$50,SSN!A17))+(COUNTIF(RUNGIS!$A$7:$A$50,SSN!A17))+(COUNTIF(SCEAUX!$A$7:$A$50,SSN!A17))+(COUNTIF('INSTANCE C1'!$A$7:$A$50,SSN!A17))+(COUNTIF('INSTANCE C2'!$A$7:$A$50,SSN!A17))+(COUNTIF(INTERNES!$A$7:$A$50,SSN!A17))+(COUNTIF('EN PANNE'!$A$7:$A$50,SSN!A17))+(COUNTIF(TJM!$A$7:$A$50,SSN!A17))-C17</f>
        <v>0</v>
      </c>
      <c r="C17" s="23">
        <f>(COUNTIF('2S EXPRESS'!$G$7:$G$50,SSN!A17))+(COUNTIF('2 ZT'!$G$7:$G$50,SSN!A17))+(COUNTIF('GO TRANSPORT'!$G$7:$G$50,SSN!A17))+(COUNTIF(SSN!$G$7:$G$50,SSN!A17))+(COUNTIF('IB TRANSPORT'!$G$7:$G$50,SSN!A17))+(COUNTIF(JSL!$G$7:$G$50,SSN!A17))+(COUNTIF(KIFAITOUT!$G$7:$G$50,SSN!A17))+(COUNTIF('LUXE DRIVE'!$G$7:$G$50,SSN!A17))+(COUNTIF(SSN!$G$7:$G$50,SSN!A17))+(COUNTIF('W3'!$G$7:$G$50,SSN!A17))+(COUNTIF('ATHIS MONS'!$G$7:$G$50,SSN!A17))+(COUNTIF('L HAY LES ROSES'!$G$7:$G$50,SSN!A17))+(COUNTIF(RUNGIS!$G$7:$G$50,SSN!A17))+(COUNTIF(SCEAUX!$G$7:$G$50,SSN!A17))+(COUNTIF('INSTANCE C1'!$G$7:$G$50,SSN!A17))+(COUNTIF('INSTANCE C2'!$G$7:$G$50,SSN!A17))+(COUNTIF(INTERNES!$G$7:$G$50,SSN!A17))+(COUNTIF('EN PANNE'!$G$7:$G$50,SSN!A17))+(COUNTIF(TJM!$A$7:$A$50,SSN!A17))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EXPRESS'!$G$7:$G$50,SSN!G17))+(COUNTIF('2 ZT'!$G$7:$G$50,SSN!G17))+(COUNTIF('GO TRANSPORT'!$G$7:$G$50,SSN!G17))+(COUNTIF('HMZ - KAIS'!$G$7:$G$50,SSN!G17))+(COUNTIF('IB TRANSPORT'!$G$7:$G$50,SSN!G17))+(COUNTIF(JSL!$G$7:$G$50,SSN!G17))+(COUNTIF(KIFAITOUT!$G$7:$G$50,SSN!G17))+(COUNTIF('LUXE DRIVE'!$G$7:$G$50,SSN!G17))+(COUNTIF(SSN!$G$7:$G$50,SSN!G17))+(COUNTIF('W3'!$G$7:$G$50,SSN!G17))+(COUNTIF('ATHIS MONS'!$G$7:$G$50,SSN!G17))+(COUNTIF('L HAY LES ROSES'!$G$7:$G$50,SSN!G17))+(COUNTIF(RUNGIS!$G$7:$G$50,SSN!G17))+(COUNTIF(SCEAUX!$G$7:$G$50,SSN!G17))+(COUNTIF('INSTANCE C1'!$G$7:$G$50,SSN!G17))+(COUNTIF('INSTANCE C2'!$G$7:$G$50,SSN!G17))+(COUNTIF(INTERNES!$G$7:$G$50,SSN!G17))+(COUNTIF('EN PANNE'!$G$7:$G$50,SSN!G17))+(COUNTIF(TJM!$G$7:$G$50,SSN!G17))-I17</f>
        <v>0</v>
      </c>
      <c r="I17" s="23">
        <f>(COUNTIF('2S EXPRESS'!$A$7:$A$50,SSN!G17))+(COUNTIF('2 ZT'!$A$7:$A$50,SSN!G17))+(COUNTIF('GO TRANSPORT'!$A$7:$A$50,SSN!G17))+(COUNTIF('HMZ - KAIS'!$A$7:$A$50,SSN!G17))+(COUNTIF('IB TRANSPORT'!$A$7:$A$50,SSN!G17))+(COUNTIF(JSL!$A$7:$A$50,SSN!G17))+(COUNTIF(KIFAITOUT!$A$7:$A$50,SSN!G17))+(COUNTIF('LUXE DRIVE'!$A$7:$A$50,SSN!G17))+(COUNTIF(SSN!$A$7:$A$50,SSN!G17))+(COUNTIF('W3'!$A$7:$A$50,SSN!G17))+(COUNTIF('ATHIS MONS'!$A$7:$A$50,SSN!G17))+(COUNTIF('L HAY LES ROSES'!$A$7:$A$50,SSN!G17))+(COUNTIF(RUNGIS!$A$7:$A$50,SSN!G17))+(COUNTIF(SCEAUX!$A$7:$A$50,SSN!G17))+(COUNTIF('INSTANCE C1'!$A$7:$A$50,SSN!G17))+(COUNTIF('INSTANCE C2'!$A$7:$A$50,SSN!G17))+(COUNTIF(INTERNES!$A$7:$A$50,SSN!G17))+(COUNTIF('EN PANNE'!$A$7:$A$50,SSN!G17))+(COUNTIF(TJM!$A$7:$A$50,SSN!G17))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S17" s="60">
        <f t="shared" si="1"/>
        <v>0</v>
      </c>
      <c r="T17" s="67">
        <f t="shared" si="2"/>
        <v>0</v>
      </c>
    </row>
    <row r="18" spans="1:20" ht="24.95" customHeight="1" x14ac:dyDescent="0.2">
      <c r="A18" s="20"/>
      <c r="B18" s="23">
        <f>(COUNTIF('2S EXPRESS'!$A$7:$A$50,SSN!A18))+(COUNTIF('2 ZT'!$A$7:$A$50,SSN!A18))+(COUNTIF('GO TRANSPORT'!$A$7:$A$50,SSN!A18))+(COUNTIF('HMZ - KAIS'!$A$7:$A$50,SSN!A18))+(COUNTIF('IB TRANSPORT'!$A$7:$A$50,SSN!A18))+(COUNTIF(JSL!$A$7:$A$50,SSN!A18))+(COUNTIF(KIFAITOUT!$A$7:$A$50,SSN!A18))+(COUNTIF('LUXE DRIVE'!$A$7:$A$50,SSN!A18))+(COUNTIF(SSN!$A$7:$A$50,SSN!A18))+(COUNTIF('W3'!$A$7:$A$50,SSN!A18))+(COUNTIF('ATHIS MONS'!$A$7:$A$50,SSN!A18))+(COUNTIF('L HAY LES ROSES'!$A$7:$A$50,SSN!A18))+(COUNTIF(RUNGIS!$A$7:$A$50,SSN!A18))+(COUNTIF(SCEAUX!$A$7:$A$50,SSN!A18))+(COUNTIF('INSTANCE C1'!$A$7:$A$50,SSN!A18))+(COUNTIF('INSTANCE C2'!$A$7:$A$50,SSN!A18))+(COUNTIF(INTERNES!$A$7:$A$50,SSN!A18))+(COUNTIF('EN PANNE'!$A$7:$A$50,SSN!A18))+(COUNTIF(TJM!$A$7:$A$50,SSN!A18))-C18</f>
        <v>0</v>
      </c>
      <c r="C18" s="23">
        <f>(COUNTIF('2S EXPRESS'!$G$7:$G$50,SSN!A18))+(COUNTIF('2 ZT'!$G$7:$G$50,SSN!A18))+(COUNTIF('GO TRANSPORT'!$G$7:$G$50,SSN!A18))+(COUNTIF(SSN!$G$7:$G$50,SSN!A18))+(COUNTIF('IB TRANSPORT'!$G$7:$G$50,SSN!A18))+(COUNTIF(JSL!$G$7:$G$50,SSN!A18))+(COUNTIF(KIFAITOUT!$G$7:$G$50,SSN!A18))+(COUNTIF('LUXE DRIVE'!$G$7:$G$50,SSN!A18))+(COUNTIF(SSN!$G$7:$G$50,SSN!A18))+(COUNTIF('W3'!$G$7:$G$50,SSN!A18))+(COUNTIF('ATHIS MONS'!$G$7:$G$50,SSN!A18))+(COUNTIF('L HAY LES ROSES'!$G$7:$G$50,SSN!A18))+(COUNTIF(RUNGIS!$G$7:$G$50,SSN!A18))+(COUNTIF(SCEAUX!$G$7:$G$50,SSN!A18))+(COUNTIF('INSTANCE C1'!$G$7:$G$50,SSN!A18))+(COUNTIF('INSTANCE C2'!$G$7:$G$50,SSN!A18))+(COUNTIF(INTERNES!$G$7:$G$50,SSN!A18))+(COUNTIF('EN PANNE'!$G$7:$G$50,SSN!A18))+(COUNTIF(TJM!$A$7:$A$50,SSN!A18))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EXPRESS'!$G$7:$G$50,SSN!G18))+(COUNTIF('2 ZT'!$G$7:$G$50,SSN!G18))+(COUNTIF('GO TRANSPORT'!$G$7:$G$50,SSN!G18))+(COUNTIF('HMZ - KAIS'!$G$7:$G$50,SSN!G18))+(COUNTIF('IB TRANSPORT'!$G$7:$G$50,SSN!G18))+(COUNTIF(JSL!$G$7:$G$50,SSN!G18))+(COUNTIF(KIFAITOUT!$G$7:$G$50,SSN!G18))+(COUNTIF('LUXE DRIVE'!$G$7:$G$50,SSN!G18))+(COUNTIF(SSN!$G$7:$G$50,SSN!G18))+(COUNTIF('W3'!$G$7:$G$50,SSN!G18))+(COUNTIF('ATHIS MONS'!$G$7:$G$50,SSN!G18))+(COUNTIF('L HAY LES ROSES'!$G$7:$G$50,SSN!G18))+(COUNTIF(RUNGIS!$G$7:$G$50,SSN!G18))+(COUNTIF(SCEAUX!$G$7:$G$50,SSN!G18))+(COUNTIF('INSTANCE C1'!$G$7:$G$50,SSN!G18))+(COUNTIF('INSTANCE C2'!$G$7:$G$50,SSN!G18))+(COUNTIF(INTERNES!$G$7:$G$50,SSN!G18))+(COUNTIF('EN PANNE'!$G$7:$G$50,SSN!G18))+(COUNTIF(TJM!$G$7:$G$50,SSN!G18))-I18</f>
        <v>0</v>
      </c>
      <c r="I18" s="23">
        <f>(COUNTIF('2S EXPRESS'!$A$7:$A$50,SSN!G18))+(COUNTIF('2 ZT'!$A$7:$A$50,SSN!G18))+(COUNTIF('GO TRANSPORT'!$A$7:$A$50,SSN!G18))+(COUNTIF('HMZ - KAIS'!$A$7:$A$50,SSN!G18))+(COUNTIF('IB TRANSPORT'!$A$7:$A$50,SSN!G18))+(COUNTIF(JSL!$A$7:$A$50,SSN!G18))+(COUNTIF(KIFAITOUT!$A$7:$A$50,SSN!G18))+(COUNTIF('LUXE DRIVE'!$A$7:$A$50,SSN!G18))+(COUNTIF(SSN!$A$7:$A$50,SSN!G18))+(COUNTIF('W3'!$A$7:$A$50,SSN!G18))+(COUNTIF('ATHIS MONS'!$A$7:$A$50,SSN!G18))+(COUNTIF('L HAY LES ROSES'!$A$7:$A$50,SSN!G18))+(COUNTIF(RUNGIS!$A$7:$A$50,SSN!G18))+(COUNTIF(SCEAUX!$A$7:$A$50,SSN!G18))+(COUNTIF('INSTANCE C1'!$A$7:$A$50,SSN!G18))+(COUNTIF('INSTANCE C2'!$A$7:$A$50,SSN!G18))+(COUNTIF(INTERNES!$A$7:$A$50,SSN!G18))+(COUNTIF('EN PANNE'!$A$7:$A$50,SSN!G18))+(COUNTIF(TJM!$A$7:$A$50,SSN!G18))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S18" s="60">
        <f t="shared" si="1"/>
        <v>0</v>
      </c>
      <c r="T18" s="67">
        <f t="shared" si="2"/>
        <v>0</v>
      </c>
    </row>
    <row r="19" spans="1:20" ht="24.95" customHeight="1" x14ac:dyDescent="0.2">
      <c r="A19" s="20"/>
      <c r="B19" s="23">
        <f>(COUNTIF('2S EXPRESS'!$A$7:$A$50,SSN!A19))+(COUNTIF('2 ZT'!$A$7:$A$50,SSN!A19))+(COUNTIF('GO TRANSPORT'!$A$7:$A$50,SSN!A19))+(COUNTIF('HMZ - KAIS'!$A$7:$A$50,SSN!A19))+(COUNTIF('IB TRANSPORT'!$A$7:$A$50,SSN!A19))+(COUNTIF(JSL!$A$7:$A$50,SSN!A19))+(COUNTIF(KIFAITOUT!$A$7:$A$50,SSN!A19))+(COUNTIF('LUXE DRIVE'!$A$7:$A$50,SSN!A19))+(COUNTIF(SSN!$A$7:$A$50,SSN!A19))+(COUNTIF('W3'!$A$7:$A$50,SSN!A19))+(COUNTIF('ATHIS MONS'!$A$7:$A$50,SSN!A19))+(COUNTIF('L HAY LES ROSES'!$A$7:$A$50,SSN!A19))+(COUNTIF(RUNGIS!$A$7:$A$50,SSN!A19))+(COUNTIF(SCEAUX!$A$7:$A$50,SSN!A19))+(COUNTIF('INSTANCE C1'!$A$7:$A$50,SSN!A19))+(COUNTIF('INSTANCE C2'!$A$7:$A$50,SSN!A19))+(COUNTIF(INTERNES!$A$7:$A$50,SSN!A19))+(COUNTIF('EN PANNE'!$A$7:$A$50,SSN!A19))+(COUNTIF(TJM!$A$7:$A$50,SSN!A19))-C19</f>
        <v>0</v>
      </c>
      <c r="C19" s="23">
        <f>(COUNTIF('2S EXPRESS'!$G$7:$G$50,SSN!A19))+(COUNTIF('2 ZT'!$G$7:$G$50,SSN!A19))+(COUNTIF('GO TRANSPORT'!$G$7:$G$50,SSN!A19))+(COUNTIF(SSN!$G$7:$G$50,SSN!A19))+(COUNTIF('IB TRANSPORT'!$G$7:$G$50,SSN!A19))+(COUNTIF(JSL!$G$7:$G$50,SSN!A19))+(COUNTIF(KIFAITOUT!$G$7:$G$50,SSN!A19))+(COUNTIF('LUXE DRIVE'!$G$7:$G$50,SSN!A19))+(COUNTIF(SSN!$G$7:$G$50,SSN!A19))+(COUNTIF('W3'!$G$7:$G$50,SSN!A19))+(COUNTIF('ATHIS MONS'!$G$7:$G$50,SSN!A19))+(COUNTIF('L HAY LES ROSES'!$G$7:$G$50,SSN!A19))+(COUNTIF(RUNGIS!$G$7:$G$50,SSN!A19))+(COUNTIF(SCEAUX!$G$7:$G$50,SSN!A19))+(COUNTIF('INSTANCE C1'!$G$7:$G$50,SSN!A19))+(COUNTIF('INSTANCE C2'!$G$7:$G$50,SSN!A19))+(COUNTIF(INTERNES!$G$7:$G$50,SSN!A19))+(COUNTIF('EN PANNE'!$G$7:$G$50,SSN!A19))+(COUNTIF(TJM!$A$7:$A$50,SSN!A19))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EXPRESS'!$G$7:$G$50,SSN!G19))+(COUNTIF('2 ZT'!$G$7:$G$50,SSN!G19))+(COUNTIF('GO TRANSPORT'!$G$7:$G$50,SSN!G19))+(COUNTIF('HMZ - KAIS'!$G$7:$G$50,SSN!G19))+(COUNTIF('IB TRANSPORT'!$G$7:$G$50,SSN!G19))+(COUNTIF(JSL!$G$7:$G$50,SSN!G19))+(COUNTIF(KIFAITOUT!$G$7:$G$50,SSN!G19))+(COUNTIF('LUXE DRIVE'!$G$7:$G$50,SSN!G19))+(COUNTIF(SSN!$G$7:$G$50,SSN!G19))+(COUNTIF('W3'!$G$7:$G$50,SSN!G19))+(COUNTIF('ATHIS MONS'!$G$7:$G$50,SSN!G19))+(COUNTIF('L HAY LES ROSES'!$G$7:$G$50,SSN!G19))+(COUNTIF(RUNGIS!$G$7:$G$50,SSN!G19))+(COUNTIF(SCEAUX!$G$7:$G$50,SSN!G19))+(COUNTIF('INSTANCE C1'!$G$7:$G$50,SSN!G19))+(COUNTIF('INSTANCE C2'!$G$7:$G$50,SSN!G19))+(COUNTIF(INTERNES!$G$7:$G$50,SSN!G19))+(COUNTIF('EN PANNE'!$G$7:$G$50,SSN!G19))+(COUNTIF(TJM!$G$7:$G$50,SSN!G19))-I19</f>
        <v>0</v>
      </c>
      <c r="I19" s="23">
        <f>(COUNTIF('2S EXPRESS'!$A$7:$A$50,SSN!G19))+(COUNTIF('2 ZT'!$A$7:$A$50,SSN!G19))+(COUNTIF('GO TRANSPORT'!$A$7:$A$50,SSN!G19))+(COUNTIF('HMZ - KAIS'!$A$7:$A$50,SSN!G19))+(COUNTIF('IB TRANSPORT'!$A$7:$A$50,SSN!G19))+(COUNTIF(JSL!$A$7:$A$50,SSN!G19))+(COUNTIF(KIFAITOUT!$A$7:$A$50,SSN!G19))+(COUNTIF('LUXE DRIVE'!$A$7:$A$50,SSN!G19))+(COUNTIF(SSN!$A$7:$A$50,SSN!G19))+(COUNTIF('W3'!$A$7:$A$50,SSN!G19))+(COUNTIF('ATHIS MONS'!$A$7:$A$50,SSN!G19))+(COUNTIF('L HAY LES ROSES'!$A$7:$A$50,SSN!G19))+(COUNTIF(RUNGIS!$A$7:$A$50,SSN!G19))+(COUNTIF(SCEAUX!$A$7:$A$50,SSN!G19))+(COUNTIF('INSTANCE C1'!$A$7:$A$50,SSN!G19))+(COUNTIF('INSTANCE C2'!$A$7:$A$50,SSN!G19))+(COUNTIF(INTERNES!$A$7:$A$50,SSN!G19))+(COUNTIF('EN PANNE'!$A$7:$A$50,SSN!G19))+(COUNTIF(TJM!$A$7:$A$50,SSN!G19))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S19" s="60">
        <f t="shared" si="1"/>
        <v>0</v>
      </c>
      <c r="T19" s="67">
        <f t="shared" si="2"/>
        <v>0</v>
      </c>
    </row>
    <row r="20" spans="1:20" ht="24.95" customHeight="1" x14ac:dyDescent="0.2">
      <c r="A20" s="20"/>
      <c r="B20" s="23">
        <f>(COUNTIF('2S EXPRESS'!$A$7:$A$50,SSN!A20))+(COUNTIF('2 ZT'!$A$7:$A$50,SSN!A20))+(COUNTIF('GO TRANSPORT'!$A$7:$A$50,SSN!A20))+(COUNTIF('HMZ - KAIS'!$A$7:$A$50,SSN!A20))+(COUNTIF('IB TRANSPORT'!$A$7:$A$50,SSN!A20))+(COUNTIF(JSL!$A$7:$A$50,SSN!A20))+(COUNTIF(KIFAITOUT!$A$7:$A$50,SSN!A20))+(COUNTIF('LUXE DRIVE'!$A$7:$A$50,SSN!A20))+(COUNTIF(SSN!$A$7:$A$50,SSN!A20))+(COUNTIF('W3'!$A$7:$A$50,SSN!A20))+(COUNTIF('ATHIS MONS'!$A$7:$A$50,SSN!A20))+(COUNTIF('L HAY LES ROSES'!$A$7:$A$50,SSN!A20))+(COUNTIF(RUNGIS!$A$7:$A$50,SSN!A20))+(COUNTIF(SCEAUX!$A$7:$A$50,SSN!A20))+(COUNTIF('INSTANCE C1'!$A$7:$A$50,SSN!A20))+(COUNTIF('INSTANCE C2'!$A$7:$A$50,SSN!A20))+(COUNTIF(INTERNES!$A$7:$A$50,SSN!A20))+(COUNTIF('EN PANNE'!$A$7:$A$50,SSN!A20))+(COUNTIF(TJM!$A$7:$A$50,SSN!A20))-C20</f>
        <v>0</v>
      </c>
      <c r="C20" s="23">
        <f>(COUNTIF('2S EXPRESS'!$G$7:$G$50,SSN!A20))+(COUNTIF('2 ZT'!$G$7:$G$50,SSN!A20))+(COUNTIF('GO TRANSPORT'!$G$7:$G$50,SSN!A20))+(COUNTIF(SSN!$G$7:$G$50,SSN!A20))+(COUNTIF('IB TRANSPORT'!$G$7:$G$50,SSN!A20))+(COUNTIF(JSL!$G$7:$G$50,SSN!A20))+(COUNTIF(KIFAITOUT!$G$7:$G$50,SSN!A20))+(COUNTIF('LUXE DRIVE'!$G$7:$G$50,SSN!A20))+(COUNTIF(SSN!$G$7:$G$50,SSN!A20))+(COUNTIF('W3'!$G$7:$G$50,SSN!A20))+(COUNTIF('ATHIS MONS'!$G$7:$G$50,SSN!A20))+(COUNTIF('L HAY LES ROSES'!$G$7:$G$50,SSN!A20))+(COUNTIF(RUNGIS!$G$7:$G$50,SSN!A20))+(COUNTIF(SCEAUX!$G$7:$G$50,SSN!A20))+(COUNTIF('INSTANCE C1'!$G$7:$G$50,SSN!A20))+(COUNTIF('INSTANCE C2'!$G$7:$G$50,SSN!A20))+(COUNTIF(INTERNES!$G$7:$G$50,SSN!A20))+(COUNTIF('EN PANNE'!$G$7:$G$50,SSN!A20))+(COUNTIF(TJM!$A$7:$A$50,SSN!A20))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EXPRESS'!$G$7:$G$50,SSN!G20))+(COUNTIF('2 ZT'!$G$7:$G$50,SSN!G20))+(COUNTIF('GO TRANSPORT'!$G$7:$G$50,SSN!G20))+(COUNTIF('HMZ - KAIS'!$G$7:$G$50,SSN!G20))+(COUNTIF('IB TRANSPORT'!$G$7:$G$50,SSN!G20))+(COUNTIF(JSL!$G$7:$G$50,SSN!G20))+(COUNTIF(KIFAITOUT!$G$7:$G$50,SSN!G20))+(COUNTIF('LUXE DRIVE'!$G$7:$G$50,SSN!G20))+(COUNTIF(SSN!$G$7:$G$50,SSN!G20))+(COUNTIF('W3'!$G$7:$G$50,SSN!G20))+(COUNTIF('ATHIS MONS'!$G$7:$G$50,SSN!G20))+(COUNTIF('L HAY LES ROSES'!$G$7:$G$50,SSN!G20))+(COUNTIF(RUNGIS!$G$7:$G$50,SSN!G20))+(COUNTIF(SCEAUX!$G$7:$G$50,SSN!G20))+(COUNTIF('INSTANCE C1'!$G$7:$G$50,SSN!G20))+(COUNTIF('INSTANCE C2'!$G$7:$G$50,SSN!G20))+(COUNTIF(INTERNES!$G$7:$G$50,SSN!G20))+(COUNTIF('EN PANNE'!$G$7:$G$50,SSN!G20))+(COUNTIF(TJM!$G$7:$G$50,SSN!G20))-I20</f>
        <v>0</v>
      </c>
      <c r="I20" s="23">
        <f>(COUNTIF('2S EXPRESS'!$A$7:$A$50,SSN!G20))+(COUNTIF('2 ZT'!$A$7:$A$50,SSN!G20))+(COUNTIF('GO TRANSPORT'!$A$7:$A$50,SSN!G20))+(COUNTIF('HMZ - KAIS'!$A$7:$A$50,SSN!G20))+(COUNTIF('IB TRANSPORT'!$A$7:$A$50,SSN!G20))+(COUNTIF(JSL!$A$7:$A$50,SSN!G20))+(COUNTIF(KIFAITOUT!$A$7:$A$50,SSN!G20))+(COUNTIF('LUXE DRIVE'!$A$7:$A$50,SSN!G20))+(COUNTIF(SSN!$A$7:$A$50,SSN!G20))+(COUNTIF('W3'!$A$7:$A$50,SSN!G20))+(COUNTIF('ATHIS MONS'!$A$7:$A$50,SSN!G20))+(COUNTIF('L HAY LES ROSES'!$A$7:$A$50,SSN!G20))+(COUNTIF(RUNGIS!$A$7:$A$50,SSN!G20))+(COUNTIF(SCEAUX!$A$7:$A$50,SSN!G20))+(COUNTIF('INSTANCE C1'!$A$7:$A$50,SSN!G20))+(COUNTIF('INSTANCE C2'!$A$7:$A$50,SSN!G20))+(COUNTIF(INTERNES!$A$7:$A$50,SSN!G20))+(COUNTIF('EN PANNE'!$A$7:$A$50,SSN!G20))+(COUNTIF(TJM!$A$7:$A$50,SSN!G20))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S20" s="60">
        <f t="shared" si="1"/>
        <v>0</v>
      </c>
      <c r="T20" s="67">
        <f t="shared" si="2"/>
        <v>0</v>
      </c>
    </row>
    <row r="21" spans="1:20" ht="24.95" customHeight="1" x14ac:dyDescent="0.2">
      <c r="A21" s="20"/>
      <c r="B21" s="23">
        <f>(COUNTIF('2S EXPRESS'!$A$7:$A$50,SSN!A21))+(COUNTIF('2 ZT'!$A$7:$A$50,SSN!A21))+(COUNTIF('GO TRANSPORT'!$A$7:$A$50,SSN!A21))+(COUNTIF('HMZ - KAIS'!$A$7:$A$50,SSN!A21))+(COUNTIF('IB TRANSPORT'!$A$7:$A$50,SSN!A21))+(COUNTIF(JSL!$A$7:$A$50,SSN!A21))+(COUNTIF(KIFAITOUT!$A$7:$A$50,SSN!A21))+(COUNTIF('LUXE DRIVE'!$A$7:$A$50,SSN!A21))+(COUNTIF(SSN!$A$7:$A$50,SSN!A21))+(COUNTIF('W3'!$A$7:$A$50,SSN!A21))+(COUNTIF('ATHIS MONS'!$A$7:$A$50,SSN!A21))+(COUNTIF('L HAY LES ROSES'!$A$7:$A$50,SSN!A21))+(COUNTIF(RUNGIS!$A$7:$A$50,SSN!A21))+(COUNTIF(SCEAUX!$A$7:$A$50,SSN!A21))+(COUNTIF('INSTANCE C1'!$A$7:$A$50,SSN!A21))+(COUNTIF('INSTANCE C2'!$A$7:$A$50,SSN!A21))+(COUNTIF(INTERNES!$A$7:$A$50,SSN!A21))+(COUNTIF('EN PANNE'!$A$7:$A$50,SSN!A21))+(COUNTIF(TJM!$A$7:$A$50,SSN!A21))-C21</f>
        <v>0</v>
      </c>
      <c r="C21" s="23">
        <f>(COUNTIF('2S EXPRESS'!$G$7:$G$50,SSN!A21))+(COUNTIF('2 ZT'!$G$7:$G$50,SSN!A21))+(COUNTIF('GO TRANSPORT'!$G$7:$G$50,SSN!A21))+(COUNTIF(SSN!$G$7:$G$50,SSN!A21))+(COUNTIF('IB TRANSPORT'!$G$7:$G$50,SSN!A21))+(COUNTIF(JSL!$G$7:$G$50,SSN!A21))+(COUNTIF(KIFAITOUT!$G$7:$G$50,SSN!A21))+(COUNTIF('LUXE DRIVE'!$G$7:$G$50,SSN!A21))+(COUNTIF(SSN!$G$7:$G$50,SSN!A21))+(COUNTIF('W3'!$G$7:$G$50,SSN!A21))+(COUNTIF('ATHIS MONS'!$G$7:$G$50,SSN!A21))+(COUNTIF('L HAY LES ROSES'!$G$7:$G$50,SSN!A21))+(COUNTIF(RUNGIS!$G$7:$G$50,SSN!A21))+(COUNTIF(SCEAUX!$G$7:$G$50,SSN!A21))+(COUNTIF('INSTANCE C1'!$G$7:$G$50,SSN!A21))+(COUNTIF('INSTANCE C2'!$G$7:$G$50,SSN!A21))+(COUNTIF(INTERNES!$G$7:$G$50,SSN!A21))+(COUNTIF('EN PANNE'!$G$7:$G$50,SSN!A21))+(COUNTIF(TJM!$A$7:$A$50,SSN!A21))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EXPRESS'!$G$7:$G$50,SSN!G21))+(COUNTIF('2 ZT'!$G$7:$G$50,SSN!G21))+(COUNTIF('GO TRANSPORT'!$G$7:$G$50,SSN!G21))+(COUNTIF('HMZ - KAIS'!$G$7:$G$50,SSN!G21))+(COUNTIF('IB TRANSPORT'!$G$7:$G$50,SSN!G21))+(COUNTIF(JSL!$G$7:$G$50,SSN!G21))+(COUNTIF(KIFAITOUT!$G$7:$G$50,SSN!G21))+(COUNTIF('LUXE DRIVE'!$G$7:$G$50,SSN!G21))+(COUNTIF(SSN!$G$7:$G$50,SSN!G21))+(COUNTIF('W3'!$G$7:$G$50,SSN!G21))+(COUNTIF('ATHIS MONS'!$G$7:$G$50,SSN!G21))+(COUNTIF('L HAY LES ROSES'!$G$7:$G$50,SSN!G21))+(COUNTIF(RUNGIS!$G$7:$G$50,SSN!G21))+(COUNTIF(SCEAUX!$G$7:$G$50,SSN!G21))+(COUNTIF('INSTANCE C1'!$G$7:$G$50,SSN!G21))+(COUNTIF('INSTANCE C2'!$G$7:$G$50,SSN!G21))+(COUNTIF(INTERNES!$G$7:$G$50,SSN!G21))+(COUNTIF('EN PANNE'!$G$7:$G$50,SSN!G21))+(COUNTIF(TJM!$G$7:$G$50,SSN!G21))-I21</f>
        <v>0</v>
      </c>
      <c r="I21" s="23">
        <f>(COUNTIF('2S EXPRESS'!$A$7:$A$50,SSN!G21))+(COUNTIF('2 ZT'!$A$7:$A$50,SSN!G21))+(COUNTIF('GO TRANSPORT'!$A$7:$A$50,SSN!G21))+(COUNTIF('HMZ - KAIS'!$A$7:$A$50,SSN!G21))+(COUNTIF('IB TRANSPORT'!$A$7:$A$50,SSN!G21))+(COUNTIF(JSL!$A$7:$A$50,SSN!G21))+(COUNTIF(KIFAITOUT!$A$7:$A$50,SSN!G21))+(COUNTIF('LUXE DRIVE'!$A$7:$A$50,SSN!G21))+(COUNTIF(SSN!$A$7:$A$50,SSN!G21))+(COUNTIF('W3'!$A$7:$A$50,SSN!G21))+(COUNTIF('ATHIS MONS'!$A$7:$A$50,SSN!G21))+(COUNTIF('L HAY LES ROSES'!$A$7:$A$50,SSN!G21))+(COUNTIF(RUNGIS!$A$7:$A$50,SSN!G21))+(COUNTIF(SCEAUX!$A$7:$A$50,SSN!G21))+(COUNTIF('INSTANCE C1'!$A$7:$A$50,SSN!G21))+(COUNTIF('INSTANCE C2'!$A$7:$A$50,SSN!G21))+(COUNTIF(INTERNES!$A$7:$A$50,SSN!G21))+(COUNTIF('EN PANNE'!$A$7:$A$50,SSN!G21))+(COUNTIF(TJM!$A$7:$A$50,SSN!G21))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S21" s="60">
        <f t="shared" si="1"/>
        <v>0</v>
      </c>
      <c r="T21" s="67">
        <f t="shared" si="2"/>
        <v>0</v>
      </c>
    </row>
    <row r="22" spans="1:20" ht="24.95" customHeight="1" x14ac:dyDescent="0.2">
      <c r="A22" s="20"/>
      <c r="B22" s="23">
        <f>(COUNTIF('2S EXPRESS'!$A$7:$A$50,SSN!A22))+(COUNTIF('2 ZT'!$A$7:$A$50,SSN!A22))+(COUNTIF('GO TRANSPORT'!$A$7:$A$50,SSN!A22))+(COUNTIF('HMZ - KAIS'!$A$7:$A$50,SSN!A22))+(COUNTIF('IB TRANSPORT'!$A$7:$A$50,SSN!A22))+(COUNTIF(JSL!$A$7:$A$50,SSN!A22))+(COUNTIF(KIFAITOUT!$A$7:$A$50,SSN!A22))+(COUNTIF('LUXE DRIVE'!$A$7:$A$50,SSN!A22))+(COUNTIF(SSN!$A$7:$A$50,SSN!A22))+(COUNTIF('W3'!$A$7:$A$50,SSN!A22))+(COUNTIF('ATHIS MONS'!$A$7:$A$50,SSN!A22))+(COUNTIF('L HAY LES ROSES'!$A$7:$A$50,SSN!A22))+(COUNTIF(RUNGIS!$A$7:$A$50,SSN!A22))+(COUNTIF(SCEAUX!$A$7:$A$50,SSN!A22))+(COUNTIF('INSTANCE C1'!$A$7:$A$50,SSN!A22))+(COUNTIF('INSTANCE C2'!$A$7:$A$50,SSN!A22))+(COUNTIF(INTERNES!$A$7:$A$50,SSN!A22))+(COUNTIF('EN PANNE'!$A$7:$A$50,SSN!A22))+(COUNTIF(TJM!$A$7:$A$50,SSN!A22))-C22</f>
        <v>0</v>
      </c>
      <c r="C22" s="23">
        <f>(COUNTIF('2S EXPRESS'!$G$7:$G$50,SSN!A22))+(COUNTIF('2 ZT'!$G$7:$G$50,SSN!A22))+(COUNTIF('GO TRANSPORT'!$G$7:$G$50,SSN!A22))+(COUNTIF(SSN!$G$7:$G$50,SSN!A22))+(COUNTIF('IB TRANSPORT'!$G$7:$G$50,SSN!A22))+(COUNTIF(JSL!$G$7:$G$50,SSN!A22))+(COUNTIF(KIFAITOUT!$G$7:$G$50,SSN!A22))+(COUNTIF('LUXE DRIVE'!$G$7:$G$50,SSN!A22))+(COUNTIF(SSN!$G$7:$G$50,SSN!A22))+(COUNTIF('W3'!$G$7:$G$50,SSN!A22))+(COUNTIF('ATHIS MONS'!$G$7:$G$50,SSN!A22))+(COUNTIF('L HAY LES ROSES'!$G$7:$G$50,SSN!A22))+(COUNTIF(RUNGIS!$G$7:$G$50,SSN!A22))+(COUNTIF(SCEAUX!$G$7:$G$50,SSN!A22))+(COUNTIF('INSTANCE C1'!$G$7:$G$50,SSN!A22))+(COUNTIF('INSTANCE C2'!$G$7:$G$50,SSN!A22))+(COUNTIF(INTERNES!$G$7:$G$50,SSN!A22))+(COUNTIF('EN PANNE'!$G$7:$G$50,SSN!A22))+(COUNTIF(TJM!$A$7:$A$50,SSN!A22))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EXPRESS'!$G$7:$G$50,SSN!G22))+(COUNTIF('2 ZT'!$G$7:$G$50,SSN!G22))+(COUNTIF('GO TRANSPORT'!$G$7:$G$50,SSN!G22))+(COUNTIF('HMZ - KAIS'!$G$7:$G$50,SSN!G22))+(COUNTIF('IB TRANSPORT'!$G$7:$G$50,SSN!G22))+(COUNTIF(JSL!$G$7:$G$50,SSN!G22))+(COUNTIF(KIFAITOUT!$G$7:$G$50,SSN!G22))+(COUNTIF('LUXE DRIVE'!$G$7:$G$50,SSN!G22))+(COUNTIF(SSN!$G$7:$G$50,SSN!G22))+(COUNTIF('W3'!$G$7:$G$50,SSN!G22))+(COUNTIF('ATHIS MONS'!$G$7:$G$50,SSN!G22))+(COUNTIF('L HAY LES ROSES'!$G$7:$G$50,SSN!G22))+(COUNTIF(RUNGIS!$G$7:$G$50,SSN!G22))+(COUNTIF(SCEAUX!$G$7:$G$50,SSN!G22))+(COUNTIF('INSTANCE C1'!$G$7:$G$50,SSN!G22))+(COUNTIF('INSTANCE C2'!$G$7:$G$50,SSN!G22))+(COUNTIF(INTERNES!$G$7:$G$50,SSN!G22))+(COUNTIF('EN PANNE'!$G$7:$G$50,SSN!G22))+(COUNTIF(TJM!$G$7:$G$50,SSN!G22))-I22</f>
        <v>0</v>
      </c>
      <c r="I22" s="23">
        <f>(COUNTIF('2S EXPRESS'!$A$7:$A$50,SSN!G22))+(COUNTIF('2 ZT'!$A$7:$A$50,SSN!G22))+(COUNTIF('GO TRANSPORT'!$A$7:$A$50,SSN!G22))+(COUNTIF('HMZ - KAIS'!$A$7:$A$50,SSN!G22))+(COUNTIF('IB TRANSPORT'!$A$7:$A$50,SSN!G22))+(COUNTIF(JSL!$A$7:$A$50,SSN!G22))+(COUNTIF(KIFAITOUT!$A$7:$A$50,SSN!G22))+(COUNTIF('LUXE DRIVE'!$A$7:$A$50,SSN!G22))+(COUNTIF(SSN!$A$7:$A$50,SSN!G22))+(COUNTIF('W3'!$A$7:$A$50,SSN!G22))+(COUNTIF('ATHIS MONS'!$A$7:$A$50,SSN!G22))+(COUNTIF('L HAY LES ROSES'!$A$7:$A$50,SSN!G22))+(COUNTIF(RUNGIS!$A$7:$A$50,SSN!G22))+(COUNTIF(SCEAUX!$A$7:$A$50,SSN!G22))+(COUNTIF('INSTANCE C1'!$A$7:$A$50,SSN!G22))+(COUNTIF('INSTANCE C2'!$A$7:$A$50,SSN!G22))+(COUNTIF(INTERNES!$A$7:$A$50,SSN!G22))+(COUNTIF('EN PANNE'!$A$7:$A$50,SSN!G22))+(COUNTIF(TJM!$A$7:$A$50,SSN!G22))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S22" s="60">
        <f t="shared" si="1"/>
        <v>0</v>
      </c>
      <c r="T22" s="67">
        <f t="shared" si="2"/>
        <v>0</v>
      </c>
    </row>
    <row r="23" spans="1:20" ht="24.95" customHeight="1" x14ac:dyDescent="0.2">
      <c r="A23" s="20"/>
      <c r="B23" s="23">
        <f>(COUNTIF('2S EXPRESS'!$A$7:$A$50,SSN!A23))+(COUNTIF('2 ZT'!$A$7:$A$50,SSN!A23))+(COUNTIF('GO TRANSPORT'!$A$7:$A$50,SSN!A23))+(COUNTIF('HMZ - KAIS'!$A$7:$A$50,SSN!A23))+(COUNTIF('IB TRANSPORT'!$A$7:$A$50,SSN!A23))+(COUNTIF(JSL!$A$7:$A$50,SSN!A23))+(COUNTIF(KIFAITOUT!$A$7:$A$50,SSN!A23))+(COUNTIF('LUXE DRIVE'!$A$7:$A$50,SSN!A23))+(COUNTIF(SSN!$A$7:$A$50,SSN!A23))+(COUNTIF('W3'!$A$7:$A$50,SSN!A23))+(COUNTIF('ATHIS MONS'!$A$7:$A$50,SSN!A23))+(COUNTIF('L HAY LES ROSES'!$A$7:$A$50,SSN!A23))+(COUNTIF(RUNGIS!$A$7:$A$50,SSN!A23))+(COUNTIF(SCEAUX!$A$7:$A$50,SSN!A23))+(COUNTIF('INSTANCE C1'!$A$7:$A$50,SSN!A23))+(COUNTIF('INSTANCE C2'!$A$7:$A$50,SSN!A23))+(COUNTIF(INTERNES!$A$7:$A$50,SSN!A23))+(COUNTIF('EN PANNE'!$A$7:$A$50,SSN!A23))+(COUNTIF(TJM!$A$7:$A$50,SSN!A23))-C23</f>
        <v>0</v>
      </c>
      <c r="C23" s="23">
        <f>(COUNTIF('2S EXPRESS'!$G$7:$G$50,SSN!A23))+(COUNTIF('2 ZT'!$G$7:$G$50,SSN!A23))+(COUNTIF('GO TRANSPORT'!$G$7:$G$50,SSN!A23))+(COUNTIF(SSN!$G$7:$G$50,SSN!A23))+(COUNTIF('IB TRANSPORT'!$G$7:$G$50,SSN!A23))+(COUNTIF(JSL!$G$7:$G$50,SSN!A23))+(COUNTIF(KIFAITOUT!$G$7:$G$50,SSN!A23))+(COUNTIF('LUXE DRIVE'!$G$7:$G$50,SSN!A23))+(COUNTIF(SSN!$G$7:$G$50,SSN!A23))+(COUNTIF('W3'!$G$7:$G$50,SSN!A23))+(COUNTIF('ATHIS MONS'!$G$7:$G$50,SSN!A23))+(COUNTIF('L HAY LES ROSES'!$G$7:$G$50,SSN!A23))+(COUNTIF(RUNGIS!$G$7:$G$50,SSN!A23))+(COUNTIF(SCEAUX!$G$7:$G$50,SSN!A23))+(COUNTIF('INSTANCE C1'!$G$7:$G$50,SSN!A23))+(COUNTIF('INSTANCE C2'!$G$7:$G$50,SSN!A23))+(COUNTIF(INTERNES!$G$7:$G$50,SSN!A23))+(COUNTIF('EN PANNE'!$G$7:$G$50,SSN!A23))+(COUNTIF(TJM!$A$7:$A$50,SSN!A23))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EXPRESS'!$G$7:$G$50,SSN!G23))+(COUNTIF('2 ZT'!$G$7:$G$50,SSN!G23))+(COUNTIF('GO TRANSPORT'!$G$7:$G$50,SSN!G23))+(COUNTIF('HMZ - KAIS'!$G$7:$G$50,SSN!G23))+(COUNTIF('IB TRANSPORT'!$G$7:$G$50,SSN!G23))+(COUNTIF(JSL!$G$7:$G$50,SSN!G23))+(COUNTIF(KIFAITOUT!$G$7:$G$50,SSN!G23))+(COUNTIF('LUXE DRIVE'!$G$7:$G$50,SSN!G23))+(COUNTIF(SSN!$G$7:$G$50,SSN!G23))+(COUNTIF('W3'!$G$7:$G$50,SSN!G23))+(COUNTIF('ATHIS MONS'!$G$7:$G$50,SSN!G23))+(COUNTIF('L HAY LES ROSES'!$G$7:$G$50,SSN!G23))+(COUNTIF(RUNGIS!$G$7:$G$50,SSN!G23))+(COUNTIF(SCEAUX!$G$7:$G$50,SSN!G23))+(COUNTIF('INSTANCE C1'!$G$7:$G$50,SSN!G23))+(COUNTIF('INSTANCE C2'!$G$7:$G$50,SSN!G23))+(COUNTIF(INTERNES!$G$7:$G$50,SSN!G23))+(COUNTIF('EN PANNE'!$G$7:$G$50,SSN!G23))+(COUNTIF(TJM!$G$7:$G$50,SSN!G23))-I23</f>
        <v>0</v>
      </c>
      <c r="I23" s="23">
        <f>(COUNTIF('2S EXPRESS'!$A$7:$A$50,SSN!G23))+(COUNTIF('2 ZT'!$A$7:$A$50,SSN!G23))+(COUNTIF('GO TRANSPORT'!$A$7:$A$50,SSN!G23))+(COUNTIF('HMZ - KAIS'!$A$7:$A$50,SSN!G23))+(COUNTIF('IB TRANSPORT'!$A$7:$A$50,SSN!G23))+(COUNTIF(JSL!$A$7:$A$50,SSN!G23))+(COUNTIF(KIFAITOUT!$A$7:$A$50,SSN!G23))+(COUNTIF('LUXE DRIVE'!$A$7:$A$50,SSN!G23))+(COUNTIF(SSN!$A$7:$A$50,SSN!G23))+(COUNTIF('W3'!$A$7:$A$50,SSN!G23))+(COUNTIF('ATHIS MONS'!$A$7:$A$50,SSN!G23))+(COUNTIF('L HAY LES ROSES'!$A$7:$A$50,SSN!G23))+(COUNTIF(RUNGIS!$A$7:$A$50,SSN!G23))+(COUNTIF(SCEAUX!$A$7:$A$50,SSN!G23))+(COUNTIF('INSTANCE C1'!$A$7:$A$50,SSN!G23))+(COUNTIF('INSTANCE C2'!$A$7:$A$50,SSN!G23))+(COUNTIF(INTERNES!$A$7:$A$50,SSN!G23))+(COUNTIF('EN PANNE'!$A$7:$A$50,SSN!G23))+(COUNTIF(TJM!$A$7:$A$50,SSN!G23))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S23" s="60">
        <f t="shared" si="1"/>
        <v>0</v>
      </c>
      <c r="T23" s="67">
        <f t="shared" si="2"/>
        <v>0</v>
      </c>
    </row>
    <row r="24" spans="1:20" ht="24.95" customHeight="1" x14ac:dyDescent="0.2">
      <c r="A24" s="20"/>
      <c r="B24" s="23">
        <f>(COUNTIF('2S EXPRESS'!$A$7:$A$50,SSN!A24))+(COUNTIF('2 ZT'!$A$7:$A$50,SSN!A24))+(COUNTIF('GO TRANSPORT'!$A$7:$A$50,SSN!A24))+(COUNTIF('HMZ - KAIS'!$A$7:$A$50,SSN!A24))+(COUNTIF('IB TRANSPORT'!$A$7:$A$50,SSN!A24))+(COUNTIF(JSL!$A$7:$A$50,SSN!A24))+(COUNTIF(KIFAITOUT!$A$7:$A$50,SSN!A24))+(COUNTIF('LUXE DRIVE'!$A$7:$A$50,SSN!A24))+(COUNTIF(SSN!$A$7:$A$50,SSN!A24))+(COUNTIF('W3'!$A$7:$A$50,SSN!A24))+(COUNTIF('ATHIS MONS'!$A$7:$A$50,SSN!A24))+(COUNTIF('L HAY LES ROSES'!$A$7:$A$50,SSN!A24))+(COUNTIF(RUNGIS!$A$7:$A$50,SSN!A24))+(COUNTIF(SCEAUX!$A$7:$A$50,SSN!A24))+(COUNTIF('INSTANCE C1'!$A$7:$A$50,SSN!A24))+(COUNTIF('INSTANCE C2'!$A$7:$A$50,SSN!A24))+(COUNTIF(INTERNES!$A$7:$A$50,SSN!A24))+(COUNTIF('EN PANNE'!$A$7:$A$50,SSN!A24))+(COUNTIF(TJM!$A$7:$A$50,SSN!A24))-C24</f>
        <v>0</v>
      </c>
      <c r="C24" s="23">
        <f>(COUNTIF('2S EXPRESS'!$G$7:$G$50,SSN!A24))+(COUNTIF('2 ZT'!$G$7:$G$50,SSN!A24))+(COUNTIF('GO TRANSPORT'!$G$7:$G$50,SSN!A24))+(COUNTIF(SSN!$G$7:$G$50,SSN!A24))+(COUNTIF('IB TRANSPORT'!$G$7:$G$50,SSN!A24))+(COUNTIF(JSL!$G$7:$G$50,SSN!A24))+(COUNTIF(KIFAITOUT!$G$7:$G$50,SSN!A24))+(COUNTIF('LUXE DRIVE'!$G$7:$G$50,SSN!A24))+(COUNTIF(SSN!$G$7:$G$50,SSN!A24))+(COUNTIF('W3'!$G$7:$G$50,SSN!A24))+(COUNTIF('ATHIS MONS'!$G$7:$G$50,SSN!A24))+(COUNTIF('L HAY LES ROSES'!$G$7:$G$50,SSN!A24))+(COUNTIF(RUNGIS!$G$7:$G$50,SSN!A24))+(COUNTIF(SCEAUX!$G$7:$G$50,SSN!A24))+(COUNTIF('INSTANCE C1'!$G$7:$G$50,SSN!A24))+(COUNTIF('INSTANCE C2'!$G$7:$G$50,SSN!A24))+(COUNTIF(INTERNES!$G$7:$G$50,SSN!A24))+(COUNTIF('EN PANNE'!$G$7:$G$50,SSN!A24))+(COUNTIF(TJM!$A$7:$A$50,SSN!A24))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EXPRESS'!$G$7:$G$50,SSN!G24))+(COUNTIF('2 ZT'!$G$7:$G$50,SSN!G24))+(COUNTIF('GO TRANSPORT'!$G$7:$G$50,SSN!G24))+(COUNTIF('HMZ - KAIS'!$G$7:$G$50,SSN!G24))+(COUNTIF('IB TRANSPORT'!$G$7:$G$50,SSN!G24))+(COUNTIF(JSL!$G$7:$G$50,SSN!G24))+(COUNTIF(KIFAITOUT!$G$7:$G$50,SSN!G24))+(COUNTIF('LUXE DRIVE'!$G$7:$G$50,SSN!G24))+(COUNTIF(SSN!$G$7:$G$50,SSN!G24))+(COUNTIF('W3'!$G$7:$G$50,SSN!G24))+(COUNTIF('ATHIS MONS'!$G$7:$G$50,SSN!G24))+(COUNTIF('L HAY LES ROSES'!$G$7:$G$50,SSN!G24))+(COUNTIF(RUNGIS!$G$7:$G$50,SSN!G24))+(COUNTIF(SCEAUX!$G$7:$G$50,SSN!G24))+(COUNTIF('INSTANCE C1'!$G$7:$G$50,SSN!G24))+(COUNTIF('INSTANCE C2'!$G$7:$G$50,SSN!G24))+(COUNTIF(INTERNES!$G$7:$G$50,SSN!G24))+(COUNTIF('EN PANNE'!$G$7:$G$50,SSN!G24))+(COUNTIF(TJM!$G$7:$G$50,SSN!G24))-I24</f>
        <v>0</v>
      </c>
      <c r="I24" s="23">
        <f>(COUNTIF('2S EXPRESS'!$A$7:$A$50,SSN!G24))+(COUNTIF('2 ZT'!$A$7:$A$50,SSN!G24))+(COUNTIF('GO TRANSPORT'!$A$7:$A$50,SSN!G24))+(COUNTIF('HMZ - KAIS'!$A$7:$A$50,SSN!G24))+(COUNTIF('IB TRANSPORT'!$A$7:$A$50,SSN!G24))+(COUNTIF(JSL!$A$7:$A$50,SSN!G24))+(COUNTIF(KIFAITOUT!$A$7:$A$50,SSN!G24))+(COUNTIF('LUXE DRIVE'!$A$7:$A$50,SSN!G24))+(COUNTIF(SSN!$A$7:$A$50,SSN!G24))+(COUNTIF('W3'!$A$7:$A$50,SSN!G24))+(COUNTIF('ATHIS MONS'!$A$7:$A$50,SSN!G24))+(COUNTIF('L HAY LES ROSES'!$A$7:$A$50,SSN!G24))+(COUNTIF(RUNGIS!$A$7:$A$50,SSN!G24))+(COUNTIF(SCEAUX!$A$7:$A$50,SSN!G24))+(COUNTIF('INSTANCE C1'!$A$7:$A$50,SSN!G24))+(COUNTIF('INSTANCE C2'!$A$7:$A$50,SSN!G24))+(COUNTIF(INTERNES!$A$7:$A$50,SSN!G24))+(COUNTIF('EN PANNE'!$A$7:$A$50,SSN!G24))+(COUNTIF(TJM!$A$7:$A$50,SSN!G24))</f>
        <v>0</v>
      </c>
      <c r="J24" s="28">
        <f t="shared" si="4"/>
        <v>0</v>
      </c>
      <c r="K24" s="2"/>
      <c r="L24" s="47"/>
      <c r="S24" s="60">
        <f t="shared" si="1"/>
        <v>0</v>
      </c>
      <c r="T24" s="67">
        <f t="shared" si="2"/>
        <v>0</v>
      </c>
    </row>
    <row r="25" spans="1:20" ht="24.95" customHeight="1" x14ac:dyDescent="0.2">
      <c r="A25" s="20"/>
      <c r="B25" s="23">
        <f>(COUNTIF('2S EXPRESS'!$A$7:$A$50,SSN!A25))+(COUNTIF('2 ZT'!$A$7:$A$50,SSN!A25))+(COUNTIF('GO TRANSPORT'!$A$7:$A$50,SSN!A25))+(COUNTIF('HMZ - KAIS'!$A$7:$A$50,SSN!A25))+(COUNTIF('IB TRANSPORT'!$A$7:$A$50,SSN!A25))+(COUNTIF(JSL!$A$7:$A$50,SSN!A25))+(COUNTIF(KIFAITOUT!$A$7:$A$50,SSN!A25))+(COUNTIF('LUXE DRIVE'!$A$7:$A$50,SSN!A25))+(COUNTIF(SSN!$A$7:$A$50,SSN!A25))+(COUNTIF('W3'!$A$7:$A$50,SSN!A25))+(COUNTIF('ATHIS MONS'!$A$7:$A$50,SSN!A25))+(COUNTIF('L HAY LES ROSES'!$A$7:$A$50,SSN!A25))+(COUNTIF(RUNGIS!$A$7:$A$50,SSN!A25))+(COUNTIF(SCEAUX!$A$7:$A$50,SSN!A25))+(COUNTIF('INSTANCE C1'!$A$7:$A$50,SSN!A25))+(COUNTIF('INSTANCE C2'!$A$7:$A$50,SSN!A25))+(COUNTIF(INTERNES!$A$7:$A$50,SSN!A25))+(COUNTIF('EN PANNE'!$A$7:$A$50,SSN!A25))+(COUNTIF(TJM!$A$7:$A$50,SSN!A25))-C25</f>
        <v>0</v>
      </c>
      <c r="C25" s="23">
        <f>(COUNTIF('2S EXPRESS'!$G$7:$G$50,SSN!A25))+(COUNTIF('2 ZT'!$G$7:$G$50,SSN!A25))+(COUNTIF('GO TRANSPORT'!$G$7:$G$50,SSN!A25))+(COUNTIF(SSN!$G$7:$G$50,SSN!A25))+(COUNTIF('IB TRANSPORT'!$G$7:$G$50,SSN!A25))+(COUNTIF(JSL!$G$7:$G$50,SSN!A25))+(COUNTIF(KIFAITOUT!$G$7:$G$50,SSN!A25))+(COUNTIF('LUXE DRIVE'!$G$7:$G$50,SSN!A25))+(COUNTIF(SSN!$G$7:$G$50,SSN!A25))+(COUNTIF('W3'!$G$7:$G$50,SSN!A25))+(COUNTIF('ATHIS MONS'!$G$7:$G$50,SSN!A25))+(COUNTIF('L HAY LES ROSES'!$G$7:$G$50,SSN!A25))+(COUNTIF(RUNGIS!$G$7:$G$50,SSN!A25))+(COUNTIF(SCEAUX!$G$7:$G$50,SSN!A25))+(COUNTIF('INSTANCE C1'!$G$7:$G$50,SSN!A25))+(COUNTIF('INSTANCE C2'!$G$7:$G$50,SSN!A25))+(COUNTIF(INTERNES!$G$7:$G$50,SSN!A25))+(COUNTIF('EN PANNE'!$G$7:$G$50,SSN!A25))+(COUNTIF(TJM!$A$7:$A$50,SSN!A25))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EXPRESS'!$G$7:$G$50,SSN!G25))+(COUNTIF('2 ZT'!$G$7:$G$50,SSN!G25))+(COUNTIF('GO TRANSPORT'!$G$7:$G$50,SSN!G25))+(COUNTIF('HMZ - KAIS'!$G$7:$G$50,SSN!G25))+(COUNTIF('IB TRANSPORT'!$G$7:$G$50,SSN!G25))+(COUNTIF(JSL!$G$7:$G$50,SSN!G25))+(COUNTIF(KIFAITOUT!$G$7:$G$50,SSN!G25))+(COUNTIF('LUXE DRIVE'!$G$7:$G$50,SSN!G25))+(COUNTIF(SSN!$G$7:$G$50,SSN!G25))+(COUNTIF('W3'!$G$7:$G$50,SSN!G25))+(COUNTIF('ATHIS MONS'!$G$7:$G$50,SSN!G25))+(COUNTIF('L HAY LES ROSES'!$G$7:$G$50,SSN!G25))+(COUNTIF(RUNGIS!$G$7:$G$50,SSN!G25))+(COUNTIF(SCEAUX!$G$7:$G$50,SSN!G25))+(COUNTIF('INSTANCE C1'!$G$7:$G$50,SSN!G25))+(COUNTIF('INSTANCE C2'!$G$7:$G$50,SSN!G25))+(COUNTIF(INTERNES!$G$7:$G$50,SSN!G25))+(COUNTIF('EN PANNE'!$G$7:$G$50,SSN!G25))+(COUNTIF(TJM!$G$7:$G$50,SSN!G25))-I25</f>
        <v>0</v>
      </c>
      <c r="I25" s="23">
        <f>(COUNTIF('2S EXPRESS'!$A$7:$A$50,SSN!G25))+(COUNTIF('2 ZT'!$A$7:$A$50,SSN!G25))+(COUNTIF('GO TRANSPORT'!$A$7:$A$50,SSN!G25))+(COUNTIF('HMZ - KAIS'!$A$7:$A$50,SSN!G25))+(COUNTIF('IB TRANSPORT'!$A$7:$A$50,SSN!G25))+(COUNTIF(JSL!$A$7:$A$50,SSN!G25))+(COUNTIF(KIFAITOUT!$A$7:$A$50,SSN!G25))+(COUNTIF('LUXE DRIVE'!$A$7:$A$50,SSN!G25))+(COUNTIF(SSN!$A$7:$A$50,SSN!G25))+(COUNTIF('W3'!$A$7:$A$50,SSN!G25))+(COUNTIF('ATHIS MONS'!$A$7:$A$50,SSN!G25))+(COUNTIF('L HAY LES ROSES'!$A$7:$A$50,SSN!G25))+(COUNTIF(RUNGIS!$A$7:$A$50,SSN!G25))+(COUNTIF(SCEAUX!$A$7:$A$50,SSN!G25))+(COUNTIF('INSTANCE C1'!$A$7:$A$50,SSN!G25))+(COUNTIF('INSTANCE C2'!$A$7:$A$50,SSN!G25))+(COUNTIF(INTERNES!$A$7:$A$50,SSN!G25))+(COUNTIF('EN PANNE'!$A$7:$A$50,SSN!G25))+(COUNTIF(TJM!$A$7:$A$50,SSN!G25))</f>
        <v>0</v>
      </c>
      <c r="J25" s="28">
        <f t="shared" si="4"/>
        <v>0</v>
      </c>
      <c r="K25" s="2"/>
      <c r="L25" s="47"/>
      <c r="S25" s="60">
        <f t="shared" si="1"/>
        <v>0</v>
      </c>
      <c r="T25" s="67">
        <f t="shared" si="2"/>
        <v>0</v>
      </c>
    </row>
    <row r="26" spans="1:20" ht="24.95" customHeight="1" x14ac:dyDescent="0.2">
      <c r="A26" s="20"/>
      <c r="B26" s="23">
        <f>(COUNTIF('2S EXPRESS'!$A$7:$A$50,SSN!A26))+(COUNTIF('2 ZT'!$A$7:$A$50,SSN!A26))+(COUNTIF('GO TRANSPORT'!$A$7:$A$50,SSN!A26))+(COUNTIF('HMZ - KAIS'!$A$7:$A$50,SSN!A26))+(COUNTIF('IB TRANSPORT'!$A$7:$A$50,SSN!A26))+(COUNTIF(JSL!$A$7:$A$50,SSN!A26))+(COUNTIF(KIFAITOUT!$A$7:$A$50,SSN!A26))+(COUNTIF('LUXE DRIVE'!$A$7:$A$50,SSN!A26))+(COUNTIF(SSN!$A$7:$A$50,SSN!A26))+(COUNTIF('W3'!$A$7:$A$50,SSN!A26))+(COUNTIF('ATHIS MONS'!$A$7:$A$50,SSN!A26))+(COUNTIF('L HAY LES ROSES'!$A$7:$A$50,SSN!A26))+(COUNTIF(RUNGIS!$A$7:$A$50,SSN!A26))+(COUNTIF(SCEAUX!$A$7:$A$50,SSN!A26))+(COUNTIF('INSTANCE C1'!$A$7:$A$50,SSN!A26))+(COUNTIF('INSTANCE C2'!$A$7:$A$50,SSN!A26))+(COUNTIF(INTERNES!$A$7:$A$50,SSN!A26))+(COUNTIF('EN PANNE'!$A$7:$A$50,SSN!A26))+(COUNTIF(TJM!$A$7:$A$50,SSN!A26))-C26</f>
        <v>0</v>
      </c>
      <c r="C26" s="23">
        <f>(COUNTIF('2S EXPRESS'!$G$7:$G$50,SSN!A26))+(COUNTIF('2 ZT'!$G$7:$G$50,SSN!A26))+(COUNTIF('GO TRANSPORT'!$G$7:$G$50,SSN!A26))+(COUNTIF(SSN!$G$7:$G$50,SSN!A26))+(COUNTIF('IB TRANSPORT'!$G$7:$G$50,SSN!A26))+(COUNTIF(JSL!$G$7:$G$50,SSN!A26))+(COUNTIF(KIFAITOUT!$G$7:$G$50,SSN!A26))+(COUNTIF('LUXE DRIVE'!$G$7:$G$50,SSN!A26))+(COUNTIF(SSN!$G$7:$G$50,SSN!A26))+(COUNTIF('W3'!$G$7:$G$50,SSN!A26))+(COUNTIF('ATHIS MONS'!$G$7:$G$50,SSN!A26))+(COUNTIF('L HAY LES ROSES'!$G$7:$G$50,SSN!A26))+(COUNTIF(RUNGIS!$G$7:$G$50,SSN!A26))+(COUNTIF(SCEAUX!$G$7:$G$50,SSN!A26))+(COUNTIF('INSTANCE C1'!$G$7:$G$50,SSN!A26))+(COUNTIF('INSTANCE C2'!$G$7:$G$50,SSN!A26))+(COUNTIF(INTERNES!$G$7:$G$50,SSN!A26))+(COUNTIF('EN PANNE'!$G$7:$G$50,SSN!A26))+(COUNTIF(TJM!$A$7:$A$50,SSN!A26))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EXPRESS'!$G$7:$G$50,SSN!G26))+(COUNTIF('2 ZT'!$G$7:$G$50,SSN!G26))+(COUNTIF('GO TRANSPORT'!$G$7:$G$50,SSN!G26))+(COUNTIF('HMZ - KAIS'!$G$7:$G$50,SSN!G26))+(COUNTIF('IB TRANSPORT'!$G$7:$G$50,SSN!G26))+(COUNTIF(JSL!$G$7:$G$50,SSN!G26))+(COUNTIF(KIFAITOUT!$G$7:$G$50,SSN!G26))+(COUNTIF('LUXE DRIVE'!$G$7:$G$50,SSN!G26))+(COUNTIF(SSN!$G$7:$G$50,SSN!G26))+(COUNTIF('W3'!$G$7:$G$50,SSN!G26))+(COUNTIF('ATHIS MONS'!$G$7:$G$50,SSN!G26))+(COUNTIF('L HAY LES ROSES'!$G$7:$G$50,SSN!G26))+(COUNTIF(RUNGIS!$G$7:$G$50,SSN!G26))+(COUNTIF(SCEAUX!$G$7:$G$50,SSN!G26))+(COUNTIF('INSTANCE C1'!$G$7:$G$50,SSN!G26))+(COUNTIF('INSTANCE C2'!$G$7:$G$50,SSN!G26))+(COUNTIF(INTERNES!$G$7:$G$50,SSN!G26))+(COUNTIF('EN PANNE'!$G$7:$G$50,SSN!G26))+(COUNTIF(TJM!$G$7:$G$50,SSN!G26))-I26</f>
        <v>0</v>
      </c>
      <c r="I26" s="23">
        <f>(COUNTIF('2S EXPRESS'!$A$7:$A$50,SSN!G26))+(COUNTIF('2 ZT'!$A$7:$A$50,SSN!G26))+(COUNTIF('GO TRANSPORT'!$A$7:$A$50,SSN!G26))+(COUNTIF('HMZ - KAIS'!$A$7:$A$50,SSN!G26))+(COUNTIF('IB TRANSPORT'!$A$7:$A$50,SSN!G26))+(COUNTIF(JSL!$A$7:$A$50,SSN!G26))+(COUNTIF(KIFAITOUT!$A$7:$A$50,SSN!G26))+(COUNTIF('LUXE DRIVE'!$A$7:$A$50,SSN!G26))+(COUNTIF(SSN!$A$7:$A$50,SSN!G26))+(COUNTIF('W3'!$A$7:$A$50,SSN!G26))+(COUNTIF('ATHIS MONS'!$A$7:$A$50,SSN!G26))+(COUNTIF('L HAY LES ROSES'!$A$7:$A$50,SSN!G26))+(COUNTIF(RUNGIS!$A$7:$A$50,SSN!G26))+(COUNTIF(SCEAUX!$A$7:$A$50,SSN!G26))+(COUNTIF('INSTANCE C1'!$A$7:$A$50,SSN!G26))+(COUNTIF('INSTANCE C2'!$A$7:$A$50,SSN!G26))+(COUNTIF(INTERNES!$A$7:$A$50,SSN!G26))+(COUNTIF('EN PANNE'!$A$7:$A$50,SSN!G26))+(COUNTIF(TJM!$A$7:$A$50,SSN!G26))</f>
        <v>0</v>
      </c>
      <c r="J26" s="28">
        <f t="shared" si="4"/>
        <v>0</v>
      </c>
      <c r="K26" s="2"/>
      <c r="L26" s="47"/>
      <c r="S26" s="60">
        <f t="shared" si="1"/>
        <v>0</v>
      </c>
      <c r="T26" s="67">
        <f t="shared" si="2"/>
        <v>0</v>
      </c>
    </row>
    <row r="27" spans="1:20" ht="24.95" customHeight="1" x14ac:dyDescent="0.2">
      <c r="A27" s="20"/>
      <c r="B27" s="23">
        <f>(COUNTIF('2S EXPRESS'!$A$7:$A$50,SSN!A27))+(COUNTIF('2 ZT'!$A$7:$A$50,SSN!A27))+(COUNTIF('GO TRANSPORT'!$A$7:$A$50,SSN!A27))+(COUNTIF('HMZ - KAIS'!$A$7:$A$50,SSN!A27))+(COUNTIF('IB TRANSPORT'!$A$7:$A$50,SSN!A27))+(COUNTIF(JSL!$A$7:$A$50,SSN!A27))+(COUNTIF(KIFAITOUT!$A$7:$A$50,SSN!A27))+(COUNTIF('LUXE DRIVE'!$A$7:$A$50,SSN!A27))+(COUNTIF(SSN!$A$7:$A$50,SSN!A27))+(COUNTIF('W3'!$A$7:$A$50,SSN!A27))+(COUNTIF('ATHIS MONS'!$A$7:$A$50,SSN!A27))+(COUNTIF('L HAY LES ROSES'!$A$7:$A$50,SSN!A27))+(COUNTIF(RUNGIS!$A$7:$A$50,SSN!A27))+(COUNTIF(SCEAUX!$A$7:$A$50,SSN!A27))+(COUNTIF('INSTANCE C1'!$A$7:$A$50,SSN!A27))+(COUNTIF('INSTANCE C2'!$A$7:$A$50,SSN!A27))+(COUNTIF(INTERNES!$A$7:$A$50,SSN!A27))+(COUNTIF('EN PANNE'!$A$7:$A$50,SSN!A27))+(COUNTIF(TJM!$A$7:$A$50,SSN!A27))-C27</f>
        <v>0</v>
      </c>
      <c r="C27" s="23">
        <f>(COUNTIF('2S EXPRESS'!$G$7:$G$50,SSN!A27))+(COUNTIF('2 ZT'!$G$7:$G$50,SSN!A27))+(COUNTIF('GO TRANSPORT'!$G$7:$G$50,SSN!A27))+(COUNTIF(SSN!$G$7:$G$50,SSN!A27))+(COUNTIF('IB TRANSPORT'!$G$7:$G$50,SSN!A27))+(COUNTIF(JSL!$G$7:$G$50,SSN!A27))+(COUNTIF(KIFAITOUT!$G$7:$G$50,SSN!A27))+(COUNTIF('LUXE DRIVE'!$G$7:$G$50,SSN!A27))+(COUNTIF(SSN!$G$7:$G$50,SSN!A27))+(COUNTIF('W3'!$G$7:$G$50,SSN!A27))+(COUNTIF('ATHIS MONS'!$G$7:$G$50,SSN!A27))+(COUNTIF('L HAY LES ROSES'!$G$7:$G$50,SSN!A27))+(COUNTIF(RUNGIS!$G$7:$G$50,SSN!A27))+(COUNTIF(SCEAUX!$G$7:$G$50,SSN!A27))+(COUNTIF('INSTANCE C1'!$G$7:$G$50,SSN!A27))+(COUNTIF('INSTANCE C2'!$G$7:$G$50,SSN!A27))+(COUNTIF(INTERNES!$G$7:$G$50,SSN!A27))+(COUNTIF('EN PANNE'!$G$7:$G$50,SSN!A27))+(COUNTIF(TJM!$A$7:$A$50,SSN!A27))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EXPRESS'!$G$7:$G$50,SSN!G27))+(COUNTIF('2 ZT'!$G$7:$G$50,SSN!G27))+(COUNTIF('GO TRANSPORT'!$G$7:$G$50,SSN!G27))+(COUNTIF('HMZ - KAIS'!$G$7:$G$50,SSN!G27))+(COUNTIF('IB TRANSPORT'!$G$7:$G$50,SSN!G27))+(COUNTIF(JSL!$G$7:$G$50,SSN!G27))+(COUNTIF(KIFAITOUT!$G$7:$G$50,SSN!G27))+(COUNTIF('LUXE DRIVE'!$G$7:$G$50,SSN!G27))+(COUNTIF(SSN!$G$7:$G$50,SSN!G27))+(COUNTIF('W3'!$G$7:$G$50,SSN!G27))+(COUNTIF('ATHIS MONS'!$G$7:$G$50,SSN!G27))+(COUNTIF('L HAY LES ROSES'!$G$7:$G$50,SSN!G27))+(COUNTIF(RUNGIS!$G$7:$G$50,SSN!G27))+(COUNTIF(SCEAUX!$G$7:$G$50,SSN!G27))+(COUNTIF('INSTANCE C1'!$G$7:$G$50,SSN!G27))+(COUNTIF('INSTANCE C2'!$G$7:$G$50,SSN!G27))+(COUNTIF(INTERNES!$G$7:$G$50,SSN!G27))+(COUNTIF('EN PANNE'!$G$7:$G$50,SSN!G27))+(COUNTIF(TJM!$G$7:$G$50,SSN!G27))-I27</f>
        <v>0</v>
      </c>
      <c r="I27" s="23">
        <f>(COUNTIF('2S EXPRESS'!$A$7:$A$50,SSN!G27))+(COUNTIF('2 ZT'!$A$7:$A$50,SSN!G27))+(COUNTIF('GO TRANSPORT'!$A$7:$A$50,SSN!G27))+(COUNTIF('HMZ - KAIS'!$A$7:$A$50,SSN!G27))+(COUNTIF('IB TRANSPORT'!$A$7:$A$50,SSN!G27))+(COUNTIF(JSL!$A$7:$A$50,SSN!G27))+(COUNTIF(KIFAITOUT!$A$7:$A$50,SSN!G27))+(COUNTIF('LUXE DRIVE'!$A$7:$A$50,SSN!G27))+(COUNTIF(SSN!$A$7:$A$50,SSN!G27))+(COUNTIF('W3'!$A$7:$A$50,SSN!G27))+(COUNTIF('ATHIS MONS'!$A$7:$A$50,SSN!G27))+(COUNTIF('L HAY LES ROSES'!$A$7:$A$50,SSN!G27))+(COUNTIF(RUNGIS!$A$7:$A$50,SSN!G27))+(COUNTIF(SCEAUX!$A$7:$A$50,SSN!G27))+(COUNTIF('INSTANCE C1'!$A$7:$A$50,SSN!G27))+(COUNTIF('INSTANCE C2'!$A$7:$A$50,SSN!G27))+(COUNTIF(INTERNES!$A$7:$A$50,SSN!G27))+(COUNTIF('EN PANNE'!$A$7:$A$50,SSN!G27))+(COUNTIF(TJM!$A$7:$A$50,SSN!G27))</f>
        <v>0</v>
      </c>
      <c r="J27" s="28">
        <f t="shared" si="4"/>
        <v>0</v>
      </c>
      <c r="K27" s="2"/>
      <c r="L27" s="47"/>
      <c r="S27" s="60">
        <f t="shared" si="1"/>
        <v>0</v>
      </c>
      <c r="T27" s="67">
        <f t="shared" si="2"/>
        <v>0</v>
      </c>
    </row>
    <row r="28" spans="1:20" ht="24.95" customHeight="1" x14ac:dyDescent="0.2">
      <c r="A28" s="20"/>
      <c r="B28" s="23">
        <f>(COUNTIF('2S EXPRESS'!$A$7:$A$50,SSN!A28))+(COUNTIF('2 ZT'!$A$7:$A$50,SSN!A28))+(COUNTIF('GO TRANSPORT'!$A$7:$A$50,SSN!A28))+(COUNTIF('HMZ - KAIS'!$A$7:$A$50,SSN!A28))+(COUNTIF('IB TRANSPORT'!$A$7:$A$50,SSN!A28))+(COUNTIF(JSL!$A$7:$A$50,SSN!A28))+(COUNTIF(KIFAITOUT!$A$7:$A$50,SSN!A28))+(COUNTIF('LUXE DRIVE'!$A$7:$A$50,SSN!A28))+(COUNTIF(SSN!$A$7:$A$50,SSN!A28))+(COUNTIF('W3'!$A$7:$A$50,SSN!A28))+(COUNTIF('ATHIS MONS'!$A$7:$A$50,SSN!A28))+(COUNTIF('L HAY LES ROSES'!$A$7:$A$50,SSN!A28))+(COUNTIF(RUNGIS!$A$7:$A$50,SSN!A28))+(COUNTIF(SCEAUX!$A$7:$A$50,SSN!A28))+(COUNTIF('INSTANCE C1'!$A$7:$A$50,SSN!A28))+(COUNTIF('INSTANCE C2'!$A$7:$A$50,SSN!A28))+(COUNTIF(INTERNES!$A$7:$A$50,SSN!A28))+(COUNTIF('EN PANNE'!$A$7:$A$50,SSN!A28))+(COUNTIF(TJM!$A$7:$A$50,SSN!A28))-C28</f>
        <v>0</v>
      </c>
      <c r="C28" s="23">
        <f>(COUNTIF('2S EXPRESS'!$G$7:$G$50,SSN!A28))+(COUNTIF('2 ZT'!$G$7:$G$50,SSN!A28))+(COUNTIF('GO TRANSPORT'!$G$7:$G$50,SSN!A28))+(COUNTIF(SSN!$G$7:$G$50,SSN!A28))+(COUNTIF('IB TRANSPORT'!$G$7:$G$50,SSN!A28))+(COUNTIF(JSL!$G$7:$G$50,SSN!A28))+(COUNTIF(KIFAITOUT!$G$7:$G$50,SSN!A28))+(COUNTIF('LUXE DRIVE'!$G$7:$G$50,SSN!A28))+(COUNTIF(SSN!$G$7:$G$50,SSN!A28))+(COUNTIF('W3'!$G$7:$G$50,SSN!A28))+(COUNTIF('ATHIS MONS'!$G$7:$G$50,SSN!A28))+(COUNTIF('L HAY LES ROSES'!$G$7:$G$50,SSN!A28))+(COUNTIF(RUNGIS!$G$7:$G$50,SSN!A28))+(COUNTIF(SCEAUX!$G$7:$G$50,SSN!A28))+(COUNTIF('INSTANCE C1'!$G$7:$G$50,SSN!A28))+(COUNTIF('INSTANCE C2'!$G$7:$G$50,SSN!A28))+(COUNTIF(INTERNES!$G$7:$G$50,SSN!A28))+(COUNTIF('EN PANNE'!$G$7:$G$50,SSN!A28))+(COUNTIF(TJM!$A$7:$A$50,SSN!A28))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EXPRESS'!$G$7:$G$50,SSN!G28))+(COUNTIF('2 ZT'!$G$7:$G$50,SSN!G28))+(COUNTIF('GO TRANSPORT'!$G$7:$G$50,SSN!G28))+(COUNTIF('HMZ - KAIS'!$G$7:$G$50,SSN!G28))+(COUNTIF('IB TRANSPORT'!$G$7:$G$50,SSN!G28))+(COUNTIF(JSL!$G$7:$G$50,SSN!G28))+(COUNTIF(KIFAITOUT!$G$7:$G$50,SSN!G28))+(COUNTIF('LUXE DRIVE'!$G$7:$G$50,SSN!G28))+(COUNTIF(SSN!$G$7:$G$50,SSN!G28))+(COUNTIF('W3'!$G$7:$G$50,SSN!G28))+(COUNTIF('ATHIS MONS'!$G$7:$G$50,SSN!G28))+(COUNTIF('L HAY LES ROSES'!$G$7:$G$50,SSN!G28))+(COUNTIF(RUNGIS!$G$7:$G$50,SSN!G28))+(COUNTIF(SCEAUX!$G$7:$G$50,SSN!G28))+(COUNTIF('INSTANCE C1'!$G$7:$G$50,SSN!G28))+(COUNTIF('INSTANCE C2'!$G$7:$G$50,SSN!G28))+(COUNTIF(INTERNES!$G$7:$G$50,SSN!G28))+(COUNTIF('EN PANNE'!$G$7:$G$50,SSN!G28))+(COUNTIF(TJM!$G$7:$G$50,SSN!G28))-I28</f>
        <v>0</v>
      </c>
      <c r="I28" s="23">
        <f>(COUNTIF('2S EXPRESS'!$A$7:$A$50,SSN!G28))+(COUNTIF('2 ZT'!$A$7:$A$50,SSN!G28))+(COUNTIF('GO TRANSPORT'!$A$7:$A$50,SSN!G28))+(COUNTIF('HMZ - KAIS'!$A$7:$A$50,SSN!G28))+(COUNTIF('IB TRANSPORT'!$A$7:$A$50,SSN!G28))+(COUNTIF(JSL!$A$7:$A$50,SSN!G28))+(COUNTIF(KIFAITOUT!$A$7:$A$50,SSN!G28))+(COUNTIF('LUXE DRIVE'!$A$7:$A$50,SSN!G28))+(COUNTIF(SSN!$A$7:$A$50,SSN!G28))+(COUNTIF('W3'!$A$7:$A$50,SSN!G28))+(COUNTIF('ATHIS MONS'!$A$7:$A$50,SSN!G28))+(COUNTIF('L HAY LES ROSES'!$A$7:$A$50,SSN!G28))+(COUNTIF(RUNGIS!$A$7:$A$50,SSN!G28))+(COUNTIF(SCEAUX!$A$7:$A$50,SSN!G28))+(COUNTIF('INSTANCE C1'!$A$7:$A$50,SSN!G28))+(COUNTIF('INSTANCE C2'!$A$7:$A$50,SSN!G28))+(COUNTIF(INTERNES!$A$7:$A$50,SSN!G28))+(COUNTIF('EN PANNE'!$A$7:$A$50,SSN!G28))+(COUNTIF(TJM!$A$7:$A$50,SSN!G28))</f>
        <v>0</v>
      </c>
      <c r="J28" s="28">
        <f t="shared" si="4"/>
        <v>0</v>
      </c>
      <c r="K28" s="2"/>
      <c r="L28" s="47"/>
      <c r="S28" s="60">
        <f t="shared" si="1"/>
        <v>0</v>
      </c>
      <c r="T28" s="67">
        <f t="shared" si="2"/>
        <v>0</v>
      </c>
    </row>
    <row r="29" spans="1:20" ht="24.95" customHeight="1" x14ac:dyDescent="0.2">
      <c r="A29" s="20"/>
      <c r="B29" s="23">
        <f>(COUNTIF('2S EXPRESS'!$A$7:$A$50,SSN!A29))+(COUNTIF('2 ZT'!$A$7:$A$50,SSN!A29))+(COUNTIF('GO TRANSPORT'!$A$7:$A$50,SSN!A29))+(COUNTIF('HMZ - KAIS'!$A$7:$A$50,SSN!A29))+(COUNTIF('IB TRANSPORT'!$A$7:$A$50,SSN!A29))+(COUNTIF(JSL!$A$7:$A$50,SSN!A29))+(COUNTIF(KIFAITOUT!$A$7:$A$50,SSN!A29))+(COUNTIF('LUXE DRIVE'!$A$7:$A$50,SSN!A29))+(COUNTIF(SSN!$A$7:$A$50,SSN!A29))+(COUNTIF('W3'!$A$7:$A$50,SSN!A29))+(COUNTIF('ATHIS MONS'!$A$7:$A$50,SSN!A29))+(COUNTIF('L HAY LES ROSES'!$A$7:$A$50,SSN!A29))+(COUNTIF(RUNGIS!$A$7:$A$50,SSN!A29))+(COUNTIF(SCEAUX!$A$7:$A$50,SSN!A29))+(COUNTIF('INSTANCE C1'!$A$7:$A$50,SSN!A29))+(COUNTIF('INSTANCE C2'!$A$7:$A$50,SSN!A29))+(COUNTIF(INTERNES!$A$7:$A$50,SSN!A29))+(COUNTIF('EN PANNE'!$A$7:$A$50,SSN!A29))+(COUNTIF(TJM!$A$7:$A$50,SSN!A29))-C29</f>
        <v>0</v>
      </c>
      <c r="C29" s="23">
        <f>(COUNTIF('2S EXPRESS'!$G$7:$G$50,SSN!A29))+(COUNTIF('2 ZT'!$G$7:$G$50,SSN!A29))+(COUNTIF('GO TRANSPORT'!$G$7:$G$50,SSN!A29))+(COUNTIF(SSN!$G$7:$G$50,SSN!A29))+(COUNTIF('IB TRANSPORT'!$G$7:$G$50,SSN!A29))+(COUNTIF(JSL!$G$7:$G$50,SSN!A29))+(COUNTIF(KIFAITOUT!$G$7:$G$50,SSN!A29))+(COUNTIF('LUXE DRIVE'!$G$7:$G$50,SSN!A29))+(COUNTIF(SSN!$G$7:$G$50,SSN!A29))+(COUNTIF('W3'!$G$7:$G$50,SSN!A29))+(COUNTIF('ATHIS MONS'!$G$7:$G$50,SSN!A29))+(COUNTIF('L HAY LES ROSES'!$G$7:$G$50,SSN!A29))+(COUNTIF(RUNGIS!$G$7:$G$50,SSN!A29))+(COUNTIF(SCEAUX!$G$7:$G$50,SSN!A29))+(COUNTIF('INSTANCE C1'!$G$7:$G$50,SSN!A29))+(COUNTIF('INSTANCE C2'!$G$7:$G$50,SSN!A29))+(COUNTIF(INTERNES!$G$7:$G$50,SSN!A29))+(COUNTIF('EN PANNE'!$G$7:$G$50,SSN!A29))+(COUNTIF(TJM!$A$7:$A$50,SSN!A29))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EXPRESS'!$G$7:$G$50,SSN!G29))+(COUNTIF('2 ZT'!$G$7:$G$50,SSN!G29))+(COUNTIF('GO TRANSPORT'!$G$7:$G$50,SSN!G29))+(COUNTIF('HMZ - KAIS'!$G$7:$G$50,SSN!G29))+(COUNTIF('IB TRANSPORT'!$G$7:$G$50,SSN!G29))+(COUNTIF(JSL!$G$7:$G$50,SSN!G29))+(COUNTIF(KIFAITOUT!$G$7:$G$50,SSN!G29))+(COUNTIF('LUXE DRIVE'!$G$7:$G$50,SSN!G29))+(COUNTIF(SSN!$G$7:$G$50,SSN!G29))+(COUNTIF('W3'!$G$7:$G$50,SSN!G29))+(COUNTIF('ATHIS MONS'!$G$7:$G$50,SSN!G29))+(COUNTIF('L HAY LES ROSES'!$G$7:$G$50,SSN!G29))+(COUNTIF(RUNGIS!$G$7:$G$50,SSN!G29))+(COUNTIF(SCEAUX!$G$7:$G$50,SSN!G29))+(COUNTIF('INSTANCE C1'!$G$7:$G$50,SSN!G29))+(COUNTIF('INSTANCE C2'!$G$7:$G$50,SSN!G29))+(COUNTIF(INTERNES!$G$7:$G$50,SSN!G29))+(COUNTIF('EN PANNE'!$G$7:$G$50,SSN!G29))+(COUNTIF(TJM!$G$7:$G$50,SSN!G29))-I29</f>
        <v>0</v>
      </c>
      <c r="I29" s="23">
        <f>(COUNTIF('2S EXPRESS'!$A$7:$A$50,SSN!G29))+(COUNTIF('2 ZT'!$A$7:$A$50,SSN!G29))+(COUNTIF('GO TRANSPORT'!$A$7:$A$50,SSN!G29))+(COUNTIF('HMZ - KAIS'!$A$7:$A$50,SSN!G29))+(COUNTIF('IB TRANSPORT'!$A$7:$A$50,SSN!G29))+(COUNTIF(JSL!$A$7:$A$50,SSN!G29))+(COUNTIF(KIFAITOUT!$A$7:$A$50,SSN!G29))+(COUNTIF('LUXE DRIVE'!$A$7:$A$50,SSN!G29))+(COUNTIF(SSN!$A$7:$A$50,SSN!G29))+(COUNTIF('W3'!$A$7:$A$50,SSN!G29))+(COUNTIF('ATHIS MONS'!$A$7:$A$50,SSN!G29))+(COUNTIF('L HAY LES ROSES'!$A$7:$A$50,SSN!G29))+(COUNTIF(RUNGIS!$A$7:$A$50,SSN!G29))+(COUNTIF(SCEAUX!$A$7:$A$50,SSN!G29))+(COUNTIF('INSTANCE C1'!$A$7:$A$50,SSN!G29))+(COUNTIF('INSTANCE C2'!$A$7:$A$50,SSN!G29))+(COUNTIF(INTERNES!$A$7:$A$50,SSN!G29))+(COUNTIF('EN PANNE'!$A$7:$A$50,SSN!G29))+(COUNTIF(TJM!$A$7:$A$50,SSN!G29))</f>
        <v>0</v>
      </c>
      <c r="J29" s="28">
        <f t="shared" si="4"/>
        <v>0</v>
      </c>
      <c r="K29" s="2"/>
      <c r="L29" s="47"/>
      <c r="S29" s="60">
        <f t="shared" si="1"/>
        <v>0</v>
      </c>
      <c r="T29" s="67">
        <f t="shared" si="2"/>
        <v>0</v>
      </c>
    </row>
    <row r="30" spans="1:20" ht="24.95" customHeight="1" x14ac:dyDescent="0.2">
      <c r="A30" s="20"/>
      <c r="B30" s="23">
        <f>(COUNTIF('2S EXPRESS'!$A$7:$A$50,SSN!A30))+(COUNTIF('2 ZT'!$A$7:$A$50,SSN!A30))+(COUNTIF('GO TRANSPORT'!$A$7:$A$50,SSN!A30))+(COUNTIF('HMZ - KAIS'!$A$7:$A$50,SSN!A30))+(COUNTIF('IB TRANSPORT'!$A$7:$A$50,SSN!A30))+(COUNTIF(JSL!$A$7:$A$50,SSN!A30))+(COUNTIF(KIFAITOUT!$A$7:$A$50,SSN!A30))+(COUNTIF('LUXE DRIVE'!$A$7:$A$50,SSN!A30))+(COUNTIF(SSN!$A$7:$A$50,SSN!A30))+(COUNTIF('W3'!$A$7:$A$50,SSN!A30))+(COUNTIF('ATHIS MONS'!$A$7:$A$50,SSN!A30))+(COUNTIF('L HAY LES ROSES'!$A$7:$A$50,SSN!A30))+(COUNTIF(RUNGIS!$A$7:$A$50,SSN!A30))+(COUNTIF(SCEAUX!$A$7:$A$50,SSN!A30))+(COUNTIF('INSTANCE C1'!$A$7:$A$50,SSN!A30))+(COUNTIF('INSTANCE C2'!$A$7:$A$50,SSN!A30))+(COUNTIF(INTERNES!$A$7:$A$50,SSN!A30))+(COUNTIF('EN PANNE'!$A$7:$A$50,SSN!A30))+(COUNTIF(TJM!$A$7:$A$50,SSN!A30))-C30</f>
        <v>0</v>
      </c>
      <c r="C30" s="23">
        <f>(COUNTIF('2S EXPRESS'!$G$7:$G$50,SSN!A30))+(COUNTIF('2 ZT'!$G$7:$G$50,SSN!A30))+(COUNTIF('GO TRANSPORT'!$G$7:$G$50,SSN!A30))+(COUNTIF(SSN!$G$7:$G$50,SSN!A30))+(COUNTIF('IB TRANSPORT'!$G$7:$G$50,SSN!A30))+(COUNTIF(JSL!$G$7:$G$50,SSN!A30))+(COUNTIF(KIFAITOUT!$G$7:$G$50,SSN!A30))+(COUNTIF('LUXE DRIVE'!$G$7:$G$50,SSN!A30))+(COUNTIF(SSN!$G$7:$G$50,SSN!A30))+(COUNTIF('W3'!$G$7:$G$50,SSN!A30))+(COUNTIF('ATHIS MONS'!$G$7:$G$50,SSN!A30))+(COUNTIF('L HAY LES ROSES'!$G$7:$G$50,SSN!A30))+(COUNTIF(RUNGIS!$G$7:$G$50,SSN!A30))+(COUNTIF(SCEAUX!$G$7:$G$50,SSN!A30))+(COUNTIF('INSTANCE C1'!$G$7:$G$50,SSN!A30))+(COUNTIF('INSTANCE C2'!$G$7:$G$50,SSN!A30))+(COUNTIF(INTERNES!$G$7:$G$50,SSN!A30))+(COUNTIF('EN PANNE'!$G$7:$G$50,SSN!A30))+(COUNTIF(TJM!$A$7:$A$50,SSN!A30))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EXPRESS'!$G$7:$G$50,SSN!G30))+(COUNTIF('2 ZT'!$G$7:$G$50,SSN!G30))+(COUNTIF('GO TRANSPORT'!$G$7:$G$50,SSN!G30))+(COUNTIF('HMZ - KAIS'!$G$7:$G$50,SSN!G30))+(COUNTIF('IB TRANSPORT'!$G$7:$G$50,SSN!G30))+(COUNTIF(JSL!$G$7:$G$50,SSN!G30))+(COUNTIF(KIFAITOUT!$G$7:$G$50,SSN!G30))+(COUNTIF('LUXE DRIVE'!$G$7:$G$50,SSN!G30))+(COUNTIF(SSN!$G$7:$G$50,SSN!G30))+(COUNTIF('W3'!$G$7:$G$50,SSN!G30))+(COUNTIF('ATHIS MONS'!$G$7:$G$50,SSN!G30))+(COUNTIF('L HAY LES ROSES'!$G$7:$G$50,SSN!G30))+(COUNTIF(RUNGIS!$G$7:$G$50,SSN!G30))+(COUNTIF(SCEAUX!$G$7:$G$50,SSN!G30))+(COUNTIF('INSTANCE C1'!$G$7:$G$50,SSN!G30))+(COUNTIF('INSTANCE C2'!$G$7:$G$50,SSN!G30))+(COUNTIF(INTERNES!$G$7:$G$50,SSN!G30))+(COUNTIF('EN PANNE'!$G$7:$G$50,SSN!G30))+(COUNTIF(TJM!$G$7:$G$50,SSN!G30))-I30</f>
        <v>0</v>
      </c>
      <c r="I30" s="23">
        <f>(COUNTIF('2S EXPRESS'!$A$7:$A$50,SSN!G30))+(COUNTIF('2 ZT'!$A$7:$A$50,SSN!G30))+(COUNTIF('GO TRANSPORT'!$A$7:$A$50,SSN!G30))+(COUNTIF('HMZ - KAIS'!$A$7:$A$50,SSN!G30))+(COUNTIF('IB TRANSPORT'!$A$7:$A$50,SSN!G30))+(COUNTIF(JSL!$A$7:$A$50,SSN!G30))+(COUNTIF(KIFAITOUT!$A$7:$A$50,SSN!G30))+(COUNTIF('LUXE DRIVE'!$A$7:$A$50,SSN!G30))+(COUNTIF(SSN!$A$7:$A$50,SSN!G30))+(COUNTIF('W3'!$A$7:$A$50,SSN!G30))+(COUNTIF('ATHIS MONS'!$A$7:$A$50,SSN!G30))+(COUNTIF('L HAY LES ROSES'!$A$7:$A$50,SSN!G30))+(COUNTIF(RUNGIS!$A$7:$A$50,SSN!G30))+(COUNTIF(SCEAUX!$A$7:$A$50,SSN!G30))+(COUNTIF('INSTANCE C1'!$A$7:$A$50,SSN!G30))+(COUNTIF('INSTANCE C2'!$A$7:$A$50,SSN!G30))+(COUNTIF(INTERNES!$A$7:$A$50,SSN!G30))+(COUNTIF('EN PANNE'!$A$7:$A$50,SSN!G30))+(COUNTIF(TJM!$A$7:$A$50,SSN!G30))</f>
        <v>0</v>
      </c>
      <c r="J30" s="28">
        <f t="shared" si="4"/>
        <v>0</v>
      </c>
      <c r="K30" s="2"/>
      <c r="L30" s="47"/>
      <c r="S30" s="60">
        <f t="shared" si="1"/>
        <v>0</v>
      </c>
      <c r="T30" s="67">
        <f t="shared" si="2"/>
        <v>0</v>
      </c>
    </row>
    <row r="31" spans="1:20" ht="24.95" customHeight="1" x14ac:dyDescent="0.2">
      <c r="A31" s="20"/>
      <c r="B31" s="23">
        <f>(COUNTIF('2S EXPRESS'!$A$7:$A$50,SSN!A31))+(COUNTIF('2 ZT'!$A$7:$A$50,SSN!A31))+(COUNTIF('GO TRANSPORT'!$A$7:$A$50,SSN!A31))+(COUNTIF('HMZ - KAIS'!$A$7:$A$50,SSN!A31))+(COUNTIF('IB TRANSPORT'!$A$7:$A$50,SSN!A31))+(COUNTIF(JSL!$A$7:$A$50,SSN!A31))+(COUNTIF(KIFAITOUT!$A$7:$A$50,SSN!A31))+(COUNTIF('LUXE DRIVE'!$A$7:$A$50,SSN!A31))+(COUNTIF(SSN!$A$7:$A$50,SSN!A31))+(COUNTIF('W3'!$A$7:$A$50,SSN!A31))+(COUNTIF('ATHIS MONS'!$A$7:$A$50,SSN!A31))+(COUNTIF('L HAY LES ROSES'!$A$7:$A$50,SSN!A31))+(COUNTIF(RUNGIS!$A$7:$A$50,SSN!A31))+(COUNTIF(SCEAUX!$A$7:$A$50,SSN!A31))+(COUNTIF('INSTANCE C1'!$A$7:$A$50,SSN!A31))+(COUNTIF('INSTANCE C2'!$A$7:$A$50,SSN!A31))+(COUNTIF(INTERNES!$A$7:$A$50,SSN!A31))+(COUNTIF('EN PANNE'!$A$7:$A$50,SSN!A31))+(COUNTIF(TJM!$A$7:$A$50,SSN!A31))-C31</f>
        <v>0</v>
      </c>
      <c r="C31" s="23">
        <f>(COUNTIF('2S EXPRESS'!$G$7:$G$50,SSN!A31))+(COUNTIF('2 ZT'!$G$7:$G$50,SSN!A31))+(COUNTIF('GO TRANSPORT'!$G$7:$G$50,SSN!A31))+(COUNTIF(SSN!$G$7:$G$50,SSN!A31))+(COUNTIF('IB TRANSPORT'!$G$7:$G$50,SSN!A31))+(COUNTIF(JSL!$G$7:$G$50,SSN!A31))+(COUNTIF(KIFAITOUT!$G$7:$G$50,SSN!A31))+(COUNTIF('LUXE DRIVE'!$G$7:$G$50,SSN!A31))+(COUNTIF(SSN!$G$7:$G$50,SSN!A31))+(COUNTIF('W3'!$G$7:$G$50,SSN!A31))+(COUNTIF('ATHIS MONS'!$G$7:$G$50,SSN!A31))+(COUNTIF('L HAY LES ROSES'!$G$7:$G$50,SSN!A31))+(COUNTIF(RUNGIS!$G$7:$G$50,SSN!A31))+(COUNTIF(SCEAUX!$G$7:$G$50,SSN!A31))+(COUNTIF('INSTANCE C1'!$G$7:$G$50,SSN!A31))+(COUNTIF('INSTANCE C2'!$G$7:$G$50,SSN!A31))+(COUNTIF(INTERNES!$G$7:$G$50,SSN!A31))+(COUNTIF('EN PANNE'!$G$7:$G$50,SSN!A31))+(COUNTIF(TJM!$A$7:$A$50,SSN!A31))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EXPRESS'!$G$7:$G$50,SSN!G31))+(COUNTIF('2 ZT'!$G$7:$G$50,SSN!G31))+(COUNTIF('GO TRANSPORT'!$G$7:$G$50,SSN!G31))+(COUNTIF('HMZ - KAIS'!$G$7:$G$50,SSN!G31))+(COUNTIF('IB TRANSPORT'!$G$7:$G$50,SSN!G31))+(COUNTIF(JSL!$G$7:$G$50,SSN!G31))+(COUNTIF(KIFAITOUT!$G$7:$G$50,SSN!G31))+(COUNTIF('LUXE DRIVE'!$G$7:$G$50,SSN!G31))+(COUNTIF(SSN!$G$7:$G$50,SSN!G31))+(COUNTIF('W3'!$G$7:$G$50,SSN!G31))+(COUNTIF('ATHIS MONS'!$G$7:$G$50,SSN!G31))+(COUNTIF('L HAY LES ROSES'!$G$7:$G$50,SSN!G31))+(COUNTIF(RUNGIS!$G$7:$G$50,SSN!G31))+(COUNTIF(SCEAUX!$G$7:$G$50,SSN!G31))+(COUNTIF('INSTANCE C1'!$G$7:$G$50,SSN!G31))+(COUNTIF('INSTANCE C2'!$G$7:$G$50,SSN!G31))+(COUNTIF(INTERNES!$G$7:$G$50,SSN!G31))+(COUNTIF('EN PANNE'!$G$7:$G$50,SSN!G31))+(COUNTIF(TJM!$G$7:$G$50,SSN!G31))-I31</f>
        <v>0</v>
      </c>
      <c r="I31" s="23">
        <f>(COUNTIF('2S EXPRESS'!$A$7:$A$50,SSN!G31))+(COUNTIF('2 ZT'!$A$7:$A$50,SSN!G31))+(COUNTIF('GO TRANSPORT'!$A$7:$A$50,SSN!G31))+(COUNTIF('HMZ - KAIS'!$A$7:$A$50,SSN!G31))+(COUNTIF('IB TRANSPORT'!$A$7:$A$50,SSN!G31))+(COUNTIF(JSL!$A$7:$A$50,SSN!G31))+(COUNTIF(KIFAITOUT!$A$7:$A$50,SSN!G31))+(COUNTIF('LUXE DRIVE'!$A$7:$A$50,SSN!G31))+(COUNTIF(SSN!$A$7:$A$50,SSN!G31))+(COUNTIF('W3'!$A$7:$A$50,SSN!G31))+(COUNTIF('ATHIS MONS'!$A$7:$A$50,SSN!G31))+(COUNTIF('L HAY LES ROSES'!$A$7:$A$50,SSN!G31))+(COUNTIF(RUNGIS!$A$7:$A$50,SSN!G31))+(COUNTIF(SCEAUX!$A$7:$A$50,SSN!G31))+(COUNTIF('INSTANCE C1'!$A$7:$A$50,SSN!G31))+(COUNTIF('INSTANCE C2'!$A$7:$A$50,SSN!G31))+(COUNTIF(INTERNES!$A$7:$A$50,SSN!G31))+(COUNTIF('EN PANNE'!$A$7:$A$50,SSN!G31))+(COUNTIF(TJM!$A$7:$A$50,SSN!G31))</f>
        <v>0</v>
      </c>
      <c r="J31" s="28">
        <f t="shared" si="4"/>
        <v>0</v>
      </c>
      <c r="K31" s="2"/>
      <c r="L31" s="47"/>
      <c r="S31" s="60">
        <f t="shared" si="1"/>
        <v>0</v>
      </c>
      <c r="T31" s="67">
        <f t="shared" si="2"/>
        <v>0</v>
      </c>
    </row>
    <row r="32" spans="1:20" ht="24.95" customHeight="1" x14ac:dyDescent="0.2">
      <c r="A32" s="20"/>
      <c r="B32" s="23">
        <f>(COUNTIF('2S EXPRESS'!$A$7:$A$50,SSN!A32))+(COUNTIF('2 ZT'!$A$7:$A$50,SSN!A32))+(COUNTIF('GO TRANSPORT'!$A$7:$A$50,SSN!A32))+(COUNTIF('HMZ - KAIS'!$A$7:$A$50,SSN!A32))+(COUNTIF('IB TRANSPORT'!$A$7:$A$50,SSN!A32))+(COUNTIF(JSL!$A$7:$A$50,SSN!A32))+(COUNTIF(KIFAITOUT!$A$7:$A$50,SSN!A32))+(COUNTIF('LUXE DRIVE'!$A$7:$A$50,SSN!A32))+(COUNTIF(SSN!$A$7:$A$50,SSN!A32))+(COUNTIF('W3'!$A$7:$A$50,SSN!A32))+(COUNTIF('ATHIS MONS'!$A$7:$A$50,SSN!A32))+(COUNTIF('L HAY LES ROSES'!$A$7:$A$50,SSN!A32))+(COUNTIF(RUNGIS!$A$7:$A$50,SSN!A32))+(COUNTIF(SCEAUX!$A$7:$A$50,SSN!A32))+(COUNTIF('INSTANCE C1'!$A$7:$A$50,SSN!A32))+(COUNTIF('INSTANCE C2'!$A$7:$A$50,SSN!A32))+(COUNTIF(INTERNES!$A$7:$A$50,SSN!A32))+(COUNTIF('EN PANNE'!$A$7:$A$50,SSN!A32))+(COUNTIF(TJM!$A$7:$A$50,SSN!A32))-C32</f>
        <v>0</v>
      </c>
      <c r="C32" s="23">
        <f>(COUNTIF('2S EXPRESS'!$G$7:$G$50,SSN!A32))+(COUNTIF('2 ZT'!$G$7:$G$50,SSN!A32))+(COUNTIF('GO TRANSPORT'!$G$7:$G$50,SSN!A32))+(COUNTIF(SSN!$G$7:$G$50,SSN!A32))+(COUNTIF('IB TRANSPORT'!$G$7:$G$50,SSN!A32))+(COUNTIF(JSL!$G$7:$G$50,SSN!A32))+(COUNTIF(KIFAITOUT!$G$7:$G$50,SSN!A32))+(COUNTIF('LUXE DRIVE'!$G$7:$G$50,SSN!A32))+(COUNTIF(SSN!$G$7:$G$50,SSN!A32))+(COUNTIF('W3'!$G$7:$G$50,SSN!A32))+(COUNTIF('ATHIS MONS'!$G$7:$G$50,SSN!A32))+(COUNTIF('L HAY LES ROSES'!$G$7:$G$50,SSN!A32))+(COUNTIF(RUNGIS!$G$7:$G$50,SSN!A32))+(COUNTIF(SCEAUX!$G$7:$G$50,SSN!A32))+(COUNTIF('INSTANCE C1'!$G$7:$G$50,SSN!A32))+(COUNTIF('INSTANCE C2'!$G$7:$G$50,SSN!A32))+(COUNTIF(INTERNES!$G$7:$G$50,SSN!A32))+(COUNTIF('EN PANNE'!$G$7:$G$50,SSN!A32))+(COUNTIF(TJM!$A$7:$A$50,SSN!A32))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EXPRESS'!$G$7:$G$50,SSN!G32))+(COUNTIF('2 ZT'!$G$7:$G$50,SSN!G32))+(COUNTIF('GO TRANSPORT'!$G$7:$G$50,SSN!G32))+(COUNTIF('HMZ - KAIS'!$G$7:$G$50,SSN!G32))+(COUNTIF('IB TRANSPORT'!$G$7:$G$50,SSN!G32))+(COUNTIF(JSL!$G$7:$G$50,SSN!G32))+(COUNTIF(KIFAITOUT!$G$7:$G$50,SSN!G32))+(COUNTIF('LUXE DRIVE'!$G$7:$G$50,SSN!G32))+(COUNTIF(SSN!$G$7:$G$50,SSN!G32))+(COUNTIF('W3'!$G$7:$G$50,SSN!G32))+(COUNTIF('ATHIS MONS'!$G$7:$G$50,SSN!G32))+(COUNTIF('L HAY LES ROSES'!$G$7:$G$50,SSN!G32))+(COUNTIF(RUNGIS!$G$7:$G$50,SSN!G32))+(COUNTIF(SCEAUX!$G$7:$G$50,SSN!G32))+(COUNTIF('INSTANCE C1'!$G$7:$G$50,SSN!G32))+(COUNTIF('INSTANCE C2'!$G$7:$G$50,SSN!G32))+(COUNTIF(INTERNES!$G$7:$G$50,SSN!G32))+(COUNTIF('EN PANNE'!$G$7:$G$50,SSN!G32))+(COUNTIF(TJM!$G$7:$G$50,SSN!G32))-I32</f>
        <v>0</v>
      </c>
      <c r="I32" s="23">
        <f>(COUNTIF('2S EXPRESS'!$A$7:$A$50,SSN!G32))+(COUNTIF('2 ZT'!$A$7:$A$50,SSN!G32))+(COUNTIF('GO TRANSPORT'!$A$7:$A$50,SSN!G32))+(COUNTIF('HMZ - KAIS'!$A$7:$A$50,SSN!G32))+(COUNTIF('IB TRANSPORT'!$A$7:$A$50,SSN!G32))+(COUNTIF(JSL!$A$7:$A$50,SSN!G32))+(COUNTIF(KIFAITOUT!$A$7:$A$50,SSN!G32))+(COUNTIF('LUXE DRIVE'!$A$7:$A$50,SSN!G32))+(COUNTIF(SSN!$A$7:$A$50,SSN!G32))+(COUNTIF('W3'!$A$7:$A$50,SSN!G32))+(COUNTIF('ATHIS MONS'!$A$7:$A$50,SSN!G32))+(COUNTIF('L HAY LES ROSES'!$A$7:$A$50,SSN!G32))+(COUNTIF(RUNGIS!$A$7:$A$50,SSN!G32))+(COUNTIF(SCEAUX!$A$7:$A$50,SSN!G32))+(COUNTIF('INSTANCE C1'!$A$7:$A$50,SSN!G32))+(COUNTIF('INSTANCE C2'!$A$7:$A$50,SSN!G32))+(COUNTIF(INTERNES!$A$7:$A$50,SSN!G32))+(COUNTIF('EN PANNE'!$A$7:$A$50,SSN!G32))+(COUNTIF(TJM!$A$7:$A$50,SSN!G32))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S32" s="60">
        <f t="shared" si="1"/>
        <v>0</v>
      </c>
      <c r="T32" s="67">
        <f t="shared" si="2"/>
        <v>0</v>
      </c>
    </row>
    <row r="33" spans="1:20" ht="24.95" customHeight="1" x14ac:dyDescent="0.2">
      <c r="A33" s="20"/>
      <c r="B33" s="23">
        <f>(COUNTIF('2S EXPRESS'!$A$7:$A$50,SSN!A33))+(COUNTIF('2 ZT'!$A$7:$A$50,SSN!A33))+(COUNTIF('GO TRANSPORT'!$A$7:$A$50,SSN!A33))+(COUNTIF('HMZ - KAIS'!$A$7:$A$50,SSN!A33))+(COUNTIF('IB TRANSPORT'!$A$7:$A$50,SSN!A33))+(COUNTIF(JSL!$A$7:$A$50,SSN!A33))+(COUNTIF(KIFAITOUT!$A$7:$A$50,SSN!A33))+(COUNTIF('LUXE DRIVE'!$A$7:$A$50,SSN!A33))+(COUNTIF(SSN!$A$7:$A$50,SSN!A33))+(COUNTIF('W3'!$A$7:$A$50,SSN!A33))+(COUNTIF('ATHIS MONS'!$A$7:$A$50,SSN!A33))+(COUNTIF('L HAY LES ROSES'!$A$7:$A$50,SSN!A33))+(COUNTIF(RUNGIS!$A$7:$A$50,SSN!A33))+(COUNTIF(SCEAUX!$A$7:$A$50,SSN!A33))+(COUNTIF('INSTANCE C1'!$A$7:$A$50,SSN!A33))+(COUNTIF('INSTANCE C2'!$A$7:$A$50,SSN!A33))+(COUNTIF(INTERNES!$A$7:$A$50,SSN!A33))+(COUNTIF('EN PANNE'!$A$7:$A$50,SSN!A33))+(COUNTIF(TJM!$A$7:$A$50,SSN!A33))-C33</f>
        <v>0</v>
      </c>
      <c r="C33" s="23">
        <f>(COUNTIF('2S EXPRESS'!$G$7:$G$50,SSN!A33))+(COUNTIF('2 ZT'!$G$7:$G$50,SSN!A33))+(COUNTIF('GO TRANSPORT'!$G$7:$G$50,SSN!A33))+(COUNTIF(SSN!$G$7:$G$50,SSN!A33))+(COUNTIF('IB TRANSPORT'!$G$7:$G$50,SSN!A33))+(COUNTIF(JSL!$G$7:$G$50,SSN!A33))+(COUNTIF(KIFAITOUT!$G$7:$G$50,SSN!A33))+(COUNTIF('LUXE DRIVE'!$G$7:$G$50,SSN!A33))+(COUNTIF(SSN!$G$7:$G$50,SSN!A33))+(COUNTIF('W3'!$G$7:$G$50,SSN!A33))+(COUNTIF('ATHIS MONS'!$G$7:$G$50,SSN!A33))+(COUNTIF('L HAY LES ROSES'!$G$7:$G$50,SSN!A33))+(COUNTIF(RUNGIS!$G$7:$G$50,SSN!A33))+(COUNTIF(SCEAUX!$G$7:$G$50,SSN!A33))+(COUNTIF('INSTANCE C1'!$G$7:$G$50,SSN!A33))+(COUNTIF('INSTANCE C2'!$G$7:$G$50,SSN!A33))+(COUNTIF(INTERNES!$G$7:$G$50,SSN!A33))+(COUNTIF('EN PANNE'!$G$7:$G$50,SSN!A33))+(COUNTIF(TJM!$A$7:$A$50,SSN!A33))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EXPRESS'!$G$7:$G$50,SSN!G33))+(COUNTIF('2 ZT'!$G$7:$G$50,SSN!G33))+(COUNTIF('GO TRANSPORT'!$G$7:$G$50,SSN!G33))+(COUNTIF('HMZ - KAIS'!$G$7:$G$50,SSN!G33))+(COUNTIF('IB TRANSPORT'!$G$7:$G$50,SSN!G33))+(COUNTIF(JSL!$G$7:$G$50,SSN!G33))+(COUNTIF(KIFAITOUT!$G$7:$G$50,SSN!G33))+(COUNTIF('LUXE DRIVE'!$G$7:$G$50,SSN!G33))+(COUNTIF(SSN!$G$7:$G$50,SSN!G33))+(COUNTIF('W3'!$G$7:$G$50,SSN!G33))+(COUNTIF('ATHIS MONS'!$G$7:$G$50,SSN!G33))+(COUNTIF('L HAY LES ROSES'!$G$7:$G$50,SSN!G33))+(COUNTIF(RUNGIS!$G$7:$G$50,SSN!G33))+(COUNTIF(SCEAUX!$G$7:$G$50,SSN!G33))+(COUNTIF('INSTANCE C1'!$G$7:$G$50,SSN!G33))+(COUNTIF('INSTANCE C2'!$G$7:$G$50,SSN!G33))+(COUNTIF(INTERNES!$G$7:$G$50,SSN!G33))+(COUNTIF('EN PANNE'!$G$7:$G$50,SSN!G33))+(COUNTIF(TJM!$G$7:$G$50,SSN!G33))-I33</f>
        <v>0</v>
      </c>
      <c r="I33" s="23">
        <f>(COUNTIF('2S EXPRESS'!$A$7:$A$50,SSN!G33))+(COUNTIF('2 ZT'!$A$7:$A$50,SSN!G33))+(COUNTIF('GO TRANSPORT'!$A$7:$A$50,SSN!G33))+(COUNTIF('HMZ - KAIS'!$A$7:$A$50,SSN!G33))+(COUNTIF('IB TRANSPORT'!$A$7:$A$50,SSN!G33))+(COUNTIF(JSL!$A$7:$A$50,SSN!G33))+(COUNTIF(KIFAITOUT!$A$7:$A$50,SSN!G33))+(COUNTIF('LUXE DRIVE'!$A$7:$A$50,SSN!G33))+(COUNTIF(SSN!$A$7:$A$50,SSN!G33))+(COUNTIF('W3'!$A$7:$A$50,SSN!G33))+(COUNTIF('ATHIS MONS'!$A$7:$A$50,SSN!G33))+(COUNTIF('L HAY LES ROSES'!$A$7:$A$50,SSN!G33))+(COUNTIF(RUNGIS!$A$7:$A$50,SSN!G33))+(COUNTIF(SCEAUX!$A$7:$A$50,SSN!G33))+(COUNTIF('INSTANCE C1'!$A$7:$A$50,SSN!G33))+(COUNTIF('INSTANCE C2'!$A$7:$A$50,SSN!G33))+(COUNTIF(INTERNES!$A$7:$A$50,SSN!G33))+(COUNTIF('EN PANNE'!$A$7:$A$50,SSN!G33))+(COUNTIF(TJM!$A$7:$A$50,SSN!G33))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S33" s="60">
        <f t="shared" si="1"/>
        <v>0</v>
      </c>
      <c r="T33" s="67">
        <f t="shared" si="2"/>
        <v>0</v>
      </c>
    </row>
    <row r="34" spans="1:20" ht="24.95" customHeight="1" x14ac:dyDescent="0.2">
      <c r="A34" s="20"/>
      <c r="B34" s="23">
        <f>(COUNTIF('2S EXPRESS'!$A$7:$A$50,SSN!A34))+(COUNTIF('2 ZT'!$A$7:$A$50,SSN!A34))+(COUNTIF('GO TRANSPORT'!$A$7:$A$50,SSN!A34))+(COUNTIF('HMZ - KAIS'!$A$7:$A$50,SSN!A34))+(COUNTIF('IB TRANSPORT'!$A$7:$A$50,SSN!A34))+(COUNTIF(JSL!$A$7:$A$50,SSN!A34))+(COUNTIF(KIFAITOUT!$A$7:$A$50,SSN!A34))+(COUNTIF('LUXE DRIVE'!$A$7:$A$50,SSN!A34))+(COUNTIF(SSN!$A$7:$A$50,SSN!A34))+(COUNTIF('W3'!$A$7:$A$50,SSN!A34))+(COUNTIF('ATHIS MONS'!$A$7:$A$50,SSN!A34))+(COUNTIF('L HAY LES ROSES'!$A$7:$A$50,SSN!A34))+(COUNTIF(RUNGIS!$A$7:$A$50,SSN!A34))+(COUNTIF(SCEAUX!$A$7:$A$50,SSN!A34))+(COUNTIF('INSTANCE C1'!$A$7:$A$50,SSN!A34))+(COUNTIF('INSTANCE C2'!$A$7:$A$50,SSN!A34))+(COUNTIF(INTERNES!$A$7:$A$50,SSN!A34))+(COUNTIF('EN PANNE'!$A$7:$A$50,SSN!A34))+(COUNTIF(TJM!$A$7:$A$50,SSN!A34))-C34</f>
        <v>0</v>
      </c>
      <c r="C34" s="23">
        <f>(COUNTIF('2S EXPRESS'!$G$7:$G$50,SSN!A34))+(COUNTIF('2 ZT'!$G$7:$G$50,SSN!A34))+(COUNTIF('GO TRANSPORT'!$G$7:$G$50,SSN!A34))+(COUNTIF(SSN!$G$7:$G$50,SSN!A34))+(COUNTIF('IB TRANSPORT'!$G$7:$G$50,SSN!A34))+(COUNTIF(JSL!$G$7:$G$50,SSN!A34))+(COUNTIF(KIFAITOUT!$G$7:$G$50,SSN!A34))+(COUNTIF('LUXE DRIVE'!$G$7:$G$50,SSN!A34))+(COUNTIF(SSN!$G$7:$G$50,SSN!A34))+(COUNTIF('W3'!$G$7:$G$50,SSN!A34))+(COUNTIF('ATHIS MONS'!$G$7:$G$50,SSN!A34))+(COUNTIF('L HAY LES ROSES'!$G$7:$G$50,SSN!A34))+(COUNTIF(RUNGIS!$G$7:$G$50,SSN!A34))+(COUNTIF(SCEAUX!$G$7:$G$50,SSN!A34))+(COUNTIF('INSTANCE C1'!$G$7:$G$50,SSN!A34))+(COUNTIF('INSTANCE C2'!$G$7:$G$50,SSN!A34))+(COUNTIF(INTERNES!$G$7:$G$50,SSN!A34))+(COUNTIF('EN PANNE'!$G$7:$G$50,SSN!A34))+(COUNTIF(TJM!$A$7:$A$50,SSN!A34))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EXPRESS'!$G$7:$G$50,SSN!G34))+(COUNTIF('2 ZT'!$G$7:$G$50,SSN!G34))+(COUNTIF('GO TRANSPORT'!$G$7:$G$50,SSN!G34))+(COUNTIF('HMZ - KAIS'!$G$7:$G$50,SSN!G34))+(COUNTIF('IB TRANSPORT'!$G$7:$G$50,SSN!G34))+(COUNTIF(JSL!$G$7:$G$50,SSN!G34))+(COUNTIF(KIFAITOUT!$G$7:$G$50,SSN!G34))+(COUNTIF('LUXE DRIVE'!$G$7:$G$50,SSN!G34))+(COUNTIF(SSN!$G$7:$G$50,SSN!G34))+(COUNTIF('W3'!$G$7:$G$50,SSN!G34))+(COUNTIF('ATHIS MONS'!$G$7:$G$50,SSN!G34))+(COUNTIF('L HAY LES ROSES'!$G$7:$G$50,SSN!G34))+(COUNTIF(RUNGIS!$G$7:$G$50,SSN!G34))+(COUNTIF(SCEAUX!$G$7:$G$50,SSN!G34))+(COUNTIF('INSTANCE C1'!$G$7:$G$50,SSN!G34))+(COUNTIF('INSTANCE C2'!$G$7:$G$50,SSN!G34))+(COUNTIF(INTERNES!$G$7:$G$50,SSN!G34))+(COUNTIF('EN PANNE'!$G$7:$G$50,SSN!G34))+(COUNTIF(TJM!$G$7:$G$50,SSN!G34))-I34</f>
        <v>0</v>
      </c>
      <c r="I34" s="23">
        <f>(COUNTIF('2S EXPRESS'!$A$7:$A$50,SSN!G34))+(COUNTIF('2 ZT'!$A$7:$A$50,SSN!G34))+(COUNTIF('GO TRANSPORT'!$A$7:$A$50,SSN!G34))+(COUNTIF('HMZ - KAIS'!$A$7:$A$50,SSN!G34))+(COUNTIF('IB TRANSPORT'!$A$7:$A$50,SSN!G34))+(COUNTIF(JSL!$A$7:$A$50,SSN!G34))+(COUNTIF(KIFAITOUT!$A$7:$A$50,SSN!G34))+(COUNTIF('LUXE DRIVE'!$A$7:$A$50,SSN!G34))+(COUNTIF(SSN!$A$7:$A$50,SSN!G34))+(COUNTIF('W3'!$A$7:$A$50,SSN!G34))+(COUNTIF('ATHIS MONS'!$A$7:$A$50,SSN!G34))+(COUNTIF('L HAY LES ROSES'!$A$7:$A$50,SSN!G34))+(COUNTIF(RUNGIS!$A$7:$A$50,SSN!G34))+(COUNTIF(SCEAUX!$A$7:$A$50,SSN!G34))+(COUNTIF('INSTANCE C1'!$A$7:$A$50,SSN!G34))+(COUNTIF('INSTANCE C2'!$A$7:$A$50,SSN!G34))+(COUNTIF(INTERNES!$A$7:$A$50,SSN!G34))+(COUNTIF('EN PANNE'!$A$7:$A$50,SSN!G34))+(COUNTIF(TJM!$A$7:$A$50,SSN!G34))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S34" s="60">
        <f t="shared" si="1"/>
        <v>0</v>
      </c>
      <c r="T34" s="67">
        <f t="shared" si="2"/>
        <v>0</v>
      </c>
    </row>
    <row r="35" spans="1:20" ht="24.95" customHeight="1" x14ac:dyDescent="0.2">
      <c r="A35" s="20"/>
      <c r="B35" s="23">
        <f>(COUNTIF('2S EXPRESS'!$A$7:$A$50,SSN!A35))+(COUNTIF('2 ZT'!$A$7:$A$50,SSN!A35))+(COUNTIF('GO TRANSPORT'!$A$7:$A$50,SSN!A35))+(COUNTIF('HMZ - KAIS'!$A$7:$A$50,SSN!A35))+(COUNTIF('IB TRANSPORT'!$A$7:$A$50,SSN!A35))+(COUNTIF(JSL!$A$7:$A$50,SSN!A35))+(COUNTIF(KIFAITOUT!$A$7:$A$50,SSN!A35))+(COUNTIF('LUXE DRIVE'!$A$7:$A$50,SSN!A35))+(COUNTIF(SSN!$A$7:$A$50,SSN!A35))+(COUNTIF('W3'!$A$7:$A$50,SSN!A35))+(COUNTIF('ATHIS MONS'!$A$7:$A$50,SSN!A35))+(COUNTIF('L HAY LES ROSES'!$A$7:$A$50,SSN!A35))+(COUNTIF(RUNGIS!$A$7:$A$50,SSN!A35))+(COUNTIF(SCEAUX!$A$7:$A$50,SSN!A35))+(COUNTIF('INSTANCE C1'!$A$7:$A$50,SSN!A35))+(COUNTIF('INSTANCE C2'!$A$7:$A$50,SSN!A35))+(COUNTIF(INTERNES!$A$7:$A$50,SSN!A35))+(COUNTIF('EN PANNE'!$A$7:$A$50,SSN!A35))+(COUNTIF(TJM!$A$7:$A$50,SSN!A35))-C35</f>
        <v>0</v>
      </c>
      <c r="C35" s="23">
        <f>(COUNTIF('2S EXPRESS'!$G$7:$G$50,SSN!A35))+(COUNTIF('2 ZT'!$G$7:$G$50,SSN!A35))+(COUNTIF('GO TRANSPORT'!$G$7:$G$50,SSN!A35))+(COUNTIF(SSN!$G$7:$G$50,SSN!A35))+(COUNTIF('IB TRANSPORT'!$G$7:$G$50,SSN!A35))+(COUNTIF(JSL!$G$7:$G$50,SSN!A35))+(COUNTIF(KIFAITOUT!$G$7:$G$50,SSN!A35))+(COUNTIF('LUXE DRIVE'!$G$7:$G$50,SSN!A35))+(COUNTIF(SSN!$G$7:$G$50,SSN!A35))+(COUNTIF('W3'!$G$7:$G$50,SSN!A35))+(COUNTIF('ATHIS MONS'!$G$7:$G$50,SSN!A35))+(COUNTIF('L HAY LES ROSES'!$G$7:$G$50,SSN!A35))+(COUNTIF(RUNGIS!$G$7:$G$50,SSN!A35))+(COUNTIF(SCEAUX!$G$7:$G$50,SSN!A35))+(COUNTIF('INSTANCE C1'!$G$7:$G$50,SSN!A35))+(COUNTIF('INSTANCE C2'!$G$7:$G$50,SSN!A35))+(COUNTIF(INTERNES!$G$7:$G$50,SSN!A35))+(COUNTIF('EN PANNE'!$G$7:$G$50,SSN!A35))+(COUNTIF(TJM!$A$7:$A$50,SSN!A35))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EXPRESS'!$G$7:$G$50,SSN!G35))+(COUNTIF('2 ZT'!$G$7:$G$50,SSN!G35))+(COUNTIF('GO TRANSPORT'!$G$7:$G$50,SSN!G35))+(COUNTIF('HMZ - KAIS'!$G$7:$G$50,SSN!G35))+(COUNTIF('IB TRANSPORT'!$G$7:$G$50,SSN!G35))+(COUNTIF(JSL!$G$7:$G$50,SSN!G35))+(COUNTIF(KIFAITOUT!$G$7:$G$50,SSN!G35))+(COUNTIF('LUXE DRIVE'!$G$7:$G$50,SSN!G35))+(COUNTIF(SSN!$G$7:$G$50,SSN!G35))+(COUNTIF('W3'!$G$7:$G$50,SSN!G35))+(COUNTIF('ATHIS MONS'!$G$7:$G$50,SSN!G35))+(COUNTIF('L HAY LES ROSES'!$G$7:$G$50,SSN!G35))+(COUNTIF(RUNGIS!$G$7:$G$50,SSN!G35))+(COUNTIF(SCEAUX!$G$7:$G$50,SSN!G35))+(COUNTIF('INSTANCE C1'!$G$7:$G$50,SSN!G35))+(COUNTIF('INSTANCE C2'!$G$7:$G$50,SSN!G35))+(COUNTIF(INTERNES!$G$7:$G$50,SSN!G35))+(COUNTIF('EN PANNE'!$G$7:$G$50,SSN!G35))+(COUNTIF(TJM!$G$7:$G$50,SSN!G35))-I35</f>
        <v>0</v>
      </c>
      <c r="I35" s="23">
        <f>(COUNTIF('2S EXPRESS'!$A$7:$A$50,SSN!G35))+(COUNTIF('2 ZT'!$A$7:$A$50,SSN!G35))+(COUNTIF('GO TRANSPORT'!$A$7:$A$50,SSN!G35))+(COUNTIF('HMZ - KAIS'!$A$7:$A$50,SSN!G35))+(COUNTIF('IB TRANSPORT'!$A$7:$A$50,SSN!G35))+(COUNTIF(JSL!$A$7:$A$50,SSN!G35))+(COUNTIF(KIFAITOUT!$A$7:$A$50,SSN!G35))+(COUNTIF('LUXE DRIVE'!$A$7:$A$50,SSN!G35))+(COUNTIF(SSN!$A$7:$A$50,SSN!G35))+(COUNTIF('W3'!$A$7:$A$50,SSN!G35))+(COUNTIF('ATHIS MONS'!$A$7:$A$50,SSN!G35))+(COUNTIF('L HAY LES ROSES'!$A$7:$A$50,SSN!G35))+(COUNTIF(RUNGIS!$A$7:$A$50,SSN!G35))+(COUNTIF(SCEAUX!$A$7:$A$50,SSN!G35))+(COUNTIF('INSTANCE C1'!$A$7:$A$50,SSN!G35))+(COUNTIF('INSTANCE C2'!$A$7:$A$50,SSN!G35))+(COUNTIF(INTERNES!$A$7:$A$50,SSN!G35))+(COUNTIF('EN PANNE'!$A$7:$A$50,SSN!G35))+(COUNTIF(TJM!$A$7:$A$50,SSN!G35))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S35" s="60">
        <f t="shared" si="1"/>
        <v>0</v>
      </c>
      <c r="T35" s="67">
        <f t="shared" si="2"/>
        <v>0</v>
      </c>
    </row>
    <row r="36" spans="1:20" ht="24.95" customHeight="1" x14ac:dyDescent="0.2">
      <c r="A36" s="20"/>
      <c r="B36" s="23">
        <f>(COUNTIF('2S EXPRESS'!$A$7:$A$50,SSN!A36))+(COUNTIF('2 ZT'!$A$7:$A$50,SSN!A36))+(COUNTIF('GO TRANSPORT'!$A$7:$A$50,SSN!A36))+(COUNTIF('HMZ - KAIS'!$A$7:$A$50,SSN!A36))+(COUNTIF('IB TRANSPORT'!$A$7:$A$50,SSN!A36))+(COUNTIF(JSL!$A$7:$A$50,SSN!A36))+(COUNTIF(KIFAITOUT!$A$7:$A$50,SSN!A36))+(COUNTIF('LUXE DRIVE'!$A$7:$A$50,SSN!A36))+(COUNTIF(SSN!$A$7:$A$50,SSN!A36))+(COUNTIF('W3'!$A$7:$A$50,SSN!A36))+(COUNTIF('ATHIS MONS'!$A$7:$A$50,SSN!A36))+(COUNTIF('L HAY LES ROSES'!$A$7:$A$50,SSN!A36))+(COUNTIF(RUNGIS!$A$7:$A$50,SSN!A36))+(COUNTIF(SCEAUX!$A$7:$A$50,SSN!A36))+(COUNTIF('INSTANCE C1'!$A$7:$A$50,SSN!A36))+(COUNTIF('INSTANCE C2'!$A$7:$A$50,SSN!A36))+(COUNTIF(INTERNES!$A$7:$A$50,SSN!A36))+(COUNTIF('EN PANNE'!$A$7:$A$50,SSN!A36))+(COUNTIF(TJM!$A$7:$A$50,SSN!A36))-C36</f>
        <v>0</v>
      </c>
      <c r="C36" s="23">
        <f>(COUNTIF('2S EXPRESS'!$G$7:$G$50,SSN!A36))+(COUNTIF('2 ZT'!$G$7:$G$50,SSN!A36))+(COUNTIF('GO TRANSPORT'!$G$7:$G$50,SSN!A36))+(COUNTIF(SSN!$G$7:$G$50,SSN!A36))+(COUNTIF('IB TRANSPORT'!$G$7:$G$50,SSN!A36))+(COUNTIF(JSL!$G$7:$G$50,SSN!A36))+(COUNTIF(KIFAITOUT!$G$7:$G$50,SSN!A36))+(COUNTIF('LUXE DRIVE'!$G$7:$G$50,SSN!A36))+(COUNTIF(SSN!$G$7:$G$50,SSN!A36))+(COUNTIF('W3'!$G$7:$G$50,SSN!A36))+(COUNTIF('ATHIS MONS'!$G$7:$G$50,SSN!A36))+(COUNTIF('L HAY LES ROSES'!$G$7:$G$50,SSN!A36))+(COUNTIF(RUNGIS!$G$7:$G$50,SSN!A36))+(COUNTIF(SCEAUX!$G$7:$G$50,SSN!A36))+(COUNTIF('INSTANCE C1'!$G$7:$G$50,SSN!A36))+(COUNTIF('INSTANCE C2'!$G$7:$G$50,SSN!A36))+(COUNTIF(INTERNES!$G$7:$G$50,SSN!A36))+(COUNTIF('EN PANNE'!$G$7:$G$50,SSN!A36))+(COUNTIF(TJM!$A$7:$A$50,SSN!A36))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EXPRESS'!$G$7:$G$50,SSN!G36))+(COUNTIF('2 ZT'!$G$7:$G$50,SSN!G36))+(COUNTIF('GO TRANSPORT'!$G$7:$G$50,SSN!G36))+(COUNTIF('HMZ - KAIS'!$G$7:$G$50,SSN!G36))+(COUNTIF('IB TRANSPORT'!$G$7:$G$50,SSN!G36))+(COUNTIF(JSL!$G$7:$G$50,SSN!G36))+(COUNTIF(KIFAITOUT!$G$7:$G$50,SSN!G36))+(COUNTIF('LUXE DRIVE'!$G$7:$G$50,SSN!G36))+(COUNTIF(SSN!$G$7:$G$50,SSN!G36))+(COUNTIF('W3'!$G$7:$G$50,SSN!G36))+(COUNTIF('ATHIS MONS'!$G$7:$G$50,SSN!G36))+(COUNTIF('L HAY LES ROSES'!$G$7:$G$50,SSN!G36))+(COUNTIF(RUNGIS!$G$7:$G$50,SSN!G36))+(COUNTIF(SCEAUX!$G$7:$G$50,SSN!G36))+(COUNTIF('INSTANCE C1'!$G$7:$G$50,SSN!G36))+(COUNTIF('INSTANCE C2'!$G$7:$G$50,SSN!G36))+(COUNTIF(INTERNES!$G$7:$G$50,SSN!G36))+(COUNTIF('EN PANNE'!$G$7:$G$50,SSN!G36))+(COUNTIF(TJM!$G$7:$G$50,SSN!G36))-I36</f>
        <v>0</v>
      </c>
      <c r="I36" s="23">
        <f>(COUNTIF('2S EXPRESS'!$A$7:$A$50,SSN!G36))+(COUNTIF('2 ZT'!$A$7:$A$50,SSN!G36))+(COUNTIF('GO TRANSPORT'!$A$7:$A$50,SSN!G36))+(COUNTIF('HMZ - KAIS'!$A$7:$A$50,SSN!G36))+(COUNTIF('IB TRANSPORT'!$A$7:$A$50,SSN!G36))+(COUNTIF(JSL!$A$7:$A$50,SSN!G36))+(COUNTIF(KIFAITOUT!$A$7:$A$50,SSN!G36))+(COUNTIF('LUXE DRIVE'!$A$7:$A$50,SSN!G36))+(COUNTIF(SSN!$A$7:$A$50,SSN!G36))+(COUNTIF('W3'!$A$7:$A$50,SSN!G36))+(COUNTIF('ATHIS MONS'!$A$7:$A$50,SSN!G36))+(COUNTIF('L HAY LES ROSES'!$A$7:$A$50,SSN!G36))+(COUNTIF(RUNGIS!$A$7:$A$50,SSN!G36))+(COUNTIF(SCEAUX!$A$7:$A$50,SSN!G36))+(COUNTIF('INSTANCE C1'!$A$7:$A$50,SSN!G36))+(COUNTIF('INSTANCE C2'!$A$7:$A$50,SSN!G36))+(COUNTIF(INTERNES!$A$7:$A$50,SSN!G36))+(COUNTIF('EN PANNE'!$A$7:$A$50,SSN!G36))+(COUNTIF(TJM!$A$7:$A$50,SSN!G36))</f>
        <v>0</v>
      </c>
      <c r="J36" s="28">
        <f t="shared" si="4"/>
        <v>0</v>
      </c>
      <c r="K36" s="2"/>
      <c r="L36" s="47"/>
      <c r="S36" s="60">
        <f t="shared" si="1"/>
        <v>0</v>
      </c>
      <c r="T36" s="67">
        <f t="shared" si="2"/>
        <v>0</v>
      </c>
    </row>
    <row r="37" spans="1:20" ht="24.95" customHeight="1" x14ac:dyDescent="0.2">
      <c r="A37" s="20"/>
      <c r="B37" s="23">
        <f>(COUNTIF('2S EXPRESS'!$A$7:$A$50,SSN!A37))+(COUNTIF('2 ZT'!$A$7:$A$50,SSN!A37))+(COUNTIF('GO TRANSPORT'!$A$7:$A$50,SSN!A37))+(COUNTIF('HMZ - KAIS'!$A$7:$A$50,SSN!A37))+(COUNTIF('IB TRANSPORT'!$A$7:$A$50,SSN!A37))+(COUNTIF(JSL!$A$7:$A$50,SSN!A37))+(COUNTIF(KIFAITOUT!$A$7:$A$50,SSN!A37))+(COUNTIF('LUXE DRIVE'!$A$7:$A$50,SSN!A37))+(COUNTIF(SSN!$A$7:$A$50,SSN!A37))+(COUNTIF('W3'!$A$7:$A$50,SSN!A37))+(COUNTIF('ATHIS MONS'!$A$7:$A$50,SSN!A37))+(COUNTIF('L HAY LES ROSES'!$A$7:$A$50,SSN!A37))+(COUNTIF(RUNGIS!$A$7:$A$50,SSN!A37))+(COUNTIF(SCEAUX!$A$7:$A$50,SSN!A37))+(COUNTIF('INSTANCE C1'!$A$7:$A$50,SSN!A37))+(COUNTIF('INSTANCE C2'!$A$7:$A$50,SSN!A37))+(COUNTIF(INTERNES!$A$7:$A$50,SSN!A37))+(COUNTIF('EN PANNE'!$A$7:$A$50,SSN!A37))+(COUNTIF(TJM!$A$7:$A$50,SSN!A37))-C37</f>
        <v>0</v>
      </c>
      <c r="C37" s="23">
        <f>(COUNTIF('2S EXPRESS'!$G$7:$G$50,SSN!A37))+(COUNTIF('2 ZT'!$G$7:$G$50,SSN!A37))+(COUNTIF('GO TRANSPORT'!$G$7:$G$50,SSN!A37))+(COUNTIF(SSN!$G$7:$G$50,SSN!A37))+(COUNTIF('IB TRANSPORT'!$G$7:$G$50,SSN!A37))+(COUNTIF(JSL!$G$7:$G$50,SSN!A37))+(COUNTIF(KIFAITOUT!$G$7:$G$50,SSN!A37))+(COUNTIF('LUXE DRIVE'!$G$7:$G$50,SSN!A37))+(COUNTIF(SSN!$G$7:$G$50,SSN!A37))+(COUNTIF('W3'!$G$7:$G$50,SSN!A37))+(COUNTIF('ATHIS MONS'!$G$7:$G$50,SSN!A37))+(COUNTIF('L HAY LES ROSES'!$G$7:$G$50,SSN!A37))+(COUNTIF(RUNGIS!$G$7:$G$50,SSN!A37))+(COUNTIF(SCEAUX!$G$7:$G$50,SSN!A37))+(COUNTIF('INSTANCE C1'!$G$7:$G$50,SSN!A37))+(COUNTIF('INSTANCE C2'!$G$7:$G$50,SSN!A37))+(COUNTIF(INTERNES!$G$7:$G$50,SSN!A37))+(COUNTIF('EN PANNE'!$G$7:$G$50,SSN!A37))+(COUNTIF(TJM!$A$7:$A$50,SSN!A37))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EXPRESS'!$G$7:$G$50,SSN!G37))+(COUNTIF('2 ZT'!$G$7:$G$50,SSN!G37))+(COUNTIF('GO TRANSPORT'!$G$7:$G$50,SSN!G37))+(COUNTIF('HMZ - KAIS'!$G$7:$G$50,SSN!G37))+(COUNTIF('IB TRANSPORT'!$G$7:$G$50,SSN!G37))+(COUNTIF(JSL!$G$7:$G$50,SSN!G37))+(COUNTIF(KIFAITOUT!$G$7:$G$50,SSN!G37))+(COUNTIF('LUXE DRIVE'!$G$7:$G$50,SSN!G37))+(COUNTIF(SSN!$G$7:$G$50,SSN!G37))+(COUNTIF('W3'!$G$7:$G$50,SSN!G37))+(COUNTIF('ATHIS MONS'!$G$7:$G$50,SSN!G37))+(COUNTIF('L HAY LES ROSES'!$G$7:$G$50,SSN!G37))+(COUNTIF(RUNGIS!$G$7:$G$50,SSN!G37))+(COUNTIF(SCEAUX!$G$7:$G$50,SSN!G37))+(COUNTIF('INSTANCE C1'!$G$7:$G$50,SSN!G37))+(COUNTIF('INSTANCE C2'!$G$7:$G$50,SSN!G37))+(COUNTIF(INTERNES!$G$7:$G$50,SSN!G37))+(COUNTIF('EN PANNE'!$G$7:$G$50,SSN!G37))+(COUNTIF(TJM!$G$7:$G$50,SSN!G37))-I37</f>
        <v>0</v>
      </c>
      <c r="I37" s="23">
        <f>(COUNTIF('2S EXPRESS'!$A$7:$A$50,SSN!G37))+(COUNTIF('2 ZT'!$A$7:$A$50,SSN!G37))+(COUNTIF('GO TRANSPORT'!$A$7:$A$50,SSN!G37))+(COUNTIF('HMZ - KAIS'!$A$7:$A$50,SSN!G37))+(COUNTIF('IB TRANSPORT'!$A$7:$A$50,SSN!G37))+(COUNTIF(JSL!$A$7:$A$50,SSN!G37))+(COUNTIF(KIFAITOUT!$A$7:$A$50,SSN!G37))+(COUNTIF('LUXE DRIVE'!$A$7:$A$50,SSN!G37))+(COUNTIF(SSN!$A$7:$A$50,SSN!G37))+(COUNTIF('W3'!$A$7:$A$50,SSN!G37))+(COUNTIF('ATHIS MONS'!$A$7:$A$50,SSN!G37))+(COUNTIF('L HAY LES ROSES'!$A$7:$A$50,SSN!G37))+(COUNTIF(RUNGIS!$A$7:$A$50,SSN!G37))+(COUNTIF(SCEAUX!$A$7:$A$50,SSN!G37))+(COUNTIF('INSTANCE C1'!$A$7:$A$50,SSN!G37))+(COUNTIF('INSTANCE C2'!$A$7:$A$50,SSN!G37))+(COUNTIF(INTERNES!$A$7:$A$50,SSN!G37))+(COUNTIF('EN PANNE'!$A$7:$A$50,SSN!G37))+(COUNTIF(TJM!$A$7:$A$50,SSN!G37))</f>
        <v>0</v>
      </c>
      <c r="J37" s="28">
        <f t="shared" si="4"/>
        <v>0</v>
      </c>
      <c r="K37" s="2"/>
      <c r="L37" s="47"/>
      <c r="S37" s="60">
        <f t="shared" si="1"/>
        <v>0</v>
      </c>
      <c r="T37" s="67">
        <f t="shared" si="2"/>
        <v>0</v>
      </c>
    </row>
    <row r="38" spans="1:20" ht="24.95" customHeight="1" x14ac:dyDescent="0.2">
      <c r="A38" s="20"/>
      <c r="B38" s="23">
        <f>(COUNTIF('2S EXPRESS'!$A$7:$A$50,SSN!A38))+(COUNTIF('2 ZT'!$A$7:$A$50,SSN!A38))+(COUNTIF('GO TRANSPORT'!$A$7:$A$50,SSN!A38))+(COUNTIF('HMZ - KAIS'!$A$7:$A$50,SSN!A38))+(COUNTIF('IB TRANSPORT'!$A$7:$A$50,SSN!A38))+(COUNTIF(JSL!$A$7:$A$50,SSN!A38))+(COUNTIF(KIFAITOUT!$A$7:$A$50,SSN!A38))+(COUNTIF('LUXE DRIVE'!$A$7:$A$50,SSN!A38))+(COUNTIF(SSN!$A$7:$A$50,SSN!A38))+(COUNTIF('W3'!$A$7:$A$50,SSN!A38))+(COUNTIF('ATHIS MONS'!$A$7:$A$50,SSN!A38))+(COUNTIF('L HAY LES ROSES'!$A$7:$A$50,SSN!A38))+(COUNTIF(RUNGIS!$A$7:$A$50,SSN!A38))+(COUNTIF(SCEAUX!$A$7:$A$50,SSN!A38))+(COUNTIF('INSTANCE C1'!$A$7:$A$50,SSN!A38))+(COUNTIF('INSTANCE C2'!$A$7:$A$50,SSN!A38))+(COUNTIF(INTERNES!$A$7:$A$50,SSN!A38))+(COUNTIF('EN PANNE'!$A$7:$A$50,SSN!A38))+(COUNTIF(TJM!$A$7:$A$50,SSN!A38))-C38</f>
        <v>0</v>
      </c>
      <c r="C38" s="23">
        <f>(COUNTIF('2S EXPRESS'!$G$7:$G$50,SSN!A38))+(COUNTIF('2 ZT'!$G$7:$G$50,SSN!A38))+(COUNTIF('GO TRANSPORT'!$G$7:$G$50,SSN!A38))+(COUNTIF(SSN!$G$7:$G$50,SSN!A38))+(COUNTIF('IB TRANSPORT'!$G$7:$G$50,SSN!A38))+(COUNTIF(JSL!$G$7:$G$50,SSN!A38))+(COUNTIF(KIFAITOUT!$G$7:$G$50,SSN!A38))+(COUNTIF('LUXE DRIVE'!$G$7:$G$50,SSN!A38))+(COUNTIF(SSN!$G$7:$G$50,SSN!A38))+(COUNTIF('W3'!$G$7:$G$50,SSN!A38))+(COUNTIF('ATHIS MONS'!$G$7:$G$50,SSN!A38))+(COUNTIF('L HAY LES ROSES'!$G$7:$G$50,SSN!A38))+(COUNTIF(RUNGIS!$G$7:$G$50,SSN!A38))+(COUNTIF(SCEAUX!$G$7:$G$50,SSN!A38))+(COUNTIF('INSTANCE C1'!$G$7:$G$50,SSN!A38))+(COUNTIF('INSTANCE C2'!$G$7:$G$50,SSN!A38))+(COUNTIF(INTERNES!$G$7:$G$50,SSN!A38))+(COUNTIF('EN PANNE'!$G$7:$G$50,SSN!A38))+(COUNTIF(TJM!$A$7:$A$50,SSN!A38))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EXPRESS'!$G$7:$G$50,SSN!G38))+(COUNTIF('2 ZT'!$G$7:$G$50,SSN!G38))+(COUNTIF('GO TRANSPORT'!$G$7:$G$50,SSN!G38))+(COUNTIF('HMZ - KAIS'!$G$7:$G$50,SSN!G38))+(COUNTIF('IB TRANSPORT'!$G$7:$G$50,SSN!G38))+(COUNTIF(JSL!$G$7:$G$50,SSN!G38))+(COUNTIF(KIFAITOUT!$G$7:$G$50,SSN!G38))+(COUNTIF('LUXE DRIVE'!$G$7:$G$50,SSN!G38))+(COUNTIF(SSN!$G$7:$G$50,SSN!G38))+(COUNTIF('W3'!$G$7:$G$50,SSN!G38))+(COUNTIF('ATHIS MONS'!$G$7:$G$50,SSN!G38))+(COUNTIF('L HAY LES ROSES'!$G$7:$G$50,SSN!G38))+(COUNTIF(RUNGIS!$G$7:$G$50,SSN!G38))+(COUNTIF(SCEAUX!$G$7:$G$50,SSN!G38))+(COUNTIF('INSTANCE C1'!$G$7:$G$50,SSN!G38))+(COUNTIF('INSTANCE C2'!$G$7:$G$50,SSN!G38))+(COUNTIF(INTERNES!$G$7:$G$50,SSN!G38))+(COUNTIF('EN PANNE'!$G$7:$G$50,SSN!G38))+(COUNTIF(TJM!$G$7:$G$50,SSN!G38))-I38</f>
        <v>0</v>
      </c>
      <c r="I38" s="23">
        <f>(COUNTIF('2S EXPRESS'!$A$7:$A$50,SSN!G38))+(COUNTIF('2 ZT'!$A$7:$A$50,SSN!G38))+(COUNTIF('GO TRANSPORT'!$A$7:$A$50,SSN!G38))+(COUNTIF('HMZ - KAIS'!$A$7:$A$50,SSN!G38))+(COUNTIF('IB TRANSPORT'!$A$7:$A$50,SSN!G38))+(COUNTIF(JSL!$A$7:$A$50,SSN!G38))+(COUNTIF(KIFAITOUT!$A$7:$A$50,SSN!G38))+(COUNTIF('LUXE DRIVE'!$A$7:$A$50,SSN!G38))+(COUNTIF(SSN!$A$7:$A$50,SSN!G38))+(COUNTIF('W3'!$A$7:$A$50,SSN!G38))+(COUNTIF('ATHIS MONS'!$A$7:$A$50,SSN!G38))+(COUNTIF('L HAY LES ROSES'!$A$7:$A$50,SSN!G38))+(COUNTIF(RUNGIS!$A$7:$A$50,SSN!G38))+(COUNTIF(SCEAUX!$A$7:$A$50,SSN!G38))+(COUNTIF('INSTANCE C1'!$A$7:$A$50,SSN!G38))+(COUNTIF('INSTANCE C2'!$A$7:$A$50,SSN!G38))+(COUNTIF(INTERNES!$A$7:$A$50,SSN!G38))+(COUNTIF('EN PANNE'!$A$7:$A$50,SSN!G38))+(COUNTIF(TJM!$A$7:$A$50,SSN!G38))</f>
        <v>0</v>
      </c>
      <c r="J38" s="28">
        <f t="shared" si="4"/>
        <v>0</v>
      </c>
      <c r="K38" s="2"/>
      <c r="L38" s="47"/>
      <c r="S38" s="60">
        <f t="shared" si="1"/>
        <v>0</v>
      </c>
      <c r="T38" s="67">
        <f t="shared" si="2"/>
        <v>0</v>
      </c>
    </row>
    <row r="39" spans="1:20" ht="24.95" customHeight="1" x14ac:dyDescent="0.2">
      <c r="A39" s="20"/>
      <c r="B39" s="23">
        <f>(COUNTIF('2S EXPRESS'!$A$7:$A$50,SSN!A39))+(COUNTIF('2 ZT'!$A$7:$A$50,SSN!A39))+(COUNTIF('GO TRANSPORT'!$A$7:$A$50,SSN!A39))+(COUNTIF('HMZ - KAIS'!$A$7:$A$50,SSN!A39))+(COUNTIF('IB TRANSPORT'!$A$7:$A$50,SSN!A39))+(COUNTIF(JSL!$A$7:$A$50,SSN!A39))+(COUNTIF(KIFAITOUT!$A$7:$A$50,SSN!A39))+(COUNTIF('LUXE DRIVE'!$A$7:$A$50,SSN!A39))+(COUNTIF(SSN!$A$7:$A$50,SSN!A39))+(COUNTIF('W3'!$A$7:$A$50,SSN!A39))+(COUNTIF('ATHIS MONS'!$A$7:$A$50,SSN!A39))+(COUNTIF('L HAY LES ROSES'!$A$7:$A$50,SSN!A39))+(COUNTIF(RUNGIS!$A$7:$A$50,SSN!A39))+(COUNTIF(SCEAUX!$A$7:$A$50,SSN!A39))+(COUNTIF('INSTANCE C1'!$A$7:$A$50,SSN!A39))+(COUNTIF('INSTANCE C2'!$A$7:$A$50,SSN!A39))+(COUNTIF(INTERNES!$A$7:$A$50,SSN!A39))+(COUNTIF('EN PANNE'!$A$7:$A$50,SSN!A39))+(COUNTIF(TJM!$A$7:$A$50,SSN!A39))-C39</f>
        <v>0</v>
      </c>
      <c r="C39" s="23">
        <f>(COUNTIF('2S EXPRESS'!$G$7:$G$50,SSN!A39))+(COUNTIF('2 ZT'!$G$7:$G$50,SSN!A39))+(COUNTIF('GO TRANSPORT'!$G$7:$G$50,SSN!A39))+(COUNTIF(SSN!$G$7:$G$50,SSN!A39))+(COUNTIF('IB TRANSPORT'!$G$7:$G$50,SSN!A39))+(COUNTIF(JSL!$G$7:$G$50,SSN!A39))+(COUNTIF(KIFAITOUT!$G$7:$G$50,SSN!A39))+(COUNTIF('LUXE DRIVE'!$G$7:$G$50,SSN!A39))+(COUNTIF(SSN!$G$7:$G$50,SSN!A39))+(COUNTIF('W3'!$G$7:$G$50,SSN!A39))+(COUNTIF('ATHIS MONS'!$G$7:$G$50,SSN!A39))+(COUNTIF('L HAY LES ROSES'!$G$7:$G$50,SSN!A39))+(COUNTIF(RUNGIS!$G$7:$G$50,SSN!A39))+(COUNTIF(SCEAUX!$G$7:$G$50,SSN!A39))+(COUNTIF('INSTANCE C1'!$G$7:$G$50,SSN!A39))+(COUNTIF('INSTANCE C2'!$G$7:$G$50,SSN!A39))+(COUNTIF(INTERNES!$G$7:$G$50,SSN!A39))+(COUNTIF('EN PANNE'!$G$7:$G$50,SSN!A39))+(COUNTIF(TJM!$A$7:$A$50,SSN!A39))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EXPRESS'!$G$7:$G$50,SSN!G39))+(COUNTIF('2 ZT'!$G$7:$G$50,SSN!G39))+(COUNTIF('GO TRANSPORT'!$G$7:$G$50,SSN!G39))+(COUNTIF('HMZ - KAIS'!$G$7:$G$50,SSN!G39))+(COUNTIF('IB TRANSPORT'!$G$7:$G$50,SSN!G39))+(COUNTIF(JSL!$G$7:$G$50,SSN!G39))+(COUNTIF(KIFAITOUT!$G$7:$G$50,SSN!G39))+(COUNTIF('LUXE DRIVE'!$G$7:$G$50,SSN!G39))+(COUNTIF(SSN!$G$7:$G$50,SSN!G39))+(COUNTIF('W3'!$G$7:$G$50,SSN!G39))+(COUNTIF('ATHIS MONS'!$G$7:$G$50,SSN!G39))+(COUNTIF('L HAY LES ROSES'!$G$7:$G$50,SSN!G39))+(COUNTIF(RUNGIS!$G$7:$G$50,SSN!G39))+(COUNTIF(SCEAUX!$G$7:$G$50,SSN!G39))+(COUNTIF('INSTANCE C1'!$G$7:$G$50,SSN!G39))+(COUNTIF('INSTANCE C2'!$G$7:$G$50,SSN!G39))+(COUNTIF(INTERNES!$G$7:$G$50,SSN!G39))+(COUNTIF('EN PANNE'!$G$7:$G$50,SSN!G39))+(COUNTIF(TJM!$G$7:$G$50,SSN!G39))-I39</f>
        <v>0</v>
      </c>
      <c r="I39" s="23">
        <f>(COUNTIF('2S EXPRESS'!$A$7:$A$50,SSN!G39))+(COUNTIF('2 ZT'!$A$7:$A$50,SSN!G39))+(COUNTIF('GO TRANSPORT'!$A$7:$A$50,SSN!G39))+(COUNTIF('HMZ - KAIS'!$A$7:$A$50,SSN!G39))+(COUNTIF('IB TRANSPORT'!$A$7:$A$50,SSN!G39))+(COUNTIF(JSL!$A$7:$A$50,SSN!G39))+(COUNTIF(KIFAITOUT!$A$7:$A$50,SSN!G39))+(COUNTIF('LUXE DRIVE'!$A$7:$A$50,SSN!G39))+(COUNTIF(SSN!$A$7:$A$50,SSN!G39))+(COUNTIF('W3'!$A$7:$A$50,SSN!G39))+(COUNTIF('ATHIS MONS'!$A$7:$A$50,SSN!G39))+(COUNTIF('L HAY LES ROSES'!$A$7:$A$50,SSN!G39))+(COUNTIF(RUNGIS!$A$7:$A$50,SSN!G39))+(COUNTIF(SCEAUX!$A$7:$A$50,SSN!G39))+(COUNTIF('INSTANCE C1'!$A$7:$A$50,SSN!G39))+(COUNTIF('INSTANCE C2'!$A$7:$A$50,SSN!G39))+(COUNTIF(INTERNES!$A$7:$A$50,SSN!G39))+(COUNTIF('EN PANNE'!$A$7:$A$50,SSN!G39))+(COUNTIF(TJM!$A$7:$A$50,SSN!G39))</f>
        <v>0</v>
      </c>
      <c r="J39" s="28">
        <f t="shared" si="4"/>
        <v>0</v>
      </c>
      <c r="K39" s="2"/>
      <c r="L39" s="47"/>
      <c r="S39" s="60">
        <f t="shared" si="1"/>
        <v>0</v>
      </c>
      <c r="T39" s="67">
        <f t="shared" si="2"/>
        <v>0</v>
      </c>
    </row>
    <row r="40" spans="1:20" ht="24.95" customHeight="1" x14ac:dyDescent="0.2">
      <c r="A40" s="20"/>
      <c r="B40" s="23">
        <f>(COUNTIF('2S EXPRESS'!$A$7:$A$50,SSN!A40))+(COUNTIF('2 ZT'!$A$7:$A$50,SSN!A40))+(COUNTIF('GO TRANSPORT'!$A$7:$A$50,SSN!A40))+(COUNTIF('HMZ - KAIS'!$A$7:$A$50,SSN!A40))+(COUNTIF('IB TRANSPORT'!$A$7:$A$50,SSN!A40))+(COUNTIF(JSL!$A$7:$A$50,SSN!A40))+(COUNTIF(KIFAITOUT!$A$7:$A$50,SSN!A40))+(COUNTIF('LUXE DRIVE'!$A$7:$A$50,SSN!A40))+(COUNTIF(SSN!$A$7:$A$50,SSN!A40))+(COUNTIF('W3'!$A$7:$A$50,SSN!A40))+(COUNTIF('ATHIS MONS'!$A$7:$A$50,SSN!A40))+(COUNTIF('L HAY LES ROSES'!$A$7:$A$50,SSN!A40))+(COUNTIF(RUNGIS!$A$7:$A$50,SSN!A40))+(COUNTIF(SCEAUX!$A$7:$A$50,SSN!A40))+(COUNTIF('INSTANCE C1'!$A$7:$A$50,SSN!A40))+(COUNTIF('INSTANCE C2'!$A$7:$A$50,SSN!A40))+(COUNTIF(INTERNES!$A$7:$A$50,SSN!A40))+(COUNTIF('EN PANNE'!$A$7:$A$50,SSN!A40))+(COUNTIF(TJM!$A$7:$A$50,SSN!A40))-C40</f>
        <v>0</v>
      </c>
      <c r="C40" s="23">
        <f>(COUNTIF('2S EXPRESS'!$G$7:$G$50,SSN!A40))+(COUNTIF('2 ZT'!$G$7:$G$50,SSN!A40))+(COUNTIF('GO TRANSPORT'!$G$7:$G$50,SSN!A40))+(COUNTIF(SSN!$G$7:$G$50,SSN!A40))+(COUNTIF('IB TRANSPORT'!$G$7:$G$50,SSN!A40))+(COUNTIF(JSL!$G$7:$G$50,SSN!A40))+(COUNTIF(KIFAITOUT!$G$7:$G$50,SSN!A40))+(COUNTIF('LUXE DRIVE'!$G$7:$G$50,SSN!A40))+(COUNTIF(SSN!$G$7:$G$50,SSN!A40))+(COUNTIF('W3'!$G$7:$G$50,SSN!A40))+(COUNTIF('ATHIS MONS'!$G$7:$G$50,SSN!A40))+(COUNTIF('L HAY LES ROSES'!$G$7:$G$50,SSN!A40))+(COUNTIF(RUNGIS!$G$7:$G$50,SSN!A40))+(COUNTIF(SCEAUX!$G$7:$G$50,SSN!A40))+(COUNTIF('INSTANCE C1'!$G$7:$G$50,SSN!A40))+(COUNTIF('INSTANCE C2'!$G$7:$G$50,SSN!A40))+(COUNTIF(INTERNES!$G$7:$G$50,SSN!A40))+(COUNTIF('EN PANNE'!$G$7:$G$50,SSN!A40))+(COUNTIF(TJM!$A$7:$A$50,SSN!A40))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EXPRESS'!$G$7:$G$50,SSN!G40))+(COUNTIF('2 ZT'!$G$7:$G$50,SSN!G40))+(COUNTIF('GO TRANSPORT'!$G$7:$G$50,SSN!G40))+(COUNTIF('HMZ - KAIS'!$G$7:$G$50,SSN!G40))+(COUNTIF('IB TRANSPORT'!$G$7:$G$50,SSN!G40))+(COUNTIF(JSL!$G$7:$G$50,SSN!G40))+(COUNTIF(KIFAITOUT!$G$7:$G$50,SSN!G40))+(COUNTIF('LUXE DRIVE'!$G$7:$G$50,SSN!G40))+(COUNTIF(SSN!$G$7:$G$50,SSN!G40))+(COUNTIF('W3'!$G$7:$G$50,SSN!G40))+(COUNTIF('ATHIS MONS'!$G$7:$G$50,SSN!G40))+(COUNTIF('L HAY LES ROSES'!$G$7:$G$50,SSN!G40))+(COUNTIF(RUNGIS!$G$7:$G$50,SSN!G40))+(COUNTIF(SCEAUX!$G$7:$G$50,SSN!G40))+(COUNTIF('INSTANCE C1'!$G$7:$G$50,SSN!G40))+(COUNTIF('INSTANCE C2'!$G$7:$G$50,SSN!G40))+(COUNTIF(INTERNES!$G$7:$G$50,SSN!G40))+(COUNTIF('EN PANNE'!$G$7:$G$50,SSN!G40))+(COUNTIF(TJM!$G$7:$G$50,SSN!G40))-I40</f>
        <v>0</v>
      </c>
      <c r="I40" s="23">
        <f>(COUNTIF('2S EXPRESS'!$A$7:$A$50,SSN!G40))+(COUNTIF('2 ZT'!$A$7:$A$50,SSN!G40))+(COUNTIF('GO TRANSPORT'!$A$7:$A$50,SSN!G40))+(COUNTIF('HMZ - KAIS'!$A$7:$A$50,SSN!G40))+(COUNTIF('IB TRANSPORT'!$A$7:$A$50,SSN!G40))+(COUNTIF(JSL!$A$7:$A$50,SSN!G40))+(COUNTIF(KIFAITOUT!$A$7:$A$50,SSN!G40))+(COUNTIF('LUXE DRIVE'!$A$7:$A$50,SSN!G40))+(COUNTIF(SSN!$A$7:$A$50,SSN!G40))+(COUNTIF('W3'!$A$7:$A$50,SSN!G40))+(COUNTIF('ATHIS MONS'!$A$7:$A$50,SSN!G40))+(COUNTIF('L HAY LES ROSES'!$A$7:$A$50,SSN!G40))+(COUNTIF(RUNGIS!$A$7:$A$50,SSN!G40))+(COUNTIF(SCEAUX!$A$7:$A$50,SSN!G40))+(COUNTIF('INSTANCE C1'!$A$7:$A$50,SSN!G40))+(COUNTIF('INSTANCE C2'!$A$7:$A$50,SSN!G40))+(COUNTIF(INTERNES!$A$7:$A$50,SSN!G40))+(COUNTIF('EN PANNE'!$A$7:$A$50,SSN!G40))+(COUNTIF(TJM!$A$7:$A$50,SSN!G40))</f>
        <v>0</v>
      </c>
      <c r="J40" s="28">
        <f t="shared" si="4"/>
        <v>0</v>
      </c>
      <c r="K40" s="2"/>
      <c r="L40" s="47"/>
      <c r="S40" s="60">
        <f t="shared" si="1"/>
        <v>0</v>
      </c>
      <c r="T40" s="67">
        <f t="shared" si="2"/>
        <v>0</v>
      </c>
    </row>
    <row r="41" spans="1:20" ht="24.95" customHeight="1" x14ac:dyDescent="0.2">
      <c r="A41" s="20"/>
      <c r="B41" s="23">
        <f>(COUNTIF('2S EXPRESS'!$A$7:$A$50,SSN!A41))+(COUNTIF('2 ZT'!$A$7:$A$50,SSN!A41))+(COUNTIF('GO TRANSPORT'!$A$7:$A$50,SSN!A41))+(COUNTIF('HMZ - KAIS'!$A$7:$A$50,SSN!A41))+(COUNTIF('IB TRANSPORT'!$A$7:$A$50,SSN!A41))+(COUNTIF(JSL!$A$7:$A$50,SSN!A41))+(COUNTIF(KIFAITOUT!$A$7:$A$50,SSN!A41))+(COUNTIF('LUXE DRIVE'!$A$7:$A$50,SSN!A41))+(COUNTIF(SSN!$A$7:$A$50,SSN!A41))+(COUNTIF('W3'!$A$7:$A$50,SSN!A41))+(COUNTIF('ATHIS MONS'!$A$7:$A$50,SSN!A41))+(COUNTIF('L HAY LES ROSES'!$A$7:$A$50,SSN!A41))+(COUNTIF(RUNGIS!$A$7:$A$50,SSN!A41))+(COUNTIF(SCEAUX!$A$7:$A$50,SSN!A41))+(COUNTIF('INSTANCE C1'!$A$7:$A$50,SSN!A41))+(COUNTIF('INSTANCE C2'!$A$7:$A$50,SSN!A41))+(COUNTIF(INTERNES!$A$7:$A$50,SSN!A41))+(COUNTIF('EN PANNE'!$A$7:$A$50,SSN!A41))+(COUNTIF(TJM!$A$7:$A$50,SSN!A41))-C41</f>
        <v>0</v>
      </c>
      <c r="C41" s="23">
        <f>(COUNTIF('2S EXPRESS'!$G$7:$G$50,SSN!A41))+(COUNTIF('2 ZT'!$G$7:$G$50,SSN!A41))+(COUNTIF('GO TRANSPORT'!$G$7:$G$50,SSN!A41))+(COUNTIF(SSN!$G$7:$G$50,SSN!A41))+(COUNTIF('IB TRANSPORT'!$G$7:$G$50,SSN!A41))+(COUNTIF(JSL!$G$7:$G$50,SSN!A41))+(COUNTIF(KIFAITOUT!$G$7:$G$50,SSN!A41))+(COUNTIF('LUXE DRIVE'!$G$7:$G$50,SSN!A41))+(COUNTIF(SSN!$G$7:$G$50,SSN!A41))+(COUNTIF('W3'!$G$7:$G$50,SSN!A41))+(COUNTIF('ATHIS MONS'!$G$7:$G$50,SSN!A41))+(COUNTIF('L HAY LES ROSES'!$G$7:$G$50,SSN!A41))+(COUNTIF(RUNGIS!$G$7:$G$50,SSN!A41))+(COUNTIF(SCEAUX!$G$7:$G$50,SSN!A41))+(COUNTIF('INSTANCE C1'!$G$7:$G$50,SSN!A41))+(COUNTIF('INSTANCE C2'!$G$7:$G$50,SSN!A41))+(COUNTIF(INTERNES!$G$7:$G$50,SSN!A41))+(COUNTIF('EN PANNE'!$G$7:$G$50,SSN!A41))+(COUNTIF(TJM!$A$7:$A$50,SSN!A41))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EXPRESS'!$G$7:$G$50,SSN!G41))+(COUNTIF('2 ZT'!$G$7:$G$50,SSN!G41))+(COUNTIF('GO TRANSPORT'!$G$7:$G$50,SSN!G41))+(COUNTIF('HMZ - KAIS'!$G$7:$G$50,SSN!G41))+(COUNTIF('IB TRANSPORT'!$G$7:$G$50,SSN!G41))+(COUNTIF(JSL!$G$7:$G$50,SSN!G41))+(COUNTIF(KIFAITOUT!$G$7:$G$50,SSN!G41))+(COUNTIF('LUXE DRIVE'!$G$7:$G$50,SSN!G41))+(COUNTIF(SSN!$G$7:$G$50,SSN!G41))+(COUNTIF('W3'!$G$7:$G$50,SSN!G41))+(COUNTIF('ATHIS MONS'!$G$7:$G$50,SSN!G41))+(COUNTIF('L HAY LES ROSES'!$G$7:$G$50,SSN!G41))+(COUNTIF(RUNGIS!$G$7:$G$50,SSN!G41))+(COUNTIF(SCEAUX!$G$7:$G$50,SSN!G41))+(COUNTIF('INSTANCE C1'!$G$7:$G$50,SSN!G41))+(COUNTIF('INSTANCE C2'!$G$7:$G$50,SSN!G41))+(COUNTIF(INTERNES!$G$7:$G$50,SSN!G41))+(COUNTIF('EN PANNE'!$G$7:$G$50,SSN!G41))+(COUNTIF(TJM!$G$7:$G$50,SSN!G41))-I41</f>
        <v>0</v>
      </c>
      <c r="I41" s="23">
        <f>(COUNTIF('2S EXPRESS'!$A$7:$A$50,SSN!G41))+(COUNTIF('2 ZT'!$A$7:$A$50,SSN!G41))+(COUNTIF('GO TRANSPORT'!$A$7:$A$50,SSN!G41))+(COUNTIF('HMZ - KAIS'!$A$7:$A$50,SSN!G41))+(COUNTIF('IB TRANSPORT'!$A$7:$A$50,SSN!G41))+(COUNTIF(JSL!$A$7:$A$50,SSN!G41))+(COUNTIF(KIFAITOUT!$A$7:$A$50,SSN!G41))+(COUNTIF('LUXE DRIVE'!$A$7:$A$50,SSN!G41))+(COUNTIF(SSN!$A$7:$A$50,SSN!G41))+(COUNTIF('W3'!$A$7:$A$50,SSN!G41))+(COUNTIF('ATHIS MONS'!$A$7:$A$50,SSN!G41))+(COUNTIF('L HAY LES ROSES'!$A$7:$A$50,SSN!G41))+(COUNTIF(RUNGIS!$A$7:$A$50,SSN!G41))+(COUNTIF(SCEAUX!$A$7:$A$50,SSN!G41))+(COUNTIF('INSTANCE C1'!$A$7:$A$50,SSN!G41))+(COUNTIF('INSTANCE C2'!$A$7:$A$50,SSN!G41))+(COUNTIF(INTERNES!$A$7:$A$50,SSN!G41))+(COUNTIF('EN PANNE'!$A$7:$A$50,SSN!G41))+(COUNTIF(TJM!$A$7:$A$50,SSN!G41))</f>
        <v>0</v>
      </c>
      <c r="J41" s="28">
        <f t="shared" si="4"/>
        <v>0</v>
      </c>
      <c r="K41" s="2"/>
      <c r="L41" s="47"/>
      <c r="S41" s="60">
        <f t="shared" si="1"/>
        <v>0</v>
      </c>
      <c r="T41" s="67">
        <f t="shared" si="2"/>
        <v>0</v>
      </c>
    </row>
    <row r="42" spans="1:20" ht="24.95" customHeight="1" x14ac:dyDescent="0.2">
      <c r="A42" s="20"/>
      <c r="B42" s="23">
        <f>(COUNTIF('2S EXPRESS'!$A$7:$A$50,SSN!A42))+(COUNTIF('2 ZT'!$A$7:$A$50,SSN!A42))+(COUNTIF('GO TRANSPORT'!$A$7:$A$50,SSN!A42))+(COUNTIF('HMZ - KAIS'!$A$7:$A$50,SSN!A42))+(COUNTIF('IB TRANSPORT'!$A$7:$A$50,SSN!A42))+(COUNTIF(JSL!$A$7:$A$50,SSN!A42))+(COUNTIF(KIFAITOUT!$A$7:$A$50,SSN!A42))+(COUNTIF('LUXE DRIVE'!$A$7:$A$50,SSN!A42))+(COUNTIF(SSN!$A$7:$A$50,SSN!A42))+(COUNTIF('W3'!$A$7:$A$50,SSN!A42))+(COUNTIF('ATHIS MONS'!$A$7:$A$50,SSN!A42))+(COUNTIF('L HAY LES ROSES'!$A$7:$A$50,SSN!A42))+(COUNTIF(RUNGIS!$A$7:$A$50,SSN!A42))+(COUNTIF(SCEAUX!$A$7:$A$50,SSN!A42))+(COUNTIF('INSTANCE C1'!$A$7:$A$50,SSN!A42))+(COUNTIF('INSTANCE C2'!$A$7:$A$50,SSN!A42))+(COUNTIF(INTERNES!$A$7:$A$50,SSN!A42))+(COUNTIF('EN PANNE'!$A$7:$A$50,SSN!A42))+(COUNTIF(TJM!$A$7:$A$50,SSN!A42))-C42</f>
        <v>0</v>
      </c>
      <c r="C42" s="23">
        <f>(COUNTIF('2S EXPRESS'!$G$7:$G$50,SSN!A42))+(COUNTIF('2 ZT'!$G$7:$G$50,SSN!A42))+(COUNTIF('GO TRANSPORT'!$G$7:$G$50,SSN!A42))+(COUNTIF(SSN!$G$7:$G$50,SSN!A42))+(COUNTIF('IB TRANSPORT'!$G$7:$G$50,SSN!A42))+(COUNTIF(JSL!$G$7:$G$50,SSN!A42))+(COUNTIF(KIFAITOUT!$G$7:$G$50,SSN!A42))+(COUNTIF('LUXE DRIVE'!$G$7:$G$50,SSN!A42))+(COUNTIF(SSN!$G$7:$G$50,SSN!A42))+(COUNTIF('W3'!$G$7:$G$50,SSN!A42))+(COUNTIF('ATHIS MONS'!$G$7:$G$50,SSN!A42))+(COUNTIF('L HAY LES ROSES'!$G$7:$G$50,SSN!A42))+(COUNTIF(RUNGIS!$G$7:$G$50,SSN!A42))+(COUNTIF(SCEAUX!$G$7:$G$50,SSN!A42))+(COUNTIF('INSTANCE C1'!$G$7:$G$50,SSN!A42))+(COUNTIF('INSTANCE C2'!$G$7:$G$50,SSN!A42))+(COUNTIF(INTERNES!$G$7:$G$50,SSN!A42))+(COUNTIF('EN PANNE'!$G$7:$G$50,SSN!A42))+(COUNTIF(TJM!$A$7:$A$50,SSN!A42))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EXPRESS'!$G$7:$G$50,SSN!G42))+(COUNTIF('2 ZT'!$G$7:$G$50,SSN!G42))+(COUNTIF('GO TRANSPORT'!$G$7:$G$50,SSN!G42))+(COUNTIF('HMZ - KAIS'!$G$7:$G$50,SSN!G42))+(COUNTIF('IB TRANSPORT'!$G$7:$G$50,SSN!G42))+(COUNTIF(JSL!$G$7:$G$50,SSN!G42))+(COUNTIF(KIFAITOUT!$G$7:$G$50,SSN!G42))+(COUNTIF('LUXE DRIVE'!$G$7:$G$50,SSN!G42))+(COUNTIF(SSN!$G$7:$G$50,SSN!G42))+(COUNTIF('W3'!$G$7:$G$50,SSN!G42))+(COUNTIF('ATHIS MONS'!$G$7:$G$50,SSN!G42))+(COUNTIF('L HAY LES ROSES'!$G$7:$G$50,SSN!G42))+(COUNTIF(RUNGIS!$G$7:$G$50,SSN!G42))+(COUNTIF(SCEAUX!$G$7:$G$50,SSN!G42))+(COUNTIF('INSTANCE C1'!$G$7:$G$50,SSN!G42))+(COUNTIF('INSTANCE C2'!$G$7:$G$50,SSN!G42))+(COUNTIF(INTERNES!$G$7:$G$50,SSN!G42))+(COUNTIF('EN PANNE'!$G$7:$G$50,SSN!G42))+(COUNTIF(TJM!$G$7:$G$50,SSN!G42))-I42</f>
        <v>0</v>
      </c>
      <c r="I42" s="23">
        <f>(COUNTIF('2S EXPRESS'!$A$7:$A$50,SSN!G42))+(COUNTIF('2 ZT'!$A$7:$A$50,SSN!G42))+(COUNTIF('GO TRANSPORT'!$A$7:$A$50,SSN!G42))+(COUNTIF('HMZ - KAIS'!$A$7:$A$50,SSN!G42))+(COUNTIF('IB TRANSPORT'!$A$7:$A$50,SSN!G42))+(COUNTIF(JSL!$A$7:$A$50,SSN!G42))+(COUNTIF(KIFAITOUT!$A$7:$A$50,SSN!G42))+(COUNTIF('LUXE DRIVE'!$A$7:$A$50,SSN!G42))+(COUNTIF(SSN!$A$7:$A$50,SSN!G42))+(COUNTIF('W3'!$A$7:$A$50,SSN!G42))+(COUNTIF('ATHIS MONS'!$A$7:$A$50,SSN!G42))+(COUNTIF('L HAY LES ROSES'!$A$7:$A$50,SSN!G42))+(COUNTIF(RUNGIS!$A$7:$A$50,SSN!G42))+(COUNTIF(SCEAUX!$A$7:$A$50,SSN!G42))+(COUNTIF('INSTANCE C1'!$A$7:$A$50,SSN!G42))+(COUNTIF('INSTANCE C2'!$A$7:$A$50,SSN!G42))+(COUNTIF(INTERNES!$A$7:$A$50,SSN!G42))+(COUNTIF('EN PANNE'!$A$7:$A$50,SSN!G42))+(COUNTIF(TJM!$A$7:$A$50,SSN!G42))</f>
        <v>0</v>
      </c>
      <c r="J42" s="28">
        <f t="shared" si="4"/>
        <v>0</v>
      </c>
      <c r="K42" s="2"/>
      <c r="L42" s="47"/>
      <c r="S42" s="60">
        <f t="shared" si="1"/>
        <v>0</v>
      </c>
      <c r="T42" s="67">
        <f t="shared" si="2"/>
        <v>0</v>
      </c>
    </row>
    <row r="43" spans="1:20" ht="24.95" customHeight="1" x14ac:dyDescent="0.2">
      <c r="A43" s="20"/>
      <c r="B43" s="23">
        <f>(COUNTIF('2S EXPRESS'!$A$7:$A$50,SSN!A43))+(COUNTIF('2 ZT'!$A$7:$A$50,SSN!A43))+(COUNTIF('GO TRANSPORT'!$A$7:$A$50,SSN!A43))+(COUNTIF('HMZ - KAIS'!$A$7:$A$50,SSN!A43))+(COUNTIF('IB TRANSPORT'!$A$7:$A$50,SSN!A43))+(COUNTIF(JSL!$A$7:$A$50,SSN!A43))+(COUNTIF(KIFAITOUT!$A$7:$A$50,SSN!A43))+(COUNTIF('LUXE DRIVE'!$A$7:$A$50,SSN!A43))+(COUNTIF(SSN!$A$7:$A$50,SSN!A43))+(COUNTIF('W3'!$A$7:$A$50,SSN!A43))+(COUNTIF('ATHIS MONS'!$A$7:$A$50,SSN!A43))+(COUNTIF('L HAY LES ROSES'!$A$7:$A$50,SSN!A43))+(COUNTIF(RUNGIS!$A$7:$A$50,SSN!A43))+(COUNTIF(SCEAUX!$A$7:$A$50,SSN!A43))+(COUNTIF('INSTANCE C1'!$A$7:$A$50,SSN!A43))+(COUNTIF('INSTANCE C2'!$A$7:$A$50,SSN!A43))+(COUNTIF(INTERNES!$A$7:$A$50,SSN!A43))+(COUNTIF('EN PANNE'!$A$7:$A$50,SSN!A43))+(COUNTIF(TJM!$A$7:$A$50,SSN!A43))-C43</f>
        <v>0</v>
      </c>
      <c r="C43" s="23">
        <f>(COUNTIF('2S EXPRESS'!$G$7:$G$50,SSN!A43))+(COUNTIF('2 ZT'!$G$7:$G$50,SSN!A43))+(COUNTIF('GO TRANSPORT'!$G$7:$G$50,SSN!A43))+(COUNTIF(SSN!$G$7:$G$50,SSN!A43))+(COUNTIF('IB TRANSPORT'!$G$7:$G$50,SSN!A43))+(COUNTIF(JSL!$G$7:$G$50,SSN!A43))+(COUNTIF(KIFAITOUT!$G$7:$G$50,SSN!A43))+(COUNTIF('LUXE DRIVE'!$G$7:$G$50,SSN!A43))+(COUNTIF(SSN!$G$7:$G$50,SSN!A43))+(COUNTIF('W3'!$G$7:$G$50,SSN!A43))+(COUNTIF('ATHIS MONS'!$G$7:$G$50,SSN!A43))+(COUNTIF('L HAY LES ROSES'!$G$7:$G$50,SSN!A43))+(COUNTIF(RUNGIS!$G$7:$G$50,SSN!A43))+(COUNTIF(SCEAUX!$G$7:$G$50,SSN!A43))+(COUNTIF('INSTANCE C1'!$G$7:$G$50,SSN!A43))+(COUNTIF('INSTANCE C2'!$G$7:$G$50,SSN!A43))+(COUNTIF(INTERNES!$G$7:$G$50,SSN!A43))+(COUNTIF('EN PANNE'!$G$7:$G$50,SSN!A43))+(COUNTIF(TJM!$A$7:$A$50,SSN!A43))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EXPRESS'!$G$7:$G$50,SSN!G43))+(COUNTIF('2 ZT'!$G$7:$G$50,SSN!G43))+(COUNTIF('GO TRANSPORT'!$G$7:$G$50,SSN!G43))+(COUNTIF('HMZ - KAIS'!$G$7:$G$50,SSN!G43))+(COUNTIF('IB TRANSPORT'!$G$7:$G$50,SSN!G43))+(COUNTIF(JSL!$G$7:$G$50,SSN!G43))+(COUNTIF(KIFAITOUT!$G$7:$G$50,SSN!G43))+(COUNTIF('LUXE DRIVE'!$G$7:$G$50,SSN!G43))+(COUNTIF(SSN!$G$7:$G$50,SSN!G43))+(COUNTIF('W3'!$G$7:$G$50,SSN!G43))+(COUNTIF('ATHIS MONS'!$G$7:$G$50,SSN!G43))+(COUNTIF('L HAY LES ROSES'!$G$7:$G$50,SSN!G43))+(COUNTIF(RUNGIS!$G$7:$G$50,SSN!G43))+(COUNTIF(SCEAUX!$G$7:$G$50,SSN!G43))+(COUNTIF('INSTANCE C1'!$G$7:$G$50,SSN!G43))+(COUNTIF('INSTANCE C2'!$G$7:$G$50,SSN!G43))+(COUNTIF(INTERNES!$G$7:$G$50,SSN!G43))+(COUNTIF('EN PANNE'!$G$7:$G$50,SSN!G43))+(COUNTIF(TJM!$G$7:$G$50,SSN!G43))-I43</f>
        <v>0</v>
      </c>
      <c r="I43" s="23">
        <f>(COUNTIF('2S EXPRESS'!$A$7:$A$50,SSN!G43))+(COUNTIF('2 ZT'!$A$7:$A$50,SSN!G43))+(COUNTIF('GO TRANSPORT'!$A$7:$A$50,SSN!G43))+(COUNTIF('HMZ - KAIS'!$A$7:$A$50,SSN!G43))+(COUNTIF('IB TRANSPORT'!$A$7:$A$50,SSN!G43))+(COUNTIF(JSL!$A$7:$A$50,SSN!G43))+(COUNTIF(KIFAITOUT!$A$7:$A$50,SSN!G43))+(COUNTIF('LUXE DRIVE'!$A$7:$A$50,SSN!G43))+(COUNTIF(SSN!$A$7:$A$50,SSN!G43))+(COUNTIF('W3'!$A$7:$A$50,SSN!G43))+(COUNTIF('ATHIS MONS'!$A$7:$A$50,SSN!G43))+(COUNTIF('L HAY LES ROSES'!$A$7:$A$50,SSN!G43))+(COUNTIF(RUNGIS!$A$7:$A$50,SSN!G43))+(COUNTIF(SCEAUX!$A$7:$A$50,SSN!G43))+(COUNTIF('INSTANCE C1'!$A$7:$A$50,SSN!G43))+(COUNTIF('INSTANCE C2'!$A$7:$A$50,SSN!G43))+(COUNTIF(INTERNES!$A$7:$A$50,SSN!G43))+(COUNTIF('EN PANNE'!$A$7:$A$50,SSN!G43))+(COUNTIF(TJM!$A$7:$A$50,SSN!G43))</f>
        <v>0</v>
      </c>
      <c r="J43" s="28">
        <f t="shared" si="4"/>
        <v>0</v>
      </c>
      <c r="K43" s="2"/>
      <c r="L43" s="47"/>
      <c r="S43" s="60">
        <f t="shared" si="1"/>
        <v>0</v>
      </c>
      <c r="T43" s="67">
        <f t="shared" si="2"/>
        <v>0</v>
      </c>
    </row>
    <row r="44" spans="1:20" ht="24.95" customHeight="1" x14ac:dyDescent="0.2">
      <c r="A44" s="20"/>
      <c r="B44" s="23">
        <f>(COUNTIF('2S EXPRESS'!$A$7:$A$50,SSN!A44))+(COUNTIF('2 ZT'!$A$7:$A$50,SSN!A44))+(COUNTIF('GO TRANSPORT'!$A$7:$A$50,SSN!A44))+(COUNTIF('HMZ - KAIS'!$A$7:$A$50,SSN!A44))+(COUNTIF('IB TRANSPORT'!$A$7:$A$50,SSN!A44))+(COUNTIF(JSL!$A$7:$A$50,SSN!A44))+(COUNTIF(KIFAITOUT!$A$7:$A$50,SSN!A44))+(COUNTIF('LUXE DRIVE'!$A$7:$A$50,SSN!A44))+(COUNTIF(SSN!$A$7:$A$50,SSN!A44))+(COUNTIF('W3'!$A$7:$A$50,SSN!A44))+(COUNTIF('ATHIS MONS'!$A$7:$A$50,SSN!A44))+(COUNTIF('L HAY LES ROSES'!$A$7:$A$50,SSN!A44))+(COUNTIF(RUNGIS!$A$7:$A$50,SSN!A44))+(COUNTIF(SCEAUX!$A$7:$A$50,SSN!A44))+(COUNTIF('INSTANCE C1'!$A$7:$A$50,SSN!A44))+(COUNTIF('INSTANCE C2'!$A$7:$A$50,SSN!A44))+(COUNTIF(INTERNES!$A$7:$A$50,SSN!A44))+(COUNTIF('EN PANNE'!$A$7:$A$50,SSN!A44))+(COUNTIF(TJM!$A$7:$A$50,SSN!A44))-C44</f>
        <v>0</v>
      </c>
      <c r="C44" s="23">
        <f>(COUNTIF('2S EXPRESS'!$G$7:$G$50,SSN!A44))+(COUNTIF('2 ZT'!$G$7:$G$50,SSN!A44))+(COUNTIF('GO TRANSPORT'!$G$7:$G$50,SSN!A44))+(COUNTIF(SSN!$G$7:$G$50,SSN!A44))+(COUNTIF('IB TRANSPORT'!$G$7:$G$50,SSN!A44))+(COUNTIF(JSL!$G$7:$G$50,SSN!A44))+(COUNTIF(KIFAITOUT!$G$7:$G$50,SSN!A44))+(COUNTIF('LUXE DRIVE'!$G$7:$G$50,SSN!A44))+(COUNTIF(SSN!$G$7:$G$50,SSN!A44))+(COUNTIF('W3'!$G$7:$G$50,SSN!A44))+(COUNTIF('ATHIS MONS'!$G$7:$G$50,SSN!A44))+(COUNTIF('L HAY LES ROSES'!$G$7:$G$50,SSN!A44))+(COUNTIF(RUNGIS!$G$7:$G$50,SSN!A44))+(COUNTIF(SCEAUX!$G$7:$G$50,SSN!A44))+(COUNTIF('INSTANCE C1'!$G$7:$G$50,SSN!A44))+(COUNTIF('INSTANCE C2'!$G$7:$G$50,SSN!A44))+(COUNTIF(INTERNES!$G$7:$G$50,SSN!A44))+(COUNTIF('EN PANNE'!$G$7:$G$50,SSN!A44))+(COUNTIF(TJM!$A$7:$A$50,SSN!A44))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EXPRESS'!$G$7:$G$50,SSN!G44))+(COUNTIF('2 ZT'!$G$7:$G$50,SSN!G44))+(COUNTIF('GO TRANSPORT'!$G$7:$G$50,SSN!G44))+(COUNTIF('HMZ - KAIS'!$G$7:$G$50,SSN!G44))+(COUNTIF('IB TRANSPORT'!$G$7:$G$50,SSN!G44))+(COUNTIF(JSL!$G$7:$G$50,SSN!G44))+(COUNTIF(KIFAITOUT!$G$7:$G$50,SSN!G44))+(COUNTIF('LUXE DRIVE'!$G$7:$G$50,SSN!G44))+(COUNTIF(SSN!$G$7:$G$50,SSN!G44))+(COUNTIF('W3'!$G$7:$G$50,SSN!G44))+(COUNTIF('ATHIS MONS'!$G$7:$G$50,SSN!G44))+(COUNTIF('L HAY LES ROSES'!$G$7:$G$50,SSN!G44))+(COUNTIF(RUNGIS!$G$7:$G$50,SSN!G44))+(COUNTIF(SCEAUX!$G$7:$G$50,SSN!G44))+(COUNTIF('INSTANCE C1'!$G$7:$G$50,SSN!G44))+(COUNTIF('INSTANCE C2'!$G$7:$G$50,SSN!G44))+(COUNTIF(INTERNES!$G$7:$G$50,SSN!G44))+(COUNTIF('EN PANNE'!$G$7:$G$50,SSN!G44))+(COUNTIF(TJM!$G$7:$G$50,SSN!G44))-I44</f>
        <v>0</v>
      </c>
      <c r="I44" s="23">
        <f>(COUNTIF('2S EXPRESS'!$A$7:$A$50,SSN!G44))+(COUNTIF('2 ZT'!$A$7:$A$50,SSN!G44))+(COUNTIF('GO TRANSPORT'!$A$7:$A$50,SSN!G44))+(COUNTIF('HMZ - KAIS'!$A$7:$A$50,SSN!G44))+(COUNTIF('IB TRANSPORT'!$A$7:$A$50,SSN!G44))+(COUNTIF(JSL!$A$7:$A$50,SSN!G44))+(COUNTIF(KIFAITOUT!$A$7:$A$50,SSN!G44))+(COUNTIF('LUXE DRIVE'!$A$7:$A$50,SSN!G44))+(COUNTIF(SSN!$A$7:$A$50,SSN!G44))+(COUNTIF('W3'!$A$7:$A$50,SSN!G44))+(COUNTIF('ATHIS MONS'!$A$7:$A$50,SSN!G44))+(COUNTIF('L HAY LES ROSES'!$A$7:$A$50,SSN!G44))+(COUNTIF(RUNGIS!$A$7:$A$50,SSN!G44))+(COUNTIF(SCEAUX!$A$7:$A$50,SSN!G44))+(COUNTIF('INSTANCE C1'!$A$7:$A$50,SSN!G44))+(COUNTIF('INSTANCE C2'!$A$7:$A$50,SSN!G44))+(COUNTIF(INTERNES!$A$7:$A$50,SSN!G44))+(COUNTIF('EN PANNE'!$A$7:$A$50,SSN!G44))+(COUNTIF(TJM!$A$7:$A$50,SSN!G44))</f>
        <v>0</v>
      </c>
      <c r="J44" s="28">
        <f t="shared" si="4"/>
        <v>0</v>
      </c>
      <c r="K44" s="2"/>
      <c r="L44" s="47"/>
      <c r="S44" s="60">
        <f t="shared" si="1"/>
        <v>0</v>
      </c>
      <c r="T44" s="67">
        <f t="shared" si="2"/>
        <v>0</v>
      </c>
    </row>
    <row r="45" spans="1:20" ht="24.95" customHeight="1" x14ac:dyDescent="0.2">
      <c r="A45" s="20"/>
      <c r="B45" s="23">
        <f>(COUNTIF('2S EXPRESS'!$A$7:$A$50,SSN!A45))+(COUNTIF('2 ZT'!$A$7:$A$50,SSN!A45))+(COUNTIF('GO TRANSPORT'!$A$7:$A$50,SSN!A45))+(COUNTIF('HMZ - KAIS'!$A$7:$A$50,SSN!A45))+(COUNTIF('IB TRANSPORT'!$A$7:$A$50,SSN!A45))+(COUNTIF(JSL!$A$7:$A$50,SSN!A45))+(COUNTIF(KIFAITOUT!$A$7:$A$50,SSN!A45))+(COUNTIF('LUXE DRIVE'!$A$7:$A$50,SSN!A45))+(COUNTIF(SSN!$A$7:$A$50,SSN!A45))+(COUNTIF('W3'!$A$7:$A$50,SSN!A45))+(COUNTIF('ATHIS MONS'!$A$7:$A$50,SSN!A45))+(COUNTIF('L HAY LES ROSES'!$A$7:$A$50,SSN!A45))+(COUNTIF(RUNGIS!$A$7:$A$50,SSN!A45))+(COUNTIF(SCEAUX!$A$7:$A$50,SSN!A45))+(COUNTIF('INSTANCE C1'!$A$7:$A$50,SSN!A45))+(COUNTIF('INSTANCE C2'!$A$7:$A$50,SSN!A45))+(COUNTIF(INTERNES!$A$7:$A$50,SSN!A45))+(COUNTIF('EN PANNE'!$A$7:$A$50,SSN!A45))+(COUNTIF(TJM!$A$7:$A$50,SSN!A45))-C45</f>
        <v>0</v>
      </c>
      <c r="C45" s="23">
        <f>(COUNTIF('2S EXPRESS'!$G$7:$G$50,SSN!A45))+(COUNTIF('2 ZT'!$G$7:$G$50,SSN!A45))+(COUNTIF('GO TRANSPORT'!$G$7:$G$50,SSN!A45))+(COUNTIF(SSN!$G$7:$G$50,SSN!A45))+(COUNTIF('IB TRANSPORT'!$G$7:$G$50,SSN!A45))+(COUNTIF(JSL!$G$7:$G$50,SSN!A45))+(COUNTIF(KIFAITOUT!$G$7:$G$50,SSN!A45))+(COUNTIF('LUXE DRIVE'!$G$7:$G$50,SSN!A45))+(COUNTIF(SSN!$G$7:$G$50,SSN!A45))+(COUNTIF('W3'!$G$7:$G$50,SSN!A45))+(COUNTIF('ATHIS MONS'!$G$7:$G$50,SSN!A45))+(COUNTIF('L HAY LES ROSES'!$G$7:$G$50,SSN!A45))+(COUNTIF(RUNGIS!$G$7:$G$50,SSN!A45))+(COUNTIF(SCEAUX!$G$7:$G$50,SSN!A45))+(COUNTIF('INSTANCE C1'!$G$7:$G$50,SSN!A45))+(COUNTIF('INSTANCE C2'!$G$7:$G$50,SSN!A45))+(COUNTIF(INTERNES!$G$7:$G$50,SSN!A45))+(COUNTIF('EN PANNE'!$G$7:$G$50,SSN!A45))+(COUNTIF(TJM!$A$7:$A$50,SSN!A45))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EXPRESS'!$G$7:$G$50,SSN!G45))+(COUNTIF('2 ZT'!$G$7:$G$50,SSN!G45))+(COUNTIF('GO TRANSPORT'!$G$7:$G$50,SSN!G45))+(COUNTIF('HMZ - KAIS'!$G$7:$G$50,SSN!G45))+(COUNTIF('IB TRANSPORT'!$G$7:$G$50,SSN!G45))+(COUNTIF(JSL!$G$7:$G$50,SSN!G45))+(COUNTIF(KIFAITOUT!$G$7:$G$50,SSN!G45))+(COUNTIF('LUXE DRIVE'!$G$7:$G$50,SSN!G45))+(COUNTIF(SSN!$G$7:$G$50,SSN!G45))+(COUNTIF('W3'!$G$7:$G$50,SSN!G45))+(COUNTIF('ATHIS MONS'!$G$7:$G$50,SSN!G45))+(COUNTIF('L HAY LES ROSES'!$G$7:$G$50,SSN!G45))+(COUNTIF(RUNGIS!$G$7:$G$50,SSN!G45))+(COUNTIF(SCEAUX!$G$7:$G$50,SSN!G45))+(COUNTIF('INSTANCE C1'!$G$7:$G$50,SSN!G45))+(COUNTIF('INSTANCE C2'!$G$7:$G$50,SSN!G45))+(COUNTIF(INTERNES!$G$7:$G$50,SSN!G45))+(COUNTIF('EN PANNE'!$G$7:$G$50,SSN!G45))+(COUNTIF(TJM!$G$7:$G$50,SSN!G45))-I45</f>
        <v>0</v>
      </c>
      <c r="I45" s="23">
        <f>(COUNTIF('2S EXPRESS'!$A$7:$A$50,SSN!G45))+(COUNTIF('2 ZT'!$A$7:$A$50,SSN!G45))+(COUNTIF('GO TRANSPORT'!$A$7:$A$50,SSN!G45))+(COUNTIF('HMZ - KAIS'!$A$7:$A$50,SSN!G45))+(COUNTIF('IB TRANSPORT'!$A$7:$A$50,SSN!G45))+(COUNTIF(JSL!$A$7:$A$50,SSN!G45))+(COUNTIF(KIFAITOUT!$A$7:$A$50,SSN!G45))+(COUNTIF('LUXE DRIVE'!$A$7:$A$50,SSN!G45))+(COUNTIF(SSN!$A$7:$A$50,SSN!G45))+(COUNTIF('W3'!$A$7:$A$50,SSN!G45))+(COUNTIF('ATHIS MONS'!$A$7:$A$50,SSN!G45))+(COUNTIF('L HAY LES ROSES'!$A$7:$A$50,SSN!G45))+(COUNTIF(RUNGIS!$A$7:$A$50,SSN!G45))+(COUNTIF(SCEAUX!$A$7:$A$50,SSN!G45))+(COUNTIF('INSTANCE C1'!$A$7:$A$50,SSN!G45))+(COUNTIF('INSTANCE C2'!$A$7:$A$50,SSN!G45))+(COUNTIF(INTERNES!$A$7:$A$50,SSN!G45))+(COUNTIF('EN PANNE'!$A$7:$A$50,SSN!G45))+(COUNTIF(TJM!$A$7:$A$50,SSN!G45))</f>
        <v>0</v>
      </c>
      <c r="J45" s="28">
        <f t="shared" si="4"/>
        <v>0</v>
      </c>
      <c r="K45" s="2"/>
      <c r="L45" s="47"/>
      <c r="S45" s="60">
        <f t="shared" si="1"/>
        <v>0</v>
      </c>
      <c r="T45" s="67">
        <f t="shared" si="2"/>
        <v>0</v>
      </c>
    </row>
    <row r="46" spans="1:20" ht="24.95" customHeight="1" x14ac:dyDescent="0.2">
      <c r="A46" s="20"/>
      <c r="B46" s="23">
        <f>(COUNTIF('2S EXPRESS'!$A$7:$A$50,SSN!A46))+(COUNTIF('2 ZT'!$A$7:$A$50,SSN!A46))+(COUNTIF('GO TRANSPORT'!$A$7:$A$50,SSN!A46))+(COUNTIF('HMZ - KAIS'!$A$7:$A$50,SSN!A46))+(COUNTIF('IB TRANSPORT'!$A$7:$A$50,SSN!A46))+(COUNTIF(JSL!$A$7:$A$50,SSN!A46))+(COUNTIF(KIFAITOUT!$A$7:$A$50,SSN!A46))+(COUNTIF('LUXE DRIVE'!$A$7:$A$50,SSN!A46))+(COUNTIF(SSN!$A$7:$A$50,SSN!A46))+(COUNTIF('W3'!$A$7:$A$50,SSN!A46))+(COUNTIF('ATHIS MONS'!$A$7:$A$50,SSN!A46))+(COUNTIF('L HAY LES ROSES'!$A$7:$A$50,SSN!A46))+(COUNTIF(RUNGIS!$A$7:$A$50,SSN!A46))+(COUNTIF(SCEAUX!$A$7:$A$50,SSN!A46))+(COUNTIF('INSTANCE C1'!$A$7:$A$50,SSN!A46))+(COUNTIF('INSTANCE C2'!$A$7:$A$50,SSN!A46))+(COUNTIF(INTERNES!$A$7:$A$50,SSN!A46))+(COUNTIF('EN PANNE'!$A$7:$A$50,SSN!A46))+(COUNTIF(TJM!$A$7:$A$50,SSN!A46))-C46</f>
        <v>0</v>
      </c>
      <c r="C46" s="23">
        <f>(COUNTIF('2S EXPRESS'!$G$7:$G$50,SSN!A46))+(COUNTIF('2 ZT'!$G$7:$G$50,SSN!A46))+(COUNTIF('GO TRANSPORT'!$G$7:$G$50,SSN!A46))+(COUNTIF(SSN!$G$7:$G$50,SSN!A46))+(COUNTIF('IB TRANSPORT'!$G$7:$G$50,SSN!A46))+(COUNTIF(JSL!$G$7:$G$50,SSN!A46))+(COUNTIF(KIFAITOUT!$G$7:$G$50,SSN!A46))+(COUNTIF('LUXE DRIVE'!$G$7:$G$50,SSN!A46))+(COUNTIF(SSN!$G$7:$G$50,SSN!A46))+(COUNTIF('W3'!$G$7:$G$50,SSN!A46))+(COUNTIF('ATHIS MONS'!$G$7:$G$50,SSN!A46))+(COUNTIF('L HAY LES ROSES'!$G$7:$G$50,SSN!A46))+(COUNTIF(RUNGIS!$G$7:$G$50,SSN!A46))+(COUNTIF(SCEAUX!$G$7:$G$50,SSN!A46))+(COUNTIF('INSTANCE C1'!$G$7:$G$50,SSN!A46))+(COUNTIF('INSTANCE C2'!$G$7:$G$50,SSN!A46))+(COUNTIF(INTERNES!$G$7:$G$50,SSN!A46))+(COUNTIF('EN PANNE'!$G$7:$G$50,SSN!A46))+(COUNTIF(TJM!$A$7:$A$50,SSN!A46))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EXPRESS'!$G$7:$G$50,SSN!G46))+(COUNTIF('2 ZT'!$G$7:$G$50,SSN!G46))+(COUNTIF('GO TRANSPORT'!$G$7:$G$50,SSN!G46))+(COUNTIF('HMZ - KAIS'!$G$7:$G$50,SSN!G46))+(COUNTIF('IB TRANSPORT'!$G$7:$G$50,SSN!G46))+(COUNTIF(JSL!$G$7:$G$50,SSN!G46))+(COUNTIF(KIFAITOUT!$G$7:$G$50,SSN!G46))+(COUNTIF('LUXE DRIVE'!$G$7:$G$50,SSN!G46))+(COUNTIF(SSN!$G$7:$G$50,SSN!G46))+(COUNTIF('W3'!$G$7:$G$50,SSN!G46))+(COUNTIF('ATHIS MONS'!$G$7:$G$50,SSN!G46))+(COUNTIF('L HAY LES ROSES'!$G$7:$G$50,SSN!G46))+(COUNTIF(RUNGIS!$G$7:$G$50,SSN!G46))+(COUNTIF(SCEAUX!$G$7:$G$50,SSN!G46))+(COUNTIF('INSTANCE C1'!$G$7:$G$50,SSN!G46))+(COUNTIF('INSTANCE C2'!$G$7:$G$50,SSN!G46))+(COUNTIF(INTERNES!$G$7:$G$50,SSN!G46))+(COUNTIF('EN PANNE'!$G$7:$G$50,SSN!G46))+(COUNTIF(TJM!$G$7:$G$50,SSN!G46))-I46</f>
        <v>0</v>
      </c>
      <c r="I46" s="23">
        <f>(COUNTIF('2S EXPRESS'!$A$7:$A$50,SSN!G46))+(COUNTIF('2 ZT'!$A$7:$A$50,SSN!G46))+(COUNTIF('GO TRANSPORT'!$A$7:$A$50,SSN!G46))+(COUNTIF('HMZ - KAIS'!$A$7:$A$50,SSN!G46))+(COUNTIF('IB TRANSPORT'!$A$7:$A$50,SSN!G46))+(COUNTIF(JSL!$A$7:$A$50,SSN!G46))+(COUNTIF(KIFAITOUT!$A$7:$A$50,SSN!G46))+(COUNTIF('LUXE DRIVE'!$A$7:$A$50,SSN!G46))+(COUNTIF(SSN!$A$7:$A$50,SSN!G46))+(COUNTIF('W3'!$A$7:$A$50,SSN!G46))+(COUNTIF('ATHIS MONS'!$A$7:$A$50,SSN!G46))+(COUNTIF('L HAY LES ROSES'!$A$7:$A$50,SSN!G46))+(COUNTIF(RUNGIS!$A$7:$A$50,SSN!G46))+(COUNTIF(SCEAUX!$A$7:$A$50,SSN!G46))+(COUNTIF('INSTANCE C1'!$A$7:$A$50,SSN!G46))+(COUNTIF('INSTANCE C2'!$A$7:$A$50,SSN!G46))+(COUNTIF(INTERNES!$A$7:$A$50,SSN!G46))+(COUNTIF('EN PANNE'!$A$7:$A$50,SSN!G46))+(COUNTIF(TJM!$A$7:$A$50,SSN!G46))</f>
        <v>0</v>
      </c>
      <c r="J46" s="28">
        <f t="shared" si="4"/>
        <v>0</v>
      </c>
      <c r="K46" s="2"/>
      <c r="L46" s="47"/>
      <c r="S46" s="60">
        <f t="shared" si="1"/>
        <v>0</v>
      </c>
      <c r="T46" s="67">
        <f t="shared" si="2"/>
        <v>0</v>
      </c>
    </row>
    <row r="47" spans="1:20" ht="24.95" customHeight="1" x14ac:dyDescent="0.2">
      <c r="A47" s="20"/>
      <c r="B47" s="23">
        <f>(COUNTIF('2S EXPRESS'!$A$7:$A$50,SSN!A47))+(COUNTIF('2 ZT'!$A$7:$A$50,SSN!A47))+(COUNTIF('GO TRANSPORT'!$A$7:$A$50,SSN!A47))+(COUNTIF('HMZ - KAIS'!$A$7:$A$50,SSN!A47))+(COUNTIF('IB TRANSPORT'!$A$7:$A$50,SSN!A47))+(COUNTIF(JSL!$A$7:$A$50,SSN!A47))+(COUNTIF(KIFAITOUT!$A$7:$A$50,SSN!A47))+(COUNTIF('LUXE DRIVE'!$A$7:$A$50,SSN!A47))+(COUNTIF(SSN!$A$7:$A$50,SSN!A47))+(COUNTIF('W3'!$A$7:$A$50,SSN!A47))+(COUNTIF('ATHIS MONS'!$A$7:$A$50,SSN!A47))+(COUNTIF('L HAY LES ROSES'!$A$7:$A$50,SSN!A47))+(COUNTIF(RUNGIS!$A$7:$A$50,SSN!A47))+(COUNTIF(SCEAUX!$A$7:$A$50,SSN!A47))+(COUNTIF('INSTANCE C1'!$A$7:$A$50,SSN!A47))+(COUNTIF('INSTANCE C2'!$A$7:$A$50,SSN!A47))+(COUNTIF(INTERNES!$A$7:$A$50,SSN!A47))+(COUNTIF('EN PANNE'!$A$7:$A$50,SSN!A47))+(COUNTIF(TJM!$A$7:$A$50,SSN!A47))-C47</f>
        <v>0</v>
      </c>
      <c r="C47" s="23">
        <f>(COUNTIF('2S EXPRESS'!$G$7:$G$50,SSN!A47))+(COUNTIF('2 ZT'!$G$7:$G$50,SSN!A47))+(COUNTIF('GO TRANSPORT'!$G$7:$G$50,SSN!A47))+(COUNTIF(SSN!$G$7:$G$50,SSN!A47))+(COUNTIF('IB TRANSPORT'!$G$7:$G$50,SSN!A47))+(COUNTIF(JSL!$G$7:$G$50,SSN!A47))+(COUNTIF(KIFAITOUT!$G$7:$G$50,SSN!A47))+(COUNTIF('LUXE DRIVE'!$G$7:$G$50,SSN!A47))+(COUNTIF(SSN!$G$7:$G$50,SSN!A47))+(COUNTIF('W3'!$G$7:$G$50,SSN!A47))+(COUNTIF('ATHIS MONS'!$G$7:$G$50,SSN!A47))+(COUNTIF('L HAY LES ROSES'!$G$7:$G$50,SSN!A47))+(COUNTIF(RUNGIS!$G$7:$G$50,SSN!A47))+(COUNTIF(SCEAUX!$G$7:$G$50,SSN!A47))+(COUNTIF('INSTANCE C1'!$G$7:$G$50,SSN!A47))+(COUNTIF('INSTANCE C2'!$G$7:$G$50,SSN!A47))+(COUNTIF(INTERNES!$G$7:$G$50,SSN!A47))+(COUNTIF('EN PANNE'!$G$7:$G$50,SSN!A47))+(COUNTIF(TJM!$A$7:$A$50,SSN!A47))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EXPRESS'!$G$7:$G$50,SSN!G47))+(COUNTIF('2 ZT'!$G$7:$G$50,SSN!G47))+(COUNTIF('GO TRANSPORT'!$G$7:$G$50,SSN!G47))+(COUNTIF('HMZ - KAIS'!$G$7:$G$50,SSN!G47))+(COUNTIF('IB TRANSPORT'!$G$7:$G$50,SSN!G47))+(COUNTIF(JSL!$G$7:$G$50,SSN!G47))+(COUNTIF(KIFAITOUT!$G$7:$G$50,SSN!G47))+(COUNTIF('LUXE DRIVE'!$G$7:$G$50,SSN!G47))+(COUNTIF(SSN!$G$7:$G$50,SSN!G47))+(COUNTIF('W3'!$G$7:$G$50,SSN!G47))+(COUNTIF('ATHIS MONS'!$G$7:$G$50,SSN!G47))+(COUNTIF('L HAY LES ROSES'!$G$7:$G$50,SSN!G47))+(COUNTIF(RUNGIS!$G$7:$G$50,SSN!G47))+(COUNTIF(SCEAUX!$G$7:$G$50,SSN!G47))+(COUNTIF('INSTANCE C1'!$G$7:$G$50,SSN!G47))+(COUNTIF('INSTANCE C2'!$G$7:$G$50,SSN!G47))+(COUNTIF(INTERNES!$G$7:$G$50,SSN!G47))+(COUNTIF('EN PANNE'!$G$7:$G$50,SSN!G47))+(COUNTIF(TJM!$G$7:$G$50,SSN!G47))-I47</f>
        <v>0</v>
      </c>
      <c r="I47" s="23">
        <f>(COUNTIF('2S EXPRESS'!$A$7:$A$50,SSN!G47))+(COUNTIF('2 ZT'!$A$7:$A$50,SSN!G47))+(COUNTIF('GO TRANSPORT'!$A$7:$A$50,SSN!G47))+(COUNTIF('HMZ - KAIS'!$A$7:$A$50,SSN!G47))+(COUNTIF('IB TRANSPORT'!$A$7:$A$50,SSN!G47))+(COUNTIF(JSL!$A$7:$A$50,SSN!G47))+(COUNTIF(KIFAITOUT!$A$7:$A$50,SSN!G47))+(COUNTIF('LUXE DRIVE'!$A$7:$A$50,SSN!G47))+(COUNTIF(SSN!$A$7:$A$50,SSN!G47))+(COUNTIF('W3'!$A$7:$A$50,SSN!G47))+(COUNTIF('ATHIS MONS'!$A$7:$A$50,SSN!G47))+(COUNTIF('L HAY LES ROSES'!$A$7:$A$50,SSN!G47))+(COUNTIF(RUNGIS!$A$7:$A$50,SSN!G47))+(COUNTIF(SCEAUX!$A$7:$A$50,SSN!G47))+(COUNTIF('INSTANCE C1'!$A$7:$A$50,SSN!G47))+(COUNTIF('INSTANCE C2'!$A$7:$A$50,SSN!G47))+(COUNTIF(INTERNES!$A$7:$A$50,SSN!G47))+(COUNTIF('EN PANNE'!$A$7:$A$50,SSN!G47))+(COUNTIF(TJM!$A$7:$A$50,SSN!G47))</f>
        <v>0</v>
      </c>
      <c r="J47" s="28">
        <f t="shared" si="4"/>
        <v>0</v>
      </c>
      <c r="K47" s="2"/>
      <c r="L47" s="47"/>
      <c r="S47" s="60">
        <f t="shared" si="1"/>
        <v>0</v>
      </c>
      <c r="T47" s="67">
        <f t="shared" si="2"/>
        <v>0</v>
      </c>
    </row>
    <row r="48" spans="1:20" ht="24.95" customHeight="1" x14ac:dyDescent="0.2">
      <c r="A48" s="20"/>
      <c r="B48" s="23">
        <f>(COUNTIF('2S EXPRESS'!$A$7:$A$50,SSN!A48))+(COUNTIF('2 ZT'!$A$7:$A$50,SSN!A48))+(COUNTIF('GO TRANSPORT'!$A$7:$A$50,SSN!A48))+(COUNTIF('HMZ - KAIS'!$A$7:$A$50,SSN!A48))+(COUNTIF('IB TRANSPORT'!$A$7:$A$50,SSN!A48))+(COUNTIF(JSL!$A$7:$A$50,SSN!A48))+(COUNTIF(KIFAITOUT!$A$7:$A$50,SSN!A48))+(COUNTIF('LUXE DRIVE'!$A$7:$A$50,SSN!A48))+(COUNTIF(SSN!$A$7:$A$50,SSN!A48))+(COUNTIF('W3'!$A$7:$A$50,SSN!A48))+(COUNTIF('ATHIS MONS'!$A$7:$A$50,SSN!A48))+(COUNTIF('L HAY LES ROSES'!$A$7:$A$50,SSN!A48))+(COUNTIF(RUNGIS!$A$7:$A$50,SSN!A48))+(COUNTIF(SCEAUX!$A$7:$A$50,SSN!A48))+(COUNTIF('INSTANCE C1'!$A$7:$A$50,SSN!A48))+(COUNTIF('INSTANCE C2'!$A$7:$A$50,SSN!A48))+(COUNTIF(INTERNES!$A$7:$A$50,SSN!A48))+(COUNTIF('EN PANNE'!$A$7:$A$50,SSN!A48))+(COUNTIF(TJM!$A$7:$A$50,SSN!A48))-C48</f>
        <v>0</v>
      </c>
      <c r="C48" s="23">
        <f>(COUNTIF('2S EXPRESS'!$G$7:$G$50,SSN!A48))+(COUNTIF('2 ZT'!$G$7:$G$50,SSN!A48))+(COUNTIF('GO TRANSPORT'!$G$7:$G$50,SSN!A48))+(COUNTIF(SSN!$G$7:$G$50,SSN!A48))+(COUNTIF('IB TRANSPORT'!$G$7:$G$50,SSN!A48))+(COUNTIF(JSL!$G$7:$G$50,SSN!A48))+(COUNTIF(KIFAITOUT!$G$7:$G$50,SSN!A48))+(COUNTIF('LUXE DRIVE'!$G$7:$G$50,SSN!A48))+(COUNTIF(SSN!$G$7:$G$50,SSN!A48))+(COUNTIF('W3'!$G$7:$G$50,SSN!A48))+(COUNTIF('ATHIS MONS'!$G$7:$G$50,SSN!A48))+(COUNTIF('L HAY LES ROSES'!$G$7:$G$50,SSN!A48))+(COUNTIF(RUNGIS!$G$7:$G$50,SSN!A48))+(COUNTIF(SCEAUX!$G$7:$G$50,SSN!A48))+(COUNTIF('INSTANCE C1'!$G$7:$G$50,SSN!A48))+(COUNTIF('INSTANCE C2'!$G$7:$G$50,SSN!A48))+(COUNTIF(INTERNES!$G$7:$G$50,SSN!A48))+(COUNTIF('EN PANNE'!$G$7:$G$50,SSN!A48))+(COUNTIF(TJM!$A$7:$A$50,SSN!A48))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EXPRESS'!$G$7:$G$50,SSN!G48))+(COUNTIF('2 ZT'!$G$7:$G$50,SSN!G48))+(COUNTIF('GO TRANSPORT'!$G$7:$G$50,SSN!G48))+(COUNTIF('HMZ - KAIS'!$G$7:$G$50,SSN!G48))+(COUNTIF('IB TRANSPORT'!$G$7:$G$50,SSN!G48))+(COUNTIF(JSL!$G$7:$G$50,SSN!G48))+(COUNTIF(KIFAITOUT!$G$7:$G$50,SSN!G48))+(COUNTIF('LUXE DRIVE'!$G$7:$G$50,SSN!G48))+(COUNTIF(SSN!$G$7:$G$50,SSN!G48))+(COUNTIF('W3'!$G$7:$G$50,SSN!G48))+(COUNTIF('ATHIS MONS'!$G$7:$G$50,SSN!G48))+(COUNTIF('L HAY LES ROSES'!$G$7:$G$50,SSN!G48))+(COUNTIF(RUNGIS!$G$7:$G$50,SSN!G48))+(COUNTIF(SCEAUX!$G$7:$G$50,SSN!G48))+(COUNTIF('INSTANCE C1'!$G$7:$G$50,SSN!G48))+(COUNTIF('INSTANCE C2'!$G$7:$G$50,SSN!G48))+(COUNTIF(INTERNES!$G$7:$G$50,SSN!G48))+(COUNTIF('EN PANNE'!$G$7:$G$50,SSN!G48))+(COUNTIF(TJM!$G$7:$G$50,SSN!G48))-I48</f>
        <v>0</v>
      </c>
      <c r="I48" s="23">
        <f>(COUNTIF('2S EXPRESS'!$A$7:$A$50,SSN!G48))+(COUNTIF('2 ZT'!$A$7:$A$50,SSN!G48))+(COUNTIF('GO TRANSPORT'!$A$7:$A$50,SSN!G48))+(COUNTIF('HMZ - KAIS'!$A$7:$A$50,SSN!G48))+(COUNTIF('IB TRANSPORT'!$A$7:$A$50,SSN!G48))+(COUNTIF(JSL!$A$7:$A$50,SSN!G48))+(COUNTIF(KIFAITOUT!$A$7:$A$50,SSN!G48))+(COUNTIF('LUXE DRIVE'!$A$7:$A$50,SSN!G48))+(COUNTIF(SSN!$A$7:$A$50,SSN!G48))+(COUNTIF('W3'!$A$7:$A$50,SSN!G48))+(COUNTIF('ATHIS MONS'!$A$7:$A$50,SSN!G48))+(COUNTIF('L HAY LES ROSES'!$A$7:$A$50,SSN!G48))+(COUNTIF(RUNGIS!$A$7:$A$50,SSN!G48))+(COUNTIF(SCEAUX!$A$7:$A$50,SSN!G48))+(COUNTIF('INSTANCE C1'!$A$7:$A$50,SSN!G48))+(COUNTIF('INSTANCE C2'!$A$7:$A$50,SSN!G48))+(COUNTIF(INTERNES!$A$7:$A$50,SSN!G48))+(COUNTIF('EN PANNE'!$A$7:$A$50,SSN!G48))+(COUNTIF(TJM!$A$7:$A$50,SSN!G48))</f>
        <v>0</v>
      </c>
      <c r="J48" s="28">
        <f t="shared" si="4"/>
        <v>0</v>
      </c>
      <c r="K48" s="2"/>
      <c r="L48" s="47"/>
      <c r="S48" s="60">
        <f t="shared" si="1"/>
        <v>0</v>
      </c>
      <c r="T48" s="67">
        <f t="shared" si="2"/>
        <v>0</v>
      </c>
    </row>
    <row r="49" spans="1:20" ht="24.95" customHeight="1" x14ac:dyDescent="0.2">
      <c r="A49" s="20"/>
      <c r="B49" s="23">
        <f>(COUNTIF('2S EXPRESS'!$A$7:$A$50,SSN!A49))+(COUNTIF('2 ZT'!$A$7:$A$50,SSN!A49))+(COUNTIF('GO TRANSPORT'!$A$7:$A$50,SSN!A49))+(COUNTIF('HMZ - KAIS'!$A$7:$A$50,SSN!A49))+(COUNTIF('IB TRANSPORT'!$A$7:$A$50,SSN!A49))+(COUNTIF(JSL!$A$7:$A$50,SSN!A49))+(COUNTIF(KIFAITOUT!$A$7:$A$50,SSN!A49))+(COUNTIF('LUXE DRIVE'!$A$7:$A$50,SSN!A49))+(COUNTIF(SSN!$A$7:$A$50,SSN!A49))+(COUNTIF('W3'!$A$7:$A$50,SSN!A49))+(COUNTIF('ATHIS MONS'!$A$7:$A$50,SSN!A49))+(COUNTIF('L HAY LES ROSES'!$A$7:$A$50,SSN!A49))+(COUNTIF(RUNGIS!$A$7:$A$50,SSN!A49))+(COUNTIF(SCEAUX!$A$7:$A$50,SSN!A49))+(COUNTIF('INSTANCE C1'!$A$7:$A$50,SSN!A49))+(COUNTIF('INSTANCE C2'!$A$7:$A$50,SSN!A49))+(COUNTIF(INTERNES!$A$7:$A$50,SSN!A49))+(COUNTIF('EN PANNE'!$A$7:$A$50,SSN!A49))+(COUNTIF(TJM!$A$7:$A$50,SSN!A49))-C49</f>
        <v>0</v>
      </c>
      <c r="C49" s="23">
        <f>(COUNTIF('2S EXPRESS'!$G$7:$G$50,SSN!A49))+(COUNTIF('2 ZT'!$G$7:$G$50,SSN!A49))+(COUNTIF('GO TRANSPORT'!$G$7:$G$50,SSN!A49))+(COUNTIF(SSN!$G$7:$G$50,SSN!A49))+(COUNTIF('IB TRANSPORT'!$G$7:$G$50,SSN!A49))+(COUNTIF(JSL!$G$7:$G$50,SSN!A49))+(COUNTIF(KIFAITOUT!$G$7:$G$50,SSN!A49))+(COUNTIF('LUXE DRIVE'!$G$7:$G$50,SSN!A49))+(COUNTIF(SSN!$G$7:$G$50,SSN!A49))+(COUNTIF('W3'!$G$7:$G$50,SSN!A49))+(COUNTIF('ATHIS MONS'!$G$7:$G$50,SSN!A49))+(COUNTIF('L HAY LES ROSES'!$G$7:$G$50,SSN!A49))+(COUNTIF(RUNGIS!$G$7:$G$50,SSN!A49))+(COUNTIF(SCEAUX!$G$7:$G$50,SSN!A49))+(COUNTIF('INSTANCE C1'!$G$7:$G$50,SSN!A49))+(COUNTIF('INSTANCE C2'!$G$7:$G$50,SSN!A49))+(COUNTIF(INTERNES!$G$7:$G$50,SSN!A49))+(COUNTIF('EN PANNE'!$G$7:$G$50,SSN!A49))+(COUNTIF(TJM!$A$7:$A$50,SSN!A49))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EXPRESS'!$G$7:$G$50,SSN!G49))+(COUNTIF('2 ZT'!$G$7:$G$50,SSN!G49))+(COUNTIF('GO TRANSPORT'!$G$7:$G$50,SSN!G49))+(COUNTIF('HMZ - KAIS'!$G$7:$G$50,SSN!G49))+(COUNTIF('IB TRANSPORT'!$G$7:$G$50,SSN!G49))+(COUNTIF(JSL!$G$7:$G$50,SSN!G49))+(COUNTIF(KIFAITOUT!$G$7:$G$50,SSN!G49))+(COUNTIF('LUXE DRIVE'!$G$7:$G$50,SSN!G49))+(COUNTIF(SSN!$G$7:$G$50,SSN!G49))+(COUNTIF('W3'!$G$7:$G$50,SSN!G49))+(COUNTIF('ATHIS MONS'!$G$7:$G$50,SSN!G49))+(COUNTIF('L HAY LES ROSES'!$G$7:$G$50,SSN!G49))+(COUNTIF(RUNGIS!$G$7:$G$50,SSN!G49))+(COUNTIF(SCEAUX!$G$7:$G$50,SSN!G49))+(COUNTIF('INSTANCE C1'!$G$7:$G$50,SSN!G49))+(COUNTIF('INSTANCE C2'!$G$7:$G$50,SSN!G49))+(COUNTIF(INTERNES!$G$7:$G$50,SSN!G49))+(COUNTIF('EN PANNE'!$G$7:$G$50,SSN!G49))+(COUNTIF(TJM!$G$7:$G$50,SSN!G49))-I49</f>
        <v>0</v>
      </c>
      <c r="I49" s="23">
        <f>(COUNTIF('2S EXPRESS'!$A$7:$A$50,SSN!G49))+(COUNTIF('2 ZT'!$A$7:$A$50,SSN!G49))+(COUNTIF('GO TRANSPORT'!$A$7:$A$50,SSN!G49))+(COUNTIF('HMZ - KAIS'!$A$7:$A$50,SSN!G49))+(COUNTIF('IB TRANSPORT'!$A$7:$A$50,SSN!G49))+(COUNTIF(JSL!$A$7:$A$50,SSN!G49))+(COUNTIF(KIFAITOUT!$A$7:$A$50,SSN!G49))+(COUNTIF('LUXE DRIVE'!$A$7:$A$50,SSN!G49))+(COUNTIF(SSN!$A$7:$A$50,SSN!G49))+(COUNTIF('W3'!$A$7:$A$50,SSN!G49))+(COUNTIF('ATHIS MONS'!$A$7:$A$50,SSN!G49))+(COUNTIF('L HAY LES ROSES'!$A$7:$A$50,SSN!G49))+(COUNTIF(RUNGIS!$A$7:$A$50,SSN!G49))+(COUNTIF(SCEAUX!$A$7:$A$50,SSN!G49))+(COUNTIF('INSTANCE C1'!$A$7:$A$50,SSN!G49))+(COUNTIF('INSTANCE C2'!$A$7:$A$50,SSN!G49))+(COUNTIF(INTERNES!$A$7:$A$50,SSN!G49))+(COUNTIF('EN PANNE'!$A$7:$A$50,SSN!G49))+(COUNTIF(TJM!$A$7:$A$50,SSN!G49))</f>
        <v>0</v>
      </c>
      <c r="J49" s="28">
        <f t="shared" si="4"/>
        <v>0</v>
      </c>
      <c r="K49" s="2"/>
      <c r="L49" s="47"/>
      <c r="S49" s="60">
        <f t="shared" si="1"/>
        <v>0</v>
      </c>
      <c r="T49" s="67">
        <f t="shared" si="2"/>
        <v>0</v>
      </c>
    </row>
    <row r="50" spans="1:20" ht="24.95" customHeight="1" thickBot="1" x14ac:dyDescent="0.25">
      <c r="A50" s="21"/>
      <c r="B50" s="25">
        <f>(COUNTIF('2S EXPRESS'!$A$7:$A$50,SSN!A50))+(COUNTIF('2 ZT'!$A$7:$A$50,SSN!A50))+(COUNTIF('GO TRANSPORT'!$A$7:$A$50,SSN!A50))+(COUNTIF('HMZ - KAIS'!$A$7:$A$50,SSN!A50))+(COUNTIF('IB TRANSPORT'!$A$7:$A$50,SSN!A50))+(COUNTIF(JSL!$A$7:$A$50,SSN!A50))+(COUNTIF(KIFAITOUT!$A$7:$A$50,SSN!A50))+(COUNTIF('LUXE DRIVE'!$A$7:$A$50,SSN!A50))+(COUNTIF(SSN!$A$7:$A$50,SSN!A50))+(COUNTIF('W3'!$A$7:$A$50,SSN!A50))+(COUNTIF('ATHIS MONS'!$A$7:$A$50,SSN!A50))+(COUNTIF('L HAY LES ROSES'!$A$7:$A$50,SSN!A50))+(COUNTIF(RUNGIS!$A$7:$A$50,SSN!A50))+(COUNTIF(SCEAUX!$A$7:$A$50,SSN!A50))+(COUNTIF('INSTANCE C1'!$A$7:$A$50,SSN!A50))+(COUNTIF('INSTANCE C2'!$A$7:$A$50,SSN!A50))+(COUNTIF(INTERNES!$A$7:$A$50,SSN!A50))+(COUNTIF('EN PANNE'!$A$7:$A$50,SSN!A50))+(COUNTIF(TJM!$A$7:$A$50,SSN!A50))-C50</f>
        <v>0</v>
      </c>
      <c r="C50" s="23">
        <f>(COUNTIF('2S EXPRESS'!$G$7:$G$50,SSN!A50))+(COUNTIF('2 ZT'!$G$7:$G$50,SSN!A50))+(COUNTIF('GO TRANSPORT'!$G$7:$G$50,SSN!A50))+(COUNTIF(SSN!$G$7:$G$50,SSN!A50))+(COUNTIF('IB TRANSPORT'!$G$7:$G$50,SSN!A50))+(COUNTIF(JSL!$G$7:$G$50,SSN!A50))+(COUNTIF(KIFAITOUT!$G$7:$G$50,SSN!A50))+(COUNTIF('LUXE DRIVE'!$G$7:$G$50,SSN!A50))+(COUNTIF(SSN!$G$7:$G$50,SSN!A50))+(COUNTIF('W3'!$G$7:$G$50,SSN!A50))+(COUNTIF('ATHIS MONS'!$G$7:$G$50,SSN!A50))+(COUNTIF('L HAY LES ROSES'!$G$7:$G$50,SSN!A50))+(COUNTIF(RUNGIS!$G$7:$G$50,SSN!A50))+(COUNTIF(SCEAUX!$G$7:$G$50,SSN!A50))+(COUNTIF('INSTANCE C1'!$G$7:$G$50,SSN!A50))+(COUNTIF('INSTANCE C2'!$G$7:$G$50,SSN!A50))+(COUNTIF(INTERNES!$G$7:$G$50,SSN!A50))+(COUNTIF('EN PANNE'!$G$7:$G$50,SSN!A50))+(COUNTIF(TJM!$A$7:$A$50,SSN!A50))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EXPRESS'!$G$7:$G$50,SSN!G50))+(COUNTIF('2 ZT'!$G$7:$G$50,SSN!G50))+(COUNTIF('GO TRANSPORT'!$G$7:$G$50,SSN!G50))+(COUNTIF('HMZ - KAIS'!$G$7:$G$50,SSN!G50))+(COUNTIF('IB TRANSPORT'!$G$7:$G$50,SSN!G50))+(COUNTIF(JSL!$G$7:$G$50,SSN!G50))+(COUNTIF(KIFAITOUT!$G$7:$G$50,SSN!G50))+(COUNTIF('LUXE DRIVE'!$G$7:$G$50,SSN!G50))+(COUNTIF(SSN!$G$7:$G$50,SSN!G50))+(COUNTIF('W3'!$G$7:$G$50,SSN!G50))+(COUNTIF('ATHIS MONS'!$G$7:$G$50,SSN!G50))+(COUNTIF('L HAY LES ROSES'!$G$7:$G$50,SSN!G50))+(COUNTIF(RUNGIS!$G$7:$G$50,SSN!G50))+(COUNTIF(SCEAUX!$G$7:$G$50,SSN!G50))+(COUNTIF('INSTANCE C1'!$G$7:$G$50,SSN!G50))+(COUNTIF('INSTANCE C2'!$G$7:$G$50,SSN!G50))+(COUNTIF(INTERNES!$G$7:$G$50,SSN!G50))+(COUNTIF('EN PANNE'!$G$7:$G$50,SSN!G50))+(COUNTIF(TJM!$G$7:$G$50,SSN!G50))-I50</f>
        <v>0</v>
      </c>
      <c r="I50" s="25">
        <f>(COUNTIF('2S EXPRESS'!$A$7:$A$50,SSN!G50))+(COUNTIF('2 ZT'!$A$7:$A$50,SSN!G50))+(COUNTIF('GO TRANSPORT'!$A$7:$A$50,SSN!G50))+(COUNTIF('HMZ - KAIS'!$A$7:$A$50,SSN!G50))+(COUNTIF('IB TRANSPORT'!$A$7:$A$50,SSN!G50))+(COUNTIF(JSL!$A$7:$A$50,SSN!G50))+(COUNTIF(KIFAITOUT!$A$7:$A$50,SSN!G50))+(COUNTIF('LUXE DRIVE'!$A$7:$A$50,SSN!G50))+(COUNTIF(SSN!$A$7:$A$50,SSN!G50))+(COUNTIF('W3'!$A$7:$A$50,SSN!G50))+(COUNTIF('ATHIS MONS'!$A$7:$A$50,SSN!G50))+(COUNTIF('L HAY LES ROSES'!$A$7:$A$50,SSN!G50))+(COUNTIF(RUNGIS!$A$7:$A$50,SSN!G50))+(COUNTIF(SCEAUX!$A$7:$A$50,SSN!G50))+(COUNTIF('INSTANCE C1'!$A$7:$A$50,SSN!G50))+(COUNTIF('INSTANCE C2'!$A$7:$A$50,SSN!G50))+(COUNTIF(INTERNES!$A$7:$A$50,SSN!G50))+(COUNTIF('EN PANNE'!$A$7:$A$50,SSN!G50))+(COUNTIF(TJM!$A$7:$A$50,SSN!G50))</f>
        <v>0</v>
      </c>
      <c r="J50" s="29">
        <f t="shared" si="4"/>
        <v>0</v>
      </c>
      <c r="K50" s="3"/>
      <c r="L50" s="47"/>
      <c r="S50" s="60">
        <f t="shared" si="1"/>
        <v>0</v>
      </c>
      <c r="T50" s="67">
        <f t="shared" si="2"/>
        <v>0</v>
      </c>
    </row>
    <row r="53" spans="1:20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</row>
  </sheetData>
  <mergeCells count="13">
    <mergeCell ref="M12:P12"/>
    <mergeCell ref="B2:E3"/>
    <mergeCell ref="G2:K3"/>
    <mergeCell ref="A4:E4"/>
    <mergeCell ref="G4:K4"/>
    <mergeCell ref="G5:G6"/>
    <mergeCell ref="K5:K6"/>
    <mergeCell ref="M8:P8"/>
    <mergeCell ref="M9:P9"/>
    <mergeCell ref="M11:P11"/>
    <mergeCell ref="E5:E6"/>
    <mergeCell ref="F5:F6"/>
    <mergeCell ref="A5:A6"/>
  </mergeCells>
  <conditionalFormatting sqref="F7:F50">
    <cfRule type="cellIs" dxfId="111" priority="10" operator="equal">
      <formula>1</formula>
    </cfRule>
  </conditionalFormatting>
  <conditionalFormatting sqref="A7:A50">
    <cfRule type="duplicateValues" dxfId="110" priority="8"/>
  </conditionalFormatting>
  <conditionalFormatting sqref="L7:L50">
    <cfRule type="cellIs" dxfId="109" priority="7" operator="greaterThan">
      <formula>0</formula>
    </cfRule>
  </conditionalFormatting>
  <conditionalFormatting sqref="D7">
    <cfRule type="cellIs" dxfId="108" priority="6" operator="greaterThan">
      <formula>0</formula>
    </cfRule>
  </conditionalFormatting>
  <conditionalFormatting sqref="D8:D50">
    <cfRule type="cellIs" dxfId="107" priority="5" operator="greaterThan">
      <formula>0</formula>
    </cfRule>
  </conditionalFormatting>
  <conditionalFormatting sqref="G7:G50">
    <cfRule type="duplicateValues" dxfId="106" priority="4"/>
  </conditionalFormatting>
  <conditionalFormatting sqref="J7">
    <cfRule type="cellIs" dxfId="105" priority="3" operator="greaterThan">
      <formula>0</formula>
    </cfRule>
  </conditionalFormatting>
  <conditionalFormatting sqref="J8:J50">
    <cfRule type="cellIs" dxfId="104" priority="2" operator="greaterThan">
      <formula>0</formula>
    </cfRule>
  </conditionalFormatting>
  <conditionalFormatting sqref="S7:S50">
    <cfRule type="cellIs" dxfId="103" priority="1" operator="greaterThan">
      <formula>0</formula>
    </cfRule>
  </conditionalFormatting>
  <dataValidations count="1">
    <dataValidation type="list" allowBlank="1" showInputMessage="1" showErrorMessage="1" sqref="K7:K50 E7:E50" xr:uid="{FB1285E2-26AB-412B-A78B-10C8C9EE892C}">
      <formula1>$Q$9:$Q$17</formula1>
    </dataValidation>
  </dataValidations>
  <pageMargins left="0.25" right="0.25" top="0.75" bottom="0.75" header="0.3" footer="0.3"/>
  <pageSetup paperSize="9" scale="88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B40A2B13-2EC8-4A95-8CE5-FA52509FC887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A469-278F-4E51-97BB-28D9E64B6A6B}">
  <sheetPr codeName="Feuil23">
    <tabColor rgb="FF92D050"/>
    <pageSetUpPr fitToPage="1"/>
  </sheetPr>
  <dimension ref="A1:Z53"/>
  <sheetViews>
    <sheetView showGridLines="0" zoomScaleNormal="100" workbookViewId="0">
      <selection activeCell="X19" sqref="X19"/>
    </sheetView>
  </sheetViews>
  <sheetFormatPr baseColWidth="10" defaultColWidth="11.42578125" defaultRowHeight="12.75" x14ac:dyDescent="0.2"/>
  <cols>
    <col min="1" max="1" width="25.7109375" style="9" customWidth="1"/>
    <col min="2" max="3" width="10.7109375" style="9" hidden="1" customWidth="1"/>
    <col min="4" max="4" width="7.7109375" style="9" customWidth="1"/>
    <col min="5" max="5" width="50.7109375" style="9" customWidth="1"/>
    <col min="6" max="6" width="13.7109375" style="9" customWidth="1"/>
    <col min="7" max="7" width="25.7109375" style="9" customWidth="1"/>
    <col min="8" max="9" width="10.7109375" style="9" hidden="1" customWidth="1"/>
    <col min="10" max="10" width="7.7109375" style="9" customWidth="1"/>
    <col min="11" max="11" width="50.7109375" style="9" customWidth="1"/>
    <col min="12" max="16" width="7.7109375" style="9" customWidth="1"/>
    <col min="17" max="17" width="22.7109375" style="9" hidden="1" customWidth="1"/>
    <col min="18" max="18" width="12.5703125" style="56" hidden="1" customWidth="1"/>
    <col min="19" max="20" width="11.42578125" style="56" hidden="1" customWidth="1"/>
    <col min="21" max="21" width="11.42578125" style="56" customWidth="1"/>
    <col min="22" max="26" width="11.42578125" style="56"/>
    <col min="27" max="16384" width="11.42578125" style="9"/>
  </cols>
  <sheetData>
    <row r="1" spans="1:26" ht="13.5" thickBot="1" x14ac:dyDescent="0.25">
      <c r="A1" s="33"/>
      <c r="B1" s="35"/>
      <c r="C1" s="35"/>
      <c r="D1" s="35"/>
      <c r="E1" s="10"/>
      <c r="F1" s="34"/>
      <c r="I1" s="10"/>
    </row>
    <row r="2" spans="1:26" s="39" customFormat="1" ht="24.95" customHeight="1" x14ac:dyDescent="0.2">
      <c r="A2" s="36"/>
      <c r="B2" s="194" t="s">
        <v>724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1"/>
      <c r="S2" s="71"/>
      <c r="T2" s="71"/>
      <c r="U2" s="71"/>
      <c r="V2" s="71"/>
      <c r="W2" s="71"/>
      <c r="X2" s="71"/>
      <c r="Y2" s="71"/>
      <c r="Z2" s="71"/>
    </row>
    <row r="3" spans="1:26" s="39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1"/>
      <c r="S3" s="71"/>
      <c r="T3" s="71"/>
      <c r="U3" s="71"/>
      <c r="V3" s="71"/>
      <c r="W3" s="71"/>
      <c r="X3" s="71"/>
      <c r="Y3" s="71"/>
      <c r="Z3" s="71"/>
    </row>
    <row r="4" spans="1:26" s="39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1"/>
      <c r="T4" s="71"/>
      <c r="U4" s="71"/>
      <c r="V4" s="71"/>
      <c r="W4" s="71"/>
      <c r="X4" s="71"/>
      <c r="Y4" s="71"/>
      <c r="Z4" s="71"/>
    </row>
    <row r="5" spans="1:26" ht="25.5" customHeight="1" x14ac:dyDescent="0.2">
      <c r="A5" s="210" t="s">
        <v>19</v>
      </c>
      <c r="B5" s="116"/>
      <c r="C5" s="116"/>
      <c r="D5" s="116"/>
      <c r="E5" s="212" t="s">
        <v>20</v>
      </c>
      <c r="F5" s="210" t="s">
        <v>21</v>
      </c>
      <c r="G5" s="210" t="s">
        <v>19</v>
      </c>
      <c r="H5" s="116"/>
      <c r="I5" s="116"/>
      <c r="J5" s="116"/>
      <c r="K5" s="212" t="s">
        <v>22</v>
      </c>
      <c r="L5" s="43"/>
      <c r="M5" s="43"/>
      <c r="N5" s="43"/>
      <c r="O5" s="43"/>
      <c r="P5" s="43"/>
      <c r="Q5" s="43"/>
    </row>
    <row r="6" spans="1:26" ht="15" customHeight="1" thickBot="1" x14ac:dyDescent="0.25">
      <c r="A6" s="211"/>
      <c r="B6" s="119"/>
      <c r="C6" s="117"/>
      <c r="D6" s="117"/>
      <c r="E6" s="213"/>
      <c r="F6" s="211"/>
      <c r="G6" s="211"/>
      <c r="H6" s="117"/>
      <c r="I6" s="117"/>
      <c r="J6" s="117"/>
      <c r="K6" s="213"/>
      <c r="L6" s="44"/>
      <c r="M6" s="44"/>
      <c r="N6" s="45"/>
      <c r="O6" s="46"/>
      <c r="P6" s="46"/>
      <c r="Q6" s="44"/>
    </row>
    <row r="7" spans="1:26" ht="24.95" customHeight="1" thickBot="1" x14ac:dyDescent="0.25">
      <c r="A7" s="19"/>
      <c r="B7" s="22">
        <f>(COUNTIF('2S EXPRESS'!$A$7:$A$50,TJM!A7))+(COUNTIF('2 ZT'!$A$7:$A$50,TJM!A7))+(COUNTIF('GO TRANSPORT'!$A$7:$A$50,TJM!A7))+(COUNTIF('HMZ - KAIS'!$A$7:$A$50,TJM!A7))+(COUNTIF('IB TRANSPORT'!$A$7:$A$50,TJM!A7))+(COUNTIF(JSL!$A$7:$A$50,TJM!A7))+(COUNTIF(KIFAITOUT!$A$7:$A$50,TJM!A7))+(COUNTIF('LUXE DRIVE'!$A$7:$A$50,TJM!A7))+(COUNTIF(SSN!$A$7:$A$50,TJM!A7))+(COUNTIF(TJM!$A$7:$A$50,TJM!A7))+(COUNTIF('ATHIS MONS'!$A$7:$A$50,TJM!A7))+(COUNTIF('L HAY LES ROSES'!$A$7:$A$50,TJM!A7))+(COUNTIF(RUNGIS!$A$7:$A$50,TJM!A7))+(COUNTIF(SCEAUX!$A$7:$A$50,TJM!A7))+(COUNTIF('INSTANCE C1'!$A$7:$A$50,TJM!A7))+(COUNTIF('INSTANCE C2'!$A$7:$A$50,TJM!A7))+(COUNTIF(INTERNES!$A$7:$A$50,TJM!A7))+(COUNTIF('EN PANNE'!$A$7:$A$50,TJM!A7))-C7</f>
        <v>0</v>
      </c>
      <c r="C7" s="23">
        <f>(COUNTIF('2S EXPRESS'!$G$7:$G$50,TJM!A7))+(COUNTIF('2 ZT'!$G$7:$G$50,TJM!A7))+(COUNTIF('GO TRANSPORT'!$G$7:$G$50,TJM!A7))+(COUNTIF(TJM!$G$7:$G$50,TJM!A7))+(COUNTIF('IB TRANSPORT'!$G$7:$G$50,TJM!A7))+(COUNTIF(JSL!$G$7:$G$50,TJM!A7))+(COUNTIF(KIFAITOUT!$G$7:$G$50,TJM!A7))+(COUNTIF('LUXE DRIVE'!$G$7:$G$50,TJM!A7))+(COUNTIF(SSN!$G$7:$G$50,TJM!A7))+(COUNTIF(TJM!$G$7:$G$50,TJM!A7))+(COUNTIF('ATHIS MONS'!$G$7:$G$50,TJM!A7))+(COUNTIF('L HAY LES ROSES'!$G$7:$G$50,TJM!A7))+(COUNTIF(RUNGIS!$G$7:$G$50,TJM!A7))+(COUNTIF(SCEAUX!$G$7:$G$50,TJM!A7))+(COUNTIF('INSTANCE C1'!$G$7:$G$50,TJM!A7))+(COUNTIF('INSTANCE C2'!$G$7:$G$50,TJM!A7))+(COUNTIF(INTERNES!$G$7:$G$50,TJM!A7))+(COUNTIF('EN PANNE'!$G$7:$G$50,TJM!A7))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EXPRESS'!$G$7:$G$50,TJM!G7))+(COUNTIF('2 ZT'!$G$7:$G$50,TJM!G7))+(COUNTIF('GO TRANSPORT'!$G$7:$G$50,TJM!G7))+(COUNTIF('HMZ - KAIS'!$G$7:$G$50,TJM!G7))+(COUNTIF('IB TRANSPORT'!$G$7:$G$50,TJM!G7))+(COUNTIF(JSL!$G$7:$G$50,TJM!G7))+(COUNTIF(KIFAITOUT!$G$7:$G$50,TJM!G7))+(COUNTIF('LUXE DRIVE'!$G$7:$G$50,TJM!G7))+(COUNTIF(SSN!$G$7:$G$50,TJM!G7))+(COUNTIF(TJM!$G$7:$G$50,TJM!G7))+(COUNTIF('ATHIS MONS'!$G$7:$G$50,TJM!G7))+(COUNTIF('L HAY LES ROSES'!$G$7:$G$50,TJM!G7))+(COUNTIF(RUNGIS!$G$7:$G$50,TJM!G7))+(COUNTIF(SCEAUX!$G$7:$G$50,TJM!G7))+(COUNTIF('INSTANCE C1'!$G$7:$G$50,TJM!G7))+(COUNTIF('INSTANCE C2'!$G$7:$G$50,TJM!G7))+(COUNTIF(INTERNES!$G$7:$G$50,TJM!G7))+(COUNTIF('EN PANNE'!$G$7:$G$50,TJM!G7))-I7</f>
        <v>0</v>
      </c>
      <c r="I7" s="22">
        <f>(COUNTIF('2S EXPRESS'!$A$7:$A$50,TJM!G7))+(COUNTIF('2 ZT'!$A$7:$A$50,TJM!G7))+(COUNTIF('GO TRANSPORT'!$A$7:$A$50,TJM!G7))+(COUNTIF('HMZ - KAIS'!$A$7:$A$50,TJM!G7))+(COUNTIF('IB TRANSPORT'!$A$7:$A$50,TJM!G7))+(COUNTIF(JSL!$A$7:$A$50,TJM!G7))+(COUNTIF(KIFAITOUT!$A$7:$A$50,TJM!G7))+(COUNTIF('LUXE DRIVE'!$A$7:$A$50,TJM!G7))+(COUNTIF(SSN!$A$7:$A$50,TJM!G7))+(COUNTIF(TJM!$A$7:$A$50,TJM!G7))+(COUNTIF('ATHIS MONS'!$A$7:$A$50,TJM!G7))+(COUNTIF('L HAY LES ROSES'!$A$7:$A$50,TJM!G7))+(COUNTIF(RUNGIS!$A$7:$A$50,TJM!G7))+(COUNTIF(SCEAUX!$A$7:$A$50,TJM!G7))+(COUNTIF('INSTANCE C1'!$A$7:$A$50,TJM!G7))+(COUNTIF('INSTANCE C2'!$A$7:$A$50,TJM!G7))+(COUNTIF(INTERNES!$A$7:$A$50,TJM!G7))+(COUNTIF('EN PANNE'!$A$7:$A$50,TJM!G7))</f>
        <v>0</v>
      </c>
      <c r="J7" s="27">
        <f>IF(H7&gt;=2,1,0)</f>
        <v>0</v>
      </c>
      <c r="K7" s="1"/>
      <c r="L7" s="118"/>
      <c r="M7" s="48"/>
      <c r="O7" s="48"/>
      <c r="P7" s="48"/>
      <c r="Q7" s="48"/>
      <c r="R7" s="50"/>
      <c r="S7" s="60">
        <f t="shared" ref="S7:S50" si="1">COUNTIF($G$7:$G$50,$A7)</f>
        <v>0</v>
      </c>
      <c r="T7" s="67">
        <f t="shared" ref="T7:T50" si="2">IF($S7=1,"",$A7)</f>
        <v>0</v>
      </c>
    </row>
    <row r="8" spans="1:26" ht="24.95" customHeight="1" thickBot="1" x14ac:dyDescent="0.25">
      <c r="A8" s="20"/>
      <c r="B8" s="23">
        <f>(COUNTIF('2S EXPRESS'!$A$7:$A$50,TJM!A8))+(COUNTIF('2 ZT'!$A$7:$A$50,TJM!A8))+(COUNTIF('GO TRANSPORT'!$A$7:$A$50,TJM!A8))+(COUNTIF('HMZ - KAIS'!$A$7:$A$50,TJM!A8))+(COUNTIF('IB TRANSPORT'!$A$7:$A$50,TJM!A8))+(COUNTIF(JSL!$A$7:$A$50,TJM!A8))+(COUNTIF(KIFAITOUT!$A$7:$A$50,TJM!A8))+(COUNTIF('LUXE DRIVE'!$A$7:$A$50,TJM!A8))+(COUNTIF(SSN!$A$7:$A$50,TJM!A8))+(COUNTIF(TJM!$A$7:$A$50,TJM!A8))+(COUNTIF('ATHIS MONS'!$A$7:$A$50,TJM!A8))+(COUNTIF('L HAY LES ROSES'!$A$7:$A$50,TJM!A8))+(COUNTIF(RUNGIS!$A$7:$A$50,TJM!A8))+(COUNTIF(SCEAUX!$A$7:$A$50,TJM!A8))+(COUNTIF('INSTANCE C1'!$A$7:$A$50,TJM!A8))+(COUNTIF('INSTANCE C2'!$A$7:$A$50,TJM!A8))+(COUNTIF(INTERNES!$A$7:$A$50,TJM!A8))+(COUNTIF('EN PANNE'!$A$7:$A$50,TJM!A8))-C8</f>
        <v>0</v>
      </c>
      <c r="C8" s="23">
        <f>(COUNTIF('2S EXPRESS'!$G$7:$G$50,TJM!A8))+(COUNTIF('2 ZT'!$G$7:$G$50,TJM!A8))+(COUNTIF('GO TRANSPORT'!$G$7:$G$50,TJM!A8))+(COUNTIF(TJM!$G$7:$G$50,TJM!A8))+(COUNTIF('IB TRANSPORT'!$G$7:$G$50,TJM!A8))+(COUNTIF(JSL!$G$7:$G$50,TJM!A8))+(COUNTIF(KIFAITOUT!$G$7:$G$50,TJM!A8))+(COUNTIF('LUXE DRIVE'!$G$7:$G$50,TJM!A8))+(COUNTIF(SSN!$G$7:$G$50,TJM!A8))+(COUNTIF(TJM!$G$7:$G$50,TJM!A8))+(COUNTIF('ATHIS MONS'!$G$7:$G$50,TJM!A8))+(COUNTIF('L HAY LES ROSES'!$G$7:$G$50,TJM!A8))+(COUNTIF(RUNGIS!$G$7:$G$50,TJM!A8))+(COUNTIF(SCEAUX!$G$7:$G$50,TJM!A8))+(COUNTIF('INSTANCE C1'!$G$7:$G$50,TJM!A8))+(COUNTIF('INSTANCE C2'!$G$7:$G$50,TJM!A8))+(COUNTIF(INTERNES!$G$7:$G$50,TJM!A8))+(COUNTIF('EN PANNE'!$G$7:$G$50,TJM!A8))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EXPRESS'!$G$7:$G$50,TJM!G8))+(COUNTIF('2 ZT'!$G$7:$G$50,TJM!G8))+(COUNTIF('GO TRANSPORT'!$G$7:$G$50,TJM!G8))+(COUNTIF('HMZ - KAIS'!$G$7:$G$50,TJM!G8))+(COUNTIF('IB TRANSPORT'!$G$7:$G$50,TJM!G8))+(COUNTIF(JSL!$G$7:$G$50,TJM!G8))+(COUNTIF(KIFAITOUT!$G$7:$G$50,TJM!G8))+(COUNTIF('LUXE DRIVE'!$G$7:$G$50,TJM!G8))+(COUNTIF(SSN!$G$7:$G$50,TJM!G8))+(COUNTIF(TJM!$G$7:$G$50,TJM!G8))+(COUNTIF('ATHIS MONS'!$G$7:$G$50,TJM!G8))+(COUNTIF('L HAY LES ROSES'!$G$7:$G$50,TJM!G8))+(COUNTIF(RUNGIS!$G$7:$G$50,TJM!G8))+(COUNTIF(SCEAUX!$G$7:$G$50,TJM!G8))+(COUNTIF('INSTANCE C1'!$G$7:$G$50,TJM!G8))+(COUNTIF('INSTANCE C2'!$G$7:$G$50,TJM!G8))+(COUNTIF(INTERNES!$G$7:$G$50,TJM!G8))+(COUNTIF('EN PANNE'!$G$7:$G$50,TJM!G8))-I8</f>
        <v>0</v>
      </c>
      <c r="I8" s="23">
        <f>(COUNTIF('2S EXPRESS'!$A$7:$A$50,TJM!G8))+(COUNTIF('2 ZT'!$A$7:$A$50,TJM!G8))+(COUNTIF('GO TRANSPORT'!$A$7:$A$50,TJM!G8))+(COUNTIF('HMZ - KAIS'!$A$7:$A$50,TJM!G8))+(COUNTIF('IB TRANSPORT'!$A$7:$A$50,TJM!G8))+(COUNTIF(JSL!$A$7:$A$50,TJM!G8))+(COUNTIF(KIFAITOUT!$A$7:$A$50,TJM!G8))+(COUNTIF('LUXE DRIVE'!$A$7:$A$50,TJM!G8))+(COUNTIF(SSN!$A$7:$A$50,TJM!G8))+(COUNTIF(TJM!$A$7:$A$50,TJM!G8))+(COUNTIF('ATHIS MONS'!$A$7:$A$50,TJM!G8))+(COUNTIF('L HAY LES ROSES'!$A$7:$A$50,TJM!G8))+(COUNTIF(RUNGIS!$A$7:$A$50,TJM!G8))+(COUNTIF(SCEAUX!$A$7:$A$50,TJM!G8))+(COUNTIF('INSTANCE C1'!$A$7:$A$50,TJM!G8))+(COUNTIF('INSTANCE C2'!$A$7:$A$50,TJM!G8))+(COUNTIF(INTERNES!$A$7:$A$50,TJM!G8))+(COUNTIF('EN PANNE'!$A$7:$A$50,TJM!G8))</f>
        <v>0</v>
      </c>
      <c r="J8" s="28">
        <f t="shared" ref="J8:J50" si="4">IF(H8&gt;=2,1,0)</f>
        <v>0</v>
      </c>
      <c r="K8" s="2"/>
      <c r="L8" s="118"/>
      <c r="M8" s="203" t="s">
        <v>23</v>
      </c>
      <c r="N8" s="204"/>
      <c r="O8" s="204"/>
      <c r="P8" s="205"/>
      <c r="Q8" s="48"/>
      <c r="R8" s="50"/>
      <c r="S8" s="60">
        <f t="shared" si="1"/>
        <v>0</v>
      </c>
      <c r="T8" s="67">
        <f t="shared" si="2"/>
        <v>0</v>
      </c>
    </row>
    <row r="9" spans="1:26" ht="24.95" customHeight="1" thickBot="1" x14ac:dyDescent="0.25">
      <c r="A9" s="20"/>
      <c r="B9" s="23">
        <f>(COUNTIF('2S EXPRESS'!$A$7:$A$50,TJM!A9))+(COUNTIF('2 ZT'!$A$7:$A$50,TJM!A9))+(COUNTIF('GO TRANSPORT'!$A$7:$A$50,TJM!A9))+(COUNTIF('HMZ - KAIS'!$A$7:$A$50,TJM!A9))+(COUNTIF('IB TRANSPORT'!$A$7:$A$50,TJM!A9))+(COUNTIF(JSL!$A$7:$A$50,TJM!A9))+(COUNTIF(KIFAITOUT!$A$7:$A$50,TJM!A9))+(COUNTIF('LUXE DRIVE'!$A$7:$A$50,TJM!A9))+(COUNTIF(SSN!$A$7:$A$50,TJM!A9))+(COUNTIF(TJM!$A$7:$A$50,TJM!A9))+(COUNTIF('ATHIS MONS'!$A$7:$A$50,TJM!A9))+(COUNTIF('L HAY LES ROSES'!$A$7:$A$50,TJM!A9))+(COUNTIF(RUNGIS!$A$7:$A$50,TJM!A9))+(COUNTIF(SCEAUX!$A$7:$A$50,TJM!A9))+(COUNTIF('INSTANCE C1'!$A$7:$A$50,TJM!A9))+(COUNTIF('INSTANCE C2'!$A$7:$A$50,TJM!A9))+(COUNTIF(INTERNES!$A$7:$A$50,TJM!A9))+(COUNTIF('EN PANNE'!$A$7:$A$50,TJM!A9))-C9</f>
        <v>0</v>
      </c>
      <c r="C9" s="23">
        <f>(COUNTIF('2S EXPRESS'!$G$7:$G$50,TJM!A9))+(COUNTIF('2 ZT'!$G$7:$G$50,TJM!A9))+(COUNTIF('GO TRANSPORT'!$G$7:$G$50,TJM!A9))+(COUNTIF(TJM!$G$7:$G$50,TJM!A9))+(COUNTIF('IB TRANSPORT'!$G$7:$G$50,TJM!A9))+(COUNTIF(JSL!$G$7:$G$50,TJM!A9))+(COUNTIF(KIFAITOUT!$G$7:$G$50,TJM!A9))+(COUNTIF('LUXE DRIVE'!$G$7:$G$50,TJM!A9))+(COUNTIF(SSN!$G$7:$G$50,TJM!A9))+(COUNTIF(TJM!$G$7:$G$50,TJM!A9))+(COUNTIF('ATHIS MONS'!$G$7:$G$50,TJM!A9))+(COUNTIF('L HAY LES ROSES'!$G$7:$G$50,TJM!A9))+(COUNTIF(RUNGIS!$G$7:$G$50,TJM!A9))+(COUNTIF(SCEAUX!$G$7:$G$50,TJM!A9))+(COUNTIF('INSTANCE C1'!$G$7:$G$50,TJM!A9))+(COUNTIF('INSTANCE C2'!$G$7:$G$50,TJM!A9))+(COUNTIF(INTERNES!$G$7:$G$50,TJM!A9))+(COUNTIF('EN PANNE'!$G$7:$G$50,TJM!A9))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EXPRESS'!$G$7:$G$50,TJM!G9))+(COUNTIF('2 ZT'!$G$7:$G$50,TJM!G9))+(COUNTIF('GO TRANSPORT'!$G$7:$G$50,TJM!G9))+(COUNTIF('HMZ - KAIS'!$G$7:$G$50,TJM!G9))+(COUNTIF('IB TRANSPORT'!$G$7:$G$50,TJM!G9))+(COUNTIF(JSL!$G$7:$G$50,TJM!G9))+(COUNTIF(KIFAITOUT!$G$7:$G$50,TJM!G9))+(COUNTIF('LUXE DRIVE'!$G$7:$G$50,TJM!G9))+(COUNTIF(SSN!$G$7:$G$50,TJM!G9))+(COUNTIF(TJM!$G$7:$G$50,TJM!G9))+(COUNTIF('ATHIS MONS'!$G$7:$G$50,TJM!G9))+(COUNTIF('L HAY LES ROSES'!$G$7:$G$50,TJM!G9))+(COUNTIF(RUNGIS!$G$7:$G$50,TJM!G9))+(COUNTIF(SCEAUX!$G$7:$G$50,TJM!G9))+(COUNTIF('INSTANCE C1'!$G$7:$G$50,TJM!G9))+(COUNTIF('INSTANCE C2'!$G$7:$G$50,TJM!G9))+(COUNTIF(INTERNES!$G$7:$G$50,TJM!G9))+(COUNTIF('EN PANNE'!$G$7:$G$50,TJM!G9))-I9</f>
        <v>0</v>
      </c>
      <c r="I9" s="23">
        <f>(COUNTIF('2S EXPRESS'!$A$7:$A$50,TJM!G9))+(COUNTIF('2 ZT'!$A$7:$A$50,TJM!G9))+(COUNTIF('GO TRANSPORT'!$A$7:$A$50,TJM!G9))+(COUNTIF('HMZ - KAIS'!$A$7:$A$50,TJM!G9))+(COUNTIF('IB TRANSPORT'!$A$7:$A$50,TJM!G9))+(COUNTIF(JSL!$A$7:$A$50,TJM!G9))+(COUNTIF(KIFAITOUT!$A$7:$A$50,TJM!G9))+(COUNTIF('LUXE DRIVE'!$A$7:$A$50,TJM!G9))+(COUNTIF(SSN!$A$7:$A$50,TJM!G9))+(COUNTIF(TJM!$A$7:$A$50,TJM!G9))+(COUNTIF('ATHIS MONS'!$A$7:$A$50,TJM!G9))+(COUNTIF('L HAY LES ROSES'!$A$7:$A$50,TJM!G9))+(COUNTIF(RUNGIS!$A$7:$A$50,TJM!G9))+(COUNTIF(SCEAUX!$A$7:$A$50,TJM!G9))+(COUNTIF('INSTANCE C1'!$A$7:$A$50,TJM!G9))+(COUNTIF('INSTANCE C2'!$A$7:$A$50,TJM!G9))+(COUNTIF(INTERNES!$A$7:$A$50,TJM!G9))+(COUNTIF('EN PANNE'!$A$7:$A$50,TJM!G9))</f>
        <v>0</v>
      </c>
      <c r="J9" s="28">
        <f t="shared" si="4"/>
        <v>0</v>
      </c>
      <c r="K9" s="2"/>
      <c r="L9" s="118"/>
      <c r="M9" s="200">
        <f>COUNTA($A$7:$A$50)</f>
        <v>0</v>
      </c>
      <c r="N9" s="201"/>
      <c r="O9" s="201"/>
      <c r="P9" s="202"/>
      <c r="Q9" s="49" t="s">
        <v>24</v>
      </c>
      <c r="R9" s="50"/>
      <c r="S9" s="60">
        <f t="shared" si="1"/>
        <v>0</v>
      </c>
      <c r="T9" s="67">
        <f t="shared" si="2"/>
        <v>0</v>
      </c>
    </row>
    <row r="10" spans="1:26" ht="24.95" customHeight="1" thickBot="1" x14ac:dyDescent="0.25">
      <c r="A10" s="20"/>
      <c r="B10" s="23">
        <f>(COUNTIF('2S EXPRESS'!$A$7:$A$50,TJM!A10))+(COUNTIF('2 ZT'!$A$7:$A$50,TJM!A10))+(COUNTIF('GO TRANSPORT'!$A$7:$A$50,TJM!A10))+(COUNTIF('HMZ - KAIS'!$A$7:$A$50,TJM!A10))+(COUNTIF('IB TRANSPORT'!$A$7:$A$50,TJM!A10))+(COUNTIF(JSL!$A$7:$A$50,TJM!A10))+(COUNTIF(KIFAITOUT!$A$7:$A$50,TJM!A10))+(COUNTIF('LUXE DRIVE'!$A$7:$A$50,TJM!A10))+(COUNTIF(SSN!$A$7:$A$50,TJM!A10))+(COUNTIF(TJM!$A$7:$A$50,TJM!A10))+(COUNTIF('ATHIS MONS'!$A$7:$A$50,TJM!A10))+(COUNTIF('L HAY LES ROSES'!$A$7:$A$50,TJM!A10))+(COUNTIF(RUNGIS!$A$7:$A$50,TJM!A10))+(COUNTIF(SCEAUX!$A$7:$A$50,TJM!A10))+(COUNTIF('INSTANCE C1'!$A$7:$A$50,TJM!A10))+(COUNTIF('INSTANCE C2'!$A$7:$A$50,TJM!A10))+(COUNTIF(INTERNES!$A$7:$A$50,TJM!A10))+(COUNTIF('EN PANNE'!$A$7:$A$50,TJM!A10))-C10</f>
        <v>0</v>
      </c>
      <c r="C10" s="23">
        <f>(COUNTIF('2S EXPRESS'!$G$7:$G$50,TJM!A10))+(COUNTIF('2 ZT'!$G$7:$G$50,TJM!A10))+(COUNTIF('GO TRANSPORT'!$G$7:$G$50,TJM!A10))+(COUNTIF(TJM!$G$7:$G$50,TJM!A10))+(COUNTIF('IB TRANSPORT'!$G$7:$G$50,TJM!A10))+(COUNTIF(JSL!$G$7:$G$50,TJM!A10))+(COUNTIF(KIFAITOUT!$G$7:$G$50,TJM!A10))+(COUNTIF('LUXE DRIVE'!$G$7:$G$50,TJM!A10))+(COUNTIF(SSN!$G$7:$G$50,TJM!A10))+(COUNTIF(TJM!$G$7:$G$50,TJM!A10))+(COUNTIF('ATHIS MONS'!$G$7:$G$50,TJM!A10))+(COUNTIF('L HAY LES ROSES'!$G$7:$G$50,TJM!A10))+(COUNTIF(RUNGIS!$G$7:$G$50,TJM!A10))+(COUNTIF(SCEAUX!$G$7:$G$50,TJM!A10))+(COUNTIF('INSTANCE C1'!$G$7:$G$50,TJM!A10))+(COUNTIF('INSTANCE C2'!$G$7:$G$50,TJM!A10))+(COUNTIF(INTERNES!$G$7:$G$50,TJM!A10))+(COUNTIF('EN PANNE'!$G$7:$G$50,TJM!A10))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EXPRESS'!$G$7:$G$50,TJM!G10))+(COUNTIF('2 ZT'!$G$7:$G$50,TJM!G10))+(COUNTIF('GO TRANSPORT'!$G$7:$G$50,TJM!G10))+(COUNTIF('HMZ - KAIS'!$G$7:$G$50,TJM!G10))+(COUNTIF('IB TRANSPORT'!$G$7:$G$50,TJM!G10))+(COUNTIF(JSL!$G$7:$G$50,TJM!G10))+(COUNTIF(KIFAITOUT!$G$7:$G$50,TJM!G10))+(COUNTIF('LUXE DRIVE'!$G$7:$G$50,TJM!G10))+(COUNTIF(SSN!$G$7:$G$50,TJM!G10))+(COUNTIF(TJM!$G$7:$G$50,TJM!G10))+(COUNTIF('ATHIS MONS'!$G$7:$G$50,TJM!G10))+(COUNTIF('L HAY LES ROSES'!$G$7:$G$50,TJM!G10))+(COUNTIF(RUNGIS!$G$7:$G$50,TJM!G10))+(COUNTIF(SCEAUX!$G$7:$G$50,TJM!G10))+(COUNTIF('INSTANCE C1'!$G$7:$G$50,TJM!G10))+(COUNTIF('INSTANCE C2'!$G$7:$G$50,TJM!G10))+(COUNTIF(INTERNES!$G$7:$G$50,TJM!G10))+(COUNTIF('EN PANNE'!$G$7:$G$50,TJM!G10))-I10</f>
        <v>0</v>
      </c>
      <c r="I10" s="23">
        <f>(COUNTIF('2S EXPRESS'!$A$7:$A$50,TJM!G10))+(COUNTIF('2 ZT'!$A$7:$A$50,TJM!G10))+(COUNTIF('GO TRANSPORT'!$A$7:$A$50,TJM!G10))+(COUNTIF('HMZ - KAIS'!$A$7:$A$50,TJM!G10))+(COUNTIF('IB TRANSPORT'!$A$7:$A$50,TJM!G10))+(COUNTIF(JSL!$A$7:$A$50,TJM!G10))+(COUNTIF(KIFAITOUT!$A$7:$A$50,TJM!G10))+(COUNTIF('LUXE DRIVE'!$A$7:$A$50,TJM!G10))+(COUNTIF(SSN!$A$7:$A$50,TJM!G10))+(COUNTIF(TJM!$A$7:$A$50,TJM!G10))+(COUNTIF('ATHIS MONS'!$A$7:$A$50,TJM!G10))+(COUNTIF('L HAY LES ROSES'!$A$7:$A$50,TJM!G10))+(COUNTIF(RUNGIS!$A$7:$A$50,TJM!G10))+(COUNTIF(SCEAUX!$A$7:$A$50,TJM!G10))+(COUNTIF('INSTANCE C1'!$A$7:$A$50,TJM!G10))+(COUNTIF('INSTANCE C2'!$A$7:$A$50,TJM!G10))+(COUNTIF(INTERNES!$A$7:$A$50,TJM!G10))+(COUNTIF('EN PANNE'!$A$7:$A$50,TJM!G10))</f>
        <v>0</v>
      </c>
      <c r="J10" s="28">
        <f t="shared" si="4"/>
        <v>0</v>
      </c>
      <c r="K10" s="2"/>
      <c r="L10" s="118"/>
      <c r="M10" s="48"/>
      <c r="N10" s="45"/>
      <c r="O10" s="48"/>
      <c r="P10" s="48"/>
      <c r="Q10" s="50" t="s">
        <v>25</v>
      </c>
      <c r="S10" s="60">
        <f t="shared" si="1"/>
        <v>0</v>
      </c>
      <c r="T10" s="67">
        <f t="shared" si="2"/>
        <v>0</v>
      </c>
    </row>
    <row r="11" spans="1:26" ht="24.95" customHeight="1" thickBot="1" x14ac:dyDescent="0.25">
      <c r="A11" s="20"/>
      <c r="B11" s="23">
        <f>(COUNTIF('2S EXPRESS'!$A$7:$A$50,TJM!A11))+(COUNTIF('2 ZT'!$A$7:$A$50,TJM!A11))+(COUNTIF('GO TRANSPORT'!$A$7:$A$50,TJM!A11))+(COUNTIF('HMZ - KAIS'!$A$7:$A$50,TJM!A11))+(COUNTIF('IB TRANSPORT'!$A$7:$A$50,TJM!A11))+(COUNTIF(JSL!$A$7:$A$50,TJM!A11))+(COUNTIF(KIFAITOUT!$A$7:$A$50,TJM!A11))+(COUNTIF('LUXE DRIVE'!$A$7:$A$50,TJM!A11))+(COUNTIF(SSN!$A$7:$A$50,TJM!A11))+(COUNTIF(TJM!$A$7:$A$50,TJM!A11))+(COUNTIF('ATHIS MONS'!$A$7:$A$50,TJM!A11))+(COUNTIF('L HAY LES ROSES'!$A$7:$A$50,TJM!A11))+(COUNTIF(RUNGIS!$A$7:$A$50,TJM!A11))+(COUNTIF(SCEAUX!$A$7:$A$50,TJM!A11))+(COUNTIF('INSTANCE C1'!$A$7:$A$50,TJM!A11))+(COUNTIF('INSTANCE C2'!$A$7:$A$50,TJM!A11))+(COUNTIF(INTERNES!$A$7:$A$50,TJM!A11))+(COUNTIF('EN PANNE'!$A$7:$A$50,TJM!A11))-C11</f>
        <v>0</v>
      </c>
      <c r="C11" s="23">
        <f>(COUNTIF('2S EXPRESS'!$G$7:$G$50,TJM!A11))+(COUNTIF('2 ZT'!$G$7:$G$50,TJM!A11))+(COUNTIF('GO TRANSPORT'!$G$7:$G$50,TJM!A11))+(COUNTIF(TJM!$G$7:$G$50,TJM!A11))+(COUNTIF('IB TRANSPORT'!$G$7:$G$50,TJM!A11))+(COUNTIF(JSL!$G$7:$G$50,TJM!A11))+(COUNTIF(KIFAITOUT!$G$7:$G$50,TJM!A11))+(COUNTIF('LUXE DRIVE'!$G$7:$G$50,TJM!A11))+(COUNTIF(SSN!$G$7:$G$50,TJM!A11))+(COUNTIF(TJM!$G$7:$G$50,TJM!A11))+(COUNTIF('ATHIS MONS'!$G$7:$G$50,TJM!A11))+(COUNTIF('L HAY LES ROSES'!$G$7:$G$50,TJM!A11))+(COUNTIF(RUNGIS!$G$7:$G$50,TJM!A11))+(COUNTIF(SCEAUX!$G$7:$G$50,TJM!A11))+(COUNTIF('INSTANCE C1'!$G$7:$G$50,TJM!A11))+(COUNTIF('INSTANCE C2'!$G$7:$G$50,TJM!A11))+(COUNTIF(INTERNES!$G$7:$G$50,TJM!A11))+(COUNTIF('EN PANNE'!$G$7:$G$50,TJM!A11))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EXPRESS'!$G$7:$G$50,TJM!G11))+(COUNTIF('2 ZT'!$G$7:$G$50,TJM!G11))+(COUNTIF('GO TRANSPORT'!$G$7:$G$50,TJM!G11))+(COUNTIF('HMZ - KAIS'!$G$7:$G$50,TJM!G11))+(COUNTIF('IB TRANSPORT'!$G$7:$G$50,TJM!G11))+(COUNTIF(JSL!$G$7:$G$50,TJM!G11))+(COUNTIF(KIFAITOUT!$G$7:$G$50,TJM!G11))+(COUNTIF('LUXE DRIVE'!$G$7:$G$50,TJM!G11))+(COUNTIF(SSN!$G$7:$G$50,TJM!G11))+(COUNTIF(TJM!$G$7:$G$50,TJM!G11))+(COUNTIF('ATHIS MONS'!$G$7:$G$50,TJM!G11))+(COUNTIF('L HAY LES ROSES'!$G$7:$G$50,TJM!G11))+(COUNTIF(RUNGIS!$G$7:$G$50,TJM!G11))+(COUNTIF(SCEAUX!$G$7:$G$50,TJM!G11))+(COUNTIF('INSTANCE C1'!$G$7:$G$50,TJM!G11))+(COUNTIF('INSTANCE C2'!$G$7:$G$50,TJM!G11))+(COUNTIF(INTERNES!$G$7:$G$50,TJM!G11))+(COUNTIF('EN PANNE'!$G$7:$G$50,TJM!G11))-I11</f>
        <v>0</v>
      </c>
      <c r="I11" s="23">
        <f>(COUNTIF('2S EXPRESS'!$A$7:$A$50,TJM!G11))+(COUNTIF('2 ZT'!$A$7:$A$50,TJM!G11))+(COUNTIF('GO TRANSPORT'!$A$7:$A$50,TJM!G11))+(COUNTIF('HMZ - KAIS'!$A$7:$A$50,TJM!G11))+(COUNTIF('IB TRANSPORT'!$A$7:$A$50,TJM!G11))+(COUNTIF(JSL!$A$7:$A$50,TJM!G11))+(COUNTIF(KIFAITOUT!$A$7:$A$50,TJM!G11))+(COUNTIF('LUXE DRIVE'!$A$7:$A$50,TJM!G11))+(COUNTIF(SSN!$A$7:$A$50,TJM!G11))+(COUNTIF(TJM!$A$7:$A$50,TJM!G11))+(COUNTIF('ATHIS MONS'!$A$7:$A$50,TJM!G11))+(COUNTIF('L HAY LES ROSES'!$A$7:$A$50,TJM!G11))+(COUNTIF(RUNGIS!$A$7:$A$50,TJM!G11))+(COUNTIF(SCEAUX!$A$7:$A$50,TJM!G11))+(COUNTIF('INSTANCE C1'!$A$7:$A$50,TJM!G11))+(COUNTIF('INSTANCE C2'!$A$7:$A$50,TJM!G11))+(COUNTIF(INTERNES!$A$7:$A$50,TJM!G11))+(COUNTIF('EN PANNE'!$A$7:$A$50,TJM!G11))</f>
        <v>0</v>
      </c>
      <c r="J11" s="28">
        <f t="shared" si="4"/>
        <v>0</v>
      </c>
      <c r="K11" s="2"/>
      <c r="L11" s="118"/>
      <c r="M11" s="203" t="s">
        <v>26</v>
      </c>
      <c r="N11" s="204"/>
      <c r="O11" s="204"/>
      <c r="P11" s="205"/>
      <c r="Q11" s="50" t="s">
        <v>27</v>
      </c>
      <c r="S11" s="60">
        <f t="shared" si="1"/>
        <v>0</v>
      </c>
      <c r="T11" s="67">
        <f t="shared" si="2"/>
        <v>0</v>
      </c>
    </row>
    <row r="12" spans="1:26" ht="24.95" customHeight="1" thickBot="1" x14ac:dyDescent="0.25">
      <c r="A12" s="20"/>
      <c r="B12" s="23">
        <f>(COUNTIF('2S EXPRESS'!$A$7:$A$50,TJM!A12))+(COUNTIF('2 ZT'!$A$7:$A$50,TJM!A12))+(COUNTIF('GO TRANSPORT'!$A$7:$A$50,TJM!A12))+(COUNTIF('HMZ - KAIS'!$A$7:$A$50,TJM!A12))+(COUNTIF('IB TRANSPORT'!$A$7:$A$50,TJM!A12))+(COUNTIF(JSL!$A$7:$A$50,TJM!A12))+(COUNTIF(KIFAITOUT!$A$7:$A$50,TJM!A12))+(COUNTIF('LUXE DRIVE'!$A$7:$A$50,TJM!A12))+(COUNTIF(SSN!$A$7:$A$50,TJM!A12))+(COUNTIF(TJM!$A$7:$A$50,TJM!A12))+(COUNTIF('ATHIS MONS'!$A$7:$A$50,TJM!A12))+(COUNTIF('L HAY LES ROSES'!$A$7:$A$50,TJM!A12))+(COUNTIF(RUNGIS!$A$7:$A$50,TJM!A12))+(COUNTIF(SCEAUX!$A$7:$A$50,TJM!A12))+(COUNTIF('INSTANCE C1'!$A$7:$A$50,TJM!A12))+(COUNTIF('INSTANCE C2'!$A$7:$A$50,TJM!A12))+(COUNTIF(INTERNES!$A$7:$A$50,TJM!A12))+(COUNTIF('EN PANNE'!$A$7:$A$50,TJM!A12))-C12</f>
        <v>0</v>
      </c>
      <c r="C12" s="23">
        <f>(COUNTIF('2S EXPRESS'!$G$7:$G$50,TJM!A12))+(COUNTIF('2 ZT'!$G$7:$G$50,TJM!A12))+(COUNTIF('GO TRANSPORT'!$G$7:$G$50,TJM!A12))+(COUNTIF(TJM!$G$7:$G$50,TJM!A12))+(COUNTIF('IB TRANSPORT'!$G$7:$G$50,TJM!A12))+(COUNTIF(JSL!$G$7:$G$50,TJM!A12))+(COUNTIF(KIFAITOUT!$G$7:$G$50,TJM!A12))+(COUNTIF('LUXE DRIVE'!$G$7:$G$50,TJM!A12))+(COUNTIF(SSN!$G$7:$G$50,TJM!A12))+(COUNTIF(TJM!$G$7:$G$50,TJM!A12))+(COUNTIF('ATHIS MONS'!$G$7:$G$50,TJM!A12))+(COUNTIF('L HAY LES ROSES'!$G$7:$G$50,TJM!A12))+(COUNTIF(RUNGIS!$G$7:$G$50,TJM!A12))+(COUNTIF(SCEAUX!$G$7:$G$50,TJM!A12))+(COUNTIF('INSTANCE C1'!$G$7:$G$50,TJM!A12))+(COUNTIF('INSTANCE C2'!$G$7:$G$50,TJM!A12))+(COUNTIF(INTERNES!$G$7:$G$50,TJM!A12))+(COUNTIF('EN PANNE'!$G$7:$G$50,TJM!A12))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EXPRESS'!$G$7:$G$50,TJM!G12))+(COUNTIF('2 ZT'!$G$7:$G$50,TJM!G12))+(COUNTIF('GO TRANSPORT'!$G$7:$G$50,TJM!G12))+(COUNTIF('HMZ - KAIS'!$G$7:$G$50,TJM!G12))+(COUNTIF('IB TRANSPORT'!$G$7:$G$50,TJM!G12))+(COUNTIF(JSL!$G$7:$G$50,TJM!G12))+(COUNTIF(KIFAITOUT!$G$7:$G$50,TJM!G12))+(COUNTIF('LUXE DRIVE'!$G$7:$G$50,TJM!G12))+(COUNTIF(SSN!$G$7:$G$50,TJM!G12))+(COUNTIF(TJM!$G$7:$G$50,TJM!G12))+(COUNTIF('ATHIS MONS'!$G$7:$G$50,TJM!G12))+(COUNTIF('L HAY LES ROSES'!$G$7:$G$50,TJM!G12))+(COUNTIF(RUNGIS!$G$7:$G$50,TJM!G12))+(COUNTIF(SCEAUX!$G$7:$G$50,TJM!G12))+(COUNTIF('INSTANCE C1'!$G$7:$G$50,TJM!G12))+(COUNTIF('INSTANCE C2'!$G$7:$G$50,TJM!G12))+(COUNTIF(INTERNES!$G$7:$G$50,TJM!G12))+(COUNTIF('EN PANNE'!$G$7:$G$50,TJM!G12))-I12</f>
        <v>0</v>
      </c>
      <c r="I12" s="23">
        <f>(COUNTIF('2S EXPRESS'!$A$7:$A$50,TJM!G12))+(COUNTIF('2 ZT'!$A$7:$A$50,TJM!G12))+(COUNTIF('GO TRANSPORT'!$A$7:$A$50,TJM!G12))+(COUNTIF('HMZ - KAIS'!$A$7:$A$50,TJM!G12))+(COUNTIF('IB TRANSPORT'!$A$7:$A$50,TJM!G12))+(COUNTIF(JSL!$A$7:$A$50,TJM!G12))+(COUNTIF(KIFAITOUT!$A$7:$A$50,TJM!G12))+(COUNTIF('LUXE DRIVE'!$A$7:$A$50,TJM!G12))+(COUNTIF(SSN!$A$7:$A$50,TJM!G12))+(COUNTIF(TJM!$A$7:$A$50,TJM!G12))+(COUNTIF('ATHIS MONS'!$A$7:$A$50,TJM!G12))+(COUNTIF('L HAY LES ROSES'!$A$7:$A$50,TJM!G12))+(COUNTIF(RUNGIS!$A$7:$A$50,TJM!G12))+(COUNTIF(SCEAUX!$A$7:$A$50,TJM!G12))+(COUNTIF('INSTANCE C1'!$A$7:$A$50,TJM!G12))+(COUNTIF('INSTANCE C2'!$A$7:$A$50,TJM!G12))+(COUNTIF(INTERNES!$A$7:$A$50,TJM!G12))+(COUNTIF('EN PANNE'!$A$7:$A$50,TJM!G12))</f>
        <v>0</v>
      </c>
      <c r="J12" s="28">
        <f t="shared" si="4"/>
        <v>0</v>
      </c>
      <c r="K12" s="2"/>
      <c r="L12" s="118"/>
      <c r="M12" s="200">
        <f>COUNTA(G7:G50)</f>
        <v>0</v>
      </c>
      <c r="N12" s="201"/>
      <c r="O12" s="201"/>
      <c r="P12" s="202"/>
      <c r="Q12" s="50" t="s">
        <v>28</v>
      </c>
      <c r="S12" s="60">
        <f t="shared" si="1"/>
        <v>0</v>
      </c>
      <c r="T12" s="67">
        <f t="shared" si="2"/>
        <v>0</v>
      </c>
    </row>
    <row r="13" spans="1:26" ht="24.95" customHeight="1" x14ac:dyDescent="0.2">
      <c r="A13" s="20"/>
      <c r="B13" s="23">
        <f>(COUNTIF('2S EXPRESS'!$A$7:$A$50,TJM!A13))+(COUNTIF('2 ZT'!$A$7:$A$50,TJM!A13))+(COUNTIF('GO TRANSPORT'!$A$7:$A$50,TJM!A13))+(COUNTIF('HMZ - KAIS'!$A$7:$A$50,TJM!A13))+(COUNTIF('IB TRANSPORT'!$A$7:$A$50,TJM!A13))+(COUNTIF(JSL!$A$7:$A$50,TJM!A13))+(COUNTIF(KIFAITOUT!$A$7:$A$50,TJM!A13))+(COUNTIF('LUXE DRIVE'!$A$7:$A$50,TJM!A13))+(COUNTIF(SSN!$A$7:$A$50,TJM!A13))+(COUNTIF(TJM!$A$7:$A$50,TJM!A13))+(COUNTIF('ATHIS MONS'!$A$7:$A$50,TJM!A13))+(COUNTIF('L HAY LES ROSES'!$A$7:$A$50,TJM!A13))+(COUNTIF(RUNGIS!$A$7:$A$50,TJM!A13))+(COUNTIF(SCEAUX!$A$7:$A$50,TJM!A13))+(COUNTIF('INSTANCE C1'!$A$7:$A$50,TJM!A13))+(COUNTIF('INSTANCE C2'!$A$7:$A$50,TJM!A13))+(COUNTIF(INTERNES!$A$7:$A$50,TJM!A13))+(COUNTIF('EN PANNE'!$A$7:$A$50,TJM!A13))-C13</f>
        <v>0</v>
      </c>
      <c r="C13" s="23">
        <f>(COUNTIF('2S EXPRESS'!$G$7:$G$50,TJM!A13))+(COUNTIF('2 ZT'!$G$7:$G$50,TJM!A13))+(COUNTIF('GO TRANSPORT'!$G$7:$G$50,TJM!A13))+(COUNTIF(TJM!$G$7:$G$50,TJM!A13))+(COUNTIF('IB TRANSPORT'!$G$7:$G$50,TJM!A13))+(COUNTIF(JSL!$G$7:$G$50,TJM!A13))+(COUNTIF(KIFAITOUT!$G$7:$G$50,TJM!A13))+(COUNTIF('LUXE DRIVE'!$G$7:$G$50,TJM!A13))+(COUNTIF(SSN!$G$7:$G$50,TJM!A13))+(COUNTIF(TJM!$G$7:$G$50,TJM!A13))+(COUNTIF('ATHIS MONS'!$G$7:$G$50,TJM!A13))+(COUNTIF('L HAY LES ROSES'!$G$7:$G$50,TJM!A13))+(COUNTIF(RUNGIS!$G$7:$G$50,TJM!A13))+(COUNTIF(SCEAUX!$G$7:$G$50,TJM!A13))+(COUNTIF('INSTANCE C1'!$G$7:$G$50,TJM!A13))+(COUNTIF('INSTANCE C2'!$G$7:$G$50,TJM!A13))+(COUNTIF(INTERNES!$G$7:$G$50,TJM!A13))+(COUNTIF('EN PANNE'!$G$7:$G$50,TJM!A13))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EXPRESS'!$G$7:$G$50,TJM!G13))+(COUNTIF('2 ZT'!$G$7:$G$50,TJM!G13))+(COUNTIF('GO TRANSPORT'!$G$7:$G$50,TJM!G13))+(COUNTIF('HMZ - KAIS'!$G$7:$G$50,TJM!G13))+(COUNTIF('IB TRANSPORT'!$G$7:$G$50,TJM!G13))+(COUNTIF(JSL!$G$7:$G$50,TJM!G13))+(COUNTIF(KIFAITOUT!$G$7:$G$50,TJM!G13))+(COUNTIF('LUXE DRIVE'!$G$7:$G$50,TJM!G13))+(COUNTIF(SSN!$G$7:$G$50,TJM!G13))+(COUNTIF(TJM!$G$7:$G$50,TJM!G13))+(COUNTIF('ATHIS MONS'!$G$7:$G$50,TJM!G13))+(COUNTIF('L HAY LES ROSES'!$G$7:$G$50,TJM!G13))+(COUNTIF(RUNGIS!$G$7:$G$50,TJM!G13))+(COUNTIF(SCEAUX!$G$7:$G$50,TJM!G13))+(COUNTIF('INSTANCE C1'!$G$7:$G$50,TJM!G13))+(COUNTIF('INSTANCE C2'!$G$7:$G$50,TJM!G13))+(COUNTIF(INTERNES!$G$7:$G$50,TJM!G13))+(COUNTIF('EN PANNE'!$G$7:$G$50,TJM!G13))-I13</f>
        <v>0</v>
      </c>
      <c r="I13" s="23">
        <f>(COUNTIF('2S EXPRESS'!$A$7:$A$50,TJM!G13))+(COUNTIF('2 ZT'!$A$7:$A$50,TJM!G13))+(COUNTIF('GO TRANSPORT'!$A$7:$A$50,TJM!G13))+(COUNTIF('HMZ - KAIS'!$A$7:$A$50,TJM!G13))+(COUNTIF('IB TRANSPORT'!$A$7:$A$50,TJM!G13))+(COUNTIF(JSL!$A$7:$A$50,TJM!G13))+(COUNTIF(KIFAITOUT!$A$7:$A$50,TJM!G13))+(COUNTIF('LUXE DRIVE'!$A$7:$A$50,TJM!G13))+(COUNTIF(SSN!$A$7:$A$50,TJM!G13))+(COUNTIF(TJM!$A$7:$A$50,TJM!G13))+(COUNTIF('ATHIS MONS'!$A$7:$A$50,TJM!G13))+(COUNTIF('L HAY LES ROSES'!$A$7:$A$50,TJM!G13))+(COUNTIF(RUNGIS!$A$7:$A$50,TJM!G13))+(COUNTIF(SCEAUX!$A$7:$A$50,TJM!G13))+(COUNTIF('INSTANCE C1'!$A$7:$A$50,TJM!G13))+(COUNTIF('INSTANCE C2'!$A$7:$A$50,TJM!G13))+(COUNTIF(INTERNES!$A$7:$A$50,TJM!G13))+(COUNTIF('EN PANNE'!$A$7:$A$50,TJM!G13))</f>
        <v>0</v>
      </c>
      <c r="J13" s="28">
        <f t="shared" si="4"/>
        <v>0</v>
      </c>
      <c r="K13" s="2"/>
      <c r="L13" s="118"/>
      <c r="M13" s="48"/>
      <c r="N13" s="45"/>
      <c r="O13" s="48"/>
      <c r="P13" s="48"/>
      <c r="Q13" s="49" t="s">
        <v>29</v>
      </c>
      <c r="S13" s="60">
        <f t="shared" si="1"/>
        <v>0</v>
      </c>
      <c r="T13" s="67">
        <f t="shared" si="2"/>
        <v>0</v>
      </c>
    </row>
    <row r="14" spans="1:26" ht="24.95" customHeight="1" x14ac:dyDescent="0.2">
      <c r="A14" s="20"/>
      <c r="B14" s="23">
        <f>(COUNTIF('2S EXPRESS'!$A$7:$A$50,TJM!A14))+(COUNTIF('2 ZT'!$A$7:$A$50,TJM!A14))+(COUNTIF('GO TRANSPORT'!$A$7:$A$50,TJM!A14))+(COUNTIF('HMZ - KAIS'!$A$7:$A$50,TJM!A14))+(COUNTIF('IB TRANSPORT'!$A$7:$A$50,TJM!A14))+(COUNTIF(JSL!$A$7:$A$50,TJM!A14))+(COUNTIF(KIFAITOUT!$A$7:$A$50,TJM!A14))+(COUNTIF('LUXE DRIVE'!$A$7:$A$50,TJM!A14))+(COUNTIF(SSN!$A$7:$A$50,TJM!A14))+(COUNTIF(TJM!$A$7:$A$50,TJM!A14))+(COUNTIF('ATHIS MONS'!$A$7:$A$50,TJM!A14))+(COUNTIF('L HAY LES ROSES'!$A$7:$A$50,TJM!A14))+(COUNTIF(RUNGIS!$A$7:$A$50,TJM!A14))+(COUNTIF(SCEAUX!$A$7:$A$50,TJM!A14))+(COUNTIF('INSTANCE C1'!$A$7:$A$50,TJM!A14))+(COUNTIF('INSTANCE C2'!$A$7:$A$50,TJM!A14))+(COUNTIF(INTERNES!$A$7:$A$50,TJM!A14))+(COUNTIF('EN PANNE'!$A$7:$A$50,TJM!A14))-C14</f>
        <v>0</v>
      </c>
      <c r="C14" s="23">
        <f>(COUNTIF('2S EXPRESS'!$G$7:$G$50,TJM!A14))+(COUNTIF('2 ZT'!$G$7:$G$50,TJM!A14))+(COUNTIF('GO TRANSPORT'!$G$7:$G$50,TJM!A14))+(COUNTIF(TJM!$G$7:$G$50,TJM!A14))+(COUNTIF('IB TRANSPORT'!$G$7:$G$50,TJM!A14))+(COUNTIF(JSL!$G$7:$G$50,TJM!A14))+(COUNTIF(KIFAITOUT!$G$7:$G$50,TJM!A14))+(COUNTIF('LUXE DRIVE'!$G$7:$G$50,TJM!A14))+(COUNTIF(SSN!$G$7:$G$50,TJM!A14))+(COUNTIF(TJM!$G$7:$G$50,TJM!A14))+(COUNTIF('ATHIS MONS'!$G$7:$G$50,TJM!A14))+(COUNTIF('L HAY LES ROSES'!$G$7:$G$50,TJM!A14))+(COUNTIF(RUNGIS!$G$7:$G$50,TJM!A14))+(COUNTIF(SCEAUX!$G$7:$G$50,TJM!A14))+(COUNTIF('INSTANCE C1'!$G$7:$G$50,TJM!A14))+(COUNTIF('INSTANCE C2'!$G$7:$G$50,TJM!A14))+(COUNTIF(INTERNES!$G$7:$G$50,TJM!A14))+(COUNTIF('EN PANNE'!$G$7:$G$50,TJM!A14))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EXPRESS'!$G$7:$G$50,TJM!G14))+(COUNTIF('2 ZT'!$G$7:$G$50,TJM!G14))+(COUNTIF('GO TRANSPORT'!$G$7:$G$50,TJM!G14))+(COUNTIF('HMZ - KAIS'!$G$7:$G$50,TJM!G14))+(COUNTIF('IB TRANSPORT'!$G$7:$G$50,TJM!G14))+(COUNTIF(JSL!$G$7:$G$50,TJM!G14))+(COUNTIF(KIFAITOUT!$G$7:$G$50,TJM!G14))+(COUNTIF('LUXE DRIVE'!$G$7:$G$50,TJM!G14))+(COUNTIF(SSN!$G$7:$G$50,TJM!G14))+(COUNTIF(TJM!$G$7:$G$50,TJM!G14))+(COUNTIF('ATHIS MONS'!$G$7:$G$50,TJM!G14))+(COUNTIF('L HAY LES ROSES'!$G$7:$G$50,TJM!G14))+(COUNTIF(RUNGIS!$G$7:$G$50,TJM!G14))+(COUNTIF(SCEAUX!$G$7:$G$50,TJM!G14))+(COUNTIF('INSTANCE C1'!$G$7:$G$50,TJM!G14))+(COUNTIF('INSTANCE C2'!$G$7:$G$50,TJM!G14))+(COUNTIF(INTERNES!$G$7:$G$50,TJM!G14))+(COUNTIF('EN PANNE'!$G$7:$G$50,TJM!G14))-I14</f>
        <v>0</v>
      </c>
      <c r="I14" s="23">
        <f>(COUNTIF('2S EXPRESS'!$A$7:$A$50,TJM!G14))+(COUNTIF('2 ZT'!$A$7:$A$50,TJM!G14))+(COUNTIF('GO TRANSPORT'!$A$7:$A$50,TJM!G14))+(COUNTIF('HMZ - KAIS'!$A$7:$A$50,TJM!G14))+(COUNTIF('IB TRANSPORT'!$A$7:$A$50,TJM!G14))+(COUNTIF(JSL!$A$7:$A$50,TJM!G14))+(COUNTIF(KIFAITOUT!$A$7:$A$50,TJM!G14))+(COUNTIF('LUXE DRIVE'!$A$7:$A$50,TJM!G14))+(COUNTIF(SSN!$A$7:$A$50,TJM!G14))+(COUNTIF(TJM!$A$7:$A$50,TJM!G14))+(COUNTIF('ATHIS MONS'!$A$7:$A$50,TJM!G14))+(COUNTIF('L HAY LES ROSES'!$A$7:$A$50,TJM!G14))+(COUNTIF(RUNGIS!$A$7:$A$50,TJM!G14))+(COUNTIF(SCEAUX!$A$7:$A$50,TJM!G14))+(COUNTIF('INSTANCE C1'!$A$7:$A$50,TJM!G14))+(COUNTIF('INSTANCE C2'!$A$7:$A$50,TJM!G14))+(COUNTIF(INTERNES!$A$7:$A$50,TJM!G14))+(COUNTIF('EN PANNE'!$A$7:$A$50,TJM!G14))</f>
        <v>0</v>
      </c>
      <c r="J14" s="28">
        <f t="shared" si="4"/>
        <v>0</v>
      </c>
      <c r="K14" s="2"/>
      <c r="L14" s="118"/>
      <c r="M14" s="48"/>
      <c r="N14" s="45"/>
      <c r="O14" s="48"/>
      <c r="P14" s="48"/>
      <c r="Q14" s="49" t="s">
        <v>30</v>
      </c>
      <c r="S14" s="60">
        <f t="shared" si="1"/>
        <v>0</v>
      </c>
      <c r="T14" s="67">
        <f t="shared" si="2"/>
        <v>0</v>
      </c>
    </row>
    <row r="15" spans="1:26" ht="24.95" customHeight="1" x14ac:dyDescent="0.2">
      <c r="A15" s="20"/>
      <c r="B15" s="23">
        <f>(COUNTIF('2S EXPRESS'!$A$7:$A$50,TJM!A15))+(COUNTIF('2 ZT'!$A$7:$A$50,TJM!A15))+(COUNTIF('GO TRANSPORT'!$A$7:$A$50,TJM!A15))+(COUNTIF('HMZ - KAIS'!$A$7:$A$50,TJM!A15))+(COUNTIF('IB TRANSPORT'!$A$7:$A$50,TJM!A15))+(COUNTIF(JSL!$A$7:$A$50,TJM!A15))+(COUNTIF(KIFAITOUT!$A$7:$A$50,TJM!A15))+(COUNTIF('LUXE DRIVE'!$A$7:$A$50,TJM!A15))+(COUNTIF(SSN!$A$7:$A$50,TJM!A15))+(COUNTIF(TJM!$A$7:$A$50,TJM!A15))+(COUNTIF('ATHIS MONS'!$A$7:$A$50,TJM!A15))+(COUNTIF('L HAY LES ROSES'!$A$7:$A$50,TJM!A15))+(COUNTIF(RUNGIS!$A$7:$A$50,TJM!A15))+(COUNTIF(SCEAUX!$A$7:$A$50,TJM!A15))+(COUNTIF('INSTANCE C1'!$A$7:$A$50,TJM!A15))+(COUNTIF('INSTANCE C2'!$A$7:$A$50,TJM!A15))+(COUNTIF(INTERNES!$A$7:$A$50,TJM!A15))+(COUNTIF('EN PANNE'!$A$7:$A$50,TJM!A15))-C15</f>
        <v>0</v>
      </c>
      <c r="C15" s="23">
        <f>(COUNTIF('2S EXPRESS'!$G$7:$G$50,TJM!A15))+(COUNTIF('2 ZT'!$G$7:$G$50,TJM!A15))+(COUNTIF('GO TRANSPORT'!$G$7:$G$50,TJM!A15))+(COUNTIF(TJM!$G$7:$G$50,TJM!A15))+(COUNTIF('IB TRANSPORT'!$G$7:$G$50,TJM!A15))+(COUNTIF(JSL!$G$7:$G$50,TJM!A15))+(COUNTIF(KIFAITOUT!$G$7:$G$50,TJM!A15))+(COUNTIF('LUXE DRIVE'!$G$7:$G$50,TJM!A15))+(COUNTIF(SSN!$G$7:$G$50,TJM!A15))+(COUNTIF(TJM!$G$7:$G$50,TJM!A15))+(COUNTIF('ATHIS MONS'!$G$7:$G$50,TJM!A15))+(COUNTIF('L HAY LES ROSES'!$G$7:$G$50,TJM!A15))+(COUNTIF(RUNGIS!$G$7:$G$50,TJM!A15))+(COUNTIF(SCEAUX!$G$7:$G$50,TJM!A15))+(COUNTIF('INSTANCE C1'!$G$7:$G$50,TJM!A15))+(COUNTIF('INSTANCE C2'!$G$7:$G$50,TJM!A15))+(COUNTIF(INTERNES!$G$7:$G$50,TJM!A15))+(COUNTIF('EN PANNE'!$G$7:$G$50,TJM!A15))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EXPRESS'!$G$7:$G$50,TJM!G15))+(COUNTIF('2 ZT'!$G$7:$G$50,TJM!G15))+(COUNTIF('GO TRANSPORT'!$G$7:$G$50,TJM!G15))+(COUNTIF('HMZ - KAIS'!$G$7:$G$50,TJM!G15))+(COUNTIF('IB TRANSPORT'!$G$7:$G$50,TJM!G15))+(COUNTIF(JSL!$G$7:$G$50,TJM!G15))+(COUNTIF(KIFAITOUT!$G$7:$G$50,TJM!G15))+(COUNTIF('LUXE DRIVE'!$G$7:$G$50,TJM!G15))+(COUNTIF(SSN!$G$7:$G$50,TJM!G15))+(COUNTIF(TJM!$G$7:$G$50,TJM!G15))+(COUNTIF('ATHIS MONS'!$G$7:$G$50,TJM!G15))+(COUNTIF('L HAY LES ROSES'!$G$7:$G$50,TJM!G15))+(COUNTIF(RUNGIS!$G$7:$G$50,TJM!G15))+(COUNTIF(SCEAUX!$G$7:$G$50,TJM!G15))+(COUNTIF('INSTANCE C1'!$G$7:$G$50,TJM!G15))+(COUNTIF('INSTANCE C2'!$G$7:$G$50,TJM!G15))+(COUNTIF(INTERNES!$G$7:$G$50,TJM!G15))+(COUNTIF('EN PANNE'!$G$7:$G$50,TJM!G15))-I15</f>
        <v>0</v>
      </c>
      <c r="I15" s="23">
        <f>(COUNTIF('2S EXPRESS'!$A$7:$A$50,TJM!G15))+(COUNTIF('2 ZT'!$A$7:$A$50,TJM!G15))+(COUNTIF('GO TRANSPORT'!$A$7:$A$50,TJM!G15))+(COUNTIF('HMZ - KAIS'!$A$7:$A$50,TJM!G15))+(COUNTIF('IB TRANSPORT'!$A$7:$A$50,TJM!G15))+(COUNTIF(JSL!$A$7:$A$50,TJM!G15))+(COUNTIF(KIFAITOUT!$A$7:$A$50,TJM!G15))+(COUNTIF('LUXE DRIVE'!$A$7:$A$50,TJM!G15))+(COUNTIF(SSN!$A$7:$A$50,TJM!G15))+(COUNTIF(TJM!$A$7:$A$50,TJM!G15))+(COUNTIF('ATHIS MONS'!$A$7:$A$50,TJM!G15))+(COUNTIF('L HAY LES ROSES'!$A$7:$A$50,TJM!G15))+(COUNTIF(RUNGIS!$A$7:$A$50,TJM!G15))+(COUNTIF(SCEAUX!$A$7:$A$50,TJM!G15))+(COUNTIF('INSTANCE C1'!$A$7:$A$50,TJM!G15))+(COUNTIF('INSTANCE C2'!$A$7:$A$50,TJM!G15))+(COUNTIF(INTERNES!$A$7:$A$50,TJM!G15))+(COUNTIF('EN PANNE'!$A$7:$A$50,TJM!G15))</f>
        <v>0</v>
      </c>
      <c r="J15" s="28">
        <f t="shared" si="4"/>
        <v>0</v>
      </c>
      <c r="K15" s="2"/>
      <c r="L15" s="118"/>
      <c r="M15" s="48"/>
      <c r="N15" s="45"/>
      <c r="O15" s="48"/>
      <c r="P15" s="48"/>
      <c r="Q15" s="49" t="s">
        <v>31</v>
      </c>
      <c r="S15" s="60">
        <f t="shared" si="1"/>
        <v>0</v>
      </c>
      <c r="T15" s="67">
        <f t="shared" si="2"/>
        <v>0</v>
      </c>
    </row>
    <row r="16" spans="1:26" ht="24.95" customHeight="1" x14ac:dyDescent="0.2">
      <c r="A16" s="20"/>
      <c r="B16" s="23">
        <f>(COUNTIF('2S EXPRESS'!$A$7:$A$50,TJM!A16))+(COUNTIF('2 ZT'!$A$7:$A$50,TJM!A16))+(COUNTIF('GO TRANSPORT'!$A$7:$A$50,TJM!A16))+(COUNTIF('HMZ - KAIS'!$A$7:$A$50,TJM!A16))+(COUNTIF('IB TRANSPORT'!$A$7:$A$50,TJM!A16))+(COUNTIF(JSL!$A$7:$A$50,TJM!A16))+(COUNTIF(KIFAITOUT!$A$7:$A$50,TJM!A16))+(COUNTIF('LUXE DRIVE'!$A$7:$A$50,TJM!A16))+(COUNTIF(SSN!$A$7:$A$50,TJM!A16))+(COUNTIF(TJM!$A$7:$A$50,TJM!A16))+(COUNTIF('ATHIS MONS'!$A$7:$A$50,TJM!A16))+(COUNTIF('L HAY LES ROSES'!$A$7:$A$50,TJM!A16))+(COUNTIF(RUNGIS!$A$7:$A$50,TJM!A16))+(COUNTIF(SCEAUX!$A$7:$A$50,TJM!A16))+(COUNTIF('INSTANCE C1'!$A$7:$A$50,TJM!A16))+(COUNTIF('INSTANCE C2'!$A$7:$A$50,TJM!A16))+(COUNTIF(INTERNES!$A$7:$A$50,TJM!A16))+(COUNTIF('EN PANNE'!$A$7:$A$50,TJM!A16))-C16</f>
        <v>0</v>
      </c>
      <c r="C16" s="23">
        <f>(COUNTIF('2S EXPRESS'!$G$7:$G$50,TJM!A16))+(COUNTIF('2 ZT'!$G$7:$G$50,TJM!A16))+(COUNTIF('GO TRANSPORT'!$G$7:$G$50,TJM!A16))+(COUNTIF(TJM!$G$7:$G$50,TJM!A16))+(COUNTIF('IB TRANSPORT'!$G$7:$G$50,TJM!A16))+(COUNTIF(JSL!$G$7:$G$50,TJM!A16))+(COUNTIF(KIFAITOUT!$G$7:$G$50,TJM!A16))+(COUNTIF('LUXE DRIVE'!$G$7:$G$50,TJM!A16))+(COUNTIF(SSN!$G$7:$G$50,TJM!A16))+(COUNTIF(TJM!$G$7:$G$50,TJM!A16))+(COUNTIF('ATHIS MONS'!$G$7:$G$50,TJM!A16))+(COUNTIF('L HAY LES ROSES'!$G$7:$G$50,TJM!A16))+(COUNTIF(RUNGIS!$G$7:$G$50,TJM!A16))+(COUNTIF(SCEAUX!$G$7:$G$50,TJM!A16))+(COUNTIF('INSTANCE C1'!$G$7:$G$50,TJM!A16))+(COUNTIF('INSTANCE C2'!$G$7:$G$50,TJM!A16))+(COUNTIF(INTERNES!$G$7:$G$50,TJM!A16))+(COUNTIF('EN PANNE'!$G$7:$G$50,TJM!A16))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EXPRESS'!$G$7:$G$50,TJM!G16))+(COUNTIF('2 ZT'!$G$7:$G$50,TJM!G16))+(COUNTIF('GO TRANSPORT'!$G$7:$G$50,TJM!G16))+(COUNTIF('HMZ - KAIS'!$G$7:$G$50,TJM!G16))+(COUNTIF('IB TRANSPORT'!$G$7:$G$50,TJM!G16))+(COUNTIF(JSL!$G$7:$G$50,TJM!G16))+(COUNTIF(KIFAITOUT!$G$7:$G$50,TJM!G16))+(COUNTIF('LUXE DRIVE'!$G$7:$G$50,TJM!G16))+(COUNTIF(SSN!$G$7:$G$50,TJM!G16))+(COUNTIF(TJM!$G$7:$G$50,TJM!G16))+(COUNTIF('ATHIS MONS'!$G$7:$G$50,TJM!G16))+(COUNTIF('L HAY LES ROSES'!$G$7:$G$50,TJM!G16))+(COUNTIF(RUNGIS!$G$7:$G$50,TJM!G16))+(COUNTIF(SCEAUX!$G$7:$G$50,TJM!G16))+(COUNTIF('INSTANCE C1'!$G$7:$G$50,TJM!G16))+(COUNTIF('INSTANCE C2'!$G$7:$G$50,TJM!G16))+(COUNTIF(INTERNES!$G$7:$G$50,TJM!G16))+(COUNTIF('EN PANNE'!$G$7:$G$50,TJM!G16))-I16</f>
        <v>0</v>
      </c>
      <c r="I16" s="23">
        <f>(COUNTIF('2S EXPRESS'!$A$7:$A$50,TJM!G16))+(COUNTIF('2 ZT'!$A$7:$A$50,TJM!G16))+(COUNTIF('GO TRANSPORT'!$A$7:$A$50,TJM!G16))+(COUNTIF('HMZ - KAIS'!$A$7:$A$50,TJM!G16))+(COUNTIF('IB TRANSPORT'!$A$7:$A$50,TJM!G16))+(COUNTIF(JSL!$A$7:$A$50,TJM!G16))+(COUNTIF(KIFAITOUT!$A$7:$A$50,TJM!G16))+(COUNTIF('LUXE DRIVE'!$A$7:$A$50,TJM!G16))+(COUNTIF(SSN!$A$7:$A$50,TJM!G16))+(COUNTIF(TJM!$A$7:$A$50,TJM!G16))+(COUNTIF('ATHIS MONS'!$A$7:$A$50,TJM!G16))+(COUNTIF('L HAY LES ROSES'!$A$7:$A$50,TJM!G16))+(COUNTIF(RUNGIS!$A$7:$A$50,TJM!G16))+(COUNTIF(SCEAUX!$A$7:$A$50,TJM!G16))+(COUNTIF('INSTANCE C1'!$A$7:$A$50,TJM!G16))+(COUNTIF('INSTANCE C2'!$A$7:$A$50,TJM!G16))+(COUNTIF(INTERNES!$A$7:$A$50,TJM!G16))+(COUNTIF('EN PANNE'!$A$7:$A$50,TJM!G16))</f>
        <v>0</v>
      </c>
      <c r="J16" s="28">
        <f t="shared" si="4"/>
        <v>0</v>
      </c>
      <c r="K16" s="2"/>
      <c r="L16" s="118"/>
      <c r="M16" s="48"/>
      <c r="N16" s="45"/>
      <c r="O16" s="48"/>
      <c r="P16" s="48"/>
      <c r="Q16" s="49" t="s">
        <v>32</v>
      </c>
      <c r="S16" s="60">
        <f t="shared" si="1"/>
        <v>0</v>
      </c>
      <c r="T16" s="67">
        <f t="shared" si="2"/>
        <v>0</v>
      </c>
    </row>
    <row r="17" spans="1:20" ht="24.95" customHeight="1" x14ac:dyDescent="0.2">
      <c r="A17" s="20"/>
      <c r="B17" s="23">
        <f>(COUNTIF('2S EXPRESS'!$A$7:$A$50,TJM!A17))+(COUNTIF('2 ZT'!$A$7:$A$50,TJM!A17))+(COUNTIF('GO TRANSPORT'!$A$7:$A$50,TJM!A17))+(COUNTIF('HMZ - KAIS'!$A$7:$A$50,TJM!A17))+(COUNTIF('IB TRANSPORT'!$A$7:$A$50,TJM!A17))+(COUNTIF(JSL!$A$7:$A$50,TJM!A17))+(COUNTIF(KIFAITOUT!$A$7:$A$50,TJM!A17))+(COUNTIF('LUXE DRIVE'!$A$7:$A$50,TJM!A17))+(COUNTIF(SSN!$A$7:$A$50,TJM!A17))+(COUNTIF(TJM!$A$7:$A$50,TJM!A17))+(COUNTIF('ATHIS MONS'!$A$7:$A$50,TJM!A17))+(COUNTIF('L HAY LES ROSES'!$A$7:$A$50,TJM!A17))+(COUNTIF(RUNGIS!$A$7:$A$50,TJM!A17))+(COUNTIF(SCEAUX!$A$7:$A$50,TJM!A17))+(COUNTIF('INSTANCE C1'!$A$7:$A$50,TJM!A17))+(COUNTIF('INSTANCE C2'!$A$7:$A$50,TJM!A17))+(COUNTIF(INTERNES!$A$7:$A$50,TJM!A17))+(COUNTIF('EN PANNE'!$A$7:$A$50,TJM!A17))-C17</f>
        <v>0</v>
      </c>
      <c r="C17" s="23">
        <f>(COUNTIF('2S EXPRESS'!$G$7:$G$50,TJM!A17))+(COUNTIF('2 ZT'!$G$7:$G$50,TJM!A17))+(COUNTIF('GO TRANSPORT'!$G$7:$G$50,TJM!A17))+(COUNTIF(TJM!$G$7:$G$50,TJM!A17))+(COUNTIF('IB TRANSPORT'!$G$7:$G$50,TJM!A17))+(COUNTIF(JSL!$G$7:$G$50,TJM!A17))+(COUNTIF(KIFAITOUT!$G$7:$G$50,TJM!A17))+(COUNTIF('LUXE DRIVE'!$G$7:$G$50,TJM!A17))+(COUNTIF(SSN!$G$7:$G$50,TJM!A17))+(COUNTIF(TJM!$G$7:$G$50,TJM!A17))+(COUNTIF('ATHIS MONS'!$G$7:$G$50,TJM!A17))+(COUNTIF('L HAY LES ROSES'!$G$7:$G$50,TJM!A17))+(COUNTIF(RUNGIS!$G$7:$G$50,TJM!A17))+(COUNTIF(SCEAUX!$G$7:$G$50,TJM!A17))+(COUNTIF('INSTANCE C1'!$G$7:$G$50,TJM!A17))+(COUNTIF('INSTANCE C2'!$G$7:$G$50,TJM!A17))+(COUNTIF(INTERNES!$G$7:$G$50,TJM!A17))+(COUNTIF('EN PANNE'!$G$7:$G$50,TJM!A17))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EXPRESS'!$G$7:$G$50,TJM!G17))+(COUNTIF('2 ZT'!$G$7:$G$50,TJM!G17))+(COUNTIF('GO TRANSPORT'!$G$7:$G$50,TJM!G17))+(COUNTIF('HMZ - KAIS'!$G$7:$G$50,TJM!G17))+(COUNTIF('IB TRANSPORT'!$G$7:$G$50,TJM!G17))+(COUNTIF(JSL!$G$7:$G$50,TJM!G17))+(COUNTIF(KIFAITOUT!$G$7:$G$50,TJM!G17))+(COUNTIF('LUXE DRIVE'!$G$7:$G$50,TJM!G17))+(COUNTIF(SSN!$G$7:$G$50,TJM!G17))+(COUNTIF(TJM!$G$7:$G$50,TJM!G17))+(COUNTIF('ATHIS MONS'!$G$7:$G$50,TJM!G17))+(COUNTIF('L HAY LES ROSES'!$G$7:$G$50,TJM!G17))+(COUNTIF(RUNGIS!$G$7:$G$50,TJM!G17))+(COUNTIF(SCEAUX!$G$7:$G$50,TJM!G17))+(COUNTIF('INSTANCE C1'!$G$7:$G$50,TJM!G17))+(COUNTIF('INSTANCE C2'!$G$7:$G$50,TJM!G17))+(COUNTIF(INTERNES!$G$7:$G$50,TJM!G17))+(COUNTIF('EN PANNE'!$G$7:$G$50,TJM!G17))-I17</f>
        <v>0</v>
      </c>
      <c r="I17" s="23">
        <f>(COUNTIF('2S EXPRESS'!$A$7:$A$50,TJM!G17))+(COUNTIF('2 ZT'!$A$7:$A$50,TJM!G17))+(COUNTIF('GO TRANSPORT'!$A$7:$A$50,TJM!G17))+(COUNTIF('HMZ - KAIS'!$A$7:$A$50,TJM!G17))+(COUNTIF('IB TRANSPORT'!$A$7:$A$50,TJM!G17))+(COUNTIF(JSL!$A$7:$A$50,TJM!G17))+(COUNTIF(KIFAITOUT!$A$7:$A$50,TJM!G17))+(COUNTIF('LUXE DRIVE'!$A$7:$A$50,TJM!G17))+(COUNTIF(SSN!$A$7:$A$50,TJM!G17))+(COUNTIF(TJM!$A$7:$A$50,TJM!G17))+(COUNTIF('ATHIS MONS'!$A$7:$A$50,TJM!G17))+(COUNTIF('L HAY LES ROSES'!$A$7:$A$50,TJM!G17))+(COUNTIF(RUNGIS!$A$7:$A$50,TJM!G17))+(COUNTIF(SCEAUX!$A$7:$A$50,TJM!G17))+(COUNTIF('INSTANCE C1'!$A$7:$A$50,TJM!G17))+(COUNTIF('INSTANCE C2'!$A$7:$A$50,TJM!G17))+(COUNTIF(INTERNES!$A$7:$A$50,TJM!G17))+(COUNTIF('EN PANNE'!$A$7:$A$50,TJM!G17))</f>
        <v>0</v>
      </c>
      <c r="J17" s="28">
        <f t="shared" si="4"/>
        <v>0</v>
      </c>
      <c r="K17" s="2"/>
      <c r="L17" s="118"/>
      <c r="M17" s="48"/>
      <c r="N17" s="45"/>
      <c r="O17" s="48"/>
      <c r="P17" s="48"/>
      <c r="Q17" s="49" t="s">
        <v>33</v>
      </c>
      <c r="S17" s="60">
        <f t="shared" si="1"/>
        <v>0</v>
      </c>
      <c r="T17" s="67">
        <f t="shared" si="2"/>
        <v>0</v>
      </c>
    </row>
    <row r="18" spans="1:20" ht="24.95" customHeight="1" x14ac:dyDescent="0.2">
      <c r="A18" s="20"/>
      <c r="B18" s="23">
        <f>(COUNTIF('2S EXPRESS'!$A$7:$A$50,TJM!A18))+(COUNTIF('2 ZT'!$A$7:$A$50,TJM!A18))+(COUNTIF('GO TRANSPORT'!$A$7:$A$50,TJM!A18))+(COUNTIF('HMZ - KAIS'!$A$7:$A$50,TJM!A18))+(COUNTIF('IB TRANSPORT'!$A$7:$A$50,TJM!A18))+(COUNTIF(JSL!$A$7:$A$50,TJM!A18))+(COUNTIF(KIFAITOUT!$A$7:$A$50,TJM!A18))+(COUNTIF('LUXE DRIVE'!$A$7:$A$50,TJM!A18))+(COUNTIF(SSN!$A$7:$A$50,TJM!A18))+(COUNTIF(TJM!$A$7:$A$50,TJM!A18))+(COUNTIF('ATHIS MONS'!$A$7:$A$50,TJM!A18))+(COUNTIF('L HAY LES ROSES'!$A$7:$A$50,TJM!A18))+(COUNTIF(RUNGIS!$A$7:$A$50,TJM!A18))+(COUNTIF(SCEAUX!$A$7:$A$50,TJM!A18))+(COUNTIF('INSTANCE C1'!$A$7:$A$50,TJM!A18))+(COUNTIF('INSTANCE C2'!$A$7:$A$50,TJM!A18))+(COUNTIF(INTERNES!$A$7:$A$50,TJM!A18))+(COUNTIF('EN PANNE'!$A$7:$A$50,TJM!A18))-C18</f>
        <v>0</v>
      </c>
      <c r="C18" s="23">
        <f>(COUNTIF('2S EXPRESS'!$G$7:$G$50,TJM!A18))+(COUNTIF('2 ZT'!$G$7:$G$50,TJM!A18))+(COUNTIF('GO TRANSPORT'!$G$7:$G$50,TJM!A18))+(COUNTIF(TJM!$G$7:$G$50,TJM!A18))+(COUNTIF('IB TRANSPORT'!$G$7:$G$50,TJM!A18))+(COUNTIF(JSL!$G$7:$G$50,TJM!A18))+(COUNTIF(KIFAITOUT!$G$7:$G$50,TJM!A18))+(COUNTIF('LUXE DRIVE'!$G$7:$G$50,TJM!A18))+(COUNTIF(SSN!$G$7:$G$50,TJM!A18))+(COUNTIF(TJM!$G$7:$G$50,TJM!A18))+(COUNTIF('ATHIS MONS'!$G$7:$G$50,TJM!A18))+(COUNTIF('L HAY LES ROSES'!$G$7:$G$50,TJM!A18))+(COUNTIF(RUNGIS!$G$7:$G$50,TJM!A18))+(COUNTIF(SCEAUX!$G$7:$G$50,TJM!A18))+(COUNTIF('INSTANCE C1'!$G$7:$G$50,TJM!A18))+(COUNTIF('INSTANCE C2'!$G$7:$G$50,TJM!A18))+(COUNTIF(INTERNES!$G$7:$G$50,TJM!A18))+(COUNTIF('EN PANNE'!$G$7:$G$50,TJM!A18))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EXPRESS'!$G$7:$G$50,TJM!G18))+(COUNTIF('2 ZT'!$G$7:$G$50,TJM!G18))+(COUNTIF('GO TRANSPORT'!$G$7:$G$50,TJM!G18))+(COUNTIF('HMZ - KAIS'!$G$7:$G$50,TJM!G18))+(COUNTIF('IB TRANSPORT'!$G$7:$G$50,TJM!G18))+(COUNTIF(JSL!$G$7:$G$50,TJM!G18))+(COUNTIF(KIFAITOUT!$G$7:$G$50,TJM!G18))+(COUNTIF('LUXE DRIVE'!$G$7:$G$50,TJM!G18))+(COUNTIF(SSN!$G$7:$G$50,TJM!G18))+(COUNTIF(TJM!$G$7:$G$50,TJM!G18))+(COUNTIF('ATHIS MONS'!$G$7:$G$50,TJM!G18))+(COUNTIF('L HAY LES ROSES'!$G$7:$G$50,TJM!G18))+(COUNTIF(RUNGIS!$G$7:$G$50,TJM!G18))+(COUNTIF(SCEAUX!$G$7:$G$50,TJM!G18))+(COUNTIF('INSTANCE C1'!$G$7:$G$50,TJM!G18))+(COUNTIF('INSTANCE C2'!$G$7:$G$50,TJM!G18))+(COUNTIF(INTERNES!$G$7:$G$50,TJM!G18))+(COUNTIF('EN PANNE'!$G$7:$G$50,TJM!G18))-I18</f>
        <v>0</v>
      </c>
      <c r="I18" s="23">
        <f>(COUNTIF('2S EXPRESS'!$A$7:$A$50,TJM!G18))+(COUNTIF('2 ZT'!$A$7:$A$50,TJM!G18))+(COUNTIF('GO TRANSPORT'!$A$7:$A$50,TJM!G18))+(COUNTIF('HMZ - KAIS'!$A$7:$A$50,TJM!G18))+(COUNTIF('IB TRANSPORT'!$A$7:$A$50,TJM!G18))+(COUNTIF(JSL!$A$7:$A$50,TJM!G18))+(COUNTIF(KIFAITOUT!$A$7:$A$50,TJM!G18))+(COUNTIF('LUXE DRIVE'!$A$7:$A$50,TJM!G18))+(COUNTIF(SSN!$A$7:$A$50,TJM!G18))+(COUNTIF(TJM!$A$7:$A$50,TJM!G18))+(COUNTIF('ATHIS MONS'!$A$7:$A$50,TJM!G18))+(COUNTIF('L HAY LES ROSES'!$A$7:$A$50,TJM!G18))+(COUNTIF(RUNGIS!$A$7:$A$50,TJM!G18))+(COUNTIF(SCEAUX!$A$7:$A$50,TJM!G18))+(COUNTIF('INSTANCE C1'!$A$7:$A$50,TJM!G18))+(COUNTIF('INSTANCE C2'!$A$7:$A$50,TJM!G18))+(COUNTIF(INTERNES!$A$7:$A$50,TJM!G18))+(COUNTIF('EN PANNE'!$A$7:$A$50,TJM!G18))</f>
        <v>0</v>
      </c>
      <c r="J18" s="28">
        <f t="shared" si="4"/>
        <v>0</v>
      </c>
      <c r="K18" s="2"/>
      <c r="L18" s="118"/>
      <c r="M18" s="48"/>
      <c r="N18" s="45"/>
      <c r="O18" s="48"/>
      <c r="P18" s="48"/>
      <c r="Q18" s="48"/>
      <c r="S18" s="60">
        <f t="shared" si="1"/>
        <v>0</v>
      </c>
      <c r="T18" s="67">
        <f t="shared" si="2"/>
        <v>0</v>
      </c>
    </row>
    <row r="19" spans="1:20" ht="24.95" customHeight="1" x14ac:dyDescent="0.2">
      <c r="A19" s="20"/>
      <c r="B19" s="23">
        <f>(COUNTIF('2S EXPRESS'!$A$7:$A$50,TJM!A19))+(COUNTIF('2 ZT'!$A$7:$A$50,TJM!A19))+(COUNTIF('GO TRANSPORT'!$A$7:$A$50,TJM!A19))+(COUNTIF('HMZ - KAIS'!$A$7:$A$50,TJM!A19))+(COUNTIF('IB TRANSPORT'!$A$7:$A$50,TJM!A19))+(COUNTIF(JSL!$A$7:$A$50,TJM!A19))+(COUNTIF(KIFAITOUT!$A$7:$A$50,TJM!A19))+(COUNTIF('LUXE DRIVE'!$A$7:$A$50,TJM!A19))+(COUNTIF(SSN!$A$7:$A$50,TJM!A19))+(COUNTIF(TJM!$A$7:$A$50,TJM!A19))+(COUNTIF('ATHIS MONS'!$A$7:$A$50,TJM!A19))+(COUNTIF('L HAY LES ROSES'!$A$7:$A$50,TJM!A19))+(COUNTIF(RUNGIS!$A$7:$A$50,TJM!A19))+(COUNTIF(SCEAUX!$A$7:$A$50,TJM!A19))+(COUNTIF('INSTANCE C1'!$A$7:$A$50,TJM!A19))+(COUNTIF('INSTANCE C2'!$A$7:$A$50,TJM!A19))+(COUNTIF(INTERNES!$A$7:$A$50,TJM!A19))+(COUNTIF('EN PANNE'!$A$7:$A$50,TJM!A19))-C19</f>
        <v>0</v>
      </c>
      <c r="C19" s="23">
        <f>(COUNTIF('2S EXPRESS'!$G$7:$G$50,TJM!A19))+(COUNTIF('2 ZT'!$G$7:$G$50,TJM!A19))+(COUNTIF('GO TRANSPORT'!$G$7:$G$50,TJM!A19))+(COUNTIF(TJM!$G$7:$G$50,TJM!A19))+(COUNTIF('IB TRANSPORT'!$G$7:$G$50,TJM!A19))+(COUNTIF(JSL!$G$7:$G$50,TJM!A19))+(COUNTIF(KIFAITOUT!$G$7:$G$50,TJM!A19))+(COUNTIF('LUXE DRIVE'!$G$7:$G$50,TJM!A19))+(COUNTIF(SSN!$G$7:$G$50,TJM!A19))+(COUNTIF(TJM!$G$7:$G$50,TJM!A19))+(COUNTIF('ATHIS MONS'!$G$7:$G$50,TJM!A19))+(COUNTIF('L HAY LES ROSES'!$G$7:$G$50,TJM!A19))+(COUNTIF(RUNGIS!$G$7:$G$50,TJM!A19))+(COUNTIF(SCEAUX!$G$7:$G$50,TJM!A19))+(COUNTIF('INSTANCE C1'!$G$7:$G$50,TJM!A19))+(COUNTIF('INSTANCE C2'!$G$7:$G$50,TJM!A19))+(COUNTIF(INTERNES!$G$7:$G$50,TJM!A19))+(COUNTIF('EN PANNE'!$G$7:$G$50,TJM!A19))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EXPRESS'!$G$7:$G$50,TJM!G19))+(COUNTIF('2 ZT'!$G$7:$G$50,TJM!G19))+(COUNTIF('GO TRANSPORT'!$G$7:$G$50,TJM!G19))+(COUNTIF('HMZ - KAIS'!$G$7:$G$50,TJM!G19))+(COUNTIF('IB TRANSPORT'!$G$7:$G$50,TJM!G19))+(COUNTIF(JSL!$G$7:$G$50,TJM!G19))+(COUNTIF(KIFAITOUT!$G$7:$G$50,TJM!G19))+(COUNTIF('LUXE DRIVE'!$G$7:$G$50,TJM!G19))+(COUNTIF(SSN!$G$7:$G$50,TJM!G19))+(COUNTIF(TJM!$G$7:$G$50,TJM!G19))+(COUNTIF('ATHIS MONS'!$G$7:$G$50,TJM!G19))+(COUNTIF('L HAY LES ROSES'!$G$7:$G$50,TJM!G19))+(COUNTIF(RUNGIS!$G$7:$G$50,TJM!G19))+(COUNTIF(SCEAUX!$G$7:$G$50,TJM!G19))+(COUNTIF('INSTANCE C1'!$G$7:$G$50,TJM!G19))+(COUNTIF('INSTANCE C2'!$G$7:$G$50,TJM!G19))+(COUNTIF(INTERNES!$G$7:$G$50,TJM!G19))+(COUNTIF('EN PANNE'!$G$7:$G$50,TJM!G19))-I19</f>
        <v>0</v>
      </c>
      <c r="I19" s="23">
        <f>(COUNTIF('2S EXPRESS'!$A$7:$A$50,TJM!G19))+(COUNTIF('2 ZT'!$A$7:$A$50,TJM!G19))+(COUNTIF('GO TRANSPORT'!$A$7:$A$50,TJM!G19))+(COUNTIF('HMZ - KAIS'!$A$7:$A$50,TJM!G19))+(COUNTIF('IB TRANSPORT'!$A$7:$A$50,TJM!G19))+(COUNTIF(JSL!$A$7:$A$50,TJM!G19))+(COUNTIF(KIFAITOUT!$A$7:$A$50,TJM!G19))+(COUNTIF('LUXE DRIVE'!$A$7:$A$50,TJM!G19))+(COUNTIF(SSN!$A$7:$A$50,TJM!G19))+(COUNTIF(TJM!$A$7:$A$50,TJM!G19))+(COUNTIF('ATHIS MONS'!$A$7:$A$50,TJM!G19))+(COUNTIF('L HAY LES ROSES'!$A$7:$A$50,TJM!G19))+(COUNTIF(RUNGIS!$A$7:$A$50,TJM!G19))+(COUNTIF(SCEAUX!$A$7:$A$50,TJM!G19))+(COUNTIF('INSTANCE C1'!$A$7:$A$50,TJM!G19))+(COUNTIF('INSTANCE C2'!$A$7:$A$50,TJM!G19))+(COUNTIF(INTERNES!$A$7:$A$50,TJM!G19))+(COUNTIF('EN PANNE'!$A$7:$A$50,TJM!G19))</f>
        <v>0</v>
      </c>
      <c r="J19" s="28">
        <f t="shared" si="4"/>
        <v>0</v>
      </c>
      <c r="K19" s="2"/>
      <c r="L19" s="118"/>
      <c r="M19" s="48"/>
      <c r="N19" s="45"/>
      <c r="O19" s="48"/>
      <c r="P19" s="48"/>
      <c r="Q19" s="48"/>
      <c r="S19" s="60">
        <f t="shared" si="1"/>
        <v>0</v>
      </c>
      <c r="T19" s="67">
        <f t="shared" si="2"/>
        <v>0</v>
      </c>
    </row>
    <row r="20" spans="1:20" ht="24.95" customHeight="1" x14ac:dyDescent="0.2">
      <c r="A20" s="20"/>
      <c r="B20" s="23">
        <f>(COUNTIF('2S EXPRESS'!$A$7:$A$50,TJM!A20))+(COUNTIF('2 ZT'!$A$7:$A$50,TJM!A20))+(COUNTIF('GO TRANSPORT'!$A$7:$A$50,TJM!A20))+(COUNTIF('HMZ - KAIS'!$A$7:$A$50,TJM!A20))+(COUNTIF('IB TRANSPORT'!$A$7:$A$50,TJM!A20))+(COUNTIF(JSL!$A$7:$A$50,TJM!A20))+(COUNTIF(KIFAITOUT!$A$7:$A$50,TJM!A20))+(COUNTIF('LUXE DRIVE'!$A$7:$A$50,TJM!A20))+(COUNTIF(SSN!$A$7:$A$50,TJM!A20))+(COUNTIF(TJM!$A$7:$A$50,TJM!A20))+(COUNTIF('ATHIS MONS'!$A$7:$A$50,TJM!A20))+(COUNTIF('L HAY LES ROSES'!$A$7:$A$50,TJM!A20))+(COUNTIF(RUNGIS!$A$7:$A$50,TJM!A20))+(COUNTIF(SCEAUX!$A$7:$A$50,TJM!A20))+(COUNTIF('INSTANCE C1'!$A$7:$A$50,TJM!A20))+(COUNTIF('INSTANCE C2'!$A$7:$A$50,TJM!A20))+(COUNTIF(INTERNES!$A$7:$A$50,TJM!A20))+(COUNTIF('EN PANNE'!$A$7:$A$50,TJM!A20))-C20</f>
        <v>0</v>
      </c>
      <c r="C20" s="23">
        <f>(COUNTIF('2S EXPRESS'!$G$7:$G$50,TJM!A20))+(COUNTIF('2 ZT'!$G$7:$G$50,TJM!A20))+(COUNTIF('GO TRANSPORT'!$G$7:$G$50,TJM!A20))+(COUNTIF(TJM!$G$7:$G$50,TJM!A20))+(COUNTIF('IB TRANSPORT'!$G$7:$G$50,TJM!A20))+(COUNTIF(JSL!$G$7:$G$50,TJM!A20))+(COUNTIF(KIFAITOUT!$G$7:$G$50,TJM!A20))+(COUNTIF('LUXE DRIVE'!$G$7:$G$50,TJM!A20))+(COUNTIF(SSN!$G$7:$G$50,TJM!A20))+(COUNTIF(TJM!$G$7:$G$50,TJM!A20))+(COUNTIF('ATHIS MONS'!$G$7:$G$50,TJM!A20))+(COUNTIF('L HAY LES ROSES'!$G$7:$G$50,TJM!A20))+(COUNTIF(RUNGIS!$G$7:$G$50,TJM!A20))+(COUNTIF(SCEAUX!$G$7:$G$50,TJM!A20))+(COUNTIF('INSTANCE C1'!$G$7:$G$50,TJM!A20))+(COUNTIF('INSTANCE C2'!$G$7:$G$50,TJM!A20))+(COUNTIF(INTERNES!$G$7:$G$50,TJM!A20))+(COUNTIF('EN PANNE'!$G$7:$G$50,TJM!A20))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EXPRESS'!$G$7:$G$50,TJM!G20))+(COUNTIF('2 ZT'!$G$7:$G$50,TJM!G20))+(COUNTIF('GO TRANSPORT'!$G$7:$G$50,TJM!G20))+(COUNTIF('HMZ - KAIS'!$G$7:$G$50,TJM!G20))+(COUNTIF('IB TRANSPORT'!$G$7:$G$50,TJM!G20))+(COUNTIF(JSL!$G$7:$G$50,TJM!G20))+(COUNTIF(KIFAITOUT!$G$7:$G$50,TJM!G20))+(COUNTIF('LUXE DRIVE'!$G$7:$G$50,TJM!G20))+(COUNTIF(SSN!$G$7:$G$50,TJM!G20))+(COUNTIF(TJM!$G$7:$G$50,TJM!G20))+(COUNTIF('ATHIS MONS'!$G$7:$G$50,TJM!G20))+(COUNTIF('L HAY LES ROSES'!$G$7:$G$50,TJM!G20))+(COUNTIF(RUNGIS!$G$7:$G$50,TJM!G20))+(COUNTIF(SCEAUX!$G$7:$G$50,TJM!G20))+(COUNTIF('INSTANCE C1'!$G$7:$G$50,TJM!G20))+(COUNTIF('INSTANCE C2'!$G$7:$G$50,TJM!G20))+(COUNTIF(INTERNES!$G$7:$G$50,TJM!G20))+(COUNTIF('EN PANNE'!$G$7:$G$50,TJM!G20))-I20</f>
        <v>0</v>
      </c>
      <c r="I20" s="23">
        <f>(COUNTIF('2S EXPRESS'!$A$7:$A$50,TJM!G20))+(COUNTIF('2 ZT'!$A$7:$A$50,TJM!G20))+(COUNTIF('GO TRANSPORT'!$A$7:$A$50,TJM!G20))+(COUNTIF('HMZ - KAIS'!$A$7:$A$50,TJM!G20))+(COUNTIF('IB TRANSPORT'!$A$7:$A$50,TJM!G20))+(COUNTIF(JSL!$A$7:$A$50,TJM!G20))+(COUNTIF(KIFAITOUT!$A$7:$A$50,TJM!G20))+(COUNTIF('LUXE DRIVE'!$A$7:$A$50,TJM!G20))+(COUNTIF(SSN!$A$7:$A$50,TJM!G20))+(COUNTIF(TJM!$A$7:$A$50,TJM!G20))+(COUNTIF('ATHIS MONS'!$A$7:$A$50,TJM!G20))+(COUNTIF('L HAY LES ROSES'!$A$7:$A$50,TJM!G20))+(COUNTIF(RUNGIS!$A$7:$A$50,TJM!G20))+(COUNTIF(SCEAUX!$A$7:$A$50,TJM!G20))+(COUNTIF('INSTANCE C1'!$A$7:$A$50,TJM!G20))+(COUNTIF('INSTANCE C2'!$A$7:$A$50,TJM!G20))+(COUNTIF(INTERNES!$A$7:$A$50,TJM!G20))+(COUNTIF('EN PANNE'!$A$7:$A$50,TJM!G20))</f>
        <v>0</v>
      </c>
      <c r="J20" s="28">
        <f t="shared" si="4"/>
        <v>0</v>
      </c>
      <c r="K20" s="2"/>
      <c r="L20" s="118"/>
      <c r="M20" s="48"/>
      <c r="N20" s="45"/>
      <c r="O20" s="48"/>
      <c r="P20" s="48"/>
      <c r="Q20" s="48"/>
      <c r="S20" s="60">
        <f t="shared" si="1"/>
        <v>0</v>
      </c>
      <c r="T20" s="67">
        <f t="shared" si="2"/>
        <v>0</v>
      </c>
    </row>
    <row r="21" spans="1:20" ht="24.95" customHeight="1" x14ac:dyDescent="0.2">
      <c r="A21" s="20"/>
      <c r="B21" s="23">
        <f>(COUNTIF('2S EXPRESS'!$A$7:$A$50,TJM!A21))+(COUNTIF('2 ZT'!$A$7:$A$50,TJM!A21))+(COUNTIF('GO TRANSPORT'!$A$7:$A$50,TJM!A21))+(COUNTIF('HMZ - KAIS'!$A$7:$A$50,TJM!A21))+(COUNTIF('IB TRANSPORT'!$A$7:$A$50,TJM!A21))+(COUNTIF(JSL!$A$7:$A$50,TJM!A21))+(COUNTIF(KIFAITOUT!$A$7:$A$50,TJM!A21))+(COUNTIF('LUXE DRIVE'!$A$7:$A$50,TJM!A21))+(COUNTIF(SSN!$A$7:$A$50,TJM!A21))+(COUNTIF(TJM!$A$7:$A$50,TJM!A21))+(COUNTIF('ATHIS MONS'!$A$7:$A$50,TJM!A21))+(COUNTIF('L HAY LES ROSES'!$A$7:$A$50,TJM!A21))+(COUNTIF(RUNGIS!$A$7:$A$50,TJM!A21))+(COUNTIF(SCEAUX!$A$7:$A$50,TJM!A21))+(COUNTIF('INSTANCE C1'!$A$7:$A$50,TJM!A21))+(COUNTIF('INSTANCE C2'!$A$7:$A$50,TJM!A21))+(COUNTIF(INTERNES!$A$7:$A$50,TJM!A21))+(COUNTIF('EN PANNE'!$A$7:$A$50,TJM!A21))-C21</f>
        <v>0</v>
      </c>
      <c r="C21" s="23">
        <f>(COUNTIF('2S EXPRESS'!$G$7:$G$50,TJM!A21))+(COUNTIF('2 ZT'!$G$7:$G$50,TJM!A21))+(COUNTIF('GO TRANSPORT'!$G$7:$G$50,TJM!A21))+(COUNTIF(TJM!$G$7:$G$50,TJM!A21))+(COUNTIF('IB TRANSPORT'!$G$7:$G$50,TJM!A21))+(COUNTIF(JSL!$G$7:$G$50,TJM!A21))+(COUNTIF(KIFAITOUT!$G$7:$G$50,TJM!A21))+(COUNTIF('LUXE DRIVE'!$G$7:$G$50,TJM!A21))+(COUNTIF(SSN!$G$7:$G$50,TJM!A21))+(COUNTIF(TJM!$G$7:$G$50,TJM!A21))+(COUNTIF('ATHIS MONS'!$G$7:$G$50,TJM!A21))+(COUNTIF('L HAY LES ROSES'!$G$7:$G$50,TJM!A21))+(COUNTIF(RUNGIS!$G$7:$G$50,TJM!A21))+(COUNTIF(SCEAUX!$G$7:$G$50,TJM!A21))+(COUNTIF('INSTANCE C1'!$G$7:$G$50,TJM!A21))+(COUNTIF('INSTANCE C2'!$G$7:$G$50,TJM!A21))+(COUNTIF(INTERNES!$G$7:$G$50,TJM!A21))+(COUNTIF('EN PANNE'!$G$7:$G$50,TJM!A21))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EXPRESS'!$G$7:$G$50,TJM!G21))+(COUNTIF('2 ZT'!$G$7:$G$50,TJM!G21))+(COUNTIF('GO TRANSPORT'!$G$7:$G$50,TJM!G21))+(COUNTIF('HMZ - KAIS'!$G$7:$G$50,TJM!G21))+(COUNTIF('IB TRANSPORT'!$G$7:$G$50,TJM!G21))+(COUNTIF(JSL!$G$7:$G$50,TJM!G21))+(COUNTIF(KIFAITOUT!$G$7:$G$50,TJM!G21))+(COUNTIF('LUXE DRIVE'!$G$7:$G$50,TJM!G21))+(COUNTIF(SSN!$G$7:$G$50,TJM!G21))+(COUNTIF(TJM!$G$7:$G$50,TJM!G21))+(COUNTIF('ATHIS MONS'!$G$7:$G$50,TJM!G21))+(COUNTIF('L HAY LES ROSES'!$G$7:$G$50,TJM!G21))+(COUNTIF(RUNGIS!$G$7:$G$50,TJM!G21))+(COUNTIF(SCEAUX!$G$7:$G$50,TJM!G21))+(COUNTIF('INSTANCE C1'!$G$7:$G$50,TJM!G21))+(COUNTIF('INSTANCE C2'!$G$7:$G$50,TJM!G21))+(COUNTIF(INTERNES!$G$7:$G$50,TJM!G21))+(COUNTIF('EN PANNE'!$G$7:$G$50,TJM!G21))-I21</f>
        <v>0</v>
      </c>
      <c r="I21" s="23">
        <f>(COUNTIF('2S EXPRESS'!$A$7:$A$50,TJM!G21))+(COUNTIF('2 ZT'!$A$7:$A$50,TJM!G21))+(COUNTIF('GO TRANSPORT'!$A$7:$A$50,TJM!G21))+(COUNTIF('HMZ - KAIS'!$A$7:$A$50,TJM!G21))+(COUNTIF('IB TRANSPORT'!$A$7:$A$50,TJM!G21))+(COUNTIF(JSL!$A$7:$A$50,TJM!G21))+(COUNTIF(KIFAITOUT!$A$7:$A$50,TJM!G21))+(COUNTIF('LUXE DRIVE'!$A$7:$A$50,TJM!G21))+(COUNTIF(SSN!$A$7:$A$50,TJM!G21))+(COUNTIF(TJM!$A$7:$A$50,TJM!G21))+(COUNTIF('ATHIS MONS'!$A$7:$A$50,TJM!G21))+(COUNTIF('L HAY LES ROSES'!$A$7:$A$50,TJM!G21))+(COUNTIF(RUNGIS!$A$7:$A$50,TJM!G21))+(COUNTIF(SCEAUX!$A$7:$A$50,TJM!G21))+(COUNTIF('INSTANCE C1'!$A$7:$A$50,TJM!G21))+(COUNTIF('INSTANCE C2'!$A$7:$A$50,TJM!G21))+(COUNTIF(INTERNES!$A$7:$A$50,TJM!G21))+(COUNTIF('EN PANNE'!$A$7:$A$50,TJM!G21))</f>
        <v>0</v>
      </c>
      <c r="J21" s="28">
        <f t="shared" si="4"/>
        <v>0</v>
      </c>
      <c r="K21" s="2"/>
      <c r="L21" s="118"/>
      <c r="M21" s="48"/>
      <c r="N21" s="45"/>
      <c r="O21" s="48"/>
      <c r="P21" s="48"/>
      <c r="Q21" s="48"/>
      <c r="S21" s="60">
        <f t="shared" si="1"/>
        <v>0</v>
      </c>
      <c r="T21" s="67">
        <f t="shared" si="2"/>
        <v>0</v>
      </c>
    </row>
    <row r="22" spans="1:20" ht="24.95" customHeight="1" x14ac:dyDescent="0.2">
      <c r="A22" s="20"/>
      <c r="B22" s="23">
        <f>(COUNTIF('2S EXPRESS'!$A$7:$A$50,TJM!A22))+(COUNTIF('2 ZT'!$A$7:$A$50,TJM!A22))+(COUNTIF('GO TRANSPORT'!$A$7:$A$50,TJM!A22))+(COUNTIF('HMZ - KAIS'!$A$7:$A$50,TJM!A22))+(COUNTIF('IB TRANSPORT'!$A$7:$A$50,TJM!A22))+(COUNTIF(JSL!$A$7:$A$50,TJM!A22))+(COUNTIF(KIFAITOUT!$A$7:$A$50,TJM!A22))+(COUNTIF('LUXE DRIVE'!$A$7:$A$50,TJM!A22))+(COUNTIF(SSN!$A$7:$A$50,TJM!A22))+(COUNTIF(TJM!$A$7:$A$50,TJM!A22))+(COUNTIF('ATHIS MONS'!$A$7:$A$50,TJM!A22))+(COUNTIF('L HAY LES ROSES'!$A$7:$A$50,TJM!A22))+(COUNTIF(RUNGIS!$A$7:$A$50,TJM!A22))+(COUNTIF(SCEAUX!$A$7:$A$50,TJM!A22))+(COUNTIF('INSTANCE C1'!$A$7:$A$50,TJM!A22))+(COUNTIF('INSTANCE C2'!$A$7:$A$50,TJM!A22))+(COUNTIF(INTERNES!$A$7:$A$50,TJM!A22))+(COUNTIF('EN PANNE'!$A$7:$A$50,TJM!A22))-C22</f>
        <v>0</v>
      </c>
      <c r="C22" s="23">
        <f>(COUNTIF('2S EXPRESS'!$G$7:$G$50,TJM!A22))+(COUNTIF('2 ZT'!$G$7:$G$50,TJM!A22))+(COUNTIF('GO TRANSPORT'!$G$7:$G$50,TJM!A22))+(COUNTIF(TJM!$G$7:$G$50,TJM!A22))+(COUNTIF('IB TRANSPORT'!$G$7:$G$50,TJM!A22))+(COUNTIF(JSL!$G$7:$G$50,TJM!A22))+(COUNTIF(KIFAITOUT!$G$7:$G$50,TJM!A22))+(COUNTIF('LUXE DRIVE'!$G$7:$G$50,TJM!A22))+(COUNTIF(SSN!$G$7:$G$50,TJM!A22))+(COUNTIF(TJM!$G$7:$G$50,TJM!A22))+(COUNTIF('ATHIS MONS'!$G$7:$G$50,TJM!A22))+(COUNTIF('L HAY LES ROSES'!$G$7:$G$50,TJM!A22))+(COUNTIF(RUNGIS!$G$7:$G$50,TJM!A22))+(COUNTIF(SCEAUX!$G$7:$G$50,TJM!A22))+(COUNTIF('INSTANCE C1'!$G$7:$G$50,TJM!A22))+(COUNTIF('INSTANCE C2'!$G$7:$G$50,TJM!A22))+(COUNTIF(INTERNES!$G$7:$G$50,TJM!A22))+(COUNTIF('EN PANNE'!$G$7:$G$50,TJM!A22))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EXPRESS'!$G$7:$G$50,TJM!G22))+(COUNTIF('2 ZT'!$G$7:$G$50,TJM!G22))+(COUNTIF('GO TRANSPORT'!$G$7:$G$50,TJM!G22))+(COUNTIF('HMZ - KAIS'!$G$7:$G$50,TJM!G22))+(COUNTIF('IB TRANSPORT'!$G$7:$G$50,TJM!G22))+(COUNTIF(JSL!$G$7:$G$50,TJM!G22))+(COUNTIF(KIFAITOUT!$G$7:$G$50,TJM!G22))+(COUNTIF('LUXE DRIVE'!$G$7:$G$50,TJM!G22))+(COUNTIF(SSN!$G$7:$G$50,TJM!G22))+(COUNTIF(TJM!$G$7:$G$50,TJM!G22))+(COUNTIF('ATHIS MONS'!$G$7:$G$50,TJM!G22))+(COUNTIF('L HAY LES ROSES'!$G$7:$G$50,TJM!G22))+(COUNTIF(RUNGIS!$G$7:$G$50,TJM!G22))+(COUNTIF(SCEAUX!$G$7:$G$50,TJM!G22))+(COUNTIF('INSTANCE C1'!$G$7:$G$50,TJM!G22))+(COUNTIF('INSTANCE C2'!$G$7:$G$50,TJM!G22))+(COUNTIF(INTERNES!$G$7:$G$50,TJM!G22))+(COUNTIF('EN PANNE'!$G$7:$G$50,TJM!G22))-I22</f>
        <v>0</v>
      </c>
      <c r="I22" s="23">
        <f>(COUNTIF('2S EXPRESS'!$A$7:$A$50,TJM!G22))+(COUNTIF('2 ZT'!$A$7:$A$50,TJM!G22))+(COUNTIF('GO TRANSPORT'!$A$7:$A$50,TJM!G22))+(COUNTIF('HMZ - KAIS'!$A$7:$A$50,TJM!G22))+(COUNTIF('IB TRANSPORT'!$A$7:$A$50,TJM!G22))+(COUNTIF(JSL!$A$7:$A$50,TJM!G22))+(COUNTIF(KIFAITOUT!$A$7:$A$50,TJM!G22))+(COUNTIF('LUXE DRIVE'!$A$7:$A$50,TJM!G22))+(COUNTIF(SSN!$A$7:$A$50,TJM!G22))+(COUNTIF(TJM!$A$7:$A$50,TJM!G22))+(COUNTIF('ATHIS MONS'!$A$7:$A$50,TJM!G22))+(COUNTIF('L HAY LES ROSES'!$A$7:$A$50,TJM!G22))+(COUNTIF(RUNGIS!$A$7:$A$50,TJM!G22))+(COUNTIF(SCEAUX!$A$7:$A$50,TJM!G22))+(COUNTIF('INSTANCE C1'!$A$7:$A$50,TJM!G22))+(COUNTIF('INSTANCE C2'!$A$7:$A$50,TJM!G22))+(COUNTIF(INTERNES!$A$7:$A$50,TJM!G22))+(COUNTIF('EN PANNE'!$A$7:$A$50,TJM!G22))</f>
        <v>0</v>
      </c>
      <c r="J22" s="28">
        <f t="shared" si="4"/>
        <v>0</v>
      </c>
      <c r="K22" s="2"/>
      <c r="L22" s="118"/>
      <c r="M22" s="48"/>
      <c r="N22" s="45"/>
      <c r="O22" s="48"/>
      <c r="P22" s="48"/>
      <c r="Q22" s="48"/>
      <c r="S22" s="60">
        <f t="shared" si="1"/>
        <v>0</v>
      </c>
      <c r="T22" s="67">
        <f t="shared" si="2"/>
        <v>0</v>
      </c>
    </row>
    <row r="23" spans="1:20" ht="24.95" customHeight="1" x14ac:dyDescent="0.2">
      <c r="A23" s="20"/>
      <c r="B23" s="23">
        <f>(COUNTIF('2S EXPRESS'!$A$7:$A$50,TJM!A23))+(COUNTIF('2 ZT'!$A$7:$A$50,TJM!A23))+(COUNTIF('GO TRANSPORT'!$A$7:$A$50,TJM!A23))+(COUNTIF('HMZ - KAIS'!$A$7:$A$50,TJM!A23))+(COUNTIF('IB TRANSPORT'!$A$7:$A$50,TJM!A23))+(COUNTIF(JSL!$A$7:$A$50,TJM!A23))+(COUNTIF(KIFAITOUT!$A$7:$A$50,TJM!A23))+(COUNTIF('LUXE DRIVE'!$A$7:$A$50,TJM!A23))+(COUNTIF(SSN!$A$7:$A$50,TJM!A23))+(COUNTIF(TJM!$A$7:$A$50,TJM!A23))+(COUNTIF('ATHIS MONS'!$A$7:$A$50,TJM!A23))+(COUNTIF('L HAY LES ROSES'!$A$7:$A$50,TJM!A23))+(COUNTIF(RUNGIS!$A$7:$A$50,TJM!A23))+(COUNTIF(SCEAUX!$A$7:$A$50,TJM!A23))+(COUNTIF('INSTANCE C1'!$A$7:$A$50,TJM!A23))+(COUNTIF('INSTANCE C2'!$A$7:$A$50,TJM!A23))+(COUNTIF(INTERNES!$A$7:$A$50,TJM!A23))+(COUNTIF('EN PANNE'!$A$7:$A$50,TJM!A23))-C23</f>
        <v>0</v>
      </c>
      <c r="C23" s="23">
        <f>(COUNTIF('2S EXPRESS'!$G$7:$G$50,TJM!A23))+(COUNTIF('2 ZT'!$G$7:$G$50,TJM!A23))+(COUNTIF('GO TRANSPORT'!$G$7:$G$50,TJM!A23))+(COUNTIF(TJM!$G$7:$G$50,TJM!A23))+(COUNTIF('IB TRANSPORT'!$G$7:$G$50,TJM!A23))+(COUNTIF(JSL!$G$7:$G$50,TJM!A23))+(COUNTIF(KIFAITOUT!$G$7:$G$50,TJM!A23))+(COUNTIF('LUXE DRIVE'!$G$7:$G$50,TJM!A23))+(COUNTIF(SSN!$G$7:$G$50,TJM!A23))+(COUNTIF(TJM!$G$7:$G$50,TJM!A23))+(COUNTIF('ATHIS MONS'!$G$7:$G$50,TJM!A23))+(COUNTIF('L HAY LES ROSES'!$G$7:$G$50,TJM!A23))+(COUNTIF(RUNGIS!$G$7:$G$50,TJM!A23))+(COUNTIF(SCEAUX!$G$7:$G$50,TJM!A23))+(COUNTIF('INSTANCE C1'!$G$7:$G$50,TJM!A23))+(COUNTIF('INSTANCE C2'!$G$7:$G$50,TJM!A23))+(COUNTIF(INTERNES!$G$7:$G$50,TJM!A23))+(COUNTIF('EN PANNE'!$G$7:$G$50,TJM!A23))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EXPRESS'!$G$7:$G$50,TJM!G23))+(COUNTIF('2 ZT'!$G$7:$G$50,TJM!G23))+(COUNTIF('GO TRANSPORT'!$G$7:$G$50,TJM!G23))+(COUNTIF('HMZ - KAIS'!$G$7:$G$50,TJM!G23))+(COUNTIF('IB TRANSPORT'!$G$7:$G$50,TJM!G23))+(COUNTIF(JSL!$G$7:$G$50,TJM!G23))+(COUNTIF(KIFAITOUT!$G$7:$G$50,TJM!G23))+(COUNTIF('LUXE DRIVE'!$G$7:$G$50,TJM!G23))+(COUNTIF(SSN!$G$7:$G$50,TJM!G23))+(COUNTIF(TJM!$G$7:$G$50,TJM!G23))+(COUNTIF('ATHIS MONS'!$G$7:$G$50,TJM!G23))+(COUNTIF('L HAY LES ROSES'!$G$7:$G$50,TJM!G23))+(COUNTIF(RUNGIS!$G$7:$G$50,TJM!G23))+(COUNTIF(SCEAUX!$G$7:$G$50,TJM!G23))+(COUNTIF('INSTANCE C1'!$G$7:$G$50,TJM!G23))+(COUNTIF('INSTANCE C2'!$G$7:$G$50,TJM!G23))+(COUNTIF(INTERNES!$G$7:$G$50,TJM!G23))+(COUNTIF('EN PANNE'!$G$7:$G$50,TJM!G23))-I23</f>
        <v>0</v>
      </c>
      <c r="I23" s="23">
        <f>(COUNTIF('2S EXPRESS'!$A$7:$A$50,TJM!G23))+(COUNTIF('2 ZT'!$A$7:$A$50,TJM!G23))+(COUNTIF('GO TRANSPORT'!$A$7:$A$50,TJM!G23))+(COUNTIF('HMZ - KAIS'!$A$7:$A$50,TJM!G23))+(COUNTIF('IB TRANSPORT'!$A$7:$A$50,TJM!G23))+(COUNTIF(JSL!$A$7:$A$50,TJM!G23))+(COUNTIF(KIFAITOUT!$A$7:$A$50,TJM!G23))+(COUNTIF('LUXE DRIVE'!$A$7:$A$50,TJM!G23))+(COUNTIF(SSN!$A$7:$A$50,TJM!G23))+(COUNTIF(TJM!$A$7:$A$50,TJM!G23))+(COUNTIF('ATHIS MONS'!$A$7:$A$50,TJM!G23))+(COUNTIF('L HAY LES ROSES'!$A$7:$A$50,TJM!G23))+(COUNTIF(RUNGIS!$A$7:$A$50,TJM!G23))+(COUNTIF(SCEAUX!$A$7:$A$50,TJM!G23))+(COUNTIF('INSTANCE C1'!$A$7:$A$50,TJM!G23))+(COUNTIF('INSTANCE C2'!$A$7:$A$50,TJM!G23))+(COUNTIF(INTERNES!$A$7:$A$50,TJM!G23))+(COUNTIF('EN PANNE'!$A$7:$A$50,TJM!G23))</f>
        <v>0</v>
      </c>
      <c r="J23" s="28">
        <f t="shared" si="4"/>
        <v>0</v>
      </c>
      <c r="K23" s="2"/>
      <c r="L23" s="118"/>
      <c r="M23" s="48"/>
      <c r="N23" s="45"/>
      <c r="O23" s="48"/>
      <c r="P23" s="48"/>
      <c r="Q23" s="48"/>
      <c r="S23" s="60">
        <f t="shared" si="1"/>
        <v>0</v>
      </c>
      <c r="T23" s="67">
        <f t="shared" si="2"/>
        <v>0</v>
      </c>
    </row>
    <row r="24" spans="1:20" ht="24.95" customHeight="1" x14ac:dyDescent="0.2">
      <c r="A24" s="20"/>
      <c r="B24" s="23">
        <f>(COUNTIF('2S EXPRESS'!$A$7:$A$50,TJM!A24))+(COUNTIF('2 ZT'!$A$7:$A$50,TJM!A24))+(COUNTIF('GO TRANSPORT'!$A$7:$A$50,TJM!A24))+(COUNTIF('HMZ - KAIS'!$A$7:$A$50,TJM!A24))+(COUNTIF('IB TRANSPORT'!$A$7:$A$50,TJM!A24))+(COUNTIF(JSL!$A$7:$A$50,TJM!A24))+(COUNTIF(KIFAITOUT!$A$7:$A$50,TJM!A24))+(COUNTIF('LUXE DRIVE'!$A$7:$A$50,TJM!A24))+(COUNTIF(SSN!$A$7:$A$50,TJM!A24))+(COUNTIF(TJM!$A$7:$A$50,TJM!A24))+(COUNTIF('ATHIS MONS'!$A$7:$A$50,TJM!A24))+(COUNTIF('L HAY LES ROSES'!$A$7:$A$50,TJM!A24))+(COUNTIF(RUNGIS!$A$7:$A$50,TJM!A24))+(COUNTIF(SCEAUX!$A$7:$A$50,TJM!A24))+(COUNTIF('INSTANCE C1'!$A$7:$A$50,TJM!A24))+(COUNTIF('INSTANCE C2'!$A$7:$A$50,TJM!A24))+(COUNTIF(INTERNES!$A$7:$A$50,TJM!A24))+(COUNTIF('EN PANNE'!$A$7:$A$50,TJM!A24))-C24</f>
        <v>0</v>
      </c>
      <c r="C24" s="23">
        <f>(COUNTIF('2S EXPRESS'!$G$7:$G$50,TJM!A24))+(COUNTIF('2 ZT'!$G$7:$G$50,TJM!A24))+(COUNTIF('GO TRANSPORT'!$G$7:$G$50,TJM!A24))+(COUNTIF(TJM!$G$7:$G$50,TJM!A24))+(COUNTIF('IB TRANSPORT'!$G$7:$G$50,TJM!A24))+(COUNTIF(JSL!$G$7:$G$50,TJM!A24))+(COUNTIF(KIFAITOUT!$G$7:$G$50,TJM!A24))+(COUNTIF('LUXE DRIVE'!$G$7:$G$50,TJM!A24))+(COUNTIF(SSN!$G$7:$G$50,TJM!A24))+(COUNTIF(TJM!$G$7:$G$50,TJM!A24))+(COUNTIF('ATHIS MONS'!$G$7:$G$50,TJM!A24))+(COUNTIF('L HAY LES ROSES'!$G$7:$G$50,TJM!A24))+(COUNTIF(RUNGIS!$G$7:$G$50,TJM!A24))+(COUNTIF(SCEAUX!$G$7:$G$50,TJM!A24))+(COUNTIF('INSTANCE C1'!$G$7:$G$50,TJM!A24))+(COUNTIF('INSTANCE C2'!$G$7:$G$50,TJM!A24))+(COUNTIF(INTERNES!$G$7:$G$50,TJM!A24))+(COUNTIF('EN PANNE'!$G$7:$G$50,TJM!A24))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EXPRESS'!$G$7:$G$50,TJM!G24))+(COUNTIF('2 ZT'!$G$7:$G$50,TJM!G24))+(COUNTIF('GO TRANSPORT'!$G$7:$G$50,TJM!G24))+(COUNTIF('HMZ - KAIS'!$G$7:$G$50,TJM!G24))+(COUNTIF('IB TRANSPORT'!$G$7:$G$50,TJM!G24))+(COUNTIF(JSL!$G$7:$G$50,TJM!G24))+(COUNTIF(KIFAITOUT!$G$7:$G$50,TJM!G24))+(COUNTIF('LUXE DRIVE'!$G$7:$G$50,TJM!G24))+(COUNTIF(SSN!$G$7:$G$50,TJM!G24))+(COUNTIF(TJM!$G$7:$G$50,TJM!G24))+(COUNTIF('ATHIS MONS'!$G$7:$G$50,TJM!G24))+(COUNTIF('L HAY LES ROSES'!$G$7:$G$50,TJM!G24))+(COUNTIF(RUNGIS!$G$7:$G$50,TJM!G24))+(COUNTIF(SCEAUX!$G$7:$G$50,TJM!G24))+(COUNTIF('INSTANCE C1'!$G$7:$G$50,TJM!G24))+(COUNTIF('INSTANCE C2'!$G$7:$G$50,TJM!G24))+(COUNTIF(INTERNES!$G$7:$G$50,TJM!G24))+(COUNTIF('EN PANNE'!$G$7:$G$50,TJM!G24))-I24</f>
        <v>0</v>
      </c>
      <c r="I24" s="23">
        <f>(COUNTIF('2S EXPRESS'!$A$7:$A$50,TJM!G24))+(COUNTIF('2 ZT'!$A$7:$A$50,TJM!G24))+(COUNTIF('GO TRANSPORT'!$A$7:$A$50,TJM!G24))+(COUNTIF('HMZ - KAIS'!$A$7:$A$50,TJM!G24))+(COUNTIF('IB TRANSPORT'!$A$7:$A$50,TJM!G24))+(COUNTIF(JSL!$A$7:$A$50,TJM!G24))+(COUNTIF(KIFAITOUT!$A$7:$A$50,TJM!G24))+(COUNTIF('LUXE DRIVE'!$A$7:$A$50,TJM!G24))+(COUNTIF(SSN!$A$7:$A$50,TJM!G24))+(COUNTIF(TJM!$A$7:$A$50,TJM!G24))+(COUNTIF('ATHIS MONS'!$A$7:$A$50,TJM!G24))+(COUNTIF('L HAY LES ROSES'!$A$7:$A$50,TJM!G24))+(COUNTIF(RUNGIS!$A$7:$A$50,TJM!G24))+(COUNTIF(SCEAUX!$A$7:$A$50,TJM!G24))+(COUNTIF('INSTANCE C1'!$A$7:$A$50,TJM!G24))+(COUNTIF('INSTANCE C2'!$A$7:$A$50,TJM!G24))+(COUNTIF(INTERNES!$A$7:$A$50,TJM!G24))+(COUNTIF('EN PANNE'!$A$7:$A$50,TJM!G24))</f>
        <v>0</v>
      </c>
      <c r="J24" s="28">
        <f t="shared" si="4"/>
        <v>0</v>
      </c>
      <c r="K24" s="2"/>
      <c r="L24" s="118"/>
      <c r="S24" s="60">
        <f t="shared" si="1"/>
        <v>0</v>
      </c>
      <c r="T24" s="67">
        <f t="shared" si="2"/>
        <v>0</v>
      </c>
    </row>
    <row r="25" spans="1:20" ht="24.95" customHeight="1" x14ac:dyDescent="0.2">
      <c r="A25" s="20"/>
      <c r="B25" s="23">
        <f>(COUNTIF('2S EXPRESS'!$A$7:$A$50,TJM!A25))+(COUNTIF('2 ZT'!$A$7:$A$50,TJM!A25))+(COUNTIF('GO TRANSPORT'!$A$7:$A$50,TJM!A25))+(COUNTIF('HMZ - KAIS'!$A$7:$A$50,TJM!A25))+(COUNTIF('IB TRANSPORT'!$A$7:$A$50,TJM!A25))+(COUNTIF(JSL!$A$7:$A$50,TJM!A25))+(COUNTIF(KIFAITOUT!$A$7:$A$50,TJM!A25))+(COUNTIF('LUXE DRIVE'!$A$7:$A$50,TJM!A25))+(COUNTIF(SSN!$A$7:$A$50,TJM!A25))+(COUNTIF(TJM!$A$7:$A$50,TJM!A25))+(COUNTIF('ATHIS MONS'!$A$7:$A$50,TJM!A25))+(COUNTIF('L HAY LES ROSES'!$A$7:$A$50,TJM!A25))+(COUNTIF(RUNGIS!$A$7:$A$50,TJM!A25))+(COUNTIF(SCEAUX!$A$7:$A$50,TJM!A25))+(COUNTIF('INSTANCE C1'!$A$7:$A$50,TJM!A25))+(COUNTIF('INSTANCE C2'!$A$7:$A$50,TJM!A25))+(COUNTIF(INTERNES!$A$7:$A$50,TJM!A25))+(COUNTIF('EN PANNE'!$A$7:$A$50,TJM!A25))-C25</f>
        <v>0</v>
      </c>
      <c r="C25" s="23">
        <f>(COUNTIF('2S EXPRESS'!$G$7:$G$50,TJM!A25))+(COUNTIF('2 ZT'!$G$7:$G$50,TJM!A25))+(COUNTIF('GO TRANSPORT'!$G$7:$G$50,TJM!A25))+(COUNTIF(TJM!$G$7:$G$50,TJM!A25))+(COUNTIF('IB TRANSPORT'!$G$7:$G$50,TJM!A25))+(COUNTIF(JSL!$G$7:$G$50,TJM!A25))+(COUNTIF(KIFAITOUT!$G$7:$G$50,TJM!A25))+(COUNTIF('LUXE DRIVE'!$G$7:$G$50,TJM!A25))+(COUNTIF(SSN!$G$7:$G$50,TJM!A25))+(COUNTIF(TJM!$G$7:$G$50,TJM!A25))+(COUNTIF('ATHIS MONS'!$G$7:$G$50,TJM!A25))+(COUNTIF('L HAY LES ROSES'!$G$7:$G$50,TJM!A25))+(COUNTIF(RUNGIS!$G$7:$G$50,TJM!A25))+(COUNTIF(SCEAUX!$G$7:$G$50,TJM!A25))+(COUNTIF('INSTANCE C1'!$G$7:$G$50,TJM!A25))+(COUNTIF('INSTANCE C2'!$G$7:$G$50,TJM!A25))+(COUNTIF(INTERNES!$G$7:$G$50,TJM!A25))+(COUNTIF('EN PANNE'!$G$7:$G$50,TJM!A25))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EXPRESS'!$G$7:$G$50,TJM!G25))+(COUNTIF('2 ZT'!$G$7:$G$50,TJM!G25))+(COUNTIF('GO TRANSPORT'!$G$7:$G$50,TJM!G25))+(COUNTIF('HMZ - KAIS'!$G$7:$G$50,TJM!G25))+(COUNTIF('IB TRANSPORT'!$G$7:$G$50,TJM!G25))+(COUNTIF(JSL!$G$7:$G$50,TJM!G25))+(COUNTIF(KIFAITOUT!$G$7:$G$50,TJM!G25))+(COUNTIF('LUXE DRIVE'!$G$7:$G$50,TJM!G25))+(COUNTIF(SSN!$G$7:$G$50,TJM!G25))+(COUNTIF(TJM!$G$7:$G$50,TJM!G25))+(COUNTIF('ATHIS MONS'!$G$7:$G$50,TJM!G25))+(COUNTIF('L HAY LES ROSES'!$G$7:$G$50,TJM!G25))+(COUNTIF(RUNGIS!$G$7:$G$50,TJM!G25))+(COUNTIF(SCEAUX!$G$7:$G$50,TJM!G25))+(COUNTIF('INSTANCE C1'!$G$7:$G$50,TJM!G25))+(COUNTIF('INSTANCE C2'!$G$7:$G$50,TJM!G25))+(COUNTIF(INTERNES!$G$7:$G$50,TJM!G25))+(COUNTIF('EN PANNE'!$G$7:$G$50,TJM!G25))-I25</f>
        <v>0</v>
      </c>
      <c r="I25" s="23">
        <f>(COUNTIF('2S EXPRESS'!$A$7:$A$50,TJM!G25))+(COUNTIF('2 ZT'!$A$7:$A$50,TJM!G25))+(COUNTIF('GO TRANSPORT'!$A$7:$A$50,TJM!G25))+(COUNTIF('HMZ - KAIS'!$A$7:$A$50,TJM!G25))+(COUNTIF('IB TRANSPORT'!$A$7:$A$50,TJM!G25))+(COUNTIF(JSL!$A$7:$A$50,TJM!G25))+(COUNTIF(KIFAITOUT!$A$7:$A$50,TJM!G25))+(COUNTIF('LUXE DRIVE'!$A$7:$A$50,TJM!G25))+(COUNTIF(SSN!$A$7:$A$50,TJM!G25))+(COUNTIF(TJM!$A$7:$A$50,TJM!G25))+(COUNTIF('ATHIS MONS'!$A$7:$A$50,TJM!G25))+(COUNTIF('L HAY LES ROSES'!$A$7:$A$50,TJM!G25))+(COUNTIF(RUNGIS!$A$7:$A$50,TJM!G25))+(COUNTIF(SCEAUX!$A$7:$A$50,TJM!G25))+(COUNTIF('INSTANCE C1'!$A$7:$A$50,TJM!G25))+(COUNTIF('INSTANCE C2'!$A$7:$A$50,TJM!G25))+(COUNTIF(INTERNES!$A$7:$A$50,TJM!G25))+(COUNTIF('EN PANNE'!$A$7:$A$50,TJM!G25))</f>
        <v>0</v>
      </c>
      <c r="J25" s="28">
        <f t="shared" si="4"/>
        <v>0</v>
      </c>
      <c r="K25" s="2"/>
      <c r="L25" s="118"/>
      <c r="S25" s="60">
        <f t="shared" si="1"/>
        <v>0</v>
      </c>
      <c r="T25" s="67">
        <f t="shared" si="2"/>
        <v>0</v>
      </c>
    </row>
    <row r="26" spans="1:20" ht="24.95" customHeight="1" x14ac:dyDescent="0.2">
      <c r="A26" s="20"/>
      <c r="B26" s="23">
        <f>(COUNTIF('2S EXPRESS'!$A$7:$A$50,TJM!A26))+(COUNTIF('2 ZT'!$A$7:$A$50,TJM!A26))+(COUNTIF('GO TRANSPORT'!$A$7:$A$50,TJM!A26))+(COUNTIF('HMZ - KAIS'!$A$7:$A$50,TJM!A26))+(COUNTIF('IB TRANSPORT'!$A$7:$A$50,TJM!A26))+(COUNTIF(JSL!$A$7:$A$50,TJM!A26))+(COUNTIF(KIFAITOUT!$A$7:$A$50,TJM!A26))+(COUNTIF('LUXE DRIVE'!$A$7:$A$50,TJM!A26))+(COUNTIF(SSN!$A$7:$A$50,TJM!A26))+(COUNTIF(TJM!$A$7:$A$50,TJM!A26))+(COUNTIF('ATHIS MONS'!$A$7:$A$50,TJM!A26))+(COUNTIF('L HAY LES ROSES'!$A$7:$A$50,TJM!A26))+(COUNTIF(RUNGIS!$A$7:$A$50,TJM!A26))+(COUNTIF(SCEAUX!$A$7:$A$50,TJM!A26))+(COUNTIF('INSTANCE C1'!$A$7:$A$50,TJM!A26))+(COUNTIF('INSTANCE C2'!$A$7:$A$50,TJM!A26))+(COUNTIF(INTERNES!$A$7:$A$50,TJM!A26))+(COUNTIF('EN PANNE'!$A$7:$A$50,TJM!A26))-C26</f>
        <v>0</v>
      </c>
      <c r="C26" s="23">
        <f>(COUNTIF('2S EXPRESS'!$G$7:$G$50,TJM!A26))+(COUNTIF('2 ZT'!$G$7:$G$50,TJM!A26))+(COUNTIF('GO TRANSPORT'!$G$7:$G$50,TJM!A26))+(COUNTIF(TJM!$G$7:$G$50,TJM!A26))+(COUNTIF('IB TRANSPORT'!$G$7:$G$50,TJM!A26))+(COUNTIF(JSL!$G$7:$G$50,TJM!A26))+(COUNTIF(KIFAITOUT!$G$7:$G$50,TJM!A26))+(COUNTIF('LUXE DRIVE'!$G$7:$G$50,TJM!A26))+(COUNTIF(SSN!$G$7:$G$50,TJM!A26))+(COUNTIF(TJM!$G$7:$G$50,TJM!A26))+(COUNTIF('ATHIS MONS'!$G$7:$G$50,TJM!A26))+(COUNTIF('L HAY LES ROSES'!$G$7:$G$50,TJM!A26))+(COUNTIF(RUNGIS!$G$7:$G$50,TJM!A26))+(COUNTIF(SCEAUX!$G$7:$G$50,TJM!A26))+(COUNTIF('INSTANCE C1'!$G$7:$G$50,TJM!A26))+(COUNTIF('INSTANCE C2'!$G$7:$G$50,TJM!A26))+(COUNTIF(INTERNES!$G$7:$G$50,TJM!A26))+(COUNTIF('EN PANNE'!$G$7:$G$50,TJM!A26))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EXPRESS'!$G$7:$G$50,TJM!G26))+(COUNTIF('2 ZT'!$G$7:$G$50,TJM!G26))+(COUNTIF('GO TRANSPORT'!$G$7:$G$50,TJM!G26))+(COUNTIF('HMZ - KAIS'!$G$7:$G$50,TJM!G26))+(COUNTIF('IB TRANSPORT'!$G$7:$G$50,TJM!G26))+(COUNTIF(JSL!$G$7:$G$50,TJM!G26))+(COUNTIF(KIFAITOUT!$G$7:$G$50,TJM!G26))+(COUNTIF('LUXE DRIVE'!$G$7:$G$50,TJM!G26))+(COUNTIF(SSN!$G$7:$G$50,TJM!G26))+(COUNTIF(TJM!$G$7:$G$50,TJM!G26))+(COUNTIF('ATHIS MONS'!$G$7:$G$50,TJM!G26))+(COUNTIF('L HAY LES ROSES'!$G$7:$G$50,TJM!G26))+(COUNTIF(RUNGIS!$G$7:$G$50,TJM!G26))+(COUNTIF(SCEAUX!$G$7:$G$50,TJM!G26))+(COUNTIF('INSTANCE C1'!$G$7:$G$50,TJM!G26))+(COUNTIF('INSTANCE C2'!$G$7:$G$50,TJM!G26))+(COUNTIF(INTERNES!$G$7:$G$50,TJM!G26))+(COUNTIF('EN PANNE'!$G$7:$G$50,TJM!G26))-I26</f>
        <v>0</v>
      </c>
      <c r="I26" s="23">
        <f>(COUNTIF('2S EXPRESS'!$A$7:$A$50,TJM!G26))+(COUNTIF('2 ZT'!$A$7:$A$50,TJM!G26))+(COUNTIF('GO TRANSPORT'!$A$7:$A$50,TJM!G26))+(COUNTIF('HMZ - KAIS'!$A$7:$A$50,TJM!G26))+(COUNTIF('IB TRANSPORT'!$A$7:$A$50,TJM!G26))+(COUNTIF(JSL!$A$7:$A$50,TJM!G26))+(COUNTIF(KIFAITOUT!$A$7:$A$50,TJM!G26))+(COUNTIF('LUXE DRIVE'!$A$7:$A$50,TJM!G26))+(COUNTIF(SSN!$A$7:$A$50,TJM!G26))+(COUNTIF(TJM!$A$7:$A$50,TJM!G26))+(COUNTIF('ATHIS MONS'!$A$7:$A$50,TJM!G26))+(COUNTIF('L HAY LES ROSES'!$A$7:$A$50,TJM!G26))+(COUNTIF(RUNGIS!$A$7:$A$50,TJM!G26))+(COUNTIF(SCEAUX!$A$7:$A$50,TJM!G26))+(COUNTIF('INSTANCE C1'!$A$7:$A$50,TJM!G26))+(COUNTIF('INSTANCE C2'!$A$7:$A$50,TJM!G26))+(COUNTIF(INTERNES!$A$7:$A$50,TJM!G26))+(COUNTIF('EN PANNE'!$A$7:$A$50,TJM!G26))</f>
        <v>0</v>
      </c>
      <c r="J26" s="28">
        <f t="shared" si="4"/>
        <v>0</v>
      </c>
      <c r="K26" s="2"/>
      <c r="L26" s="118"/>
      <c r="S26" s="60">
        <f t="shared" si="1"/>
        <v>0</v>
      </c>
      <c r="T26" s="67">
        <f t="shared" si="2"/>
        <v>0</v>
      </c>
    </row>
    <row r="27" spans="1:20" ht="24.95" customHeight="1" x14ac:dyDescent="0.2">
      <c r="A27" s="20"/>
      <c r="B27" s="23">
        <f>(COUNTIF('2S EXPRESS'!$A$7:$A$50,TJM!A27))+(COUNTIF('2 ZT'!$A$7:$A$50,TJM!A27))+(COUNTIF('GO TRANSPORT'!$A$7:$A$50,TJM!A27))+(COUNTIF('HMZ - KAIS'!$A$7:$A$50,TJM!A27))+(COUNTIF('IB TRANSPORT'!$A$7:$A$50,TJM!A27))+(COUNTIF(JSL!$A$7:$A$50,TJM!A27))+(COUNTIF(KIFAITOUT!$A$7:$A$50,TJM!A27))+(COUNTIF('LUXE DRIVE'!$A$7:$A$50,TJM!A27))+(COUNTIF(SSN!$A$7:$A$50,TJM!A27))+(COUNTIF(TJM!$A$7:$A$50,TJM!A27))+(COUNTIF('ATHIS MONS'!$A$7:$A$50,TJM!A27))+(COUNTIF('L HAY LES ROSES'!$A$7:$A$50,TJM!A27))+(COUNTIF(RUNGIS!$A$7:$A$50,TJM!A27))+(COUNTIF(SCEAUX!$A$7:$A$50,TJM!A27))+(COUNTIF('INSTANCE C1'!$A$7:$A$50,TJM!A27))+(COUNTIF('INSTANCE C2'!$A$7:$A$50,TJM!A27))+(COUNTIF(INTERNES!$A$7:$A$50,TJM!A27))+(COUNTIF('EN PANNE'!$A$7:$A$50,TJM!A27))-C27</f>
        <v>0</v>
      </c>
      <c r="C27" s="23">
        <f>(COUNTIF('2S EXPRESS'!$G$7:$G$50,TJM!A27))+(COUNTIF('2 ZT'!$G$7:$G$50,TJM!A27))+(COUNTIF('GO TRANSPORT'!$G$7:$G$50,TJM!A27))+(COUNTIF(TJM!$G$7:$G$50,TJM!A27))+(COUNTIF('IB TRANSPORT'!$G$7:$G$50,TJM!A27))+(COUNTIF(JSL!$G$7:$G$50,TJM!A27))+(COUNTIF(KIFAITOUT!$G$7:$G$50,TJM!A27))+(COUNTIF('LUXE DRIVE'!$G$7:$G$50,TJM!A27))+(COUNTIF(SSN!$G$7:$G$50,TJM!A27))+(COUNTIF(TJM!$G$7:$G$50,TJM!A27))+(COUNTIF('ATHIS MONS'!$G$7:$G$50,TJM!A27))+(COUNTIF('L HAY LES ROSES'!$G$7:$G$50,TJM!A27))+(COUNTIF(RUNGIS!$G$7:$G$50,TJM!A27))+(COUNTIF(SCEAUX!$G$7:$G$50,TJM!A27))+(COUNTIF('INSTANCE C1'!$G$7:$G$50,TJM!A27))+(COUNTIF('INSTANCE C2'!$G$7:$G$50,TJM!A27))+(COUNTIF(INTERNES!$G$7:$G$50,TJM!A27))+(COUNTIF('EN PANNE'!$G$7:$G$50,TJM!A27))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EXPRESS'!$G$7:$G$50,TJM!G27))+(COUNTIF('2 ZT'!$G$7:$G$50,TJM!G27))+(COUNTIF('GO TRANSPORT'!$G$7:$G$50,TJM!G27))+(COUNTIF('HMZ - KAIS'!$G$7:$G$50,TJM!G27))+(COUNTIF('IB TRANSPORT'!$G$7:$G$50,TJM!G27))+(COUNTIF(JSL!$G$7:$G$50,TJM!G27))+(COUNTIF(KIFAITOUT!$G$7:$G$50,TJM!G27))+(COUNTIF('LUXE DRIVE'!$G$7:$G$50,TJM!G27))+(COUNTIF(SSN!$G$7:$G$50,TJM!G27))+(COUNTIF(TJM!$G$7:$G$50,TJM!G27))+(COUNTIF('ATHIS MONS'!$G$7:$G$50,TJM!G27))+(COUNTIF('L HAY LES ROSES'!$G$7:$G$50,TJM!G27))+(COUNTIF(RUNGIS!$G$7:$G$50,TJM!G27))+(COUNTIF(SCEAUX!$G$7:$G$50,TJM!G27))+(COUNTIF('INSTANCE C1'!$G$7:$G$50,TJM!G27))+(COUNTIF('INSTANCE C2'!$G$7:$G$50,TJM!G27))+(COUNTIF(INTERNES!$G$7:$G$50,TJM!G27))+(COUNTIF('EN PANNE'!$G$7:$G$50,TJM!G27))-I27</f>
        <v>0</v>
      </c>
      <c r="I27" s="23">
        <f>(COUNTIF('2S EXPRESS'!$A$7:$A$50,TJM!G27))+(COUNTIF('2 ZT'!$A$7:$A$50,TJM!G27))+(COUNTIF('GO TRANSPORT'!$A$7:$A$50,TJM!G27))+(COUNTIF('HMZ - KAIS'!$A$7:$A$50,TJM!G27))+(COUNTIF('IB TRANSPORT'!$A$7:$A$50,TJM!G27))+(COUNTIF(JSL!$A$7:$A$50,TJM!G27))+(COUNTIF(KIFAITOUT!$A$7:$A$50,TJM!G27))+(COUNTIF('LUXE DRIVE'!$A$7:$A$50,TJM!G27))+(COUNTIF(SSN!$A$7:$A$50,TJM!G27))+(COUNTIF(TJM!$A$7:$A$50,TJM!G27))+(COUNTIF('ATHIS MONS'!$A$7:$A$50,TJM!G27))+(COUNTIF('L HAY LES ROSES'!$A$7:$A$50,TJM!G27))+(COUNTIF(RUNGIS!$A$7:$A$50,TJM!G27))+(COUNTIF(SCEAUX!$A$7:$A$50,TJM!G27))+(COUNTIF('INSTANCE C1'!$A$7:$A$50,TJM!G27))+(COUNTIF('INSTANCE C2'!$A$7:$A$50,TJM!G27))+(COUNTIF(INTERNES!$A$7:$A$50,TJM!G27))+(COUNTIF('EN PANNE'!$A$7:$A$50,TJM!G27))</f>
        <v>0</v>
      </c>
      <c r="J27" s="28">
        <f t="shared" si="4"/>
        <v>0</v>
      </c>
      <c r="K27" s="2"/>
      <c r="L27" s="118"/>
      <c r="S27" s="60">
        <f t="shared" si="1"/>
        <v>0</v>
      </c>
      <c r="T27" s="67">
        <f t="shared" si="2"/>
        <v>0</v>
      </c>
    </row>
    <row r="28" spans="1:20" ht="24.95" customHeight="1" x14ac:dyDescent="0.2">
      <c r="A28" s="20"/>
      <c r="B28" s="23">
        <f>(COUNTIF('2S EXPRESS'!$A$7:$A$50,TJM!A28))+(COUNTIF('2 ZT'!$A$7:$A$50,TJM!A28))+(COUNTIF('GO TRANSPORT'!$A$7:$A$50,TJM!A28))+(COUNTIF('HMZ - KAIS'!$A$7:$A$50,TJM!A28))+(COUNTIF('IB TRANSPORT'!$A$7:$A$50,TJM!A28))+(COUNTIF(JSL!$A$7:$A$50,TJM!A28))+(COUNTIF(KIFAITOUT!$A$7:$A$50,TJM!A28))+(COUNTIF('LUXE DRIVE'!$A$7:$A$50,TJM!A28))+(COUNTIF(SSN!$A$7:$A$50,TJM!A28))+(COUNTIF(TJM!$A$7:$A$50,TJM!A28))+(COUNTIF('ATHIS MONS'!$A$7:$A$50,TJM!A28))+(COUNTIF('L HAY LES ROSES'!$A$7:$A$50,TJM!A28))+(COUNTIF(RUNGIS!$A$7:$A$50,TJM!A28))+(COUNTIF(SCEAUX!$A$7:$A$50,TJM!A28))+(COUNTIF('INSTANCE C1'!$A$7:$A$50,TJM!A28))+(COUNTIF('INSTANCE C2'!$A$7:$A$50,TJM!A28))+(COUNTIF(INTERNES!$A$7:$A$50,TJM!A28))+(COUNTIF('EN PANNE'!$A$7:$A$50,TJM!A28))-C28</f>
        <v>0</v>
      </c>
      <c r="C28" s="23">
        <f>(COUNTIF('2S EXPRESS'!$G$7:$G$50,TJM!A28))+(COUNTIF('2 ZT'!$G$7:$G$50,TJM!A28))+(COUNTIF('GO TRANSPORT'!$G$7:$G$50,TJM!A28))+(COUNTIF(TJM!$G$7:$G$50,TJM!A28))+(COUNTIF('IB TRANSPORT'!$G$7:$G$50,TJM!A28))+(COUNTIF(JSL!$G$7:$G$50,TJM!A28))+(COUNTIF(KIFAITOUT!$G$7:$G$50,TJM!A28))+(COUNTIF('LUXE DRIVE'!$G$7:$G$50,TJM!A28))+(COUNTIF(SSN!$G$7:$G$50,TJM!A28))+(COUNTIF(TJM!$G$7:$G$50,TJM!A28))+(COUNTIF('ATHIS MONS'!$G$7:$G$50,TJM!A28))+(COUNTIF('L HAY LES ROSES'!$G$7:$G$50,TJM!A28))+(COUNTIF(RUNGIS!$G$7:$G$50,TJM!A28))+(COUNTIF(SCEAUX!$G$7:$G$50,TJM!A28))+(COUNTIF('INSTANCE C1'!$G$7:$G$50,TJM!A28))+(COUNTIF('INSTANCE C2'!$G$7:$G$50,TJM!A28))+(COUNTIF(INTERNES!$G$7:$G$50,TJM!A28))+(COUNTIF('EN PANNE'!$G$7:$G$50,TJM!A28))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EXPRESS'!$G$7:$G$50,TJM!G28))+(COUNTIF('2 ZT'!$G$7:$G$50,TJM!G28))+(COUNTIF('GO TRANSPORT'!$G$7:$G$50,TJM!G28))+(COUNTIF('HMZ - KAIS'!$G$7:$G$50,TJM!G28))+(COUNTIF('IB TRANSPORT'!$G$7:$G$50,TJM!G28))+(COUNTIF(JSL!$G$7:$G$50,TJM!G28))+(COUNTIF(KIFAITOUT!$G$7:$G$50,TJM!G28))+(COUNTIF('LUXE DRIVE'!$G$7:$G$50,TJM!G28))+(COUNTIF(SSN!$G$7:$G$50,TJM!G28))+(COUNTIF(TJM!$G$7:$G$50,TJM!G28))+(COUNTIF('ATHIS MONS'!$G$7:$G$50,TJM!G28))+(COUNTIF('L HAY LES ROSES'!$G$7:$G$50,TJM!G28))+(COUNTIF(RUNGIS!$G$7:$G$50,TJM!G28))+(COUNTIF(SCEAUX!$G$7:$G$50,TJM!G28))+(COUNTIF('INSTANCE C1'!$G$7:$G$50,TJM!G28))+(COUNTIF('INSTANCE C2'!$G$7:$G$50,TJM!G28))+(COUNTIF(INTERNES!$G$7:$G$50,TJM!G28))+(COUNTIF('EN PANNE'!$G$7:$G$50,TJM!G28))-I28</f>
        <v>0</v>
      </c>
      <c r="I28" s="23">
        <f>(COUNTIF('2S EXPRESS'!$A$7:$A$50,TJM!G28))+(COUNTIF('2 ZT'!$A$7:$A$50,TJM!G28))+(COUNTIF('GO TRANSPORT'!$A$7:$A$50,TJM!G28))+(COUNTIF('HMZ - KAIS'!$A$7:$A$50,TJM!G28))+(COUNTIF('IB TRANSPORT'!$A$7:$A$50,TJM!G28))+(COUNTIF(JSL!$A$7:$A$50,TJM!G28))+(COUNTIF(KIFAITOUT!$A$7:$A$50,TJM!G28))+(COUNTIF('LUXE DRIVE'!$A$7:$A$50,TJM!G28))+(COUNTIF(SSN!$A$7:$A$50,TJM!G28))+(COUNTIF(TJM!$A$7:$A$50,TJM!G28))+(COUNTIF('ATHIS MONS'!$A$7:$A$50,TJM!G28))+(COUNTIF('L HAY LES ROSES'!$A$7:$A$50,TJM!G28))+(COUNTIF(RUNGIS!$A$7:$A$50,TJM!G28))+(COUNTIF(SCEAUX!$A$7:$A$50,TJM!G28))+(COUNTIF('INSTANCE C1'!$A$7:$A$50,TJM!G28))+(COUNTIF('INSTANCE C2'!$A$7:$A$50,TJM!G28))+(COUNTIF(INTERNES!$A$7:$A$50,TJM!G28))+(COUNTIF('EN PANNE'!$A$7:$A$50,TJM!G28))</f>
        <v>0</v>
      </c>
      <c r="J28" s="28">
        <f t="shared" si="4"/>
        <v>0</v>
      </c>
      <c r="K28" s="2"/>
      <c r="L28" s="118"/>
      <c r="S28" s="60">
        <f t="shared" si="1"/>
        <v>0</v>
      </c>
      <c r="T28" s="67">
        <f t="shared" si="2"/>
        <v>0</v>
      </c>
    </row>
    <row r="29" spans="1:20" ht="24.95" customHeight="1" x14ac:dyDescent="0.2">
      <c r="A29" s="20"/>
      <c r="B29" s="23">
        <f>(COUNTIF('2S EXPRESS'!$A$7:$A$50,TJM!A29))+(COUNTIF('2 ZT'!$A$7:$A$50,TJM!A29))+(COUNTIF('GO TRANSPORT'!$A$7:$A$50,TJM!A29))+(COUNTIF('HMZ - KAIS'!$A$7:$A$50,TJM!A29))+(COUNTIF('IB TRANSPORT'!$A$7:$A$50,TJM!A29))+(COUNTIF(JSL!$A$7:$A$50,TJM!A29))+(COUNTIF(KIFAITOUT!$A$7:$A$50,TJM!A29))+(COUNTIF('LUXE DRIVE'!$A$7:$A$50,TJM!A29))+(COUNTIF(SSN!$A$7:$A$50,TJM!A29))+(COUNTIF(TJM!$A$7:$A$50,TJM!A29))+(COUNTIF('ATHIS MONS'!$A$7:$A$50,TJM!A29))+(COUNTIF('L HAY LES ROSES'!$A$7:$A$50,TJM!A29))+(COUNTIF(RUNGIS!$A$7:$A$50,TJM!A29))+(COUNTIF(SCEAUX!$A$7:$A$50,TJM!A29))+(COUNTIF('INSTANCE C1'!$A$7:$A$50,TJM!A29))+(COUNTIF('INSTANCE C2'!$A$7:$A$50,TJM!A29))+(COUNTIF(INTERNES!$A$7:$A$50,TJM!A29))+(COUNTIF('EN PANNE'!$A$7:$A$50,TJM!A29))-C29</f>
        <v>0</v>
      </c>
      <c r="C29" s="23">
        <f>(COUNTIF('2S EXPRESS'!$G$7:$G$50,TJM!A29))+(COUNTIF('2 ZT'!$G$7:$G$50,TJM!A29))+(COUNTIF('GO TRANSPORT'!$G$7:$G$50,TJM!A29))+(COUNTIF(TJM!$G$7:$G$50,TJM!A29))+(COUNTIF('IB TRANSPORT'!$G$7:$G$50,TJM!A29))+(COUNTIF(JSL!$G$7:$G$50,TJM!A29))+(COUNTIF(KIFAITOUT!$G$7:$G$50,TJM!A29))+(COUNTIF('LUXE DRIVE'!$G$7:$G$50,TJM!A29))+(COUNTIF(SSN!$G$7:$G$50,TJM!A29))+(COUNTIF(TJM!$G$7:$G$50,TJM!A29))+(COUNTIF('ATHIS MONS'!$G$7:$G$50,TJM!A29))+(COUNTIF('L HAY LES ROSES'!$G$7:$G$50,TJM!A29))+(COUNTIF(RUNGIS!$G$7:$G$50,TJM!A29))+(COUNTIF(SCEAUX!$G$7:$G$50,TJM!A29))+(COUNTIF('INSTANCE C1'!$G$7:$G$50,TJM!A29))+(COUNTIF('INSTANCE C2'!$G$7:$G$50,TJM!A29))+(COUNTIF(INTERNES!$G$7:$G$50,TJM!A29))+(COUNTIF('EN PANNE'!$G$7:$G$50,TJM!A29))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EXPRESS'!$G$7:$G$50,TJM!G29))+(COUNTIF('2 ZT'!$G$7:$G$50,TJM!G29))+(COUNTIF('GO TRANSPORT'!$G$7:$G$50,TJM!G29))+(COUNTIF('HMZ - KAIS'!$G$7:$G$50,TJM!G29))+(COUNTIF('IB TRANSPORT'!$G$7:$G$50,TJM!G29))+(COUNTIF(JSL!$G$7:$G$50,TJM!G29))+(COUNTIF(KIFAITOUT!$G$7:$G$50,TJM!G29))+(COUNTIF('LUXE DRIVE'!$G$7:$G$50,TJM!G29))+(COUNTIF(SSN!$G$7:$G$50,TJM!G29))+(COUNTIF(TJM!$G$7:$G$50,TJM!G29))+(COUNTIF('ATHIS MONS'!$G$7:$G$50,TJM!G29))+(COUNTIF('L HAY LES ROSES'!$G$7:$G$50,TJM!G29))+(COUNTIF(RUNGIS!$G$7:$G$50,TJM!G29))+(COUNTIF(SCEAUX!$G$7:$G$50,TJM!G29))+(COUNTIF('INSTANCE C1'!$G$7:$G$50,TJM!G29))+(COUNTIF('INSTANCE C2'!$G$7:$G$50,TJM!G29))+(COUNTIF(INTERNES!$G$7:$G$50,TJM!G29))+(COUNTIF('EN PANNE'!$G$7:$G$50,TJM!G29))-I29</f>
        <v>0</v>
      </c>
      <c r="I29" s="23">
        <f>(COUNTIF('2S EXPRESS'!$A$7:$A$50,TJM!G29))+(COUNTIF('2 ZT'!$A$7:$A$50,TJM!G29))+(COUNTIF('GO TRANSPORT'!$A$7:$A$50,TJM!G29))+(COUNTIF('HMZ - KAIS'!$A$7:$A$50,TJM!G29))+(COUNTIF('IB TRANSPORT'!$A$7:$A$50,TJM!G29))+(COUNTIF(JSL!$A$7:$A$50,TJM!G29))+(COUNTIF(KIFAITOUT!$A$7:$A$50,TJM!G29))+(COUNTIF('LUXE DRIVE'!$A$7:$A$50,TJM!G29))+(COUNTIF(SSN!$A$7:$A$50,TJM!G29))+(COUNTIF(TJM!$A$7:$A$50,TJM!G29))+(COUNTIF('ATHIS MONS'!$A$7:$A$50,TJM!G29))+(COUNTIF('L HAY LES ROSES'!$A$7:$A$50,TJM!G29))+(COUNTIF(RUNGIS!$A$7:$A$50,TJM!G29))+(COUNTIF(SCEAUX!$A$7:$A$50,TJM!G29))+(COUNTIF('INSTANCE C1'!$A$7:$A$50,TJM!G29))+(COUNTIF('INSTANCE C2'!$A$7:$A$50,TJM!G29))+(COUNTIF(INTERNES!$A$7:$A$50,TJM!G29))+(COUNTIF('EN PANNE'!$A$7:$A$50,TJM!G29))</f>
        <v>0</v>
      </c>
      <c r="J29" s="28">
        <f t="shared" si="4"/>
        <v>0</v>
      </c>
      <c r="K29" s="2"/>
      <c r="L29" s="118"/>
      <c r="S29" s="60">
        <f t="shared" si="1"/>
        <v>0</v>
      </c>
      <c r="T29" s="67">
        <f t="shared" si="2"/>
        <v>0</v>
      </c>
    </row>
    <row r="30" spans="1:20" ht="24.95" customHeight="1" x14ac:dyDescent="0.2">
      <c r="A30" s="20"/>
      <c r="B30" s="23">
        <f>(COUNTIF('2S EXPRESS'!$A$7:$A$50,TJM!A30))+(COUNTIF('2 ZT'!$A$7:$A$50,TJM!A30))+(COUNTIF('GO TRANSPORT'!$A$7:$A$50,TJM!A30))+(COUNTIF('HMZ - KAIS'!$A$7:$A$50,TJM!A30))+(COUNTIF('IB TRANSPORT'!$A$7:$A$50,TJM!A30))+(COUNTIF(JSL!$A$7:$A$50,TJM!A30))+(COUNTIF(KIFAITOUT!$A$7:$A$50,TJM!A30))+(COUNTIF('LUXE DRIVE'!$A$7:$A$50,TJM!A30))+(COUNTIF(SSN!$A$7:$A$50,TJM!A30))+(COUNTIF(TJM!$A$7:$A$50,TJM!A30))+(COUNTIF('ATHIS MONS'!$A$7:$A$50,TJM!A30))+(COUNTIF('L HAY LES ROSES'!$A$7:$A$50,TJM!A30))+(COUNTIF(RUNGIS!$A$7:$A$50,TJM!A30))+(COUNTIF(SCEAUX!$A$7:$A$50,TJM!A30))+(COUNTIF('INSTANCE C1'!$A$7:$A$50,TJM!A30))+(COUNTIF('INSTANCE C2'!$A$7:$A$50,TJM!A30))+(COUNTIF(INTERNES!$A$7:$A$50,TJM!A30))+(COUNTIF('EN PANNE'!$A$7:$A$50,TJM!A30))-C30</f>
        <v>0</v>
      </c>
      <c r="C30" s="23">
        <f>(COUNTIF('2S EXPRESS'!$G$7:$G$50,TJM!A30))+(COUNTIF('2 ZT'!$G$7:$G$50,TJM!A30))+(COUNTIF('GO TRANSPORT'!$G$7:$G$50,TJM!A30))+(COUNTIF(TJM!$G$7:$G$50,TJM!A30))+(COUNTIF('IB TRANSPORT'!$G$7:$G$50,TJM!A30))+(COUNTIF(JSL!$G$7:$G$50,TJM!A30))+(COUNTIF(KIFAITOUT!$G$7:$G$50,TJM!A30))+(COUNTIF('LUXE DRIVE'!$G$7:$G$50,TJM!A30))+(COUNTIF(SSN!$G$7:$G$50,TJM!A30))+(COUNTIF(TJM!$G$7:$G$50,TJM!A30))+(COUNTIF('ATHIS MONS'!$G$7:$G$50,TJM!A30))+(COUNTIF('L HAY LES ROSES'!$G$7:$G$50,TJM!A30))+(COUNTIF(RUNGIS!$G$7:$G$50,TJM!A30))+(COUNTIF(SCEAUX!$G$7:$G$50,TJM!A30))+(COUNTIF('INSTANCE C1'!$G$7:$G$50,TJM!A30))+(COUNTIF('INSTANCE C2'!$G$7:$G$50,TJM!A30))+(COUNTIF(INTERNES!$G$7:$G$50,TJM!A30))+(COUNTIF('EN PANNE'!$G$7:$G$50,TJM!A30))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EXPRESS'!$G$7:$G$50,TJM!G30))+(COUNTIF('2 ZT'!$G$7:$G$50,TJM!G30))+(COUNTIF('GO TRANSPORT'!$G$7:$G$50,TJM!G30))+(COUNTIF('HMZ - KAIS'!$G$7:$G$50,TJM!G30))+(COUNTIF('IB TRANSPORT'!$G$7:$G$50,TJM!G30))+(COUNTIF(JSL!$G$7:$G$50,TJM!G30))+(COUNTIF(KIFAITOUT!$G$7:$G$50,TJM!G30))+(COUNTIF('LUXE DRIVE'!$G$7:$G$50,TJM!G30))+(COUNTIF(SSN!$G$7:$G$50,TJM!G30))+(COUNTIF(TJM!$G$7:$G$50,TJM!G30))+(COUNTIF('ATHIS MONS'!$G$7:$G$50,TJM!G30))+(COUNTIF('L HAY LES ROSES'!$G$7:$G$50,TJM!G30))+(COUNTIF(RUNGIS!$G$7:$G$50,TJM!G30))+(COUNTIF(SCEAUX!$G$7:$G$50,TJM!G30))+(COUNTIF('INSTANCE C1'!$G$7:$G$50,TJM!G30))+(COUNTIF('INSTANCE C2'!$G$7:$G$50,TJM!G30))+(COUNTIF(INTERNES!$G$7:$G$50,TJM!G30))+(COUNTIF('EN PANNE'!$G$7:$G$50,TJM!G30))-I30</f>
        <v>0</v>
      </c>
      <c r="I30" s="23">
        <f>(COUNTIF('2S EXPRESS'!$A$7:$A$50,TJM!G30))+(COUNTIF('2 ZT'!$A$7:$A$50,TJM!G30))+(COUNTIF('GO TRANSPORT'!$A$7:$A$50,TJM!G30))+(COUNTIF('HMZ - KAIS'!$A$7:$A$50,TJM!G30))+(COUNTIF('IB TRANSPORT'!$A$7:$A$50,TJM!G30))+(COUNTIF(JSL!$A$7:$A$50,TJM!G30))+(COUNTIF(KIFAITOUT!$A$7:$A$50,TJM!G30))+(COUNTIF('LUXE DRIVE'!$A$7:$A$50,TJM!G30))+(COUNTIF(SSN!$A$7:$A$50,TJM!G30))+(COUNTIF(TJM!$A$7:$A$50,TJM!G30))+(COUNTIF('ATHIS MONS'!$A$7:$A$50,TJM!G30))+(COUNTIF('L HAY LES ROSES'!$A$7:$A$50,TJM!G30))+(COUNTIF(RUNGIS!$A$7:$A$50,TJM!G30))+(COUNTIF(SCEAUX!$A$7:$A$50,TJM!G30))+(COUNTIF('INSTANCE C1'!$A$7:$A$50,TJM!G30))+(COUNTIF('INSTANCE C2'!$A$7:$A$50,TJM!G30))+(COUNTIF(INTERNES!$A$7:$A$50,TJM!G30))+(COUNTIF('EN PANNE'!$A$7:$A$50,TJM!G30))</f>
        <v>0</v>
      </c>
      <c r="J30" s="28">
        <f t="shared" si="4"/>
        <v>0</v>
      </c>
      <c r="K30" s="2"/>
      <c r="L30" s="118"/>
      <c r="S30" s="60">
        <f t="shared" si="1"/>
        <v>0</v>
      </c>
      <c r="T30" s="67">
        <f t="shared" si="2"/>
        <v>0</v>
      </c>
    </row>
    <row r="31" spans="1:20" ht="24.95" customHeight="1" x14ac:dyDescent="0.2">
      <c r="A31" s="20"/>
      <c r="B31" s="23">
        <f>(COUNTIF('2S EXPRESS'!$A$7:$A$50,TJM!A31))+(COUNTIF('2 ZT'!$A$7:$A$50,TJM!A31))+(COUNTIF('GO TRANSPORT'!$A$7:$A$50,TJM!A31))+(COUNTIF('HMZ - KAIS'!$A$7:$A$50,TJM!A31))+(COUNTIF('IB TRANSPORT'!$A$7:$A$50,TJM!A31))+(COUNTIF(JSL!$A$7:$A$50,TJM!A31))+(COUNTIF(KIFAITOUT!$A$7:$A$50,TJM!A31))+(COUNTIF('LUXE DRIVE'!$A$7:$A$50,TJM!A31))+(COUNTIF(SSN!$A$7:$A$50,TJM!A31))+(COUNTIF(TJM!$A$7:$A$50,TJM!A31))+(COUNTIF('ATHIS MONS'!$A$7:$A$50,TJM!A31))+(COUNTIF('L HAY LES ROSES'!$A$7:$A$50,TJM!A31))+(COUNTIF(RUNGIS!$A$7:$A$50,TJM!A31))+(COUNTIF(SCEAUX!$A$7:$A$50,TJM!A31))+(COUNTIF('INSTANCE C1'!$A$7:$A$50,TJM!A31))+(COUNTIF('INSTANCE C2'!$A$7:$A$50,TJM!A31))+(COUNTIF(INTERNES!$A$7:$A$50,TJM!A31))+(COUNTIF('EN PANNE'!$A$7:$A$50,TJM!A31))-C31</f>
        <v>0</v>
      </c>
      <c r="C31" s="23">
        <f>(COUNTIF('2S EXPRESS'!$G$7:$G$50,TJM!A31))+(COUNTIF('2 ZT'!$G$7:$G$50,TJM!A31))+(COUNTIF('GO TRANSPORT'!$G$7:$G$50,TJM!A31))+(COUNTIF(TJM!$G$7:$G$50,TJM!A31))+(COUNTIF('IB TRANSPORT'!$G$7:$G$50,TJM!A31))+(COUNTIF(JSL!$G$7:$G$50,TJM!A31))+(COUNTIF(KIFAITOUT!$G$7:$G$50,TJM!A31))+(COUNTIF('LUXE DRIVE'!$G$7:$G$50,TJM!A31))+(COUNTIF(SSN!$G$7:$G$50,TJM!A31))+(COUNTIF(TJM!$G$7:$G$50,TJM!A31))+(COUNTIF('ATHIS MONS'!$G$7:$G$50,TJM!A31))+(COUNTIF('L HAY LES ROSES'!$G$7:$G$50,TJM!A31))+(COUNTIF(RUNGIS!$G$7:$G$50,TJM!A31))+(COUNTIF(SCEAUX!$G$7:$G$50,TJM!A31))+(COUNTIF('INSTANCE C1'!$G$7:$G$50,TJM!A31))+(COUNTIF('INSTANCE C2'!$G$7:$G$50,TJM!A31))+(COUNTIF(INTERNES!$G$7:$G$50,TJM!A31))+(COUNTIF('EN PANNE'!$G$7:$G$50,TJM!A31))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EXPRESS'!$G$7:$G$50,TJM!G31))+(COUNTIF('2 ZT'!$G$7:$G$50,TJM!G31))+(COUNTIF('GO TRANSPORT'!$G$7:$G$50,TJM!G31))+(COUNTIF('HMZ - KAIS'!$G$7:$G$50,TJM!G31))+(COUNTIF('IB TRANSPORT'!$G$7:$G$50,TJM!G31))+(COUNTIF(JSL!$G$7:$G$50,TJM!G31))+(COUNTIF(KIFAITOUT!$G$7:$G$50,TJM!G31))+(COUNTIF('LUXE DRIVE'!$G$7:$G$50,TJM!G31))+(COUNTIF(SSN!$G$7:$G$50,TJM!G31))+(COUNTIF(TJM!$G$7:$G$50,TJM!G31))+(COUNTIF('ATHIS MONS'!$G$7:$G$50,TJM!G31))+(COUNTIF('L HAY LES ROSES'!$G$7:$G$50,TJM!G31))+(COUNTIF(RUNGIS!$G$7:$G$50,TJM!G31))+(COUNTIF(SCEAUX!$G$7:$G$50,TJM!G31))+(COUNTIF('INSTANCE C1'!$G$7:$G$50,TJM!G31))+(COUNTIF('INSTANCE C2'!$G$7:$G$50,TJM!G31))+(COUNTIF(INTERNES!$G$7:$G$50,TJM!G31))+(COUNTIF('EN PANNE'!$G$7:$G$50,TJM!G31))-I31</f>
        <v>0</v>
      </c>
      <c r="I31" s="23">
        <f>(COUNTIF('2S EXPRESS'!$A$7:$A$50,TJM!G31))+(COUNTIF('2 ZT'!$A$7:$A$50,TJM!G31))+(COUNTIF('GO TRANSPORT'!$A$7:$A$50,TJM!G31))+(COUNTIF('HMZ - KAIS'!$A$7:$A$50,TJM!G31))+(COUNTIF('IB TRANSPORT'!$A$7:$A$50,TJM!G31))+(COUNTIF(JSL!$A$7:$A$50,TJM!G31))+(COUNTIF(KIFAITOUT!$A$7:$A$50,TJM!G31))+(COUNTIF('LUXE DRIVE'!$A$7:$A$50,TJM!G31))+(COUNTIF(SSN!$A$7:$A$50,TJM!G31))+(COUNTIF(TJM!$A$7:$A$50,TJM!G31))+(COUNTIF('ATHIS MONS'!$A$7:$A$50,TJM!G31))+(COUNTIF('L HAY LES ROSES'!$A$7:$A$50,TJM!G31))+(COUNTIF(RUNGIS!$A$7:$A$50,TJM!G31))+(COUNTIF(SCEAUX!$A$7:$A$50,TJM!G31))+(COUNTIF('INSTANCE C1'!$A$7:$A$50,TJM!G31))+(COUNTIF('INSTANCE C2'!$A$7:$A$50,TJM!G31))+(COUNTIF(INTERNES!$A$7:$A$50,TJM!G31))+(COUNTIF('EN PANNE'!$A$7:$A$50,TJM!G31))</f>
        <v>0</v>
      </c>
      <c r="J31" s="28">
        <f t="shared" si="4"/>
        <v>0</v>
      </c>
      <c r="K31" s="2"/>
      <c r="L31" s="118"/>
      <c r="S31" s="60">
        <f t="shared" si="1"/>
        <v>0</v>
      </c>
      <c r="T31" s="67">
        <f t="shared" si="2"/>
        <v>0</v>
      </c>
    </row>
    <row r="32" spans="1:20" ht="24.95" customHeight="1" x14ac:dyDescent="0.2">
      <c r="A32" s="20"/>
      <c r="B32" s="23">
        <f>(COUNTIF('2S EXPRESS'!$A$7:$A$50,TJM!A32))+(COUNTIF('2 ZT'!$A$7:$A$50,TJM!A32))+(COUNTIF('GO TRANSPORT'!$A$7:$A$50,TJM!A32))+(COUNTIF('HMZ - KAIS'!$A$7:$A$50,TJM!A32))+(COUNTIF('IB TRANSPORT'!$A$7:$A$50,TJM!A32))+(COUNTIF(JSL!$A$7:$A$50,TJM!A32))+(COUNTIF(KIFAITOUT!$A$7:$A$50,TJM!A32))+(COUNTIF('LUXE DRIVE'!$A$7:$A$50,TJM!A32))+(COUNTIF(SSN!$A$7:$A$50,TJM!A32))+(COUNTIF(TJM!$A$7:$A$50,TJM!A32))+(COUNTIF('ATHIS MONS'!$A$7:$A$50,TJM!A32))+(COUNTIF('L HAY LES ROSES'!$A$7:$A$50,TJM!A32))+(COUNTIF(RUNGIS!$A$7:$A$50,TJM!A32))+(COUNTIF(SCEAUX!$A$7:$A$50,TJM!A32))+(COUNTIF('INSTANCE C1'!$A$7:$A$50,TJM!A32))+(COUNTIF('INSTANCE C2'!$A$7:$A$50,TJM!A32))+(COUNTIF(INTERNES!$A$7:$A$50,TJM!A32))+(COUNTIF('EN PANNE'!$A$7:$A$50,TJM!A32))-C32</f>
        <v>0</v>
      </c>
      <c r="C32" s="23">
        <f>(COUNTIF('2S EXPRESS'!$G$7:$G$50,TJM!A32))+(COUNTIF('2 ZT'!$G$7:$G$50,TJM!A32))+(COUNTIF('GO TRANSPORT'!$G$7:$G$50,TJM!A32))+(COUNTIF(TJM!$G$7:$G$50,TJM!A32))+(COUNTIF('IB TRANSPORT'!$G$7:$G$50,TJM!A32))+(COUNTIF(JSL!$G$7:$G$50,TJM!A32))+(COUNTIF(KIFAITOUT!$G$7:$G$50,TJM!A32))+(COUNTIF('LUXE DRIVE'!$G$7:$G$50,TJM!A32))+(COUNTIF(SSN!$G$7:$G$50,TJM!A32))+(COUNTIF(TJM!$G$7:$G$50,TJM!A32))+(COUNTIF('ATHIS MONS'!$G$7:$G$50,TJM!A32))+(COUNTIF('L HAY LES ROSES'!$G$7:$G$50,TJM!A32))+(COUNTIF(RUNGIS!$G$7:$G$50,TJM!A32))+(COUNTIF(SCEAUX!$G$7:$G$50,TJM!A32))+(COUNTIF('INSTANCE C1'!$G$7:$G$50,TJM!A32))+(COUNTIF('INSTANCE C2'!$G$7:$G$50,TJM!A32))+(COUNTIF(INTERNES!$G$7:$G$50,TJM!A32))+(COUNTIF('EN PANNE'!$G$7:$G$50,TJM!A32))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EXPRESS'!$G$7:$G$50,TJM!G32))+(COUNTIF('2 ZT'!$G$7:$G$50,TJM!G32))+(COUNTIF('GO TRANSPORT'!$G$7:$G$50,TJM!G32))+(COUNTIF('HMZ - KAIS'!$G$7:$G$50,TJM!G32))+(COUNTIF('IB TRANSPORT'!$G$7:$G$50,TJM!G32))+(COUNTIF(JSL!$G$7:$G$50,TJM!G32))+(COUNTIF(KIFAITOUT!$G$7:$G$50,TJM!G32))+(COUNTIF('LUXE DRIVE'!$G$7:$G$50,TJM!G32))+(COUNTIF(SSN!$G$7:$G$50,TJM!G32))+(COUNTIF(TJM!$G$7:$G$50,TJM!G32))+(COUNTIF('ATHIS MONS'!$G$7:$G$50,TJM!G32))+(COUNTIF('L HAY LES ROSES'!$G$7:$G$50,TJM!G32))+(COUNTIF(RUNGIS!$G$7:$G$50,TJM!G32))+(COUNTIF(SCEAUX!$G$7:$G$50,TJM!G32))+(COUNTIF('INSTANCE C1'!$G$7:$G$50,TJM!G32))+(COUNTIF('INSTANCE C2'!$G$7:$G$50,TJM!G32))+(COUNTIF(INTERNES!$G$7:$G$50,TJM!G32))+(COUNTIF('EN PANNE'!$G$7:$G$50,TJM!G32))-I32</f>
        <v>0</v>
      </c>
      <c r="I32" s="23">
        <f>(COUNTIF('2S EXPRESS'!$A$7:$A$50,TJM!G32))+(COUNTIF('2 ZT'!$A$7:$A$50,TJM!G32))+(COUNTIF('GO TRANSPORT'!$A$7:$A$50,TJM!G32))+(COUNTIF('HMZ - KAIS'!$A$7:$A$50,TJM!G32))+(COUNTIF('IB TRANSPORT'!$A$7:$A$50,TJM!G32))+(COUNTIF(JSL!$A$7:$A$50,TJM!G32))+(COUNTIF(KIFAITOUT!$A$7:$A$50,TJM!G32))+(COUNTIF('LUXE DRIVE'!$A$7:$A$50,TJM!G32))+(COUNTIF(SSN!$A$7:$A$50,TJM!G32))+(COUNTIF(TJM!$A$7:$A$50,TJM!G32))+(COUNTIF('ATHIS MONS'!$A$7:$A$50,TJM!G32))+(COUNTIF('L HAY LES ROSES'!$A$7:$A$50,TJM!G32))+(COUNTIF(RUNGIS!$A$7:$A$50,TJM!G32))+(COUNTIF(SCEAUX!$A$7:$A$50,TJM!G32))+(COUNTIF('INSTANCE C1'!$A$7:$A$50,TJM!G32))+(COUNTIF('INSTANCE C2'!$A$7:$A$50,TJM!G32))+(COUNTIF(INTERNES!$A$7:$A$50,TJM!G32))+(COUNTIF('EN PANNE'!$A$7:$A$50,TJM!G32))</f>
        <v>0</v>
      </c>
      <c r="J32" s="28">
        <f t="shared" si="4"/>
        <v>0</v>
      </c>
      <c r="K32" s="2"/>
      <c r="L32" s="118"/>
      <c r="M32" s="46"/>
      <c r="N32" s="46"/>
      <c r="O32" s="46"/>
      <c r="P32" s="46"/>
      <c r="Q32" s="46"/>
      <c r="S32" s="60">
        <f t="shared" si="1"/>
        <v>0</v>
      </c>
      <c r="T32" s="67">
        <f t="shared" si="2"/>
        <v>0</v>
      </c>
    </row>
    <row r="33" spans="1:20" ht="24.95" customHeight="1" x14ac:dyDescent="0.2">
      <c r="A33" s="20"/>
      <c r="B33" s="23">
        <f>(COUNTIF('2S EXPRESS'!$A$7:$A$50,TJM!A33))+(COUNTIF('2 ZT'!$A$7:$A$50,TJM!A33))+(COUNTIF('GO TRANSPORT'!$A$7:$A$50,TJM!A33))+(COUNTIF('HMZ - KAIS'!$A$7:$A$50,TJM!A33))+(COUNTIF('IB TRANSPORT'!$A$7:$A$50,TJM!A33))+(COUNTIF(JSL!$A$7:$A$50,TJM!A33))+(COUNTIF(KIFAITOUT!$A$7:$A$50,TJM!A33))+(COUNTIF('LUXE DRIVE'!$A$7:$A$50,TJM!A33))+(COUNTIF(SSN!$A$7:$A$50,TJM!A33))+(COUNTIF(TJM!$A$7:$A$50,TJM!A33))+(COUNTIF('ATHIS MONS'!$A$7:$A$50,TJM!A33))+(COUNTIF('L HAY LES ROSES'!$A$7:$A$50,TJM!A33))+(COUNTIF(RUNGIS!$A$7:$A$50,TJM!A33))+(COUNTIF(SCEAUX!$A$7:$A$50,TJM!A33))+(COUNTIF('INSTANCE C1'!$A$7:$A$50,TJM!A33))+(COUNTIF('INSTANCE C2'!$A$7:$A$50,TJM!A33))+(COUNTIF(INTERNES!$A$7:$A$50,TJM!A33))+(COUNTIF('EN PANNE'!$A$7:$A$50,TJM!A33))-C33</f>
        <v>0</v>
      </c>
      <c r="C33" s="23">
        <f>(COUNTIF('2S EXPRESS'!$G$7:$G$50,TJM!A33))+(COUNTIF('2 ZT'!$G$7:$G$50,TJM!A33))+(COUNTIF('GO TRANSPORT'!$G$7:$G$50,TJM!A33))+(COUNTIF(TJM!$G$7:$G$50,TJM!A33))+(COUNTIF('IB TRANSPORT'!$G$7:$G$50,TJM!A33))+(COUNTIF(JSL!$G$7:$G$50,TJM!A33))+(COUNTIF(KIFAITOUT!$G$7:$G$50,TJM!A33))+(COUNTIF('LUXE DRIVE'!$G$7:$G$50,TJM!A33))+(COUNTIF(SSN!$G$7:$G$50,TJM!A33))+(COUNTIF(TJM!$G$7:$G$50,TJM!A33))+(COUNTIF('ATHIS MONS'!$G$7:$G$50,TJM!A33))+(COUNTIF('L HAY LES ROSES'!$G$7:$G$50,TJM!A33))+(COUNTIF(RUNGIS!$G$7:$G$50,TJM!A33))+(COUNTIF(SCEAUX!$G$7:$G$50,TJM!A33))+(COUNTIF('INSTANCE C1'!$G$7:$G$50,TJM!A33))+(COUNTIF('INSTANCE C2'!$G$7:$G$50,TJM!A33))+(COUNTIF(INTERNES!$G$7:$G$50,TJM!A33))+(COUNTIF('EN PANNE'!$G$7:$G$50,TJM!A33))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EXPRESS'!$G$7:$G$50,TJM!G33))+(COUNTIF('2 ZT'!$G$7:$G$50,TJM!G33))+(COUNTIF('GO TRANSPORT'!$G$7:$G$50,TJM!G33))+(COUNTIF('HMZ - KAIS'!$G$7:$G$50,TJM!G33))+(COUNTIF('IB TRANSPORT'!$G$7:$G$50,TJM!G33))+(COUNTIF(JSL!$G$7:$G$50,TJM!G33))+(COUNTIF(KIFAITOUT!$G$7:$G$50,TJM!G33))+(COUNTIF('LUXE DRIVE'!$G$7:$G$50,TJM!G33))+(COUNTIF(SSN!$G$7:$G$50,TJM!G33))+(COUNTIF(TJM!$G$7:$G$50,TJM!G33))+(COUNTIF('ATHIS MONS'!$G$7:$G$50,TJM!G33))+(COUNTIF('L HAY LES ROSES'!$G$7:$G$50,TJM!G33))+(COUNTIF(RUNGIS!$G$7:$G$50,TJM!G33))+(COUNTIF(SCEAUX!$G$7:$G$50,TJM!G33))+(COUNTIF('INSTANCE C1'!$G$7:$G$50,TJM!G33))+(COUNTIF('INSTANCE C2'!$G$7:$G$50,TJM!G33))+(COUNTIF(INTERNES!$G$7:$G$50,TJM!G33))+(COUNTIF('EN PANNE'!$G$7:$G$50,TJM!G33))-I33</f>
        <v>0</v>
      </c>
      <c r="I33" s="23">
        <f>(COUNTIF('2S EXPRESS'!$A$7:$A$50,TJM!G33))+(COUNTIF('2 ZT'!$A$7:$A$50,TJM!G33))+(COUNTIF('GO TRANSPORT'!$A$7:$A$50,TJM!G33))+(COUNTIF('HMZ - KAIS'!$A$7:$A$50,TJM!G33))+(COUNTIF('IB TRANSPORT'!$A$7:$A$50,TJM!G33))+(COUNTIF(JSL!$A$7:$A$50,TJM!G33))+(COUNTIF(KIFAITOUT!$A$7:$A$50,TJM!G33))+(COUNTIF('LUXE DRIVE'!$A$7:$A$50,TJM!G33))+(COUNTIF(SSN!$A$7:$A$50,TJM!G33))+(COUNTIF(TJM!$A$7:$A$50,TJM!G33))+(COUNTIF('ATHIS MONS'!$A$7:$A$50,TJM!G33))+(COUNTIF('L HAY LES ROSES'!$A$7:$A$50,TJM!G33))+(COUNTIF(RUNGIS!$A$7:$A$50,TJM!G33))+(COUNTIF(SCEAUX!$A$7:$A$50,TJM!G33))+(COUNTIF('INSTANCE C1'!$A$7:$A$50,TJM!G33))+(COUNTIF('INSTANCE C2'!$A$7:$A$50,TJM!G33))+(COUNTIF(INTERNES!$A$7:$A$50,TJM!G33))+(COUNTIF('EN PANNE'!$A$7:$A$50,TJM!G33))</f>
        <v>0</v>
      </c>
      <c r="J33" s="28">
        <f t="shared" si="4"/>
        <v>0</v>
      </c>
      <c r="K33" s="2"/>
      <c r="L33" s="118"/>
      <c r="M33" s="46"/>
      <c r="N33" s="46"/>
      <c r="O33" s="46"/>
      <c r="P33" s="46"/>
      <c r="Q33" s="46"/>
      <c r="S33" s="60">
        <f t="shared" si="1"/>
        <v>0</v>
      </c>
      <c r="T33" s="67">
        <f t="shared" si="2"/>
        <v>0</v>
      </c>
    </row>
    <row r="34" spans="1:20" ht="24.95" customHeight="1" x14ac:dyDescent="0.2">
      <c r="A34" s="20"/>
      <c r="B34" s="23">
        <f>(COUNTIF('2S EXPRESS'!$A$7:$A$50,TJM!A34))+(COUNTIF('2 ZT'!$A$7:$A$50,TJM!A34))+(COUNTIF('GO TRANSPORT'!$A$7:$A$50,TJM!A34))+(COUNTIF('HMZ - KAIS'!$A$7:$A$50,TJM!A34))+(COUNTIF('IB TRANSPORT'!$A$7:$A$50,TJM!A34))+(COUNTIF(JSL!$A$7:$A$50,TJM!A34))+(COUNTIF(KIFAITOUT!$A$7:$A$50,TJM!A34))+(COUNTIF('LUXE DRIVE'!$A$7:$A$50,TJM!A34))+(COUNTIF(SSN!$A$7:$A$50,TJM!A34))+(COUNTIF(TJM!$A$7:$A$50,TJM!A34))+(COUNTIF('ATHIS MONS'!$A$7:$A$50,TJM!A34))+(COUNTIF('L HAY LES ROSES'!$A$7:$A$50,TJM!A34))+(COUNTIF(RUNGIS!$A$7:$A$50,TJM!A34))+(COUNTIF(SCEAUX!$A$7:$A$50,TJM!A34))+(COUNTIF('INSTANCE C1'!$A$7:$A$50,TJM!A34))+(COUNTIF('INSTANCE C2'!$A$7:$A$50,TJM!A34))+(COUNTIF(INTERNES!$A$7:$A$50,TJM!A34))+(COUNTIF('EN PANNE'!$A$7:$A$50,TJM!A34))-C34</f>
        <v>0</v>
      </c>
      <c r="C34" s="23">
        <f>(COUNTIF('2S EXPRESS'!$G$7:$G$50,TJM!A34))+(COUNTIF('2 ZT'!$G$7:$G$50,TJM!A34))+(COUNTIF('GO TRANSPORT'!$G$7:$G$50,TJM!A34))+(COUNTIF(TJM!$G$7:$G$50,TJM!A34))+(COUNTIF('IB TRANSPORT'!$G$7:$G$50,TJM!A34))+(COUNTIF(JSL!$G$7:$G$50,TJM!A34))+(COUNTIF(KIFAITOUT!$G$7:$G$50,TJM!A34))+(COUNTIF('LUXE DRIVE'!$G$7:$G$50,TJM!A34))+(COUNTIF(SSN!$G$7:$G$50,TJM!A34))+(COUNTIF(TJM!$G$7:$G$50,TJM!A34))+(COUNTIF('ATHIS MONS'!$G$7:$G$50,TJM!A34))+(COUNTIF('L HAY LES ROSES'!$G$7:$G$50,TJM!A34))+(COUNTIF(RUNGIS!$G$7:$G$50,TJM!A34))+(COUNTIF(SCEAUX!$G$7:$G$50,TJM!A34))+(COUNTIF('INSTANCE C1'!$G$7:$G$50,TJM!A34))+(COUNTIF('INSTANCE C2'!$G$7:$G$50,TJM!A34))+(COUNTIF(INTERNES!$G$7:$G$50,TJM!A34))+(COUNTIF('EN PANNE'!$G$7:$G$50,TJM!A34))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EXPRESS'!$G$7:$G$50,TJM!G34))+(COUNTIF('2 ZT'!$G$7:$G$50,TJM!G34))+(COUNTIF('GO TRANSPORT'!$G$7:$G$50,TJM!G34))+(COUNTIF('HMZ - KAIS'!$G$7:$G$50,TJM!G34))+(COUNTIF('IB TRANSPORT'!$G$7:$G$50,TJM!G34))+(COUNTIF(JSL!$G$7:$G$50,TJM!G34))+(COUNTIF(KIFAITOUT!$G$7:$G$50,TJM!G34))+(COUNTIF('LUXE DRIVE'!$G$7:$G$50,TJM!G34))+(COUNTIF(SSN!$G$7:$G$50,TJM!G34))+(COUNTIF(TJM!$G$7:$G$50,TJM!G34))+(COUNTIF('ATHIS MONS'!$G$7:$G$50,TJM!G34))+(COUNTIF('L HAY LES ROSES'!$G$7:$G$50,TJM!G34))+(COUNTIF(RUNGIS!$G$7:$G$50,TJM!G34))+(COUNTIF(SCEAUX!$G$7:$G$50,TJM!G34))+(COUNTIF('INSTANCE C1'!$G$7:$G$50,TJM!G34))+(COUNTIF('INSTANCE C2'!$G$7:$G$50,TJM!G34))+(COUNTIF(INTERNES!$G$7:$G$50,TJM!G34))+(COUNTIF('EN PANNE'!$G$7:$G$50,TJM!G34))-I34</f>
        <v>0</v>
      </c>
      <c r="I34" s="23">
        <f>(COUNTIF('2S EXPRESS'!$A$7:$A$50,TJM!G34))+(COUNTIF('2 ZT'!$A$7:$A$50,TJM!G34))+(COUNTIF('GO TRANSPORT'!$A$7:$A$50,TJM!G34))+(COUNTIF('HMZ - KAIS'!$A$7:$A$50,TJM!G34))+(COUNTIF('IB TRANSPORT'!$A$7:$A$50,TJM!G34))+(COUNTIF(JSL!$A$7:$A$50,TJM!G34))+(COUNTIF(KIFAITOUT!$A$7:$A$50,TJM!G34))+(COUNTIF('LUXE DRIVE'!$A$7:$A$50,TJM!G34))+(COUNTIF(SSN!$A$7:$A$50,TJM!G34))+(COUNTIF(TJM!$A$7:$A$50,TJM!G34))+(COUNTIF('ATHIS MONS'!$A$7:$A$50,TJM!G34))+(COUNTIF('L HAY LES ROSES'!$A$7:$A$50,TJM!G34))+(COUNTIF(RUNGIS!$A$7:$A$50,TJM!G34))+(COUNTIF(SCEAUX!$A$7:$A$50,TJM!G34))+(COUNTIF('INSTANCE C1'!$A$7:$A$50,TJM!G34))+(COUNTIF('INSTANCE C2'!$A$7:$A$50,TJM!G34))+(COUNTIF(INTERNES!$A$7:$A$50,TJM!G34))+(COUNTIF('EN PANNE'!$A$7:$A$50,TJM!G34))</f>
        <v>0</v>
      </c>
      <c r="J34" s="28">
        <f t="shared" si="4"/>
        <v>0</v>
      </c>
      <c r="K34" s="2"/>
      <c r="L34" s="118"/>
      <c r="M34" s="46"/>
      <c r="N34" s="46"/>
      <c r="O34" s="46"/>
      <c r="P34" s="46"/>
      <c r="Q34" s="46"/>
      <c r="S34" s="60">
        <f t="shared" si="1"/>
        <v>0</v>
      </c>
      <c r="T34" s="67">
        <f t="shared" si="2"/>
        <v>0</v>
      </c>
    </row>
    <row r="35" spans="1:20" ht="24.95" customHeight="1" x14ac:dyDescent="0.2">
      <c r="A35" s="20"/>
      <c r="B35" s="23">
        <f>(COUNTIF('2S EXPRESS'!$A$7:$A$50,TJM!A35))+(COUNTIF('2 ZT'!$A$7:$A$50,TJM!A35))+(COUNTIF('GO TRANSPORT'!$A$7:$A$50,TJM!A35))+(COUNTIF('HMZ - KAIS'!$A$7:$A$50,TJM!A35))+(COUNTIF('IB TRANSPORT'!$A$7:$A$50,TJM!A35))+(COUNTIF(JSL!$A$7:$A$50,TJM!A35))+(COUNTIF(KIFAITOUT!$A$7:$A$50,TJM!A35))+(COUNTIF('LUXE DRIVE'!$A$7:$A$50,TJM!A35))+(COUNTIF(SSN!$A$7:$A$50,TJM!A35))+(COUNTIF(TJM!$A$7:$A$50,TJM!A35))+(COUNTIF('ATHIS MONS'!$A$7:$A$50,TJM!A35))+(COUNTIF('L HAY LES ROSES'!$A$7:$A$50,TJM!A35))+(COUNTIF(RUNGIS!$A$7:$A$50,TJM!A35))+(COUNTIF(SCEAUX!$A$7:$A$50,TJM!A35))+(COUNTIF('INSTANCE C1'!$A$7:$A$50,TJM!A35))+(COUNTIF('INSTANCE C2'!$A$7:$A$50,TJM!A35))+(COUNTIF(INTERNES!$A$7:$A$50,TJM!A35))+(COUNTIF('EN PANNE'!$A$7:$A$50,TJM!A35))-C35</f>
        <v>0</v>
      </c>
      <c r="C35" s="23">
        <f>(COUNTIF('2S EXPRESS'!$G$7:$G$50,TJM!A35))+(COUNTIF('2 ZT'!$G$7:$G$50,TJM!A35))+(COUNTIF('GO TRANSPORT'!$G$7:$G$50,TJM!A35))+(COUNTIF(TJM!$G$7:$G$50,TJM!A35))+(COUNTIF('IB TRANSPORT'!$G$7:$G$50,TJM!A35))+(COUNTIF(JSL!$G$7:$G$50,TJM!A35))+(COUNTIF(KIFAITOUT!$G$7:$G$50,TJM!A35))+(COUNTIF('LUXE DRIVE'!$G$7:$G$50,TJM!A35))+(COUNTIF(SSN!$G$7:$G$50,TJM!A35))+(COUNTIF(TJM!$G$7:$G$50,TJM!A35))+(COUNTIF('ATHIS MONS'!$G$7:$G$50,TJM!A35))+(COUNTIF('L HAY LES ROSES'!$G$7:$G$50,TJM!A35))+(COUNTIF(RUNGIS!$G$7:$G$50,TJM!A35))+(COUNTIF(SCEAUX!$G$7:$G$50,TJM!A35))+(COUNTIF('INSTANCE C1'!$G$7:$G$50,TJM!A35))+(COUNTIF('INSTANCE C2'!$G$7:$G$50,TJM!A35))+(COUNTIF(INTERNES!$G$7:$G$50,TJM!A35))+(COUNTIF('EN PANNE'!$G$7:$G$50,TJM!A35))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EXPRESS'!$G$7:$G$50,TJM!G35))+(COUNTIF('2 ZT'!$G$7:$G$50,TJM!G35))+(COUNTIF('GO TRANSPORT'!$G$7:$G$50,TJM!G35))+(COUNTIF('HMZ - KAIS'!$G$7:$G$50,TJM!G35))+(COUNTIF('IB TRANSPORT'!$G$7:$G$50,TJM!G35))+(COUNTIF(JSL!$G$7:$G$50,TJM!G35))+(COUNTIF(KIFAITOUT!$G$7:$G$50,TJM!G35))+(COUNTIF('LUXE DRIVE'!$G$7:$G$50,TJM!G35))+(COUNTIF(SSN!$G$7:$G$50,TJM!G35))+(COUNTIF(TJM!$G$7:$G$50,TJM!G35))+(COUNTIF('ATHIS MONS'!$G$7:$G$50,TJM!G35))+(COUNTIF('L HAY LES ROSES'!$G$7:$G$50,TJM!G35))+(COUNTIF(RUNGIS!$G$7:$G$50,TJM!G35))+(COUNTIF(SCEAUX!$G$7:$G$50,TJM!G35))+(COUNTIF('INSTANCE C1'!$G$7:$G$50,TJM!G35))+(COUNTIF('INSTANCE C2'!$G$7:$G$50,TJM!G35))+(COUNTIF(INTERNES!$G$7:$G$50,TJM!G35))+(COUNTIF('EN PANNE'!$G$7:$G$50,TJM!G35))-I35</f>
        <v>0</v>
      </c>
      <c r="I35" s="23">
        <f>(COUNTIF('2S EXPRESS'!$A$7:$A$50,TJM!G35))+(COUNTIF('2 ZT'!$A$7:$A$50,TJM!G35))+(COUNTIF('GO TRANSPORT'!$A$7:$A$50,TJM!G35))+(COUNTIF('HMZ - KAIS'!$A$7:$A$50,TJM!G35))+(COUNTIF('IB TRANSPORT'!$A$7:$A$50,TJM!G35))+(COUNTIF(JSL!$A$7:$A$50,TJM!G35))+(COUNTIF(KIFAITOUT!$A$7:$A$50,TJM!G35))+(COUNTIF('LUXE DRIVE'!$A$7:$A$50,TJM!G35))+(COUNTIF(SSN!$A$7:$A$50,TJM!G35))+(COUNTIF(TJM!$A$7:$A$50,TJM!G35))+(COUNTIF('ATHIS MONS'!$A$7:$A$50,TJM!G35))+(COUNTIF('L HAY LES ROSES'!$A$7:$A$50,TJM!G35))+(COUNTIF(RUNGIS!$A$7:$A$50,TJM!G35))+(COUNTIF(SCEAUX!$A$7:$A$50,TJM!G35))+(COUNTIF('INSTANCE C1'!$A$7:$A$50,TJM!G35))+(COUNTIF('INSTANCE C2'!$A$7:$A$50,TJM!G35))+(COUNTIF(INTERNES!$A$7:$A$50,TJM!G35))+(COUNTIF('EN PANNE'!$A$7:$A$50,TJM!G35))</f>
        <v>0</v>
      </c>
      <c r="J35" s="28">
        <f t="shared" si="4"/>
        <v>0</v>
      </c>
      <c r="K35" s="2"/>
      <c r="L35" s="118"/>
      <c r="M35" s="46"/>
      <c r="N35" s="46"/>
      <c r="O35" s="46"/>
      <c r="P35" s="46"/>
      <c r="Q35" s="46"/>
      <c r="S35" s="60">
        <f t="shared" si="1"/>
        <v>0</v>
      </c>
      <c r="T35" s="67">
        <f t="shared" si="2"/>
        <v>0</v>
      </c>
    </row>
    <row r="36" spans="1:20" ht="24.95" customHeight="1" x14ac:dyDescent="0.2">
      <c r="A36" s="20"/>
      <c r="B36" s="23">
        <f>(COUNTIF('2S EXPRESS'!$A$7:$A$50,TJM!A36))+(COUNTIF('2 ZT'!$A$7:$A$50,TJM!A36))+(COUNTIF('GO TRANSPORT'!$A$7:$A$50,TJM!A36))+(COUNTIF('HMZ - KAIS'!$A$7:$A$50,TJM!A36))+(COUNTIF('IB TRANSPORT'!$A$7:$A$50,TJM!A36))+(COUNTIF(JSL!$A$7:$A$50,TJM!A36))+(COUNTIF(KIFAITOUT!$A$7:$A$50,TJM!A36))+(COUNTIF('LUXE DRIVE'!$A$7:$A$50,TJM!A36))+(COUNTIF(SSN!$A$7:$A$50,TJM!A36))+(COUNTIF(TJM!$A$7:$A$50,TJM!A36))+(COUNTIF('ATHIS MONS'!$A$7:$A$50,TJM!A36))+(COUNTIF('L HAY LES ROSES'!$A$7:$A$50,TJM!A36))+(COUNTIF(RUNGIS!$A$7:$A$50,TJM!A36))+(COUNTIF(SCEAUX!$A$7:$A$50,TJM!A36))+(COUNTIF('INSTANCE C1'!$A$7:$A$50,TJM!A36))+(COUNTIF('INSTANCE C2'!$A$7:$A$50,TJM!A36))+(COUNTIF(INTERNES!$A$7:$A$50,TJM!A36))+(COUNTIF('EN PANNE'!$A$7:$A$50,TJM!A36))-C36</f>
        <v>0</v>
      </c>
      <c r="C36" s="23">
        <f>(COUNTIF('2S EXPRESS'!$G$7:$G$50,TJM!A36))+(COUNTIF('2 ZT'!$G$7:$G$50,TJM!A36))+(COUNTIF('GO TRANSPORT'!$G$7:$G$50,TJM!A36))+(COUNTIF(TJM!$G$7:$G$50,TJM!A36))+(COUNTIF('IB TRANSPORT'!$G$7:$G$50,TJM!A36))+(COUNTIF(JSL!$G$7:$G$50,TJM!A36))+(COUNTIF(KIFAITOUT!$G$7:$G$50,TJM!A36))+(COUNTIF('LUXE DRIVE'!$G$7:$G$50,TJM!A36))+(COUNTIF(SSN!$G$7:$G$50,TJM!A36))+(COUNTIF(TJM!$G$7:$G$50,TJM!A36))+(COUNTIF('ATHIS MONS'!$G$7:$G$50,TJM!A36))+(COUNTIF('L HAY LES ROSES'!$G$7:$G$50,TJM!A36))+(COUNTIF(RUNGIS!$G$7:$G$50,TJM!A36))+(COUNTIF(SCEAUX!$G$7:$G$50,TJM!A36))+(COUNTIF('INSTANCE C1'!$G$7:$G$50,TJM!A36))+(COUNTIF('INSTANCE C2'!$G$7:$G$50,TJM!A36))+(COUNTIF(INTERNES!$G$7:$G$50,TJM!A36))+(COUNTIF('EN PANNE'!$G$7:$G$50,TJM!A36))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EXPRESS'!$G$7:$G$50,TJM!G36))+(COUNTIF('2 ZT'!$G$7:$G$50,TJM!G36))+(COUNTIF('GO TRANSPORT'!$G$7:$G$50,TJM!G36))+(COUNTIF('HMZ - KAIS'!$G$7:$G$50,TJM!G36))+(COUNTIF('IB TRANSPORT'!$G$7:$G$50,TJM!G36))+(COUNTIF(JSL!$G$7:$G$50,TJM!G36))+(COUNTIF(KIFAITOUT!$G$7:$G$50,TJM!G36))+(COUNTIF('LUXE DRIVE'!$G$7:$G$50,TJM!G36))+(COUNTIF(SSN!$G$7:$G$50,TJM!G36))+(COUNTIF(TJM!$G$7:$G$50,TJM!G36))+(COUNTIF('ATHIS MONS'!$G$7:$G$50,TJM!G36))+(COUNTIF('L HAY LES ROSES'!$G$7:$G$50,TJM!G36))+(COUNTIF(RUNGIS!$G$7:$G$50,TJM!G36))+(COUNTIF(SCEAUX!$G$7:$G$50,TJM!G36))+(COUNTIF('INSTANCE C1'!$G$7:$G$50,TJM!G36))+(COUNTIF('INSTANCE C2'!$G$7:$G$50,TJM!G36))+(COUNTIF(INTERNES!$G$7:$G$50,TJM!G36))+(COUNTIF('EN PANNE'!$G$7:$G$50,TJM!G36))-I36</f>
        <v>0</v>
      </c>
      <c r="I36" s="23">
        <f>(COUNTIF('2S EXPRESS'!$A$7:$A$50,TJM!G36))+(COUNTIF('2 ZT'!$A$7:$A$50,TJM!G36))+(COUNTIF('GO TRANSPORT'!$A$7:$A$50,TJM!G36))+(COUNTIF('HMZ - KAIS'!$A$7:$A$50,TJM!G36))+(COUNTIF('IB TRANSPORT'!$A$7:$A$50,TJM!G36))+(COUNTIF(JSL!$A$7:$A$50,TJM!G36))+(COUNTIF(KIFAITOUT!$A$7:$A$50,TJM!G36))+(COUNTIF('LUXE DRIVE'!$A$7:$A$50,TJM!G36))+(COUNTIF(SSN!$A$7:$A$50,TJM!G36))+(COUNTIF(TJM!$A$7:$A$50,TJM!G36))+(COUNTIF('ATHIS MONS'!$A$7:$A$50,TJM!G36))+(COUNTIF('L HAY LES ROSES'!$A$7:$A$50,TJM!G36))+(COUNTIF(RUNGIS!$A$7:$A$50,TJM!G36))+(COUNTIF(SCEAUX!$A$7:$A$50,TJM!G36))+(COUNTIF('INSTANCE C1'!$A$7:$A$50,TJM!G36))+(COUNTIF('INSTANCE C2'!$A$7:$A$50,TJM!G36))+(COUNTIF(INTERNES!$A$7:$A$50,TJM!G36))+(COUNTIF('EN PANNE'!$A$7:$A$50,TJM!G36))</f>
        <v>0</v>
      </c>
      <c r="J36" s="28">
        <f t="shared" si="4"/>
        <v>0</v>
      </c>
      <c r="K36" s="2"/>
      <c r="L36" s="118"/>
      <c r="S36" s="60">
        <f t="shared" si="1"/>
        <v>0</v>
      </c>
      <c r="T36" s="67">
        <f t="shared" si="2"/>
        <v>0</v>
      </c>
    </row>
    <row r="37" spans="1:20" ht="24.95" customHeight="1" x14ac:dyDescent="0.2">
      <c r="A37" s="20"/>
      <c r="B37" s="23">
        <f>(COUNTIF('2S EXPRESS'!$A$7:$A$50,TJM!A37))+(COUNTIF('2 ZT'!$A$7:$A$50,TJM!A37))+(COUNTIF('GO TRANSPORT'!$A$7:$A$50,TJM!A37))+(COUNTIF('HMZ - KAIS'!$A$7:$A$50,TJM!A37))+(COUNTIF('IB TRANSPORT'!$A$7:$A$50,TJM!A37))+(COUNTIF(JSL!$A$7:$A$50,TJM!A37))+(COUNTIF(KIFAITOUT!$A$7:$A$50,TJM!A37))+(COUNTIF('LUXE DRIVE'!$A$7:$A$50,TJM!A37))+(COUNTIF(SSN!$A$7:$A$50,TJM!A37))+(COUNTIF(TJM!$A$7:$A$50,TJM!A37))+(COUNTIF('ATHIS MONS'!$A$7:$A$50,TJM!A37))+(COUNTIF('L HAY LES ROSES'!$A$7:$A$50,TJM!A37))+(COUNTIF(RUNGIS!$A$7:$A$50,TJM!A37))+(COUNTIF(SCEAUX!$A$7:$A$50,TJM!A37))+(COUNTIF('INSTANCE C1'!$A$7:$A$50,TJM!A37))+(COUNTIF('INSTANCE C2'!$A$7:$A$50,TJM!A37))+(COUNTIF(INTERNES!$A$7:$A$50,TJM!A37))+(COUNTIF('EN PANNE'!$A$7:$A$50,TJM!A37))-C37</f>
        <v>0</v>
      </c>
      <c r="C37" s="23">
        <f>(COUNTIF('2S EXPRESS'!$G$7:$G$50,TJM!A37))+(COUNTIF('2 ZT'!$G$7:$G$50,TJM!A37))+(COUNTIF('GO TRANSPORT'!$G$7:$G$50,TJM!A37))+(COUNTIF(TJM!$G$7:$G$50,TJM!A37))+(COUNTIF('IB TRANSPORT'!$G$7:$G$50,TJM!A37))+(COUNTIF(JSL!$G$7:$G$50,TJM!A37))+(COUNTIF(KIFAITOUT!$G$7:$G$50,TJM!A37))+(COUNTIF('LUXE DRIVE'!$G$7:$G$50,TJM!A37))+(COUNTIF(SSN!$G$7:$G$50,TJM!A37))+(COUNTIF(TJM!$G$7:$G$50,TJM!A37))+(COUNTIF('ATHIS MONS'!$G$7:$G$50,TJM!A37))+(COUNTIF('L HAY LES ROSES'!$G$7:$G$50,TJM!A37))+(COUNTIF(RUNGIS!$G$7:$G$50,TJM!A37))+(COUNTIF(SCEAUX!$G$7:$G$50,TJM!A37))+(COUNTIF('INSTANCE C1'!$G$7:$G$50,TJM!A37))+(COUNTIF('INSTANCE C2'!$G$7:$G$50,TJM!A37))+(COUNTIF(INTERNES!$G$7:$G$50,TJM!A37))+(COUNTIF('EN PANNE'!$G$7:$G$50,TJM!A37))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EXPRESS'!$G$7:$G$50,TJM!G37))+(COUNTIF('2 ZT'!$G$7:$G$50,TJM!G37))+(COUNTIF('GO TRANSPORT'!$G$7:$G$50,TJM!G37))+(COUNTIF('HMZ - KAIS'!$G$7:$G$50,TJM!G37))+(COUNTIF('IB TRANSPORT'!$G$7:$G$50,TJM!G37))+(COUNTIF(JSL!$G$7:$G$50,TJM!G37))+(COUNTIF(KIFAITOUT!$G$7:$G$50,TJM!G37))+(COUNTIF('LUXE DRIVE'!$G$7:$G$50,TJM!G37))+(COUNTIF(SSN!$G$7:$G$50,TJM!G37))+(COUNTIF(TJM!$G$7:$G$50,TJM!G37))+(COUNTIF('ATHIS MONS'!$G$7:$G$50,TJM!G37))+(COUNTIF('L HAY LES ROSES'!$G$7:$G$50,TJM!G37))+(COUNTIF(RUNGIS!$G$7:$G$50,TJM!G37))+(COUNTIF(SCEAUX!$G$7:$G$50,TJM!G37))+(COUNTIF('INSTANCE C1'!$G$7:$G$50,TJM!G37))+(COUNTIF('INSTANCE C2'!$G$7:$G$50,TJM!G37))+(COUNTIF(INTERNES!$G$7:$G$50,TJM!G37))+(COUNTIF('EN PANNE'!$G$7:$G$50,TJM!G37))-I37</f>
        <v>0</v>
      </c>
      <c r="I37" s="23">
        <f>(COUNTIF('2S EXPRESS'!$A$7:$A$50,TJM!G37))+(COUNTIF('2 ZT'!$A$7:$A$50,TJM!G37))+(COUNTIF('GO TRANSPORT'!$A$7:$A$50,TJM!G37))+(COUNTIF('HMZ - KAIS'!$A$7:$A$50,TJM!G37))+(COUNTIF('IB TRANSPORT'!$A$7:$A$50,TJM!G37))+(COUNTIF(JSL!$A$7:$A$50,TJM!G37))+(COUNTIF(KIFAITOUT!$A$7:$A$50,TJM!G37))+(COUNTIF('LUXE DRIVE'!$A$7:$A$50,TJM!G37))+(COUNTIF(SSN!$A$7:$A$50,TJM!G37))+(COUNTIF(TJM!$A$7:$A$50,TJM!G37))+(COUNTIF('ATHIS MONS'!$A$7:$A$50,TJM!G37))+(COUNTIF('L HAY LES ROSES'!$A$7:$A$50,TJM!G37))+(COUNTIF(RUNGIS!$A$7:$A$50,TJM!G37))+(COUNTIF(SCEAUX!$A$7:$A$50,TJM!G37))+(COUNTIF('INSTANCE C1'!$A$7:$A$50,TJM!G37))+(COUNTIF('INSTANCE C2'!$A$7:$A$50,TJM!G37))+(COUNTIF(INTERNES!$A$7:$A$50,TJM!G37))+(COUNTIF('EN PANNE'!$A$7:$A$50,TJM!G37))</f>
        <v>0</v>
      </c>
      <c r="J37" s="28">
        <f t="shared" si="4"/>
        <v>0</v>
      </c>
      <c r="K37" s="2"/>
      <c r="L37" s="118"/>
      <c r="S37" s="60">
        <f t="shared" si="1"/>
        <v>0</v>
      </c>
      <c r="T37" s="67">
        <f t="shared" si="2"/>
        <v>0</v>
      </c>
    </row>
    <row r="38" spans="1:20" ht="24.95" customHeight="1" x14ac:dyDescent="0.2">
      <c r="A38" s="20"/>
      <c r="B38" s="23">
        <f>(COUNTIF('2S EXPRESS'!$A$7:$A$50,TJM!A38))+(COUNTIF('2 ZT'!$A$7:$A$50,TJM!A38))+(COUNTIF('GO TRANSPORT'!$A$7:$A$50,TJM!A38))+(COUNTIF('HMZ - KAIS'!$A$7:$A$50,TJM!A38))+(COUNTIF('IB TRANSPORT'!$A$7:$A$50,TJM!A38))+(COUNTIF(JSL!$A$7:$A$50,TJM!A38))+(COUNTIF(KIFAITOUT!$A$7:$A$50,TJM!A38))+(COUNTIF('LUXE DRIVE'!$A$7:$A$50,TJM!A38))+(COUNTIF(SSN!$A$7:$A$50,TJM!A38))+(COUNTIF(TJM!$A$7:$A$50,TJM!A38))+(COUNTIF('ATHIS MONS'!$A$7:$A$50,TJM!A38))+(COUNTIF('L HAY LES ROSES'!$A$7:$A$50,TJM!A38))+(COUNTIF(RUNGIS!$A$7:$A$50,TJM!A38))+(COUNTIF(SCEAUX!$A$7:$A$50,TJM!A38))+(COUNTIF('INSTANCE C1'!$A$7:$A$50,TJM!A38))+(COUNTIF('INSTANCE C2'!$A$7:$A$50,TJM!A38))+(COUNTIF(INTERNES!$A$7:$A$50,TJM!A38))+(COUNTIF('EN PANNE'!$A$7:$A$50,TJM!A38))-C38</f>
        <v>0</v>
      </c>
      <c r="C38" s="23">
        <f>(COUNTIF('2S EXPRESS'!$G$7:$G$50,TJM!A38))+(COUNTIF('2 ZT'!$G$7:$G$50,TJM!A38))+(COUNTIF('GO TRANSPORT'!$G$7:$G$50,TJM!A38))+(COUNTIF(TJM!$G$7:$G$50,TJM!A38))+(COUNTIF('IB TRANSPORT'!$G$7:$G$50,TJM!A38))+(COUNTIF(JSL!$G$7:$G$50,TJM!A38))+(COUNTIF(KIFAITOUT!$G$7:$G$50,TJM!A38))+(COUNTIF('LUXE DRIVE'!$G$7:$G$50,TJM!A38))+(COUNTIF(SSN!$G$7:$G$50,TJM!A38))+(COUNTIF(TJM!$G$7:$G$50,TJM!A38))+(COUNTIF('ATHIS MONS'!$G$7:$G$50,TJM!A38))+(COUNTIF('L HAY LES ROSES'!$G$7:$G$50,TJM!A38))+(COUNTIF(RUNGIS!$G$7:$G$50,TJM!A38))+(COUNTIF(SCEAUX!$G$7:$G$50,TJM!A38))+(COUNTIF('INSTANCE C1'!$G$7:$G$50,TJM!A38))+(COUNTIF('INSTANCE C2'!$G$7:$G$50,TJM!A38))+(COUNTIF(INTERNES!$G$7:$G$50,TJM!A38))+(COUNTIF('EN PANNE'!$G$7:$G$50,TJM!A38))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EXPRESS'!$G$7:$G$50,TJM!G38))+(COUNTIF('2 ZT'!$G$7:$G$50,TJM!G38))+(COUNTIF('GO TRANSPORT'!$G$7:$G$50,TJM!G38))+(COUNTIF('HMZ - KAIS'!$G$7:$G$50,TJM!G38))+(COUNTIF('IB TRANSPORT'!$G$7:$G$50,TJM!G38))+(COUNTIF(JSL!$G$7:$G$50,TJM!G38))+(COUNTIF(KIFAITOUT!$G$7:$G$50,TJM!G38))+(COUNTIF('LUXE DRIVE'!$G$7:$G$50,TJM!G38))+(COUNTIF(SSN!$G$7:$G$50,TJM!G38))+(COUNTIF(TJM!$G$7:$G$50,TJM!G38))+(COUNTIF('ATHIS MONS'!$G$7:$G$50,TJM!G38))+(COUNTIF('L HAY LES ROSES'!$G$7:$G$50,TJM!G38))+(COUNTIF(RUNGIS!$G$7:$G$50,TJM!G38))+(COUNTIF(SCEAUX!$G$7:$G$50,TJM!G38))+(COUNTIF('INSTANCE C1'!$G$7:$G$50,TJM!G38))+(COUNTIF('INSTANCE C2'!$G$7:$G$50,TJM!G38))+(COUNTIF(INTERNES!$G$7:$G$50,TJM!G38))+(COUNTIF('EN PANNE'!$G$7:$G$50,TJM!G38))-I38</f>
        <v>0</v>
      </c>
      <c r="I38" s="23">
        <f>(COUNTIF('2S EXPRESS'!$A$7:$A$50,TJM!G38))+(COUNTIF('2 ZT'!$A$7:$A$50,TJM!G38))+(COUNTIF('GO TRANSPORT'!$A$7:$A$50,TJM!G38))+(COUNTIF('HMZ - KAIS'!$A$7:$A$50,TJM!G38))+(COUNTIF('IB TRANSPORT'!$A$7:$A$50,TJM!G38))+(COUNTIF(JSL!$A$7:$A$50,TJM!G38))+(COUNTIF(KIFAITOUT!$A$7:$A$50,TJM!G38))+(COUNTIF('LUXE DRIVE'!$A$7:$A$50,TJM!G38))+(COUNTIF(SSN!$A$7:$A$50,TJM!G38))+(COUNTIF(TJM!$A$7:$A$50,TJM!G38))+(COUNTIF('ATHIS MONS'!$A$7:$A$50,TJM!G38))+(COUNTIF('L HAY LES ROSES'!$A$7:$A$50,TJM!G38))+(COUNTIF(RUNGIS!$A$7:$A$50,TJM!G38))+(COUNTIF(SCEAUX!$A$7:$A$50,TJM!G38))+(COUNTIF('INSTANCE C1'!$A$7:$A$50,TJM!G38))+(COUNTIF('INSTANCE C2'!$A$7:$A$50,TJM!G38))+(COUNTIF(INTERNES!$A$7:$A$50,TJM!G38))+(COUNTIF('EN PANNE'!$A$7:$A$50,TJM!G38))</f>
        <v>0</v>
      </c>
      <c r="J38" s="28">
        <f t="shared" si="4"/>
        <v>0</v>
      </c>
      <c r="K38" s="2"/>
      <c r="L38" s="118"/>
      <c r="S38" s="60">
        <f t="shared" si="1"/>
        <v>0</v>
      </c>
      <c r="T38" s="67">
        <f t="shared" si="2"/>
        <v>0</v>
      </c>
    </row>
    <row r="39" spans="1:20" ht="24.95" customHeight="1" x14ac:dyDescent="0.2">
      <c r="A39" s="20"/>
      <c r="B39" s="23">
        <f>(COUNTIF('2S EXPRESS'!$A$7:$A$50,TJM!A39))+(COUNTIF('2 ZT'!$A$7:$A$50,TJM!A39))+(COUNTIF('GO TRANSPORT'!$A$7:$A$50,TJM!A39))+(COUNTIF('HMZ - KAIS'!$A$7:$A$50,TJM!A39))+(COUNTIF('IB TRANSPORT'!$A$7:$A$50,TJM!A39))+(COUNTIF(JSL!$A$7:$A$50,TJM!A39))+(COUNTIF(KIFAITOUT!$A$7:$A$50,TJM!A39))+(COUNTIF('LUXE DRIVE'!$A$7:$A$50,TJM!A39))+(COUNTIF(SSN!$A$7:$A$50,TJM!A39))+(COUNTIF(TJM!$A$7:$A$50,TJM!A39))+(COUNTIF('ATHIS MONS'!$A$7:$A$50,TJM!A39))+(COUNTIF('L HAY LES ROSES'!$A$7:$A$50,TJM!A39))+(COUNTIF(RUNGIS!$A$7:$A$50,TJM!A39))+(COUNTIF(SCEAUX!$A$7:$A$50,TJM!A39))+(COUNTIF('INSTANCE C1'!$A$7:$A$50,TJM!A39))+(COUNTIF('INSTANCE C2'!$A$7:$A$50,TJM!A39))+(COUNTIF(INTERNES!$A$7:$A$50,TJM!A39))+(COUNTIF('EN PANNE'!$A$7:$A$50,TJM!A39))-C39</f>
        <v>0</v>
      </c>
      <c r="C39" s="23">
        <f>(COUNTIF('2S EXPRESS'!$G$7:$G$50,TJM!A39))+(COUNTIF('2 ZT'!$G$7:$G$50,TJM!A39))+(COUNTIF('GO TRANSPORT'!$G$7:$G$50,TJM!A39))+(COUNTIF(TJM!$G$7:$G$50,TJM!A39))+(COUNTIF('IB TRANSPORT'!$G$7:$G$50,TJM!A39))+(COUNTIF(JSL!$G$7:$G$50,TJM!A39))+(COUNTIF(KIFAITOUT!$G$7:$G$50,TJM!A39))+(COUNTIF('LUXE DRIVE'!$G$7:$G$50,TJM!A39))+(COUNTIF(SSN!$G$7:$G$50,TJM!A39))+(COUNTIF(TJM!$G$7:$G$50,TJM!A39))+(COUNTIF('ATHIS MONS'!$G$7:$G$50,TJM!A39))+(COUNTIF('L HAY LES ROSES'!$G$7:$G$50,TJM!A39))+(COUNTIF(RUNGIS!$G$7:$G$50,TJM!A39))+(COUNTIF(SCEAUX!$G$7:$G$50,TJM!A39))+(COUNTIF('INSTANCE C1'!$G$7:$G$50,TJM!A39))+(COUNTIF('INSTANCE C2'!$G$7:$G$50,TJM!A39))+(COUNTIF(INTERNES!$G$7:$G$50,TJM!A39))+(COUNTIF('EN PANNE'!$G$7:$G$50,TJM!A39))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EXPRESS'!$G$7:$G$50,TJM!G39))+(COUNTIF('2 ZT'!$G$7:$G$50,TJM!G39))+(COUNTIF('GO TRANSPORT'!$G$7:$G$50,TJM!G39))+(COUNTIF('HMZ - KAIS'!$G$7:$G$50,TJM!G39))+(COUNTIF('IB TRANSPORT'!$G$7:$G$50,TJM!G39))+(COUNTIF(JSL!$G$7:$G$50,TJM!G39))+(COUNTIF(KIFAITOUT!$G$7:$G$50,TJM!G39))+(COUNTIF('LUXE DRIVE'!$G$7:$G$50,TJM!G39))+(COUNTIF(SSN!$G$7:$G$50,TJM!G39))+(COUNTIF(TJM!$G$7:$G$50,TJM!G39))+(COUNTIF('ATHIS MONS'!$G$7:$G$50,TJM!G39))+(COUNTIF('L HAY LES ROSES'!$G$7:$G$50,TJM!G39))+(COUNTIF(RUNGIS!$G$7:$G$50,TJM!G39))+(COUNTIF(SCEAUX!$G$7:$G$50,TJM!G39))+(COUNTIF('INSTANCE C1'!$G$7:$G$50,TJM!G39))+(COUNTIF('INSTANCE C2'!$G$7:$G$50,TJM!G39))+(COUNTIF(INTERNES!$G$7:$G$50,TJM!G39))+(COUNTIF('EN PANNE'!$G$7:$G$50,TJM!G39))-I39</f>
        <v>0</v>
      </c>
      <c r="I39" s="23">
        <f>(COUNTIF('2S EXPRESS'!$A$7:$A$50,TJM!G39))+(COUNTIF('2 ZT'!$A$7:$A$50,TJM!G39))+(COUNTIF('GO TRANSPORT'!$A$7:$A$50,TJM!G39))+(COUNTIF('HMZ - KAIS'!$A$7:$A$50,TJM!G39))+(COUNTIF('IB TRANSPORT'!$A$7:$A$50,TJM!G39))+(COUNTIF(JSL!$A$7:$A$50,TJM!G39))+(COUNTIF(KIFAITOUT!$A$7:$A$50,TJM!G39))+(COUNTIF('LUXE DRIVE'!$A$7:$A$50,TJM!G39))+(COUNTIF(SSN!$A$7:$A$50,TJM!G39))+(COUNTIF(TJM!$A$7:$A$50,TJM!G39))+(COUNTIF('ATHIS MONS'!$A$7:$A$50,TJM!G39))+(COUNTIF('L HAY LES ROSES'!$A$7:$A$50,TJM!G39))+(COUNTIF(RUNGIS!$A$7:$A$50,TJM!G39))+(COUNTIF(SCEAUX!$A$7:$A$50,TJM!G39))+(COUNTIF('INSTANCE C1'!$A$7:$A$50,TJM!G39))+(COUNTIF('INSTANCE C2'!$A$7:$A$50,TJM!G39))+(COUNTIF(INTERNES!$A$7:$A$50,TJM!G39))+(COUNTIF('EN PANNE'!$A$7:$A$50,TJM!G39))</f>
        <v>0</v>
      </c>
      <c r="J39" s="28">
        <f t="shared" si="4"/>
        <v>0</v>
      </c>
      <c r="K39" s="2"/>
      <c r="L39" s="118"/>
      <c r="S39" s="60">
        <f t="shared" si="1"/>
        <v>0</v>
      </c>
      <c r="T39" s="67">
        <f t="shared" si="2"/>
        <v>0</v>
      </c>
    </row>
    <row r="40" spans="1:20" ht="24.95" customHeight="1" x14ac:dyDescent="0.2">
      <c r="A40" s="20"/>
      <c r="B40" s="23">
        <f>(COUNTIF('2S EXPRESS'!$A$7:$A$50,TJM!A40))+(COUNTIF('2 ZT'!$A$7:$A$50,TJM!A40))+(COUNTIF('GO TRANSPORT'!$A$7:$A$50,TJM!A40))+(COUNTIF('HMZ - KAIS'!$A$7:$A$50,TJM!A40))+(COUNTIF('IB TRANSPORT'!$A$7:$A$50,TJM!A40))+(COUNTIF(JSL!$A$7:$A$50,TJM!A40))+(COUNTIF(KIFAITOUT!$A$7:$A$50,TJM!A40))+(COUNTIF('LUXE DRIVE'!$A$7:$A$50,TJM!A40))+(COUNTIF(SSN!$A$7:$A$50,TJM!A40))+(COUNTIF(TJM!$A$7:$A$50,TJM!A40))+(COUNTIF('ATHIS MONS'!$A$7:$A$50,TJM!A40))+(COUNTIF('L HAY LES ROSES'!$A$7:$A$50,TJM!A40))+(COUNTIF(RUNGIS!$A$7:$A$50,TJM!A40))+(COUNTIF(SCEAUX!$A$7:$A$50,TJM!A40))+(COUNTIF('INSTANCE C1'!$A$7:$A$50,TJM!A40))+(COUNTIF('INSTANCE C2'!$A$7:$A$50,TJM!A40))+(COUNTIF(INTERNES!$A$7:$A$50,TJM!A40))+(COUNTIF('EN PANNE'!$A$7:$A$50,TJM!A40))-C40</f>
        <v>0</v>
      </c>
      <c r="C40" s="23">
        <f>(COUNTIF('2S EXPRESS'!$G$7:$G$50,TJM!A40))+(COUNTIF('2 ZT'!$G$7:$G$50,TJM!A40))+(COUNTIF('GO TRANSPORT'!$G$7:$G$50,TJM!A40))+(COUNTIF(TJM!$G$7:$G$50,TJM!A40))+(COUNTIF('IB TRANSPORT'!$G$7:$G$50,TJM!A40))+(COUNTIF(JSL!$G$7:$G$50,TJM!A40))+(COUNTIF(KIFAITOUT!$G$7:$G$50,TJM!A40))+(COUNTIF('LUXE DRIVE'!$G$7:$G$50,TJM!A40))+(COUNTIF(SSN!$G$7:$G$50,TJM!A40))+(COUNTIF(TJM!$G$7:$G$50,TJM!A40))+(COUNTIF('ATHIS MONS'!$G$7:$G$50,TJM!A40))+(COUNTIF('L HAY LES ROSES'!$G$7:$G$50,TJM!A40))+(COUNTIF(RUNGIS!$G$7:$G$50,TJM!A40))+(COUNTIF(SCEAUX!$G$7:$G$50,TJM!A40))+(COUNTIF('INSTANCE C1'!$G$7:$G$50,TJM!A40))+(COUNTIF('INSTANCE C2'!$G$7:$G$50,TJM!A40))+(COUNTIF(INTERNES!$G$7:$G$50,TJM!A40))+(COUNTIF('EN PANNE'!$G$7:$G$50,TJM!A40))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EXPRESS'!$G$7:$G$50,TJM!G40))+(COUNTIF('2 ZT'!$G$7:$G$50,TJM!G40))+(COUNTIF('GO TRANSPORT'!$G$7:$G$50,TJM!G40))+(COUNTIF('HMZ - KAIS'!$G$7:$G$50,TJM!G40))+(COUNTIF('IB TRANSPORT'!$G$7:$G$50,TJM!G40))+(COUNTIF(JSL!$G$7:$G$50,TJM!G40))+(COUNTIF(KIFAITOUT!$G$7:$G$50,TJM!G40))+(COUNTIF('LUXE DRIVE'!$G$7:$G$50,TJM!G40))+(COUNTIF(SSN!$G$7:$G$50,TJM!G40))+(COUNTIF(TJM!$G$7:$G$50,TJM!G40))+(COUNTIF('ATHIS MONS'!$G$7:$G$50,TJM!G40))+(COUNTIF('L HAY LES ROSES'!$G$7:$G$50,TJM!G40))+(COUNTIF(RUNGIS!$G$7:$G$50,TJM!G40))+(COUNTIF(SCEAUX!$G$7:$G$50,TJM!G40))+(COUNTIF('INSTANCE C1'!$G$7:$G$50,TJM!G40))+(COUNTIF('INSTANCE C2'!$G$7:$G$50,TJM!G40))+(COUNTIF(INTERNES!$G$7:$G$50,TJM!G40))+(COUNTIF('EN PANNE'!$G$7:$G$50,TJM!G40))-I40</f>
        <v>0</v>
      </c>
      <c r="I40" s="23">
        <f>(COUNTIF('2S EXPRESS'!$A$7:$A$50,TJM!G40))+(COUNTIF('2 ZT'!$A$7:$A$50,TJM!G40))+(COUNTIF('GO TRANSPORT'!$A$7:$A$50,TJM!G40))+(COUNTIF('HMZ - KAIS'!$A$7:$A$50,TJM!G40))+(COUNTIF('IB TRANSPORT'!$A$7:$A$50,TJM!G40))+(COUNTIF(JSL!$A$7:$A$50,TJM!G40))+(COUNTIF(KIFAITOUT!$A$7:$A$50,TJM!G40))+(COUNTIF('LUXE DRIVE'!$A$7:$A$50,TJM!G40))+(COUNTIF(SSN!$A$7:$A$50,TJM!G40))+(COUNTIF(TJM!$A$7:$A$50,TJM!G40))+(COUNTIF('ATHIS MONS'!$A$7:$A$50,TJM!G40))+(COUNTIF('L HAY LES ROSES'!$A$7:$A$50,TJM!G40))+(COUNTIF(RUNGIS!$A$7:$A$50,TJM!G40))+(COUNTIF(SCEAUX!$A$7:$A$50,TJM!G40))+(COUNTIF('INSTANCE C1'!$A$7:$A$50,TJM!G40))+(COUNTIF('INSTANCE C2'!$A$7:$A$50,TJM!G40))+(COUNTIF(INTERNES!$A$7:$A$50,TJM!G40))+(COUNTIF('EN PANNE'!$A$7:$A$50,TJM!G40))</f>
        <v>0</v>
      </c>
      <c r="J40" s="28">
        <f t="shared" si="4"/>
        <v>0</v>
      </c>
      <c r="K40" s="2"/>
      <c r="L40" s="118"/>
      <c r="S40" s="60">
        <f t="shared" si="1"/>
        <v>0</v>
      </c>
      <c r="T40" s="67">
        <f t="shared" si="2"/>
        <v>0</v>
      </c>
    </row>
    <row r="41" spans="1:20" ht="24.95" customHeight="1" x14ac:dyDescent="0.2">
      <c r="A41" s="20"/>
      <c r="B41" s="23">
        <f>(COUNTIF('2S EXPRESS'!$A$7:$A$50,TJM!A41))+(COUNTIF('2 ZT'!$A$7:$A$50,TJM!A41))+(COUNTIF('GO TRANSPORT'!$A$7:$A$50,TJM!A41))+(COUNTIF('HMZ - KAIS'!$A$7:$A$50,TJM!A41))+(COUNTIF('IB TRANSPORT'!$A$7:$A$50,TJM!A41))+(COUNTIF(JSL!$A$7:$A$50,TJM!A41))+(COUNTIF(KIFAITOUT!$A$7:$A$50,TJM!A41))+(COUNTIF('LUXE DRIVE'!$A$7:$A$50,TJM!A41))+(COUNTIF(SSN!$A$7:$A$50,TJM!A41))+(COUNTIF(TJM!$A$7:$A$50,TJM!A41))+(COUNTIF('ATHIS MONS'!$A$7:$A$50,TJM!A41))+(COUNTIF('L HAY LES ROSES'!$A$7:$A$50,TJM!A41))+(COUNTIF(RUNGIS!$A$7:$A$50,TJM!A41))+(COUNTIF(SCEAUX!$A$7:$A$50,TJM!A41))+(COUNTIF('INSTANCE C1'!$A$7:$A$50,TJM!A41))+(COUNTIF('INSTANCE C2'!$A$7:$A$50,TJM!A41))+(COUNTIF(INTERNES!$A$7:$A$50,TJM!A41))+(COUNTIF('EN PANNE'!$A$7:$A$50,TJM!A41))-C41</f>
        <v>0</v>
      </c>
      <c r="C41" s="23">
        <f>(COUNTIF('2S EXPRESS'!$G$7:$G$50,TJM!A41))+(COUNTIF('2 ZT'!$G$7:$G$50,TJM!A41))+(COUNTIF('GO TRANSPORT'!$G$7:$G$50,TJM!A41))+(COUNTIF(TJM!$G$7:$G$50,TJM!A41))+(COUNTIF('IB TRANSPORT'!$G$7:$G$50,TJM!A41))+(COUNTIF(JSL!$G$7:$G$50,TJM!A41))+(COUNTIF(KIFAITOUT!$G$7:$G$50,TJM!A41))+(COUNTIF('LUXE DRIVE'!$G$7:$G$50,TJM!A41))+(COUNTIF(SSN!$G$7:$G$50,TJM!A41))+(COUNTIF(TJM!$G$7:$G$50,TJM!A41))+(COUNTIF('ATHIS MONS'!$G$7:$G$50,TJM!A41))+(COUNTIF('L HAY LES ROSES'!$G$7:$G$50,TJM!A41))+(COUNTIF(RUNGIS!$G$7:$G$50,TJM!A41))+(COUNTIF(SCEAUX!$G$7:$G$50,TJM!A41))+(COUNTIF('INSTANCE C1'!$G$7:$G$50,TJM!A41))+(COUNTIF('INSTANCE C2'!$G$7:$G$50,TJM!A41))+(COUNTIF(INTERNES!$G$7:$G$50,TJM!A41))+(COUNTIF('EN PANNE'!$G$7:$G$50,TJM!A41))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EXPRESS'!$G$7:$G$50,TJM!G41))+(COUNTIF('2 ZT'!$G$7:$G$50,TJM!G41))+(COUNTIF('GO TRANSPORT'!$G$7:$G$50,TJM!G41))+(COUNTIF('HMZ - KAIS'!$G$7:$G$50,TJM!G41))+(COUNTIF('IB TRANSPORT'!$G$7:$G$50,TJM!G41))+(COUNTIF(JSL!$G$7:$G$50,TJM!G41))+(COUNTIF(KIFAITOUT!$G$7:$G$50,TJM!G41))+(COUNTIF('LUXE DRIVE'!$G$7:$G$50,TJM!G41))+(COUNTIF(SSN!$G$7:$G$50,TJM!G41))+(COUNTIF(TJM!$G$7:$G$50,TJM!G41))+(COUNTIF('ATHIS MONS'!$G$7:$G$50,TJM!G41))+(COUNTIF('L HAY LES ROSES'!$G$7:$G$50,TJM!G41))+(COUNTIF(RUNGIS!$G$7:$G$50,TJM!G41))+(COUNTIF(SCEAUX!$G$7:$G$50,TJM!G41))+(COUNTIF('INSTANCE C1'!$G$7:$G$50,TJM!G41))+(COUNTIF('INSTANCE C2'!$G$7:$G$50,TJM!G41))+(COUNTIF(INTERNES!$G$7:$G$50,TJM!G41))+(COUNTIF('EN PANNE'!$G$7:$G$50,TJM!G41))-I41</f>
        <v>0</v>
      </c>
      <c r="I41" s="23">
        <f>(COUNTIF('2S EXPRESS'!$A$7:$A$50,TJM!G41))+(COUNTIF('2 ZT'!$A$7:$A$50,TJM!G41))+(COUNTIF('GO TRANSPORT'!$A$7:$A$50,TJM!G41))+(COUNTIF('HMZ - KAIS'!$A$7:$A$50,TJM!G41))+(COUNTIF('IB TRANSPORT'!$A$7:$A$50,TJM!G41))+(COUNTIF(JSL!$A$7:$A$50,TJM!G41))+(COUNTIF(KIFAITOUT!$A$7:$A$50,TJM!G41))+(COUNTIF('LUXE DRIVE'!$A$7:$A$50,TJM!G41))+(COUNTIF(SSN!$A$7:$A$50,TJM!G41))+(COUNTIF(TJM!$A$7:$A$50,TJM!G41))+(COUNTIF('ATHIS MONS'!$A$7:$A$50,TJM!G41))+(COUNTIF('L HAY LES ROSES'!$A$7:$A$50,TJM!G41))+(COUNTIF(RUNGIS!$A$7:$A$50,TJM!G41))+(COUNTIF(SCEAUX!$A$7:$A$50,TJM!G41))+(COUNTIF('INSTANCE C1'!$A$7:$A$50,TJM!G41))+(COUNTIF('INSTANCE C2'!$A$7:$A$50,TJM!G41))+(COUNTIF(INTERNES!$A$7:$A$50,TJM!G41))+(COUNTIF('EN PANNE'!$A$7:$A$50,TJM!G41))</f>
        <v>0</v>
      </c>
      <c r="J41" s="28">
        <f t="shared" si="4"/>
        <v>0</v>
      </c>
      <c r="K41" s="2"/>
      <c r="L41" s="118"/>
      <c r="S41" s="60">
        <f t="shared" si="1"/>
        <v>0</v>
      </c>
      <c r="T41" s="67">
        <f t="shared" si="2"/>
        <v>0</v>
      </c>
    </row>
    <row r="42" spans="1:20" ht="24.95" customHeight="1" x14ac:dyDescent="0.2">
      <c r="A42" s="20"/>
      <c r="B42" s="23">
        <f>(COUNTIF('2S EXPRESS'!$A$7:$A$50,TJM!A42))+(COUNTIF('2 ZT'!$A$7:$A$50,TJM!A42))+(COUNTIF('GO TRANSPORT'!$A$7:$A$50,TJM!A42))+(COUNTIF('HMZ - KAIS'!$A$7:$A$50,TJM!A42))+(COUNTIF('IB TRANSPORT'!$A$7:$A$50,TJM!A42))+(COUNTIF(JSL!$A$7:$A$50,TJM!A42))+(COUNTIF(KIFAITOUT!$A$7:$A$50,TJM!A42))+(COUNTIF('LUXE DRIVE'!$A$7:$A$50,TJM!A42))+(COUNTIF(SSN!$A$7:$A$50,TJM!A42))+(COUNTIF(TJM!$A$7:$A$50,TJM!A42))+(COUNTIF('ATHIS MONS'!$A$7:$A$50,TJM!A42))+(COUNTIF('L HAY LES ROSES'!$A$7:$A$50,TJM!A42))+(COUNTIF(RUNGIS!$A$7:$A$50,TJM!A42))+(COUNTIF(SCEAUX!$A$7:$A$50,TJM!A42))+(COUNTIF('INSTANCE C1'!$A$7:$A$50,TJM!A42))+(COUNTIF('INSTANCE C2'!$A$7:$A$50,TJM!A42))+(COUNTIF(INTERNES!$A$7:$A$50,TJM!A42))+(COUNTIF('EN PANNE'!$A$7:$A$50,TJM!A42))-C42</f>
        <v>0</v>
      </c>
      <c r="C42" s="23">
        <f>(COUNTIF('2S EXPRESS'!$G$7:$G$50,TJM!A42))+(COUNTIF('2 ZT'!$G$7:$G$50,TJM!A42))+(COUNTIF('GO TRANSPORT'!$G$7:$G$50,TJM!A42))+(COUNTIF(TJM!$G$7:$G$50,TJM!A42))+(COUNTIF('IB TRANSPORT'!$G$7:$G$50,TJM!A42))+(COUNTIF(JSL!$G$7:$G$50,TJM!A42))+(COUNTIF(KIFAITOUT!$G$7:$G$50,TJM!A42))+(COUNTIF('LUXE DRIVE'!$G$7:$G$50,TJM!A42))+(COUNTIF(SSN!$G$7:$G$50,TJM!A42))+(COUNTIF(TJM!$G$7:$G$50,TJM!A42))+(COUNTIF('ATHIS MONS'!$G$7:$G$50,TJM!A42))+(COUNTIF('L HAY LES ROSES'!$G$7:$G$50,TJM!A42))+(COUNTIF(RUNGIS!$G$7:$G$50,TJM!A42))+(COUNTIF(SCEAUX!$G$7:$G$50,TJM!A42))+(COUNTIF('INSTANCE C1'!$G$7:$G$50,TJM!A42))+(COUNTIF('INSTANCE C2'!$G$7:$G$50,TJM!A42))+(COUNTIF(INTERNES!$G$7:$G$50,TJM!A42))+(COUNTIF('EN PANNE'!$G$7:$G$50,TJM!A42))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EXPRESS'!$G$7:$G$50,TJM!G42))+(COUNTIF('2 ZT'!$G$7:$G$50,TJM!G42))+(COUNTIF('GO TRANSPORT'!$G$7:$G$50,TJM!G42))+(COUNTIF('HMZ - KAIS'!$G$7:$G$50,TJM!G42))+(COUNTIF('IB TRANSPORT'!$G$7:$G$50,TJM!G42))+(COUNTIF(JSL!$G$7:$G$50,TJM!G42))+(COUNTIF(KIFAITOUT!$G$7:$G$50,TJM!G42))+(COUNTIF('LUXE DRIVE'!$G$7:$G$50,TJM!G42))+(COUNTIF(SSN!$G$7:$G$50,TJM!G42))+(COUNTIF(TJM!$G$7:$G$50,TJM!G42))+(COUNTIF('ATHIS MONS'!$G$7:$G$50,TJM!G42))+(COUNTIF('L HAY LES ROSES'!$G$7:$G$50,TJM!G42))+(COUNTIF(RUNGIS!$G$7:$G$50,TJM!G42))+(COUNTIF(SCEAUX!$G$7:$G$50,TJM!G42))+(COUNTIF('INSTANCE C1'!$G$7:$G$50,TJM!G42))+(COUNTIF('INSTANCE C2'!$G$7:$G$50,TJM!G42))+(COUNTIF(INTERNES!$G$7:$G$50,TJM!G42))+(COUNTIF('EN PANNE'!$G$7:$G$50,TJM!G42))-I42</f>
        <v>0</v>
      </c>
      <c r="I42" s="23">
        <f>(COUNTIF('2S EXPRESS'!$A$7:$A$50,TJM!G42))+(COUNTIF('2 ZT'!$A$7:$A$50,TJM!G42))+(COUNTIF('GO TRANSPORT'!$A$7:$A$50,TJM!G42))+(COUNTIF('HMZ - KAIS'!$A$7:$A$50,TJM!G42))+(COUNTIF('IB TRANSPORT'!$A$7:$A$50,TJM!G42))+(COUNTIF(JSL!$A$7:$A$50,TJM!G42))+(COUNTIF(KIFAITOUT!$A$7:$A$50,TJM!G42))+(COUNTIF('LUXE DRIVE'!$A$7:$A$50,TJM!G42))+(COUNTIF(SSN!$A$7:$A$50,TJM!G42))+(COUNTIF(TJM!$A$7:$A$50,TJM!G42))+(COUNTIF('ATHIS MONS'!$A$7:$A$50,TJM!G42))+(COUNTIF('L HAY LES ROSES'!$A$7:$A$50,TJM!G42))+(COUNTIF(RUNGIS!$A$7:$A$50,TJM!G42))+(COUNTIF(SCEAUX!$A$7:$A$50,TJM!G42))+(COUNTIF('INSTANCE C1'!$A$7:$A$50,TJM!G42))+(COUNTIF('INSTANCE C2'!$A$7:$A$50,TJM!G42))+(COUNTIF(INTERNES!$A$7:$A$50,TJM!G42))+(COUNTIF('EN PANNE'!$A$7:$A$50,TJM!G42))</f>
        <v>0</v>
      </c>
      <c r="J42" s="28">
        <f t="shared" si="4"/>
        <v>0</v>
      </c>
      <c r="K42" s="2"/>
      <c r="L42" s="118"/>
      <c r="S42" s="60">
        <f t="shared" si="1"/>
        <v>0</v>
      </c>
      <c r="T42" s="67">
        <f t="shared" si="2"/>
        <v>0</v>
      </c>
    </row>
    <row r="43" spans="1:20" ht="24.95" customHeight="1" x14ac:dyDescent="0.2">
      <c r="A43" s="20"/>
      <c r="B43" s="23">
        <f>(COUNTIF('2S EXPRESS'!$A$7:$A$50,TJM!A43))+(COUNTIF('2 ZT'!$A$7:$A$50,TJM!A43))+(COUNTIF('GO TRANSPORT'!$A$7:$A$50,TJM!A43))+(COUNTIF('HMZ - KAIS'!$A$7:$A$50,TJM!A43))+(COUNTIF('IB TRANSPORT'!$A$7:$A$50,TJM!A43))+(COUNTIF(JSL!$A$7:$A$50,TJM!A43))+(COUNTIF(KIFAITOUT!$A$7:$A$50,TJM!A43))+(COUNTIF('LUXE DRIVE'!$A$7:$A$50,TJM!A43))+(COUNTIF(SSN!$A$7:$A$50,TJM!A43))+(COUNTIF(TJM!$A$7:$A$50,TJM!A43))+(COUNTIF('ATHIS MONS'!$A$7:$A$50,TJM!A43))+(COUNTIF('L HAY LES ROSES'!$A$7:$A$50,TJM!A43))+(COUNTIF(RUNGIS!$A$7:$A$50,TJM!A43))+(COUNTIF(SCEAUX!$A$7:$A$50,TJM!A43))+(COUNTIF('INSTANCE C1'!$A$7:$A$50,TJM!A43))+(COUNTIF('INSTANCE C2'!$A$7:$A$50,TJM!A43))+(COUNTIF(INTERNES!$A$7:$A$50,TJM!A43))+(COUNTIF('EN PANNE'!$A$7:$A$50,TJM!A43))-C43</f>
        <v>0</v>
      </c>
      <c r="C43" s="23">
        <f>(COUNTIF('2S EXPRESS'!$G$7:$G$50,TJM!A43))+(COUNTIF('2 ZT'!$G$7:$G$50,TJM!A43))+(COUNTIF('GO TRANSPORT'!$G$7:$G$50,TJM!A43))+(COUNTIF(TJM!$G$7:$G$50,TJM!A43))+(COUNTIF('IB TRANSPORT'!$G$7:$G$50,TJM!A43))+(COUNTIF(JSL!$G$7:$G$50,TJM!A43))+(COUNTIF(KIFAITOUT!$G$7:$G$50,TJM!A43))+(COUNTIF('LUXE DRIVE'!$G$7:$G$50,TJM!A43))+(COUNTIF(SSN!$G$7:$G$50,TJM!A43))+(COUNTIF(TJM!$G$7:$G$50,TJM!A43))+(COUNTIF('ATHIS MONS'!$G$7:$G$50,TJM!A43))+(COUNTIF('L HAY LES ROSES'!$G$7:$G$50,TJM!A43))+(COUNTIF(RUNGIS!$G$7:$G$50,TJM!A43))+(COUNTIF(SCEAUX!$G$7:$G$50,TJM!A43))+(COUNTIF('INSTANCE C1'!$G$7:$G$50,TJM!A43))+(COUNTIF('INSTANCE C2'!$G$7:$G$50,TJM!A43))+(COUNTIF(INTERNES!$G$7:$G$50,TJM!A43))+(COUNTIF('EN PANNE'!$G$7:$G$50,TJM!A43))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EXPRESS'!$G$7:$G$50,TJM!G43))+(COUNTIF('2 ZT'!$G$7:$G$50,TJM!G43))+(COUNTIF('GO TRANSPORT'!$G$7:$G$50,TJM!G43))+(COUNTIF('HMZ - KAIS'!$G$7:$G$50,TJM!G43))+(COUNTIF('IB TRANSPORT'!$G$7:$G$50,TJM!G43))+(COUNTIF(JSL!$G$7:$G$50,TJM!G43))+(COUNTIF(KIFAITOUT!$G$7:$G$50,TJM!G43))+(COUNTIF('LUXE DRIVE'!$G$7:$G$50,TJM!G43))+(COUNTIF(SSN!$G$7:$G$50,TJM!G43))+(COUNTIF(TJM!$G$7:$G$50,TJM!G43))+(COUNTIF('ATHIS MONS'!$G$7:$G$50,TJM!G43))+(COUNTIF('L HAY LES ROSES'!$G$7:$G$50,TJM!G43))+(COUNTIF(RUNGIS!$G$7:$G$50,TJM!G43))+(COUNTIF(SCEAUX!$G$7:$G$50,TJM!G43))+(COUNTIF('INSTANCE C1'!$G$7:$G$50,TJM!G43))+(COUNTIF('INSTANCE C2'!$G$7:$G$50,TJM!G43))+(COUNTIF(INTERNES!$G$7:$G$50,TJM!G43))+(COUNTIF('EN PANNE'!$G$7:$G$50,TJM!G43))-I43</f>
        <v>0</v>
      </c>
      <c r="I43" s="23">
        <f>(COUNTIF('2S EXPRESS'!$A$7:$A$50,TJM!G43))+(COUNTIF('2 ZT'!$A$7:$A$50,TJM!G43))+(COUNTIF('GO TRANSPORT'!$A$7:$A$50,TJM!G43))+(COUNTIF('HMZ - KAIS'!$A$7:$A$50,TJM!G43))+(COUNTIF('IB TRANSPORT'!$A$7:$A$50,TJM!G43))+(COUNTIF(JSL!$A$7:$A$50,TJM!G43))+(COUNTIF(KIFAITOUT!$A$7:$A$50,TJM!G43))+(COUNTIF('LUXE DRIVE'!$A$7:$A$50,TJM!G43))+(COUNTIF(SSN!$A$7:$A$50,TJM!G43))+(COUNTIF(TJM!$A$7:$A$50,TJM!G43))+(COUNTIF('ATHIS MONS'!$A$7:$A$50,TJM!G43))+(COUNTIF('L HAY LES ROSES'!$A$7:$A$50,TJM!G43))+(COUNTIF(RUNGIS!$A$7:$A$50,TJM!G43))+(COUNTIF(SCEAUX!$A$7:$A$50,TJM!G43))+(COUNTIF('INSTANCE C1'!$A$7:$A$50,TJM!G43))+(COUNTIF('INSTANCE C2'!$A$7:$A$50,TJM!G43))+(COUNTIF(INTERNES!$A$7:$A$50,TJM!G43))+(COUNTIF('EN PANNE'!$A$7:$A$50,TJM!G43))</f>
        <v>0</v>
      </c>
      <c r="J43" s="28">
        <f t="shared" si="4"/>
        <v>0</v>
      </c>
      <c r="K43" s="2"/>
      <c r="L43" s="118"/>
      <c r="S43" s="60">
        <f t="shared" si="1"/>
        <v>0</v>
      </c>
      <c r="T43" s="67">
        <f t="shared" si="2"/>
        <v>0</v>
      </c>
    </row>
    <row r="44" spans="1:20" ht="24.95" customHeight="1" x14ac:dyDescent="0.2">
      <c r="A44" s="20"/>
      <c r="B44" s="23">
        <f>(COUNTIF('2S EXPRESS'!$A$7:$A$50,TJM!A44))+(COUNTIF('2 ZT'!$A$7:$A$50,TJM!A44))+(COUNTIF('GO TRANSPORT'!$A$7:$A$50,TJM!A44))+(COUNTIF('HMZ - KAIS'!$A$7:$A$50,TJM!A44))+(COUNTIF('IB TRANSPORT'!$A$7:$A$50,TJM!A44))+(COUNTIF(JSL!$A$7:$A$50,TJM!A44))+(COUNTIF(KIFAITOUT!$A$7:$A$50,TJM!A44))+(COUNTIF('LUXE DRIVE'!$A$7:$A$50,TJM!A44))+(COUNTIF(SSN!$A$7:$A$50,TJM!A44))+(COUNTIF(TJM!$A$7:$A$50,TJM!A44))+(COUNTIF('ATHIS MONS'!$A$7:$A$50,TJM!A44))+(COUNTIF('L HAY LES ROSES'!$A$7:$A$50,TJM!A44))+(COUNTIF(RUNGIS!$A$7:$A$50,TJM!A44))+(COUNTIF(SCEAUX!$A$7:$A$50,TJM!A44))+(COUNTIF('INSTANCE C1'!$A$7:$A$50,TJM!A44))+(COUNTIF('INSTANCE C2'!$A$7:$A$50,TJM!A44))+(COUNTIF(INTERNES!$A$7:$A$50,TJM!A44))+(COUNTIF('EN PANNE'!$A$7:$A$50,TJM!A44))-C44</f>
        <v>0</v>
      </c>
      <c r="C44" s="23">
        <f>(COUNTIF('2S EXPRESS'!$G$7:$G$50,TJM!A44))+(COUNTIF('2 ZT'!$G$7:$G$50,TJM!A44))+(COUNTIF('GO TRANSPORT'!$G$7:$G$50,TJM!A44))+(COUNTIF(TJM!$G$7:$G$50,TJM!A44))+(COUNTIF('IB TRANSPORT'!$G$7:$G$50,TJM!A44))+(COUNTIF(JSL!$G$7:$G$50,TJM!A44))+(COUNTIF(KIFAITOUT!$G$7:$G$50,TJM!A44))+(COUNTIF('LUXE DRIVE'!$G$7:$G$50,TJM!A44))+(COUNTIF(SSN!$G$7:$G$50,TJM!A44))+(COUNTIF(TJM!$G$7:$G$50,TJM!A44))+(COUNTIF('ATHIS MONS'!$G$7:$G$50,TJM!A44))+(COUNTIF('L HAY LES ROSES'!$G$7:$G$50,TJM!A44))+(COUNTIF(RUNGIS!$G$7:$G$50,TJM!A44))+(COUNTIF(SCEAUX!$G$7:$G$50,TJM!A44))+(COUNTIF('INSTANCE C1'!$G$7:$G$50,TJM!A44))+(COUNTIF('INSTANCE C2'!$G$7:$G$50,TJM!A44))+(COUNTIF(INTERNES!$G$7:$G$50,TJM!A44))+(COUNTIF('EN PANNE'!$G$7:$G$50,TJM!A44))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EXPRESS'!$G$7:$G$50,TJM!G44))+(COUNTIF('2 ZT'!$G$7:$G$50,TJM!G44))+(COUNTIF('GO TRANSPORT'!$G$7:$G$50,TJM!G44))+(COUNTIF('HMZ - KAIS'!$G$7:$G$50,TJM!G44))+(COUNTIF('IB TRANSPORT'!$G$7:$G$50,TJM!G44))+(COUNTIF(JSL!$G$7:$G$50,TJM!G44))+(COUNTIF(KIFAITOUT!$G$7:$G$50,TJM!G44))+(COUNTIF('LUXE DRIVE'!$G$7:$G$50,TJM!G44))+(COUNTIF(SSN!$G$7:$G$50,TJM!G44))+(COUNTIF(TJM!$G$7:$G$50,TJM!G44))+(COUNTIF('ATHIS MONS'!$G$7:$G$50,TJM!G44))+(COUNTIF('L HAY LES ROSES'!$G$7:$G$50,TJM!G44))+(COUNTIF(RUNGIS!$G$7:$G$50,TJM!G44))+(COUNTIF(SCEAUX!$G$7:$G$50,TJM!G44))+(COUNTIF('INSTANCE C1'!$G$7:$G$50,TJM!G44))+(COUNTIF('INSTANCE C2'!$G$7:$G$50,TJM!G44))+(COUNTIF(INTERNES!$G$7:$G$50,TJM!G44))+(COUNTIF('EN PANNE'!$G$7:$G$50,TJM!G44))-I44</f>
        <v>0</v>
      </c>
      <c r="I44" s="23">
        <f>(COUNTIF('2S EXPRESS'!$A$7:$A$50,TJM!G44))+(COUNTIF('2 ZT'!$A$7:$A$50,TJM!G44))+(COUNTIF('GO TRANSPORT'!$A$7:$A$50,TJM!G44))+(COUNTIF('HMZ - KAIS'!$A$7:$A$50,TJM!G44))+(COUNTIF('IB TRANSPORT'!$A$7:$A$50,TJM!G44))+(COUNTIF(JSL!$A$7:$A$50,TJM!G44))+(COUNTIF(KIFAITOUT!$A$7:$A$50,TJM!G44))+(COUNTIF('LUXE DRIVE'!$A$7:$A$50,TJM!G44))+(COUNTIF(SSN!$A$7:$A$50,TJM!G44))+(COUNTIF(TJM!$A$7:$A$50,TJM!G44))+(COUNTIF('ATHIS MONS'!$A$7:$A$50,TJM!G44))+(COUNTIF('L HAY LES ROSES'!$A$7:$A$50,TJM!G44))+(COUNTIF(RUNGIS!$A$7:$A$50,TJM!G44))+(COUNTIF(SCEAUX!$A$7:$A$50,TJM!G44))+(COUNTIF('INSTANCE C1'!$A$7:$A$50,TJM!G44))+(COUNTIF('INSTANCE C2'!$A$7:$A$50,TJM!G44))+(COUNTIF(INTERNES!$A$7:$A$50,TJM!G44))+(COUNTIF('EN PANNE'!$A$7:$A$50,TJM!G44))</f>
        <v>0</v>
      </c>
      <c r="J44" s="28">
        <f t="shared" si="4"/>
        <v>0</v>
      </c>
      <c r="K44" s="2"/>
      <c r="L44" s="118"/>
      <c r="S44" s="60">
        <f t="shared" si="1"/>
        <v>0</v>
      </c>
      <c r="T44" s="67">
        <f t="shared" si="2"/>
        <v>0</v>
      </c>
    </row>
    <row r="45" spans="1:20" ht="24.95" customHeight="1" x14ac:dyDescent="0.2">
      <c r="A45" s="20"/>
      <c r="B45" s="23">
        <f>(COUNTIF('2S EXPRESS'!$A$7:$A$50,TJM!A45))+(COUNTIF('2 ZT'!$A$7:$A$50,TJM!A45))+(COUNTIF('GO TRANSPORT'!$A$7:$A$50,TJM!A45))+(COUNTIF('HMZ - KAIS'!$A$7:$A$50,TJM!A45))+(COUNTIF('IB TRANSPORT'!$A$7:$A$50,TJM!A45))+(COUNTIF(JSL!$A$7:$A$50,TJM!A45))+(COUNTIF(KIFAITOUT!$A$7:$A$50,TJM!A45))+(COUNTIF('LUXE DRIVE'!$A$7:$A$50,TJM!A45))+(COUNTIF(SSN!$A$7:$A$50,TJM!A45))+(COUNTIF(TJM!$A$7:$A$50,TJM!A45))+(COUNTIF('ATHIS MONS'!$A$7:$A$50,TJM!A45))+(COUNTIF('L HAY LES ROSES'!$A$7:$A$50,TJM!A45))+(COUNTIF(RUNGIS!$A$7:$A$50,TJM!A45))+(COUNTIF(SCEAUX!$A$7:$A$50,TJM!A45))+(COUNTIF('INSTANCE C1'!$A$7:$A$50,TJM!A45))+(COUNTIF('INSTANCE C2'!$A$7:$A$50,TJM!A45))+(COUNTIF(INTERNES!$A$7:$A$50,TJM!A45))+(COUNTIF('EN PANNE'!$A$7:$A$50,TJM!A45))-C45</f>
        <v>0</v>
      </c>
      <c r="C45" s="23">
        <f>(COUNTIF('2S EXPRESS'!$G$7:$G$50,TJM!A45))+(COUNTIF('2 ZT'!$G$7:$G$50,TJM!A45))+(COUNTIF('GO TRANSPORT'!$G$7:$G$50,TJM!A45))+(COUNTIF(TJM!$G$7:$G$50,TJM!A45))+(COUNTIF('IB TRANSPORT'!$G$7:$G$50,TJM!A45))+(COUNTIF(JSL!$G$7:$G$50,TJM!A45))+(COUNTIF(KIFAITOUT!$G$7:$G$50,TJM!A45))+(COUNTIF('LUXE DRIVE'!$G$7:$G$50,TJM!A45))+(COUNTIF(SSN!$G$7:$G$50,TJM!A45))+(COUNTIF(TJM!$G$7:$G$50,TJM!A45))+(COUNTIF('ATHIS MONS'!$G$7:$G$50,TJM!A45))+(COUNTIF('L HAY LES ROSES'!$G$7:$G$50,TJM!A45))+(COUNTIF(RUNGIS!$G$7:$G$50,TJM!A45))+(COUNTIF(SCEAUX!$G$7:$G$50,TJM!A45))+(COUNTIF('INSTANCE C1'!$G$7:$G$50,TJM!A45))+(COUNTIF('INSTANCE C2'!$G$7:$G$50,TJM!A45))+(COUNTIF(INTERNES!$G$7:$G$50,TJM!A45))+(COUNTIF('EN PANNE'!$G$7:$G$50,TJM!A45))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EXPRESS'!$G$7:$G$50,TJM!G45))+(COUNTIF('2 ZT'!$G$7:$G$50,TJM!G45))+(COUNTIF('GO TRANSPORT'!$G$7:$G$50,TJM!G45))+(COUNTIF('HMZ - KAIS'!$G$7:$G$50,TJM!G45))+(COUNTIF('IB TRANSPORT'!$G$7:$G$50,TJM!G45))+(COUNTIF(JSL!$G$7:$G$50,TJM!G45))+(COUNTIF(KIFAITOUT!$G$7:$G$50,TJM!G45))+(COUNTIF('LUXE DRIVE'!$G$7:$G$50,TJM!G45))+(COUNTIF(SSN!$G$7:$G$50,TJM!G45))+(COUNTIF(TJM!$G$7:$G$50,TJM!G45))+(COUNTIF('ATHIS MONS'!$G$7:$G$50,TJM!G45))+(COUNTIF('L HAY LES ROSES'!$G$7:$G$50,TJM!G45))+(COUNTIF(RUNGIS!$G$7:$G$50,TJM!G45))+(COUNTIF(SCEAUX!$G$7:$G$50,TJM!G45))+(COUNTIF('INSTANCE C1'!$G$7:$G$50,TJM!G45))+(COUNTIF('INSTANCE C2'!$G$7:$G$50,TJM!G45))+(COUNTIF(INTERNES!$G$7:$G$50,TJM!G45))+(COUNTIF('EN PANNE'!$G$7:$G$50,TJM!G45))-I45</f>
        <v>0</v>
      </c>
      <c r="I45" s="23">
        <f>(COUNTIF('2S EXPRESS'!$A$7:$A$50,TJM!G45))+(COUNTIF('2 ZT'!$A$7:$A$50,TJM!G45))+(COUNTIF('GO TRANSPORT'!$A$7:$A$50,TJM!G45))+(COUNTIF('HMZ - KAIS'!$A$7:$A$50,TJM!G45))+(COUNTIF('IB TRANSPORT'!$A$7:$A$50,TJM!G45))+(COUNTIF(JSL!$A$7:$A$50,TJM!G45))+(COUNTIF(KIFAITOUT!$A$7:$A$50,TJM!G45))+(COUNTIF('LUXE DRIVE'!$A$7:$A$50,TJM!G45))+(COUNTIF(SSN!$A$7:$A$50,TJM!G45))+(COUNTIF(TJM!$A$7:$A$50,TJM!G45))+(COUNTIF('ATHIS MONS'!$A$7:$A$50,TJM!G45))+(COUNTIF('L HAY LES ROSES'!$A$7:$A$50,TJM!G45))+(COUNTIF(RUNGIS!$A$7:$A$50,TJM!G45))+(COUNTIF(SCEAUX!$A$7:$A$50,TJM!G45))+(COUNTIF('INSTANCE C1'!$A$7:$A$50,TJM!G45))+(COUNTIF('INSTANCE C2'!$A$7:$A$50,TJM!G45))+(COUNTIF(INTERNES!$A$7:$A$50,TJM!G45))+(COUNTIF('EN PANNE'!$A$7:$A$50,TJM!G45))</f>
        <v>0</v>
      </c>
      <c r="J45" s="28">
        <f t="shared" si="4"/>
        <v>0</v>
      </c>
      <c r="K45" s="2"/>
      <c r="L45" s="118"/>
      <c r="S45" s="60">
        <f t="shared" si="1"/>
        <v>0</v>
      </c>
      <c r="T45" s="67">
        <f t="shared" si="2"/>
        <v>0</v>
      </c>
    </row>
    <row r="46" spans="1:20" ht="24.95" customHeight="1" x14ac:dyDescent="0.2">
      <c r="A46" s="20"/>
      <c r="B46" s="23">
        <f>(COUNTIF('2S EXPRESS'!$A$7:$A$50,TJM!A46))+(COUNTIF('2 ZT'!$A$7:$A$50,TJM!A46))+(COUNTIF('GO TRANSPORT'!$A$7:$A$50,TJM!A46))+(COUNTIF('HMZ - KAIS'!$A$7:$A$50,TJM!A46))+(COUNTIF('IB TRANSPORT'!$A$7:$A$50,TJM!A46))+(COUNTIF(JSL!$A$7:$A$50,TJM!A46))+(COUNTIF(KIFAITOUT!$A$7:$A$50,TJM!A46))+(COUNTIF('LUXE DRIVE'!$A$7:$A$50,TJM!A46))+(COUNTIF(SSN!$A$7:$A$50,TJM!A46))+(COUNTIF(TJM!$A$7:$A$50,TJM!A46))+(COUNTIF('ATHIS MONS'!$A$7:$A$50,TJM!A46))+(COUNTIF('L HAY LES ROSES'!$A$7:$A$50,TJM!A46))+(COUNTIF(RUNGIS!$A$7:$A$50,TJM!A46))+(COUNTIF(SCEAUX!$A$7:$A$50,TJM!A46))+(COUNTIF('INSTANCE C1'!$A$7:$A$50,TJM!A46))+(COUNTIF('INSTANCE C2'!$A$7:$A$50,TJM!A46))+(COUNTIF(INTERNES!$A$7:$A$50,TJM!A46))+(COUNTIF('EN PANNE'!$A$7:$A$50,TJM!A46))-C46</f>
        <v>0</v>
      </c>
      <c r="C46" s="23">
        <f>(COUNTIF('2S EXPRESS'!$G$7:$G$50,TJM!A46))+(COUNTIF('2 ZT'!$G$7:$G$50,TJM!A46))+(COUNTIF('GO TRANSPORT'!$G$7:$G$50,TJM!A46))+(COUNTIF(TJM!$G$7:$G$50,TJM!A46))+(COUNTIF('IB TRANSPORT'!$G$7:$G$50,TJM!A46))+(COUNTIF(JSL!$G$7:$G$50,TJM!A46))+(COUNTIF(KIFAITOUT!$G$7:$G$50,TJM!A46))+(COUNTIF('LUXE DRIVE'!$G$7:$G$50,TJM!A46))+(COUNTIF(SSN!$G$7:$G$50,TJM!A46))+(COUNTIF(TJM!$G$7:$G$50,TJM!A46))+(COUNTIF('ATHIS MONS'!$G$7:$G$50,TJM!A46))+(COUNTIF('L HAY LES ROSES'!$G$7:$G$50,TJM!A46))+(COUNTIF(RUNGIS!$G$7:$G$50,TJM!A46))+(COUNTIF(SCEAUX!$G$7:$G$50,TJM!A46))+(COUNTIF('INSTANCE C1'!$G$7:$G$50,TJM!A46))+(COUNTIF('INSTANCE C2'!$G$7:$G$50,TJM!A46))+(COUNTIF(INTERNES!$G$7:$G$50,TJM!A46))+(COUNTIF('EN PANNE'!$G$7:$G$50,TJM!A46))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EXPRESS'!$G$7:$G$50,TJM!G46))+(COUNTIF('2 ZT'!$G$7:$G$50,TJM!G46))+(COUNTIF('GO TRANSPORT'!$G$7:$G$50,TJM!G46))+(COUNTIF('HMZ - KAIS'!$G$7:$G$50,TJM!G46))+(COUNTIF('IB TRANSPORT'!$G$7:$G$50,TJM!G46))+(COUNTIF(JSL!$G$7:$G$50,TJM!G46))+(COUNTIF(KIFAITOUT!$G$7:$G$50,TJM!G46))+(COUNTIF('LUXE DRIVE'!$G$7:$G$50,TJM!G46))+(COUNTIF(SSN!$G$7:$G$50,TJM!G46))+(COUNTIF(TJM!$G$7:$G$50,TJM!G46))+(COUNTIF('ATHIS MONS'!$G$7:$G$50,TJM!G46))+(COUNTIF('L HAY LES ROSES'!$G$7:$G$50,TJM!G46))+(COUNTIF(RUNGIS!$G$7:$G$50,TJM!G46))+(COUNTIF(SCEAUX!$G$7:$G$50,TJM!G46))+(COUNTIF('INSTANCE C1'!$G$7:$G$50,TJM!G46))+(COUNTIF('INSTANCE C2'!$G$7:$G$50,TJM!G46))+(COUNTIF(INTERNES!$G$7:$G$50,TJM!G46))+(COUNTIF('EN PANNE'!$G$7:$G$50,TJM!G46))-I46</f>
        <v>0</v>
      </c>
      <c r="I46" s="23">
        <f>(COUNTIF('2S EXPRESS'!$A$7:$A$50,TJM!G46))+(COUNTIF('2 ZT'!$A$7:$A$50,TJM!G46))+(COUNTIF('GO TRANSPORT'!$A$7:$A$50,TJM!G46))+(COUNTIF('HMZ - KAIS'!$A$7:$A$50,TJM!G46))+(COUNTIF('IB TRANSPORT'!$A$7:$A$50,TJM!G46))+(COUNTIF(JSL!$A$7:$A$50,TJM!G46))+(COUNTIF(KIFAITOUT!$A$7:$A$50,TJM!G46))+(COUNTIF('LUXE DRIVE'!$A$7:$A$50,TJM!G46))+(COUNTIF(SSN!$A$7:$A$50,TJM!G46))+(COUNTIF(TJM!$A$7:$A$50,TJM!G46))+(COUNTIF('ATHIS MONS'!$A$7:$A$50,TJM!G46))+(COUNTIF('L HAY LES ROSES'!$A$7:$A$50,TJM!G46))+(COUNTIF(RUNGIS!$A$7:$A$50,TJM!G46))+(COUNTIF(SCEAUX!$A$7:$A$50,TJM!G46))+(COUNTIF('INSTANCE C1'!$A$7:$A$50,TJM!G46))+(COUNTIF('INSTANCE C2'!$A$7:$A$50,TJM!G46))+(COUNTIF(INTERNES!$A$7:$A$50,TJM!G46))+(COUNTIF('EN PANNE'!$A$7:$A$50,TJM!G46))</f>
        <v>0</v>
      </c>
      <c r="J46" s="28">
        <f t="shared" si="4"/>
        <v>0</v>
      </c>
      <c r="K46" s="2"/>
      <c r="L46" s="118"/>
      <c r="S46" s="60">
        <f t="shared" si="1"/>
        <v>0</v>
      </c>
      <c r="T46" s="67">
        <f t="shared" si="2"/>
        <v>0</v>
      </c>
    </row>
    <row r="47" spans="1:20" ht="24.95" customHeight="1" x14ac:dyDescent="0.2">
      <c r="A47" s="20"/>
      <c r="B47" s="23">
        <f>(COUNTIF('2S EXPRESS'!$A$7:$A$50,TJM!A47))+(COUNTIF('2 ZT'!$A$7:$A$50,TJM!A47))+(COUNTIF('GO TRANSPORT'!$A$7:$A$50,TJM!A47))+(COUNTIF('HMZ - KAIS'!$A$7:$A$50,TJM!A47))+(COUNTIF('IB TRANSPORT'!$A$7:$A$50,TJM!A47))+(COUNTIF(JSL!$A$7:$A$50,TJM!A47))+(COUNTIF(KIFAITOUT!$A$7:$A$50,TJM!A47))+(COUNTIF('LUXE DRIVE'!$A$7:$A$50,TJM!A47))+(COUNTIF(SSN!$A$7:$A$50,TJM!A47))+(COUNTIF(TJM!$A$7:$A$50,TJM!A47))+(COUNTIF('ATHIS MONS'!$A$7:$A$50,TJM!A47))+(COUNTIF('L HAY LES ROSES'!$A$7:$A$50,TJM!A47))+(COUNTIF(RUNGIS!$A$7:$A$50,TJM!A47))+(COUNTIF(SCEAUX!$A$7:$A$50,TJM!A47))+(COUNTIF('INSTANCE C1'!$A$7:$A$50,TJM!A47))+(COUNTIF('INSTANCE C2'!$A$7:$A$50,TJM!A47))+(COUNTIF(INTERNES!$A$7:$A$50,TJM!A47))+(COUNTIF('EN PANNE'!$A$7:$A$50,TJM!A47))-C47</f>
        <v>0</v>
      </c>
      <c r="C47" s="23">
        <f>(COUNTIF('2S EXPRESS'!$G$7:$G$50,TJM!A47))+(COUNTIF('2 ZT'!$G$7:$G$50,TJM!A47))+(COUNTIF('GO TRANSPORT'!$G$7:$G$50,TJM!A47))+(COUNTIF(TJM!$G$7:$G$50,TJM!A47))+(COUNTIF('IB TRANSPORT'!$G$7:$G$50,TJM!A47))+(COUNTIF(JSL!$G$7:$G$50,TJM!A47))+(COUNTIF(KIFAITOUT!$G$7:$G$50,TJM!A47))+(COUNTIF('LUXE DRIVE'!$G$7:$G$50,TJM!A47))+(COUNTIF(SSN!$G$7:$G$50,TJM!A47))+(COUNTIF(TJM!$G$7:$G$50,TJM!A47))+(COUNTIF('ATHIS MONS'!$G$7:$G$50,TJM!A47))+(COUNTIF('L HAY LES ROSES'!$G$7:$G$50,TJM!A47))+(COUNTIF(RUNGIS!$G$7:$G$50,TJM!A47))+(COUNTIF(SCEAUX!$G$7:$G$50,TJM!A47))+(COUNTIF('INSTANCE C1'!$G$7:$G$50,TJM!A47))+(COUNTIF('INSTANCE C2'!$G$7:$G$50,TJM!A47))+(COUNTIF(INTERNES!$G$7:$G$50,TJM!A47))+(COUNTIF('EN PANNE'!$G$7:$G$50,TJM!A47))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EXPRESS'!$G$7:$G$50,TJM!G47))+(COUNTIF('2 ZT'!$G$7:$G$50,TJM!G47))+(COUNTIF('GO TRANSPORT'!$G$7:$G$50,TJM!G47))+(COUNTIF('HMZ - KAIS'!$G$7:$G$50,TJM!G47))+(COUNTIF('IB TRANSPORT'!$G$7:$G$50,TJM!G47))+(COUNTIF(JSL!$G$7:$G$50,TJM!G47))+(COUNTIF(KIFAITOUT!$G$7:$G$50,TJM!G47))+(COUNTIF('LUXE DRIVE'!$G$7:$G$50,TJM!G47))+(COUNTIF(SSN!$G$7:$G$50,TJM!G47))+(COUNTIF(TJM!$G$7:$G$50,TJM!G47))+(COUNTIF('ATHIS MONS'!$G$7:$G$50,TJM!G47))+(COUNTIF('L HAY LES ROSES'!$G$7:$G$50,TJM!G47))+(COUNTIF(RUNGIS!$G$7:$G$50,TJM!G47))+(COUNTIF(SCEAUX!$G$7:$G$50,TJM!G47))+(COUNTIF('INSTANCE C1'!$G$7:$G$50,TJM!G47))+(COUNTIF('INSTANCE C2'!$G$7:$G$50,TJM!G47))+(COUNTIF(INTERNES!$G$7:$G$50,TJM!G47))+(COUNTIF('EN PANNE'!$G$7:$G$50,TJM!G47))-I47</f>
        <v>0</v>
      </c>
      <c r="I47" s="23">
        <f>(COUNTIF('2S EXPRESS'!$A$7:$A$50,TJM!G47))+(COUNTIF('2 ZT'!$A$7:$A$50,TJM!G47))+(COUNTIF('GO TRANSPORT'!$A$7:$A$50,TJM!G47))+(COUNTIF('HMZ - KAIS'!$A$7:$A$50,TJM!G47))+(COUNTIF('IB TRANSPORT'!$A$7:$A$50,TJM!G47))+(COUNTIF(JSL!$A$7:$A$50,TJM!G47))+(COUNTIF(KIFAITOUT!$A$7:$A$50,TJM!G47))+(COUNTIF('LUXE DRIVE'!$A$7:$A$50,TJM!G47))+(COUNTIF(SSN!$A$7:$A$50,TJM!G47))+(COUNTIF(TJM!$A$7:$A$50,TJM!G47))+(COUNTIF('ATHIS MONS'!$A$7:$A$50,TJM!G47))+(COUNTIF('L HAY LES ROSES'!$A$7:$A$50,TJM!G47))+(COUNTIF(RUNGIS!$A$7:$A$50,TJM!G47))+(COUNTIF(SCEAUX!$A$7:$A$50,TJM!G47))+(COUNTIF('INSTANCE C1'!$A$7:$A$50,TJM!G47))+(COUNTIF('INSTANCE C2'!$A$7:$A$50,TJM!G47))+(COUNTIF(INTERNES!$A$7:$A$50,TJM!G47))+(COUNTIF('EN PANNE'!$A$7:$A$50,TJM!G47))</f>
        <v>0</v>
      </c>
      <c r="J47" s="28">
        <f t="shared" si="4"/>
        <v>0</v>
      </c>
      <c r="K47" s="2"/>
      <c r="L47" s="118"/>
      <c r="S47" s="60">
        <f t="shared" si="1"/>
        <v>0</v>
      </c>
      <c r="T47" s="67">
        <f t="shared" si="2"/>
        <v>0</v>
      </c>
    </row>
    <row r="48" spans="1:20" ht="24.95" customHeight="1" x14ac:dyDescent="0.2">
      <c r="A48" s="20"/>
      <c r="B48" s="23">
        <f>(COUNTIF('2S EXPRESS'!$A$7:$A$50,TJM!A48))+(COUNTIF('2 ZT'!$A$7:$A$50,TJM!A48))+(COUNTIF('GO TRANSPORT'!$A$7:$A$50,TJM!A48))+(COUNTIF('HMZ - KAIS'!$A$7:$A$50,TJM!A48))+(COUNTIF('IB TRANSPORT'!$A$7:$A$50,TJM!A48))+(COUNTIF(JSL!$A$7:$A$50,TJM!A48))+(COUNTIF(KIFAITOUT!$A$7:$A$50,TJM!A48))+(COUNTIF('LUXE DRIVE'!$A$7:$A$50,TJM!A48))+(COUNTIF(SSN!$A$7:$A$50,TJM!A48))+(COUNTIF(TJM!$A$7:$A$50,TJM!A48))+(COUNTIF('ATHIS MONS'!$A$7:$A$50,TJM!A48))+(COUNTIF('L HAY LES ROSES'!$A$7:$A$50,TJM!A48))+(COUNTIF(RUNGIS!$A$7:$A$50,TJM!A48))+(COUNTIF(SCEAUX!$A$7:$A$50,TJM!A48))+(COUNTIF('INSTANCE C1'!$A$7:$A$50,TJM!A48))+(COUNTIF('INSTANCE C2'!$A$7:$A$50,TJM!A48))+(COUNTIF(INTERNES!$A$7:$A$50,TJM!A48))+(COUNTIF('EN PANNE'!$A$7:$A$50,TJM!A48))-C48</f>
        <v>0</v>
      </c>
      <c r="C48" s="23">
        <f>(COUNTIF('2S EXPRESS'!$G$7:$G$50,TJM!A48))+(COUNTIF('2 ZT'!$G$7:$G$50,TJM!A48))+(COUNTIF('GO TRANSPORT'!$G$7:$G$50,TJM!A48))+(COUNTIF(TJM!$G$7:$G$50,TJM!A48))+(COUNTIF('IB TRANSPORT'!$G$7:$G$50,TJM!A48))+(COUNTIF(JSL!$G$7:$G$50,TJM!A48))+(COUNTIF(KIFAITOUT!$G$7:$G$50,TJM!A48))+(COUNTIF('LUXE DRIVE'!$G$7:$G$50,TJM!A48))+(COUNTIF(SSN!$G$7:$G$50,TJM!A48))+(COUNTIF(TJM!$G$7:$G$50,TJM!A48))+(COUNTIF('ATHIS MONS'!$G$7:$G$50,TJM!A48))+(COUNTIF('L HAY LES ROSES'!$G$7:$G$50,TJM!A48))+(COUNTIF(RUNGIS!$G$7:$G$50,TJM!A48))+(COUNTIF(SCEAUX!$G$7:$G$50,TJM!A48))+(COUNTIF('INSTANCE C1'!$G$7:$G$50,TJM!A48))+(COUNTIF('INSTANCE C2'!$G$7:$G$50,TJM!A48))+(COUNTIF(INTERNES!$G$7:$G$50,TJM!A48))+(COUNTIF('EN PANNE'!$G$7:$G$50,TJM!A48))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EXPRESS'!$G$7:$G$50,TJM!G48))+(COUNTIF('2 ZT'!$G$7:$G$50,TJM!G48))+(COUNTIF('GO TRANSPORT'!$G$7:$G$50,TJM!G48))+(COUNTIF('HMZ - KAIS'!$G$7:$G$50,TJM!G48))+(COUNTIF('IB TRANSPORT'!$G$7:$G$50,TJM!G48))+(COUNTIF(JSL!$G$7:$G$50,TJM!G48))+(COUNTIF(KIFAITOUT!$G$7:$G$50,TJM!G48))+(COUNTIF('LUXE DRIVE'!$G$7:$G$50,TJM!G48))+(COUNTIF(SSN!$G$7:$G$50,TJM!G48))+(COUNTIF(TJM!$G$7:$G$50,TJM!G48))+(COUNTIF('ATHIS MONS'!$G$7:$G$50,TJM!G48))+(COUNTIF('L HAY LES ROSES'!$G$7:$G$50,TJM!G48))+(COUNTIF(RUNGIS!$G$7:$G$50,TJM!G48))+(COUNTIF(SCEAUX!$G$7:$G$50,TJM!G48))+(COUNTIF('INSTANCE C1'!$G$7:$G$50,TJM!G48))+(COUNTIF('INSTANCE C2'!$G$7:$G$50,TJM!G48))+(COUNTIF(INTERNES!$G$7:$G$50,TJM!G48))+(COUNTIF('EN PANNE'!$G$7:$G$50,TJM!G48))-I48</f>
        <v>0</v>
      </c>
      <c r="I48" s="23">
        <f>(COUNTIF('2S EXPRESS'!$A$7:$A$50,TJM!G48))+(COUNTIF('2 ZT'!$A$7:$A$50,TJM!G48))+(COUNTIF('GO TRANSPORT'!$A$7:$A$50,TJM!G48))+(COUNTIF('HMZ - KAIS'!$A$7:$A$50,TJM!G48))+(COUNTIF('IB TRANSPORT'!$A$7:$A$50,TJM!G48))+(COUNTIF(JSL!$A$7:$A$50,TJM!G48))+(COUNTIF(KIFAITOUT!$A$7:$A$50,TJM!G48))+(COUNTIF('LUXE DRIVE'!$A$7:$A$50,TJM!G48))+(COUNTIF(SSN!$A$7:$A$50,TJM!G48))+(COUNTIF(TJM!$A$7:$A$50,TJM!G48))+(COUNTIF('ATHIS MONS'!$A$7:$A$50,TJM!G48))+(COUNTIF('L HAY LES ROSES'!$A$7:$A$50,TJM!G48))+(COUNTIF(RUNGIS!$A$7:$A$50,TJM!G48))+(COUNTIF(SCEAUX!$A$7:$A$50,TJM!G48))+(COUNTIF('INSTANCE C1'!$A$7:$A$50,TJM!G48))+(COUNTIF('INSTANCE C2'!$A$7:$A$50,TJM!G48))+(COUNTIF(INTERNES!$A$7:$A$50,TJM!G48))+(COUNTIF('EN PANNE'!$A$7:$A$50,TJM!G48))</f>
        <v>0</v>
      </c>
      <c r="J48" s="28">
        <f t="shared" si="4"/>
        <v>0</v>
      </c>
      <c r="K48" s="2"/>
      <c r="L48" s="118"/>
      <c r="S48" s="60">
        <f t="shared" si="1"/>
        <v>0</v>
      </c>
      <c r="T48" s="67">
        <f t="shared" si="2"/>
        <v>0</v>
      </c>
    </row>
    <row r="49" spans="1:20" ht="24.95" customHeight="1" x14ac:dyDescent="0.2">
      <c r="A49" s="20"/>
      <c r="B49" s="23">
        <f>(COUNTIF('2S EXPRESS'!$A$7:$A$50,TJM!A49))+(COUNTIF('2 ZT'!$A$7:$A$50,TJM!A49))+(COUNTIF('GO TRANSPORT'!$A$7:$A$50,TJM!A49))+(COUNTIF('HMZ - KAIS'!$A$7:$A$50,TJM!A49))+(COUNTIF('IB TRANSPORT'!$A$7:$A$50,TJM!A49))+(COUNTIF(JSL!$A$7:$A$50,TJM!A49))+(COUNTIF(KIFAITOUT!$A$7:$A$50,TJM!A49))+(COUNTIF('LUXE DRIVE'!$A$7:$A$50,TJM!A49))+(COUNTIF(SSN!$A$7:$A$50,TJM!A49))+(COUNTIF(TJM!$A$7:$A$50,TJM!A49))+(COUNTIF('ATHIS MONS'!$A$7:$A$50,TJM!A49))+(COUNTIF('L HAY LES ROSES'!$A$7:$A$50,TJM!A49))+(COUNTIF(RUNGIS!$A$7:$A$50,TJM!A49))+(COUNTIF(SCEAUX!$A$7:$A$50,TJM!A49))+(COUNTIF('INSTANCE C1'!$A$7:$A$50,TJM!A49))+(COUNTIF('INSTANCE C2'!$A$7:$A$50,TJM!A49))+(COUNTIF(INTERNES!$A$7:$A$50,TJM!A49))+(COUNTIF('EN PANNE'!$A$7:$A$50,TJM!A49))-C49</f>
        <v>0</v>
      </c>
      <c r="C49" s="23">
        <f>(COUNTIF('2S EXPRESS'!$G$7:$G$50,TJM!A49))+(COUNTIF('2 ZT'!$G$7:$G$50,TJM!A49))+(COUNTIF('GO TRANSPORT'!$G$7:$G$50,TJM!A49))+(COUNTIF(TJM!$G$7:$G$50,TJM!A49))+(COUNTIF('IB TRANSPORT'!$G$7:$G$50,TJM!A49))+(COUNTIF(JSL!$G$7:$G$50,TJM!A49))+(COUNTIF(KIFAITOUT!$G$7:$G$50,TJM!A49))+(COUNTIF('LUXE DRIVE'!$G$7:$G$50,TJM!A49))+(COUNTIF(SSN!$G$7:$G$50,TJM!A49))+(COUNTIF(TJM!$G$7:$G$50,TJM!A49))+(COUNTIF('ATHIS MONS'!$G$7:$G$50,TJM!A49))+(COUNTIF('L HAY LES ROSES'!$G$7:$G$50,TJM!A49))+(COUNTIF(RUNGIS!$G$7:$G$50,TJM!A49))+(COUNTIF(SCEAUX!$G$7:$G$50,TJM!A49))+(COUNTIF('INSTANCE C1'!$G$7:$G$50,TJM!A49))+(COUNTIF('INSTANCE C2'!$G$7:$G$50,TJM!A49))+(COUNTIF(INTERNES!$G$7:$G$50,TJM!A49))+(COUNTIF('EN PANNE'!$G$7:$G$50,TJM!A49))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EXPRESS'!$G$7:$G$50,TJM!G49))+(COUNTIF('2 ZT'!$G$7:$G$50,TJM!G49))+(COUNTIF('GO TRANSPORT'!$G$7:$G$50,TJM!G49))+(COUNTIF('HMZ - KAIS'!$G$7:$G$50,TJM!G49))+(COUNTIF('IB TRANSPORT'!$G$7:$G$50,TJM!G49))+(COUNTIF(JSL!$G$7:$G$50,TJM!G49))+(COUNTIF(KIFAITOUT!$G$7:$G$50,TJM!G49))+(COUNTIF('LUXE DRIVE'!$G$7:$G$50,TJM!G49))+(COUNTIF(SSN!$G$7:$G$50,TJM!G49))+(COUNTIF(TJM!$G$7:$G$50,TJM!G49))+(COUNTIF('ATHIS MONS'!$G$7:$G$50,TJM!G49))+(COUNTIF('L HAY LES ROSES'!$G$7:$G$50,TJM!G49))+(COUNTIF(RUNGIS!$G$7:$G$50,TJM!G49))+(COUNTIF(SCEAUX!$G$7:$G$50,TJM!G49))+(COUNTIF('INSTANCE C1'!$G$7:$G$50,TJM!G49))+(COUNTIF('INSTANCE C2'!$G$7:$G$50,TJM!G49))+(COUNTIF(INTERNES!$G$7:$G$50,TJM!G49))+(COUNTIF('EN PANNE'!$G$7:$G$50,TJM!G49))-I49</f>
        <v>0</v>
      </c>
      <c r="I49" s="23">
        <f>(COUNTIF('2S EXPRESS'!$A$7:$A$50,TJM!G49))+(COUNTIF('2 ZT'!$A$7:$A$50,TJM!G49))+(COUNTIF('GO TRANSPORT'!$A$7:$A$50,TJM!G49))+(COUNTIF('HMZ - KAIS'!$A$7:$A$50,TJM!G49))+(COUNTIF('IB TRANSPORT'!$A$7:$A$50,TJM!G49))+(COUNTIF(JSL!$A$7:$A$50,TJM!G49))+(COUNTIF(KIFAITOUT!$A$7:$A$50,TJM!G49))+(COUNTIF('LUXE DRIVE'!$A$7:$A$50,TJM!G49))+(COUNTIF(SSN!$A$7:$A$50,TJM!G49))+(COUNTIF(TJM!$A$7:$A$50,TJM!G49))+(COUNTIF('ATHIS MONS'!$A$7:$A$50,TJM!G49))+(COUNTIF('L HAY LES ROSES'!$A$7:$A$50,TJM!G49))+(COUNTIF(RUNGIS!$A$7:$A$50,TJM!G49))+(COUNTIF(SCEAUX!$A$7:$A$50,TJM!G49))+(COUNTIF('INSTANCE C1'!$A$7:$A$50,TJM!G49))+(COUNTIF('INSTANCE C2'!$A$7:$A$50,TJM!G49))+(COUNTIF(INTERNES!$A$7:$A$50,TJM!G49))+(COUNTIF('EN PANNE'!$A$7:$A$50,TJM!G49))</f>
        <v>0</v>
      </c>
      <c r="J49" s="28">
        <f t="shared" si="4"/>
        <v>0</v>
      </c>
      <c r="K49" s="2"/>
      <c r="L49" s="118"/>
      <c r="S49" s="60">
        <f t="shared" si="1"/>
        <v>0</v>
      </c>
      <c r="T49" s="67">
        <f t="shared" si="2"/>
        <v>0</v>
      </c>
    </row>
    <row r="50" spans="1:20" ht="24.95" customHeight="1" thickBot="1" x14ac:dyDescent="0.25">
      <c r="A50" s="21"/>
      <c r="B50" s="25">
        <f>(COUNTIF('2S EXPRESS'!$A$7:$A$50,TJM!A50))+(COUNTIF('2 ZT'!$A$7:$A$50,TJM!A50))+(COUNTIF('GO TRANSPORT'!$A$7:$A$50,TJM!A50))+(COUNTIF('HMZ - KAIS'!$A$7:$A$50,TJM!A50))+(COUNTIF('IB TRANSPORT'!$A$7:$A$50,TJM!A50))+(COUNTIF(JSL!$A$7:$A$50,TJM!A50))+(COUNTIF(KIFAITOUT!$A$7:$A$50,TJM!A50))+(COUNTIF('LUXE DRIVE'!$A$7:$A$50,TJM!A50))+(COUNTIF(SSN!$A$7:$A$50,TJM!A50))+(COUNTIF(TJM!$A$7:$A$50,TJM!A50))+(COUNTIF('ATHIS MONS'!$A$7:$A$50,TJM!A50))+(COUNTIF('L HAY LES ROSES'!$A$7:$A$50,TJM!A50))+(COUNTIF(RUNGIS!$A$7:$A$50,TJM!A50))+(COUNTIF(SCEAUX!$A$7:$A$50,TJM!A50))+(COUNTIF('INSTANCE C1'!$A$7:$A$50,TJM!A50))+(COUNTIF('INSTANCE C2'!$A$7:$A$50,TJM!A50))+(COUNTIF(INTERNES!$A$7:$A$50,TJM!A50))+(COUNTIF('EN PANNE'!$A$7:$A$50,TJM!A50))-C50</f>
        <v>0</v>
      </c>
      <c r="C50" s="23">
        <f>(COUNTIF('2S EXPRESS'!$G$7:$G$50,TJM!A50))+(COUNTIF('2 ZT'!$G$7:$G$50,TJM!A50))+(COUNTIF('GO TRANSPORT'!$G$7:$G$50,TJM!A50))+(COUNTIF(TJM!$G$7:$G$50,TJM!A50))+(COUNTIF('IB TRANSPORT'!$G$7:$G$50,TJM!A50))+(COUNTIF(JSL!$G$7:$G$50,TJM!A50))+(COUNTIF(KIFAITOUT!$G$7:$G$50,TJM!A50))+(COUNTIF('LUXE DRIVE'!$G$7:$G$50,TJM!A50))+(COUNTIF(SSN!$G$7:$G$50,TJM!A50))+(COUNTIF(TJM!$G$7:$G$50,TJM!A50))+(COUNTIF('ATHIS MONS'!$G$7:$G$50,TJM!A50))+(COUNTIF('L HAY LES ROSES'!$G$7:$G$50,TJM!A50))+(COUNTIF(RUNGIS!$G$7:$G$50,TJM!A50))+(COUNTIF(SCEAUX!$G$7:$G$50,TJM!A50))+(COUNTIF('INSTANCE C1'!$G$7:$G$50,TJM!A50))+(COUNTIF('INSTANCE C2'!$G$7:$G$50,TJM!A50))+(COUNTIF(INTERNES!$G$7:$G$50,TJM!A50))+(COUNTIF('EN PANNE'!$G$7:$G$50,TJM!A50))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EXPRESS'!$G$7:$G$50,TJM!G50))+(COUNTIF('2 ZT'!$G$7:$G$50,TJM!G50))+(COUNTIF('GO TRANSPORT'!$G$7:$G$50,TJM!G50))+(COUNTIF('HMZ - KAIS'!$G$7:$G$50,TJM!G50))+(COUNTIF('IB TRANSPORT'!$G$7:$G$50,TJM!G50))+(COUNTIF(JSL!$G$7:$G$50,TJM!G50))+(COUNTIF(KIFAITOUT!$G$7:$G$50,TJM!G50))+(COUNTIF('LUXE DRIVE'!$G$7:$G$50,TJM!G50))+(COUNTIF(SSN!$G$7:$G$50,TJM!G50))+(COUNTIF(TJM!$G$7:$G$50,TJM!G50))+(COUNTIF('ATHIS MONS'!$G$7:$G$50,TJM!G50))+(COUNTIF('L HAY LES ROSES'!$G$7:$G$50,TJM!G50))+(COUNTIF(RUNGIS!$G$7:$G$50,TJM!G50))+(COUNTIF(SCEAUX!$G$7:$G$50,TJM!G50))+(COUNTIF('INSTANCE C1'!$G$7:$G$50,TJM!G50))+(COUNTIF('INSTANCE C2'!$G$7:$G$50,TJM!G50))+(COUNTIF(INTERNES!$G$7:$G$50,TJM!G50))+(COUNTIF('EN PANNE'!$G$7:$G$50,TJM!G50))-I50</f>
        <v>0</v>
      </c>
      <c r="I50" s="25">
        <f>(COUNTIF('2S EXPRESS'!$A$7:$A$50,TJM!G50))+(COUNTIF('2 ZT'!$A$7:$A$50,TJM!G50))+(COUNTIF('GO TRANSPORT'!$A$7:$A$50,TJM!G50))+(COUNTIF('HMZ - KAIS'!$A$7:$A$50,TJM!G50))+(COUNTIF('IB TRANSPORT'!$A$7:$A$50,TJM!G50))+(COUNTIF(JSL!$A$7:$A$50,TJM!G50))+(COUNTIF(KIFAITOUT!$A$7:$A$50,TJM!G50))+(COUNTIF('LUXE DRIVE'!$A$7:$A$50,TJM!G50))+(COUNTIF(SSN!$A$7:$A$50,TJM!G50))+(COUNTIF(TJM!$A$7:$A$50,TJM!G50))+(COUNTIF('ATHIS MONS'!$A$7:$A$50,TJM!G50))+(COUNTIF('L HAY LES ROSES'!$A$7:$A$50,TJM!G50))+(COUNTIF(RUNGIS!$A$7:$A$50,TJM!G50))+(COUNTIF(SCEAUX!$A$7:$A$50,TJM!G50))+(COUNTIF('INSTANCE C1'!$A$7:$A$50,TJM!G50))+(COUNTIF('INSTANCE C2'!$A$7:$A$50,TJM!G50))+(COUNTIF(INTERNES!$A$7:$A$50,TJM!G50))+(COUNTIF('EN PANNE'!$A$7:$A$50,TJM!G50))</f>
        <v>0</v>
      </c>
      <c r="J50" s="29">
        <f t="shared" si="4"/>
        <v>0</v>
      </c>
      <c r="K50" s="3"/>
      <c r="L50" s="118"/>
      <c r="S50" s="60">
        <f t="shared" si="1"/>
        <v>0</v>
      </c>
      <c r="T50" s="67">
        <f t="shared" si="2"/>
        <v>0</v>
      </c>
    </row>
    <row r="53" spans="1:20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</row>
  </sheetData>
  <mergeCells count="13">
    <mergeCell ref="M8:P8"/>
    <mergeCell ref="M9:P9"/>
    <mergeCell ref="M11:P11"/>
    <mergeCell ref="M12:P12"/>
    <mergeCell ref="B2:E3"/>
    <mergeCell ref="G2:K3"/>
    <mergeCell ref="A4:E4"/>
    <mergeCell ref="G4:K4"/>
    <mergeCell ref="A5:A6"/>
    <mergeCell ref="E5:E6"/>
    <mergeCell ref="F5:F6"/>
    <mergeCell ref="G5:G6"/>
    <mergeCell ref="K5:K6"/>
  </mergeCells>
  <conditionalFormatting sqref="F7:F50">
    <cfRule type="cellIs" dxfId="101" priority="10" operator="equal">
      <formula>1</formula>
    </cfRule>
  </conditionalFormatting>
  <conditionalFormatting sqref="A7:A50">
    <cfRule type="duplicateValues" dxfId="100" priority="8"/>
  </conditionalFormatting>
  <conditionalFormatting sqref="L7:L50">
    <cfRule type="cellIs" dxfId="99" priority="7" operator="greaterThan">
      <formula>0</formula>
    </cfRule>
  </conditionalFormatting>
  <conditionalFormatting sqref="D7">
    <cfRule type="cellIs" dxfId="98" priority="6" operator="greaterThan">
      <formula>0</formula>
    </cfRule>
  </conditionalFormatting>
  <conditionalFormatting sqref="D8:D50">
    <cfRule type="cellIs" dxfId="97" priority="5" operator="greaterThan">
      <formula>0</formula>
    </cfRule>
  </conditionalFormatting>
  <conditionalFormatting sqref="G7:G50">
    <cfRule type="duplicateValues" dxfId="96" priority="4"/>
  </conditionalFormatting>
  <conditionalFormatting sqref="J7">
    <cfRule type="cellIs" dxfId="95" priority="3" operator="greaterThan">
      <formula>0</formula>
    </cfRule>
  </conditionalFormatting>
  <conditionalFormatting sqref="J8:J50">
    <cfRule type="cellIs" dxfId="94" priority="2" operator="greaterThan">
      <formula>0</formula>
    </cfRule>
  </conditionalFormatting>
  <conditionalFormatting sqref="S7:S50">
    <cfRule type="cellIs" dxfId="93" priority="1" operator="greaterThan">
      <formula>0</formula>
    </cfRule>
  </conditionalFormatting>
  <dataValidations count="1">
    <dataValidation type="list" allowBlank="1" showInputMessage="1" showErrorMessage="1" sqref="K7:K50 E7:E50" xr:uid="{4E67B743-38A4-4070-9F8D-D94EFDE5E3B8}">
      <formula1>$Q$9:$Q$17</formula1>
    </dataValidation>
  </dataValidations>
  <pageMargins left="0.25" right="0.25" top="0.75" bottom="0.75" header="0.3" footer="0.3"/>
  <pageSetup paperSize="9" scale="88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56337246-D480-468D-96DB-892350BA180C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>
    <tabColor rgb="FF92D050"/>
    <pageSetUpPr fitToPage="1"/>
  </sheetPr>
  <dimension ref="A1:Z53"/>
  <sheetViews>
    <sheetView showGridLines="0" zoomScaleNormal="100" workbookViewId="0">
      <selection activeCell="X19" sqref="X19"/>
    </sheetView>
  </sheetViews>
  <sheetFormatPr baseColWidth="10" defaultColWidth="11.42578125" defaultRowHeight="12.75" x14ac:dyDescent="0.2"/>
  <cols>
    <col min="1" max="1" width="25.7109375" style="9" customWidth="1"/>
    <col min="2" max="3" width="10.7109375" style="9" hidden="1" customWidth="1"/>
    <col min="4" max="4" width="7.7109375" style="9" customWidth="1"/>
    <col min="5" max="5" width="50.7109375" style="9" customWidth="1"/>
    <col min="6" max="6" width="13.7109375" style="9" customWidth="1"/>
    <col min="7" max="7" width="25.7109375" style="9" customWidth="1"/>
    <col min="8" max="9" width="10.7109375" style="9" hidden="1" customWidth="1"/>
    <col min="10" max="10" width="7.7109375" style="9" customWidth="1"/>
    <col min="11" max="11" width="50.7109375" style="9" customWidth="1"/>
    <col min="12" max="16" width="7.7109375" style="9" customWidth="1"/>
    <col min="17" max="17" width="22.7109375" style="9" hidden="1" customWidth="1"/>
    <col min="18" max="18" width="12.5703125" style="56" hidden="1" customWidth="1"/>
    <col min="19" max="20" width="11.42578125" style="56" hidden="1" customWidth="1"/>
    <col min="21" max="21" width="11.42578125" style="56" customWidth="1"/>
    <col min="22" max="26" width="11.42578125" style="56"/>
    <col min="27" max="16384" width="11.42578125" style="9"/>
  </cols>
  <sheetData>
    <row r="1" spans="1:26" ht="13.5" thickBot="1" x14ac:dyDescent="0.25">
      <c r="A1" s="33"/>
      <c r="B1" s="35"/>
      <c r="C1" s="35"/>
      <c r="D1" s="35"/>
      <c r="E1" s="10"/>
      <c r="F1" s="34"/>
      <c r="I1" s="10"/>
    </row>
    <row r="2" spans="1:26" s="39" customFormat="1" ht="24.95" customHeight="1" x14ac:dyDescent="0.2">
      <c r="A2" s="36"/>
      <c r="B2" s="194" t="s">
        <v>42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1"/>
      <c r="S2" s="71"/>
      <c r="T2" s="71"/>
      <c r="U2" s="71"/>
      <c r="V2" s="71"/>
      <c r="W2" s="71"/>
      <c r="X2" s="71"/>
      <c r="Y2" s="71"/>
      <c r="Z2" s="71"/>
    </row>
    <row r="3" spans="1:26" s="39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1"/>
      <c r="S3" s="71"/>
      <c r="T3" s="71"/>
      <c r="U3" s="71"/>
      <c r="V3" s="71"/>
      <c r="W3" s="71"/>
      <c r="X3" s="71"/>
      <c r="Y3" s="71"/>
      <c r="Z3" s="71"/>
    </row>
    <row r="4" spans="1:26" s="39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1"/>
      <c r="T4" s="71"/>
      <c r="U4" s="71"/>
      <c r="V4" s="71"/>
      <c r="W4" s="71"/>
      <c r="X4" s="71"/>
      <c r="Y4" s="71"/>
      <c r="Z4" s="71"/>
    </row>
    <row r="5" spans="1:26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</row>
    <row r="6" spans="1:26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</row>
    <row r="7" spans="1:26" ht="24.95" customHeight="1" thickBot="1" x14ac:dyDescent="0.25">
      <c r="A7" s="19"/>
      <c r="B7" s="22">
        <f>(COUNTIF('2S EXPRESS'!$A$7:$A$50,'W3'!A7))+(COUNTIF('2 ZT'!$A$7:$A$50,'W3'!A7))+(COUNTIF('GO TRANSPORT'!$A$7:$A$50,'W3'!A7))+(COUNTIF('HMZ - KAIS'!$A$7:$A$50,'W3'!A7))+(COUNTIF('IB TRANSPORT'!$A$7:$A$50,'W3'!A7))+(COUNTIF(JSL!$A$7:$A$50,'W3'!A7))+(COUNTIF(KIFAITOUT!$A$7:$A$50,'W3'!A7))+(COUNTIF('LUXE DRIVE'!$A$7:$A$50,'W3'!A7))+(COUNTIF(SSN!$A$7:$A$50,'W3'!A7))+(COUNTIF('W3'!$A$7:$A$50,'W3'!A7))+(COUNTIF('ATHIS MONS'!$A$7:$A$50,'W3'!A7))+(COUNTIF('L HAY LES ROSES'!$A$7:$A$50,'W3'!A7))+(COUNTIF(RUNGIS!$A$7:$A$50,'W3'!A7))+(COUNTIF(SCEAUX!$A$7:$A$50,'W3'!A7))+(COUNTIF('INSTANCE C1'!$A$7:$A$50,'W3'!A7))+(COUNTIF('INSTANCE C2'!$A$7:$A$50,'W3'!A7))+(COUNTIF(INTERNES!$A$7:$A$50,'W3'!A7))+(COUNTIF('EN PANNE'!$A$7:$A$50,'W3'!A7))-C7</f>
        <v>0</v>
      </c>
      <c r="C7" s="23">
        <f>(COUNTIF('2S EXPRESS'!$G$7:$G$50,'W3'!A7))+(COUNTIF('2 ZT'!$G$7:$G$50,'W3'!A7))+(COUNTIF('GO TRANSPORT'!$G$7:$G$50,'W3'!A7))+(COUNTIF('W3'!$G$7:$G$50,'W3'!A7))+(COUNTIF('IB TRANSPORT'!$G$7:$G$50,'W3'!A7))+(COUNTIF(JSL!$G$7:$G$50,'W3'!A7))+(COUNTIF(KIFAITOUT!$G$7:$G$50,'W3'!A7))+(COUNTIF('LUXE DRIVE'!$G$7:$G$50,'W3'!A7))+(COUNTIF(SSN!$G$7:$G$50,'W3'!A7))+(COUNTIF('W3'!$G$7:$G$50,'W3'!A7))+(COUNTIF('ATHIS MONS'!$G$7:$G$50,'W3'!A7))+(COUNTIF('L HAY LES ROSES'!$G$7:$G$50,'W3'!A7))+(COUNTIF(RUNGIS!$G$7:$G$50,'W3'!A7))+(COUNTIF(SCEAUX!$G$7:$G$50,'W3'!A7))+(COUNTIF('INSTANCE C1'!$G$7:$G$50,'W3'!A7))+(COUNTIF('INSTANCE C2'!$G$7:$G$50,'W3'!A7))+(COUNTIF(INTERNES!$G$7:$G$50,'W3'!A7))+(COUNTIF('EN PANNE'!$G$7:$G$50,'W3'!A7))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EXPRESS'!$G$7:$G$50,'W3'!G7))+(COUNTIF('2 ZT'!$G$7:$G$50,'W3'!G7))+(COUNTIF('GO TRANSPORT'!$G$7:$G$50,'W3'!G7))+(COUNTIF('HMZ - KAIS'!$G$7:$G$50,'W3'!G7))+(COUNTIF('IB TRANSPORT'!$G$7:$G$50,'W3'!G7))+(COUNTIF(JSL!$G$7:$G$50,'W3'!G7))+(COUNTIF(KIFAITOUT!$G$7:$G$50,'W3'!G7))+(COUNTIF('LUXE DRIVE'!$G$7:$G$50,'W3'!G7))+(COUNTIF(SSN!$G$7:$G$50,'W3'!G7))+(COUNTIF('W3'!$G$7:$G$50,'W3'!G7))+(COUNTIF('ATHIS MONS'!$G$7:$G$50,'W3'!G7))+(COUNTIF('L HAY LES ROSES'!$G$7:$G$50,'W3'!G7))+(COUNTIF(RUNGIS!$G$7:$G$50,'W3'!G7))+(COUNTIF(SCEAUX!$G$7:$G$50,'W3'!G7))+(COUNTIF('INSTANCE C1'!$G$7:$G$50,'W3'!G7))+(COUNTIF('INSTANCE C2'!$G$7:$G$50,'W3'!G7))+(COUNTIF(INTERNES!$G$7:$G$50,'W3'!G7))+(COUNTIF('EN PANNE'!$G$7:$G$50,'W3'!G7))-I7</f>
        <v>0</v>
      </c>
      <c r="I7" s="22">
        <f>(COUNTIF('2S EXPRESS'!$A$7:$A$50,'W3'!G7))+(COUNTIF('2 ZT'!$A$7:$A$50,'W3'!G7))+(COUNTIF('GO TRANSPORT'!$A$7:$A$50,'W3'!G7))+(COUNTIF('HMZ - KAIS'!$A$7:$A$50,'W3'!G7))+(COUNTIF('IB TRANSPORT'!$A$7:$A$50,'W3'!G7))+(COUNTIF(JSL!$A$7:$A$50,'W3'!G7))+(COUNTIF(KIFAITOUT!$A$7:$A$50,'W3'!G7))+(COUNTIF('LUXE DRIVE'!$A$7:$A$50,'W3'!G7))+(COUNTIF(SSN!$A$7:$A$50,'W3'!G7))+(COUNTIF('W3'!$A$7:$A$50,'W3'!G7))+(COUNTIF('ATHIS MONS'!$A$7:$A$50,'W3'!G7))+(COUNTIF('L HAY LES ROSES'!$A$7:$A$50,'W3'!G7))+(COUNTIF(RUNGIS!$A$7:$A$50,'W3'!G7))+(COUNTIF(SCEAUX!$A$7:$A$50,'W3'!G7))+(COUNTIF('INSTANCE C1'!$A$7:$A$50,'W3'!G7))+(COUNTIF('INSTANCE C2'!$A$7:$A$50,'W3'!G7))+(COUNTIF(INTERNES!$A$7:$A$50,'W3'!G7))+(COUNTIF('EN PANNE'!$A$7:$A$50,'W3'!G7))</f>
        <v>0</v>
      </c>
      <c r="J7" s="27">
        <f>IF(H7&gt;=2,1,0)</f>
        <v>0</v>
      </c>
      <c r="K7" s="1"/>
      <c r="L7" s="47"/>
      <c r="M7" s="48"/>
      <c r="O7" s="48"/>
      <c r="P7" s="48"/>
      <c r="Q7" s="48"/>
      <c r="R7" s="50"/>
      <c r="S7" s="60">
        <f t="shared" ref="S7:S50" si="1">COUNTIF($G$7:$G$50,$A7)</f>
        <v>0</v>
      </c>
      <c r="T7" s="67">
        <f t="shared" ref="T7:T50" si="2">IF($S7=1,"",$A7)</f>
        <v>0</v>
      </c>
    </row>
    <row r="8" spans="1:26" ht="24.95" customHeight="1" thickBot="1" x14ac:dyDescent="0.25">
      <c r="A8" s="20"/>
      <c r="B8" s="23">
        <f>(COUNTIF('2S EXPRESS'!$A$7:$A$50,'W3'!A8))+(COUNTIF('2 ZT'!$A$7:$A$50,'W3'!A8))+(COUNTIF('GO TRANSPORT'!$A$7:$A$50,'W3'!A8))+(COUNTIF('HMZ - KAIS'!$A$7:$A$50,'W3'!A8))+(COUNTIF('IB TRANSPORT'!$A$7:$A$50,'W3'!A8))+(COUNTIF(JSL!$A$7:$A$50,'W3'!A8))+(COUNTIF(KIFAITOUT!$A$7:$A$50,'W3'!A8))+(COUNTIF('LUXE DRIVE'!$A$7:$A$50,'W3'!A8))+(COUNTIF(SSN!$A$7:$A$50,'W3'!A8))+(COUNTIF('W3'!$A$7:$A$50,'W3'!A8))+(COUNTIF('ATHIS MONS'!$A$7:$A$50,'W3'!A8))+(COUNTIF('L HAY LES ROSES'!$A$7:$A$50,'W3'!A8))+(COUNTIF(RUNGIS!$A$7:$A$50,'W3'!A8))+(COUNTIF(SCEAUX!$A$7:$A$50,'W3'!A8))+(COUNTIF('INSTANCE C1'!$A$7:$A$50,'W3'!A8))+(COUNTIF('INSTANCE C2'!$A$7:$A$50,'W3'!A8))+(COUNTIF(INTERNES!$A$7:$A$50,'W3'!A8))+(COUNTIF('EN PANNE'!$A$7:$A$50,'W3'!A8))-C8</f>
        <v>0</v>
      </c>
      <c r="C8" s="23">
        <f>(COUNTIF('2S EXPRESS'!$G$7:$G$50,'W3'!A8))+(COUNTIF('2 ZT'!$G$7:$G$50,'W3'!A8))+(COUNTIF('GO TRANSPORT'!$G$7:$G$50,'W3'!A8))+(COUNTIF('W3'!$G$7:$G$50,'W3'!A8))+(COUNTIF('IB TRANSPORT'!$G$7:$G$50,'W3'!A8))+(COUNTIF(JSL!$G$7:$G$50,'W3'!A8))+(COUNTIF(KIFAITOUT!$G$7:$G$50,'W3'!A8))+(COUNTIF('LUXE DRIVE'!$G$7:$G$50,'W3'!A8))+(COUNTIF(SSN!$G$7:$G$50,'W3'!A8))+(COUNTIF('W3'!$G$7:$G$50,'W3'!A8))+(COUNTIF('ATHIS MONS'!$G$7:$G$50,'W3'!A8))+(COUNTIF('L HAY LES ROSES'!$G$7:$G$50,'W3'!A8))+(COUNTIF(RUNGIS!$G$7:$G$50,'W3'!A8))+(COUNTIF(SCEAUX!$G$7:$G$50,'W3'!A8))+(COUNTIF('INSTANCE C1'!$G$7:$G$50,'W3'!A8))+(COUNTIF('INSTANCE C2'!$G$7:$G$50,'W3'!A8))+(COUNTIF(INTERNES!$G$7:$G$50,'W3'!A8))+(COUNTIF('EN PANNE'!$G$7:$G$50,'W3'!A8))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EXPRESS'!$G$7:$G$50,'W3'!G8))+(COUNTIF('2 ZT'!$G$7:$G$50,'W3'!G8))+(COUNTIF('GO TRANSPORT'!$G$7:$G$50,'W3'!G8))+(COUNTIF('HMZ - KAIS'!$G$7:$G$50,'W3'!G8))+(COUNTIF('IB TRANSPORT'!$G$7:$G$50,'W3'!G8))+(COUNTIF(JSL!$G$7:$G$50,'W3'!G8))+(COUNTIF(KIFAITOUT!$G$7:$G$50,'W3'!G8))+(COUNTIF('LUXE DRIVE'!$G$7:$G$50,'W3'!G8))+(COUNTIF(SSN!$G$7:$G$50,'W3'!G8))+(COUNTIF('W3'!$G$7:$G$50,'W3'!G8))+(COUNTIF('ATHIS MONS'!$G$7:$G$50,'W3'!G8))+(COUNTIF('L HAY LES ROSES'!$G$7:$G$50,'W3'!G8))+(COUNTIF(RUNGIS!$G$7:$G$50,'W3'!G8))+(COUNTIF(SCEAUX!$G$7:$G$50,'W3'!G8))+(COUNTIF('INSTANCE C1'!$G$7:$G$50,'W3'!G8))+(COUNTIF('INSTANCE C2'!$G$7:$G$50,'W3'!G8))+(COUNTIF(INTERNES!$G$7:$G$50,'W3'!G8))+(COUNTIF('EN PANNE'!$G$7:$G$50,'W3'!G8))-I8</f>
        <v>0</v>
      </c>
      <c r="I8" s="23">
        <f>(COUNTIF('2S EXPRESS'!$A$7:$A$50,'W3'!G8))+(COUNTIF('2 ZT'!$A$7:$A$50,'W3'!G8))+(COUNTIF('GO TRANSPORT'!$A$7:$A$50,'W3'!G8))+(COUNTIF('HMZ - KAIS'!$A$7:$A$50,'W3'!G8))+(COUNTIF('IB TRANSPORT'!$A$7:$A$50,'W3'!G8))+(COUNTIF(JSL!$A$7:$A$50,'W3'!G8))+(COUNTIF(KIFAITOUT!$A$7:$A$50,'W3'!G8))+(COUNTIF('LUXE DRIVE'!$A$7:$A$50,'W3'!G8))+(COUNTIF(SSN!$A$7:$A$50,'W3'!G8))+(COUNTIF('W3'!$A$7:$A$50,'W3'!G8))+(COUNTIF('ATHIS MONS'!$A$7:$A$50,'W3'!G8))+(COUNTIF('L HAY LES ROSES'!$A$7:$A$50,'W3'!G8))+(COUNTIF(RUNGIS!$A$7:$A$50,'W3'!G8))+(COUNTIF(SCEAUX!$A$7:$A$50,'W3'!G8))+(COUNTIF('INSTANCE C1'!$A$7:$A$50,'W3'!G8))+(COUNTIF('INSTANCE C2'!$A$7:$A$50,'W3'!G8))+(COUNTIF(INTERNES!$A$7:$A$50,'W3'!G8))+(COUNTIF('EN PANNE'!$A$7:$A$50,'W3'!G8))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50"/>
      <c r="S8" s="60">
        <f t="shared" si="1"/>
        <v>0</v>
      </c>
      <c r="T8" s="67">
        <f t="shared" si="2"/>
        <v>0</v>
      </c>
    </row>
    <row r="9" spans="1:26" ht="24.95" customHeight="1" thickBot="1" x14ac:dyDescent="0.25">
      <c r="A9" s="20"/>
      <c r="B9" s="23">
        <f>(COUNTIF('2S EXPRESS'!$A$7:$A$50,'W3'!A9))+(COUNTIF('2 ZT'!$A$7:$A$50,'W3'!A9))+(COUNTIF('GO TRANSPORT'!$A$7:$A$50,'W3'!A9))+(COUNTIF('HMZ - KAIS'!$A$7:$A$50,'W3'!A9))+(COUNTIF('IB TRANSPORT'!$A$7:$A$50,'W3'!A9))+(COUNTIF(JSL!$A$7:$A$50,'W3'!A9))+(COUNTIF(KIFAITOUT!$A$7:$A$50,'W3'!A9))+(COUNTIF('LUXE DRIVE'!$A$7:$A$50,'W3'!A9))+(COUNTIF(SSN!$A$7:$A$50,'W3'!A9))+(COUNTIF('W3'!$A$7:$A$50,'W3'!A9))+(COUNTIF('ATHIS MONS'!$A$7:$A$50,'W3'!A9))+(COUNTIF('L HAY LES ROSES'!$A$7:$A$50,'W3'!A9))+(COUNTIF(RUNGIS!$A$7:$A$50,'W3'!A9))+(COUNTIF(SCEAUX!$A$7:$A$50,'W3'!A9))+(COUNTIF('INSTANCE C1'!$A$7:$A$50,'W3'!A9))+(COUNTIF('INSTANCE C2'!$A$7:$A$50,'W3'!A9))+(COUNTIF(INTERNES!$A$7:$A$50,'W3'!A9))+(COUNTIF('EN PANNE'!$A$7:$A$50,'W3'!A9))-C9</f>
        <v>0</v>
      </c>
      <c r="C9" s="23">
        <f>(COUNTIF('2S EXPRESS'!$G$7:$G$50,'W3'!A9))+(COUNTIF('2 ZT'!$G$7:$G$50,'W3'!A9))+(COUNTIF('GO TRANSPORT'!$G$7:$G$50,'W3'!A9))+(COUNTIF('W3'!$G$7:$G$50,'W3'!A9))+(COUNTIF('IB TRANSPORT'!$G$7:$G$50,'W3'!A9))+(COUNTIF(JSL!$G$7:$G$50,'W3'!A9))+(COUNTIF(KIFAITOUT!$G$7:$G$50,'W3'!A9))+(COUNTIF('LUXE DRIVE'!$G$7:$G$50,'W3'!A9))+(COUNTIF(SSN!$G$7:$G$50,'W3'!A9))+(COUNTIF('W3'!$G$7:$G$50,'W3'!A9))+(COUNTIF('ATHIS MONS'!$G$7:$G$50,'W3'!A9))+(COUNTIF('L HAY LES ROSES'!$G$7:$G$50,'W3'!A9))+(COUNTIF(RUNGIS!$G$7:$G$50,'W3'!A9))+(COUNTIF(SCEAUX!$G$7:$G$50,'W3'!A9))+(COUNTIF('INSTANCE C1'!$G$7:$G$50,'W3'!A9))+(COUNTIF('INSTANCE C2'!$G$7:$G$50,'W3'!A9))+(COUNTIF(INTERNES!$G$7:$G$50,'W3'!A9))+(COUNTIF('EN PANNE'!$G$7:$G$50,'W3'!A9))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EXPRESS'!$G$7:$G$50,'W3'!G9))+(COUNTIF('2 ZT'!$G$7:$G$50,'W3'!G9))+(COUNTIF('GO TRANSPORT'!$G$7:$G$50,'W3'!G9))+(COUNTIF('HMZ - KAIS'!$G$7:$G$50,'W3'!G9))+(COUNTIF('IB TRANSPORT'!$G$7:$G$50,'W3'!G9))+(COUNTIF(JSL!$G$7:$G$50,'W3'!G9))+(COUNTIF(KIFAITOUT!$G$7:$G$50,'W3'!G9))+(COUNTIF('LUXE DRIVE'!$G$7:$G$50,'W3'!G9))+(COUNTIF(SSN!$G$7:$G$50,'W3'!G9))+(COUNTIF('W3'!$G$7:$G$50,'W3'!G9))+(COUNTIF('ATHIS MONS'!$G$7:$G$50,'W3'!G9))+(COUNTIF('L HAY LES ROSES'!$G$7:$G$50,'W3'!G9))+(COUNTIF(RUNGIS!$G$7:$G$50,'W3'!G9))+(COUNTIF(SCEAUX!$G$7:$G$50,'W3'!G9))+(COUNTIF('INSTANCE C1'!$G$7:$G$50,'W3'!G9))+(COUNTIF('INSTANCE C2'!$G$7:$G$50,'W3'!G9))+(COUNTIF(INTERNES!$G$7:$G$50,'W3'!G9))+(COUNTIF('EN PANNE'!$G$7:$G$50,'W3'!G9))-I9</f>
        <v>0</v>
      </c>
      <c r="I9" s="23">
        <f>(COUNTIF('2S EXPRESS'!$A$7:$A$50,'W3'!G9))+(COUNTIF('2 ZT'!$A$7:$A$50,'W3'!G9))+(COUNTIF('GO TRANSPORT'!$A$7:$A$50,'W3'!G9))+(COUNTIF('HMZ - KAIS'!$A$7:$A$50,'W3'!G9))+(COUNTIF('IB TRANSPORT'!$A$7:$A$50,'W3'!G9))+(COUNTIF(JSL!$A$7:$A$50,'W3'!G9))+(COUNTIF(KIFAITOUT!$A$7:$A$50,'W3'!G9))+(COUNTIF('LUXE DRIVE'!$A$7:$A$50,'W3'!G9))+(COUNTIF(SSN!$A$7:$A$50,'W3'!G9))+(COUNTIF('W3'!$A$7:$A$50,'W3'!G9))+(COUNTIF('ATHIS MONS'!$A$7:$A$50,'W3'!G9))+(COUNTIF('L HAY LES ROSES'!$A$7:$A$50,'W3'!G9))+(COUNTIF(RUNGIS!$A$7:$A$50,'W3'!G9))+(COUNTIF(SCEAUX!$A$7:$A$50,'W3'!G9))+(COUNTIF('INSTANCE C1'!$A$7:$A$50,'W3'!G9))+(COUNTIF('INSTANCE C2'!$A$7:$A$50,'W3'!G9))+(COUNTIF(INTERNES!$A$7:$A$50,'W3'!G9))+(COUNTIF('EN PANNE'!$A$7:$A$50,'W3'!G9))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50"/>
      <c r="S9" s="60">
        <f t="shared" si="1"/>
        <v>0</v>
      </c>
      <c r="T9" s="67">
        <f t="shared" si="2"/>
        <v>0</v>
      </c>
    </row>
    <row r="10" spans="1:26" ht="24.95" customHeight="1" thickBot="1" x14ac:dyDescent="0.25">
      <c r="A10" s="20"/>
      <c r="B10" s="23">
        <f>(COUNTIF('2S EXPRESS'!$A$7:$A$50,'W3'!A10))+(COUNTIF('2 ZT'!$A$7:$A$50,'W3'!A10))+(COUNTIF('GO TRANSPORT'!$A$7:$A$50,'W3'!A10))+(COUNTIF('HMZ - KAIS'!$A$7:$A$50,'W3'!A10))+(COUNTIF('IB TRANSPORT'!$A$7:$A$50,'W3'!A10))+(COUNTIF(JSL!$A$7:$A$50,'W3'!A10))+(COUNTIF(KIFAITOUT!$A$7:$A$50,'W3'!A10))+(COUNTIF('LUXE DRIVE'!$A$7:$A$50,'W3'!A10))+(COUNTIF(SSN!$A$7:$A$50,'W3'!A10))+(COUNTIF('W3'!$A$7:$A$50,'W3'!A10))+(COUNTIF('ATHIS MONS'!$A$7:$A$50,'W3'!A10))+(COUNTIF('L HAY LES ROSES'!$A$7:$A$50,'W3'!A10))+(COUNTIF(RUNGIS!$A$7:$A$50,'W3'!A10))+(COUNTIF(SCEAUX!$A$7:$A$50,'W3'!A10))+(COUNTIF('INSTANCE C1'!$A$7:$A$50,'W3'!A10))+(COUNTIF('INSTANCE C2'!$A$7:$A$50,'W3'!A10))+(COUNTIF(INTERNES!$A$7:$A$50,'W3'!A10))+(COUNTIF('EN PANNE'!$A$7:$A$50,'W3'!A10))-C10</f>
        <v>0</v>
      </c>
      <c r="C10" s="23">
        <f>(COUNTIF('2S EXPRESS'!$G$7:$G$50,'W3'!A10))+(COUNTIF('2 ZT'!$G$7:$G$50,'W3'!A10))+(COUNTIF('GO TRANSPORT'!$G$7:$G$50,'W3'!A10))+(COUNTIF('W3'!$G$7:$G$50,'W3'!A10))+(COUNTIF('IB TRANSPORT'!$G$7:$G$50,'W3'!A10))+(COUNTIF(JSL!$G$7:$G$50,'W3'!A10))+(COUNTIF(KIFAITOUT!$G$7:$G$50,'W3'!A10))+(COUNTIF('LUXE DRIVE'!$G$7:$G$50,'W3'!A10))+(COUNTIF(SSN!$G$7:$G$50,'W3'!A10))+(COUNTIF('W3'!$G$7:$G$50,'W3'!A10))+(COUNTIF('ATHIS MONS'!$G$7:$G$50,'W3'!A10))+(COUNTIF('L HAY LES ROSES'!$G$7:$G$50,'W3'!A10))+(COUNTIF(RUNGIS!$G$7:$G$50,'W3'!A10))+(COUNTIF(SCEAUX!$G$7:$G$50,'W3'!A10))+(COUNTIF('INSTANCE C1'!$G$7:$G$50,'W3'!A10))+(COUNTIF('INSTANCE C2'!$G$7:$G$50,'W3'!A10))+(COUNTIF(INTERNES!$G$7:$G$50,'W3'!A10))+(COUNTIF('EN PANNE'!$G$7:$G$50,'W3'!A10))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EXPRESS'!$G$7:$G$50,'W3'!G10))+(COUNTIF('2 ZT'!$G$7:$G$50,'W3'!G10))+(COUNTIF('GO TRANSPORT'!$G$7:$G$50,'W3'!G10))+(COUNTIF('HMZ - KAIS'!$G$7:$G$50,'W3'!G10))+(COUNTIF('IB TRANSPORT'!$G$7:$G$50,'W3'!G10))+(COUNTIF(JSL!$G$7:$G$50,'W3'!G10))+(COUNTIF(KIFAITOUT!$G$7:$G$50,'W3'!G10))+(COUNTIF('LUXE DRIVE'!$G$7:$G$50,'W3'!G10))+(COUNTIF(SSN!$G$7:$G$50,'W3'!G10))+(COUNTIF('W3'!$G$7:$G$50,'W3'!G10))+(COUNTIF('ATHIS MONS'!$G$7:$G$50,'W3'!G10))+(COUNTIF('L HAY LES ROSES'!$G$7:$G$50,'W3'!G10))+(COUNTIF(RUNGIS!$G$7:$G$50,'W3'!G10))+(COUNTIF(SCEAUX!$G$7:$G$50,'W3'!G10))+(COUNTIF('INSTANCE C1'!$G$7:$G$50,'W3'!G10))+(COUNTIF('INSTANCE C2'!$G$7:$G$50,'W3'!G10))+(COUNTIF(INTERNES!$G$7:$G$50,'W3'!G10))+(COUNTIF('EN PANNE'!$G$7:$G$50,'W3'!G10))-I10</f>
        <v>0</v>
      </c>
      <c r="I10" s="23">
        <f>(COUNTIF('2S EXPRESS'!$A$7:$A$50,'W3'!G10))+(COUNTIF('2 ZT'!$A$7:$A$50,'W3'!G10))+(COUNTIF('GO TRANSPORT'!$A$7:$A$50,'W3'!G10))+(COUNTIF('HMZ - KAIS'!$A$7:$A$50,'W3'!G10))+(COUNTIF('IB TRANSPORT'!$A$7:$A$50,'W3'!G10))+(COUNTIF(JSL!$A$7:$A$50,'W3'!G10))+(COUNTIF(KIFAITOUT!$A$7:$A$50,'W3'!G10))+(COUNTIF('LUXE DRIVE'!$A$7:$A$50,'W3'!G10))+(COUNTIF(SSN!$A$7:$A$50,'W3'!G10))+(COUNTIF('W3'!$A$7:$A$50,'W3'!G10))+(COUNTIF('ATHIS MONS'!$A$7:$A$50,'W3'!G10))+(COUNTIF('L HAY LES ROSES'!$A$7:$A$50,'W3'!G10))+(COUNTIF(RUNGIS!$A$7:$A$50,'W3'!G10))+(COUNTIF(SCEAUX!$A$7:$A$50,'W3'!G10))+(COUNTIF('INSTANCE C1'!$A$7:$A$50,'W3'!G10))+(COUNTIF('INSTANCE C2'!$A$7:$A$50,'W3'!G10))+(COUNTIF(INTERNES!$A$7:$A$50,'W3'!G10))+(COUNTIF('EN PANNE'!$A$7:$A$50,'W3'!G10))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S10" s="60">
        <f t="shared" si="1"/>
        <v>0</v>
      </c>
      <c r="T10" s="67">
        <f t="shared" si="2"/>
        <v>0</v>
      </c>
    </row>
    <row r="11" spans="1:26" ht="24.95" customHeight="1" thickBot="1" x14ac:dyDescent="0.25">
      <c r="A11" s="20"/>
      <c r="B11" s="23">
        <f>(COUNTIF('2S EXPRESS'!$A$7:$A$50,'W3'!A11))+(COUNTIF('2 ZT'!$A$7:$A$50,'W3'!A11))+(COUNTIF('GO TRANSPORT'!$A$7:$A$50,'W3'!A11))+(COUNTIF('HMZ - KAIS'!$A$7:$A$50,'W3'!A11))+(COUNTIF('IB TRANSPORT'!$A$7:$A$50,'W3'!A11))+(COUNTIF(JSL!$A$7:$A$50,'W3'!A11))+(COUNTIF(KIFAITOUT!$A$7:$A$50,'W3'!A11))+(COUNTIF('LUXE DRIVE'!$A$7:$A$50,'W3'!A11))+(COUNTIF(SSN!$A$7:$A$50,'W3'!A11))+(COUNTIF('W3'!$A$7:$A$50,'W3'!A11))+(COUNTIF('ATHIS MONS'!$A$7:$A$50,'W3'!A11))+(COUNTIF('L HAY LES ROSES'!$A$7:$A$50,'W3'!A11))+(COUNTIF(RUNGIS!$A$7:$A$50,'W3'!A11))+(COUNTIF(SCEAUX!$A$7:$A$50,'W3'!A11))+(COUNTIF('INSTANCE C1'!$A$7:$A$50,'W3'!A11))+(COUNTIF('INSTANCE C2'!$A$7:$A$50,'W3'!A11))+(COUNTIF(INTERNES!$A$7:$A$50,'W3'!A11))+(COUNTIF('EN PANNE'!$A$7:$A$50,'W3'!A11))-C11</f>
        <v>0</v>
      </c>
      <c r="C11" s="23">
        <f>(COUNTIF('2S EXPRESS'!$G$7:$G$50,'W3'!A11))+(COUNTIF('2 ZT'!$G$7:$G$50,'W3'!A11))+(COUNTIF('GO TRANSPORT'!$G$7:$G$50,'W3'!A11))+(COUNTIF('W3'!$G$7:$G$50,'W3'!A11))+(COUNTIF('IB TRANSPORT'!$G$7:$G$50,'W3'!A11))+(COUNTIF(JSL!$G$7:$G$50,'W3'!A11))+(COUNTIF(KIFAITOUT!$G$7:$G$50,'W3'!A11))+(COUNTIF('LUXE DRIVE'!$G$7:$G$50,'W3'!A11))+(COUNTIF(SSN!$G$7:$G$50,'W3'!A11))+(COUNTIF('W3'!$G$7:$G$50,'W3'!A11))+(COUNTIF('ATHIS MONS'!$G$7:$G$50,'W3'!A11))+(COUNTIF('L HAY LES ROSES'!$G$7:$G$50,'W3'!A11))+(COUNTIF(RUNGIS!$G$7:$G$50,'W3'!A11))+(COUNTIF(SCEAUX!$G$7:$G$50,'W3'!A11))+(COUNTIF('INSTANCE C1'!$G$7:$G$50,'W3'!A11))+(COUNTIF('INSTANCE C2'!$G$7:$G$50,'W3'!A11))+(COUNTIF(INTERNES!$G$7:$G$50,'W3'!A11))+(COUNTIF('EN PANNE'!$G$7:$G$50,'W3'!A11))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EXPRESS'!$G$7:$G$50,'W3'!G11))+(COUNTIF('2 ZT'!$G$7:$G$50,'W3'!G11))+(COUNTIF('GO TRANSPORT'!$G$7:$G$50,'W3'!G11))+(COUNTIF('HMZ - KAIS'!$G$7:$G$50,'W3'!G11))+(COUNTIF('IB TRANSPORT'!$G$7:$G$50,'W3'!G11))+(COUNTIF(JSL!$G$7:$G$50,'W3'!G11))+(COUNTIF(KIFAITOUT!$G$7:$G$50,'W3'!G11))+(COUNTIF('LUXE DRIVE'!$G$7:$G$50,'W3'!G11))+(COUNTIF(SSN!$G$7:$G$50,'W3'!G11))+(COUNTIF('W3'!$G$7:$G$50,'W3'!G11))+(COUNTIF('ATHIS MONS'!$G$7:$G$50,'W3'!G11))+(COUNTIF('L HAY LES ROSES'!$G$7:$G$50,'W3'!G11))+(COUNTIF(RUNGIS!$G$7:$G$50,'W3'!G11))+(COUNTIF(SCEAUX!$G$7:$G$50,'W3'!G11))+(COUNTIF('INSTANCE C1'!$G$7:$G$50,'W3'!G11))+(COUNTIF('INSTANCE C2'!$G$7:$G$50,'W3'!G11))+(COUNTIF(INTERNES!$G$7:$G$50,'W3'!G11))+(COUNTIF('EN PANNE'!$G$7:$G$50,'W3'!G11))-I11</f>
        <v>0</v>
      </c>
      <c r="I11" s="23">
        <f>(COUNTIF('2S EXPRESS'!$A$7:$A$50,'W3'!G11))+(COUNTIF('2 ZT'!$A$7:$A$50,'W3'!G11))+(COUNTIF('GO TRANSPORT'!$A$7:$A$50,'W3'!G11))+(COUNTIF('HMZ - KAIS'!$A$7:$A$50,'W3'!G11))+(COUNTIF('IB TRANSPORT'!$A$7:$A$50,'W3'!G11))+(COUNTIF(JSL!$A$7:$A$50,'W3'!G11))+(COUNTIF(KIFAITOUT!$A$7:$A$50,'W3'!G11))+(COUNTIF('LUXE DRIVE'!$A$7:$A$50,'W3'!G11))+(COUNTIF(SSN!$A$7:$A$50,'W3'!G11))+(COUNTIF('W3'!$A$7:$A$50,'W3'!G11))+(COUNTIF('ATHIS MONS'!$A$7:$A$50,'W3'!G11))+(COUNTIF('L HAY LES ROSES'!$A$7:$A$50,'W3'!G11))+(COUNTIF(RUNGIS!$A$7:$A$50,'W3'!G11))+(COUNTIF(SCEAUX!$A$7:$A$50,'W3'!G11))+(COUNTIF('INSTANCE C1'!$A$7:$A$50,'W3'!G11))+(COUNTIF('INSTANCE C2'!$A$7:$A$50,'W3'!G11))+(COUNTIF(INTERNES!$A$7:$A$50,'W3'!G11))+(COUNTIF('EN PANNE'!$A$7:$A$50,'W3'!G11))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S11" s="60">
        <f t="shared" si="1"/>
        <v>0</v>
      </c>
      <c r="T11" s="67">
        <f t="shared" si="2"/>
        <v>0</v>
      </c>
    </row>
    <row r="12" spans="1:26" ht="24.95" customHeight="1" thickBot="1" x14ac:dyDescent="0.25">
      <c r="A12" s="20"/>
      <c r="B12" s="23">
        <f>(COUNTIF('2S EXPRESS'!$A$7:$A$50,'W3'!A12))+(COUNTIF('2 ZT'!$A$7:$A$50,'W3'!A12))+(COUNTIF('GO TRANSPORT'!$A$7:$A$50,'W3'!A12))+(COUNTIF('HMZ - KAIS'!$A$7:$A$50,'W3'!A12))+(COUNTIF('IB TRANSPORT'!$A$7:$A$50,'W3'!A12))+(COUNTIF(JSL!$A$7:$A$50,'W3'!A12))+(COUNTIF(KIFAITOUT!$A$7:$A$50,'W3'!A12))+(COUNTIF('LUXE DRIVE'!$A$7:$A$50,'W3'!A12))+(COUNTIF(SSN!$A$7:$A$50,'W3'!A12))+(COUNTIF('W3'!$A$7:$A$50,'W3'!A12))+(COUNTIF('ATHIS MONS'!$A$7:$A$50,'W3'!A12))+(COUNTIF('L HAY LES ROSES'!$A$7:$A$50,'W3'!A12))+(COUNTIF(RUNGIS!$A$7:$A$50,'W3'!A12))+(COUNTIF(SCEAUX!$A$7:$A$50,'W3'!A12))+(COUNTIF('INSTANCE C1'!$A$7:$A$50,'W3'!A12))+(COUNTIF('INSTANCE C2'!$A$7:$A$50,'W3'!A12))+(COUNTIF(INTERNES!$A$7:$A$50,'W3'!A12))+(COUNTIF('EN PANNE'!$A$7:$A$50,'W3'!A12))-C12</f>
        <v>0</v>
      </c>
      <c r="C12" s="23">
        <f>(COUNTIF('2S EXPRESS'!$G$7:$G$50,'W3'!A12))+(COUNTIF('2 ZT'!$G$7:$G$50,'W3'!A12))+(COUNTIF('GO TRANSPORT'!$G$7:$G$50,'W3'!A12))+(COUNTIF('W3'!$G$7:$G$50,'W3'!A12))+(COUNTIF('IB TRANSPORT'!$G$7:$G$50,'W3'!A12))+(COUNTIF(JSL!$G$7:$G$50,'W3'!A12))+(COUNTIF(KIFAITOUT!$G$7:$G$50,'W3'!A12))+(COUNTIF('LUXE DRIVE'!$G$7:$G$50,'W3'!A12))+(COUNTIF(SSN!$G$7:$G$50,'W3'!A12))+(COUNTIF('W3'!$G$7:$G$50,'W3'!A12))+(COUNTIF('ATHIS MONS'!$G$7:$G$50,'W3'!A12))+(COUNTIF('L HAY LES ROSES'!$G$7:$G$50,'W3'!A12))+(COUNTIF(RUNGIS!$G$7:$G$50,'W3'!A12))+(COUNTIF(SCEAUX!$G$7:$G$50,'W3'!A12))+(COUNTIF('INSTANCE C1'!$G$7:$G$50,'W3'!A12))+(COUNTIF('INSTANCE C2'!$G$7:$G$50,'W3'!A12))+(COUNTIF(INTERNES!$G$7:$G$50,'W3'!A12))+(COUNTIF('EN PANNE'!$G$7:$G$50,'W3'!A12))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EXPRESS'!$G$7:$G$50,'W3'!G12))+(COUNTIF('2 ZT'!$G$7:$G$50,'W3'!G12))+(COUNTIF('GO TRANSPORT'!$G$7:$G$50,'W3'!G12))+(COUNTIF('HMZ - KAIS'!$G$7:$G$50,'W3'!G12))+(COUNTIF('IB TRANSPORT'!$G$7:$G$50,'W3'!G12))+(COUNTIF(JSL!$G$7:$G$50,'W3'!G12))+(COUNTIF(KIFAITOUT!$G$7:$G$50,'W3'!G12))+(COUNTIF('LUXE DRIVE'!$G$7:$G$50,'W3'!G12))+(COUNTIF(SSN!$G$7:$G$50,'W3'!G12))+(COUNTIF('W3'!$G$7:$G$50,'W3'!G12))+(COUNTIF('ATHIS MONS'!$G$7:$G$50,'W3'!G12))+(COUNTIF('L HAY LES ROSES'!$G$7:$G$50,'W3'!G12))+(COUNTIF(RUNGIS!$G$7:$G$50,'W3'!G12))+(COUNTIF(SCEAUX!$G$7:$G$50,'W3'!G12))+(COUNTIF('INSTANCE C1'!$G$7:$G$50,'W3'!G12))+(COUNTIF('INSTANCE C2'!$G$7:$G$50,'W3'!G12))+(COUNTIF(INTERNES!$G$7:$G$50,'W3'!G12))+(COUNTIF('EN PANNE'!$G$7:$G$50,'W3'!G12))-I12</f>
        <v>0</v>
      </c>
      <c r="I12" s="23">
        <f>(COUNTIF('2S EXPRESS'!$A$7:$A$50,'W3'!G12))+(COUNTIF('2 ZT'!$A$7:$A$50,'W3'!G12))+(COUNTIF('GO TRANSPORT'!$A$7:$A$50,'W3'!G12))+(COUNTIF('HMZ - KAIS'!$A$7:$A$50,'W3'!G12))+(COUNTIF('IB TRANSPORT'!$A$7:$A$50,'W3'!G12))+(COUNTIF(JSL!$A$7:$A$50,'W3'!G12))+(COUNTIF(KIFAITOUT!$A$7:$A$50,'W3'!G12))+(COUNTIF('LUXE DRIVE'!$A$7:$A$50,'W3'!G12))+(COUNTIF(SSN!$A$7:$A$50,'W3'!G12))+(COUNTIF('W3'!$A$7:$A$50,'W3'!G12))+(COUNTIF('ATHIS MONS'!$A$7:$A$50,'W3'!G12))+(COUNTIF('L HAY LES ROSES'!$A$7:$A$50,'W3'!G12))+(COUNTIF(RUNGIS!$A$7:$A$50,'W3'!G12))+(COUNTIF(SCEAUX!$A$7:$A$50,'W3'!G12))+(COUNTIF('INSTANCE C1'!$A$7:$A$50,'W3'!G12))+(COUNTIF('INSTANCE C2'!$A$7:$A$50,'W3'!G12))+(COUNTIF(INTERNES!$A$7:$A$50,'W3'!G12))+(COUNTIF('EN PANNE'!$A$7:$A$50,'W3'!G12))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S12" s="60">
        <f t="shared" si="1"/>
        <v>0</v>
      </c>
      <c r="T12" s="67">
        <f t="shared" si="2"/>
        <v>0</v>
      </c>
    </row>
    <row r="13" spans="1:26" ht="24.95" customHeight="1" x14ac:dyDescent="0.2">
      <c r="A13" s="20"/>
      <c r="B13" s="23">
        <f>(COUNTIF('2S EXPRESS'!$A$7:$A$50,'W3'!A13))+(COUNTIF('2 ZT'!$A$7:$A$50,'W3'!A13))+(COUNTIF('GO TRANSPORT'!$A$7:$A$50,'W3'!A13))+(COUNTIF('HMZ - KAIS'!$A$7:$A$50,'W3'!A13))+(COUNTIF('IB TRANSPORT'!$A$7:$A$50,'W3'!A13))+(COUNTIF(JSL!$A$7:$A$50,'W3'!A13))+(COUNTIF(KIFAITOUT!$A$7:$A$50,'W3'!A13))+(COUNTIF('LUXE DRIVE'!$A$7:$A$50,'W3'!A13))+(COUNTIF(SSN!$A$7:$A$50,'W3'!A13))+(COUNTIF('W3'!$A$7:$A$50,'W3'!A13))+(COUNTIF('ATHIS MONS'!$A$7:$A$50,'W3'!A13))+(COUNTIF('L HAY LES ROSES'!$A$7:$A$50,'W3'!A13))+(COUNTIF(RUNGIS!$A$7:$A$50,'W3'!A13))+(COUNTIF(SCEAUX!$A$7:$A$50,'W3'!A13))+(COUNTIF('INSTANCE C1'!$A$7:$A$50,'W3'!A13))+(COUNTIF('INSTANCE C2'!$A$7:$A$50,'W3'!A13))+(COUNTIF(INTERNES!$A$7:$A$50,'W3'!A13))+(COUNTIF('EN PANNE'!$A$7:$A$50,'W3'!A13))-C13</f>
        <v>0</v>
      </c>
      <c r="C13" s="23">
        <f>(COUNTIF('2S EXPRESS'!$G$7:$G$50,'W3'!A13))+(COUNTIF('2 ZT'!$G$7:$G$50,'W3'!A13))+(COUNTIF('GO TRANSPORT'!$G$7:$G$50,'W3'!A13))+(COUNTIF('W3'!$G$7:$G$50,'W3'!A13))+(COUNTIF('IB TRANSPORT'!$G$7:$G$50,'W3'!A13))+(COUNTIF(JSL!$G$7:$G$50,'W3'!A13))+(COUNTIF(KIFAITOUT!$G$7:$G$50,'W3'!A13))+(COUNTIF('LUXE DRIVE'!$G$7:$G$50,'W3'!A13))+(COUNTIF(SSN!$G$7:$G$50,'W3'!A13))+(COUNTIF('W3'!$G$7:$G$50,'W3'!A13))+(COUNTIF('ATHIS MONS'!$G$7:$G$50,'W3'!A13))+(COUNTIF('L HAY LES ROSES'!$G$7:$G$50,'W3'!A13))+(COUNTIF(RUNGIS!$G$7:$G$50,'W3'!A13))+(COUNTIF(SCEAUX!$G$7:$G$50,'W3'!A13))+(COUNTIF('INSTANCE C1'!$G$7:$G$50,'W3'!A13))+(COUNTIF('INSTANCE C2'!$G$7:$G$50,'W3'!A13))+(COUNTIF(INTERNES!$G$7:$G$50,'W3'!A13))+(COUNTIF('EN PANNE'!$G$7:$G$50,'W3'!A13))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EXPRESS'!$G$7:$G$50,'W3'!G13))+(COUNTIF('2 ZT'!$G$7:$G$50,'W3'!G13))+(COUNTIF('GO TRANSPORT'!$G$7:$G$50,'W3'!G13))+(COUNTIF('HMZ - KAIS'!$G$7:$G$50,'W3'!G13))+(COUNTIF('IB TRANSPORT'!$G$7:$G$50,'W3'!G13))+(COUNTIF(JSL!$G$7:$G$50,'W3'!G13))+(COUNTIF(KIFAITOUT!$G$7:$G$50,'W3'!G13))+(COUNTIF('LUXE DRIVE'!$G$7:$G$50,'W3'!G13))+(COUNTIF(SSN!$G$7:$G$50,'W3'!G13))+(COUNTIF('W3'!$G$7:$G$50,'W3'!G13))+(COUNTIF('ATHIS MONS'!$G$7:$G$50,'W3'!G13))+(COUNTIF('L HAY LES ROSES'!$G$7:$G$50,'W3'!G13))+(COUNTIF(RUNGIS!$G$7:$G$50,'W3'!G13))+(COUNTIF(SCEAUX!$G$7:$G$50,'W3'!G13))+(COUNTIF('INSTANCE C1'!$G$7:$G$50,'W3'!G13))+(COUNTIF('INSTANCE C2'!$G$7:$G$50,'W3'!G13))+(COUNTIF(INTERNES!$G$7:$G$50,'W3'!G13))+(COUNTIF('EN PANNE'!$G$7:$G$50,'W3'!G13))-I13</f>
        <v>0</v>
      </c>
      <c r="I13" s="23">
        <f>(COUNTIF('2S EXPRESS'!$A$7:$A$50,'W3'!G13))+(COUNTIF('2 ZT'!$A$7:$A$50,'W3'!G13))+(COUNTIF('GO TRANSPORT'!$A$7:$A$50,'W3'!G13))+(COUNTIF('HMZ - KAIS'!$A$7:$A$50,'W3'!G13))+(COUNTIF('IB TRANSPORT'!$A$7:$A$50,'W3'!G13))+(COUNTIF(JSL!$A$7:$A$50,'W3'!G13))+(COUNTIF(KIFAITOUT!$A$7:$A$50,'W3'!G13))+(COUNTIF('LUXE DRIVE'!$A$7:$A$50,'W3'!G13))+(COUNTIF(SSN!$A$7:$A$50,'W3'!G13))+(COUNTIF('W3'!$A$7:$A$50,'W3'!G13))+(COUNTIF('ATHIS MONS'!$A$7:$A$50,'W3'!G13))+(COUNTIF('L HAY LES ROSES'!$A$7:$A$50,'W3'!G13))+(COUNTIF(RUNGIS!$A$7:$A$50,'W3'!G13))+(COUNTIF(SCEAUX!$A$7:$A$50,'W3'!G13))+(COUNTIF('INSTANCE C1'!$A$7:$A$50,'W3'!G13))+(COUNTIF('INSTANCE C2'!$A$7:$A$50,'W3'!G13))+(COUNTIF(INTERNES!$A$7:$A$50,'W3'!G13))+(COUNTIF('EN PANNE'!$A$7:$A$50,'W3'!G13))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S13" s="60">
        <f t="shared" si="1"/>
        <v>0</v>
      </c>
      <c r="T13" s="67">
        <f t="shared" si="2"/>
        <v>0</v>
      </c>
    </row>
    <row r="14" spans="1:26" ht="24.95" customHeight="1" x14ac:dyDescent="0.2">
      <c r="A14" s="20"/>
      <c r="B14" s="23">
        <f>(COUNTIF('2S EXPRESS'!$A$7:$A$50,'W3'!A14))+(COUNTIF('2 ZT'!$A$7:$A$50,'W3'!A14))+(COUNTIF('GO TRANSPORT'!$A$7:$A$50,'W3'!A14))+(COUNTIF('HMZ - KAIS'!$A$7:$A$50,'W3'!A14))+(COUNTIF('IB TRANSPORT'!$A$7:$A$50,'W3'!A14))+(COUNTIF(JSL!$A$7:$A$50,'W3'!A14))+(COUNTIF(KIFAITOUT!$A$7:$A$50,'W3'!A14))+(COUNTIF('LUXE DRIVE'!$A$7:$A$50,'W3'!A14))+(COUNTIF(SSN!$A$7:$A$50,'W3'!A14))+(COUNTIF('W3'!$A$7:$A$50,'W3'!A14))+(COUNTIF('ATHIS MONS'!$A$7:$A$50,'W3'!A14))+(COUNTIF('L HAY LES ROSES'!$A$7:$A$50,'W3'!A14))+(COUNTIF(RUNGIS!$A$7:$A$50,'W3'!A14))+(COUNTIF(SCEAUX!$A$7:$A$50,'W3'!A14))+(COUNTIF('INSTANCE C1'!$A$7:$A$50,'W3'!A14))+(COUNTIF('INSTANCE C2'!$A$7:$A$50,'W3'!A14))+(COUNTIF(INTERNES!$A$7:$A$50,'W3'!A14))+(COUNTIF('EN PANNE'!$A$7:$A$50,'W3'!A14))-C14</f>
        <v>0</v>
      </c>
      <c r="C14" s="23">
        <f>(COUNTIF('2S EXPRESS'!$G$7:$G$50,'W3'!A14))+(COUNTIF('2 ZT'!$G$7:$G$50,'W3'!A14))+(COUNTIF('GO TRANSPORT'!$G$7:$G$50,'W3'!A14))+(COUNTIF('W3'!$G$7:$G$50,'W3'!A14))+(COUNTIF('IB TRANSPORT'!$G$7:$G$50,'W3'!A14))+(COUNTIF(JSL!$G$7:$G$50,'W3'!A14))+(COUNTIF(KIFAITOUT!$G$7:$G$50,'W3'!A14))+(COUNTIF('LUXE DRIVE'!$G$7:$G$50,'W3'!A14))+(COUNTIF(SSN!$G$7:$G$50,'W3'!A14))+(COUNTIF('W3'!$G$7:$G$50,'W3'!A14))+(COUNTIF('ATHIS MONS'!$G$7:$G$50,'W3'!A14))+(COUNTIF('L HAY LES ROSES'!$G$7:$G$50,'W3'!A14))+(COUNTIF(RUNGIS!$G$7:$G$50,'W3'!A14))+(COUNTIF(SCEAUX!$G$7:$G$50,'W3'!A14))+(COUNTIF('INSTANCE C1'!$G$7:$G$50,'W3'!A14))+(COUNTIF('INSTANCE C2'!$G$7:$G$50,'W3'!A14))+(COUNTIF(INTERNES!$G$7:$G$50,'W3'!A14))+(COUNTIF('EN PANNE'!$G$7:$G$50,'W3'!A14))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EXPRESS'!$G$7:$G$50,'W3'!G14))+(COUNTIF('2 ZT'!$G$7:$G$50,'W3'!G14))+(COUNTIF('GO TRANSPORT'!$G$7:$G$50,'W3'!G14))+(COUNTIF('HMZ - KAIS'!$G$7:$G$50,'W3'!G14))+(COUNTIF('IB TRANSPORT'!$G$7:$G$50,'W3'!G14))+(COUNTIF(JSL!$G$7:$G$50,'W3'!G14))+(COUNTIF(KIFAITOUT!$G$7:$G$50,'W3'!G14))+(COUNTIF('LUXE DRIVE'!$G$7:$G$50,'W3'!G14))+(COUNTIF(SSN!$G$7:$G$50,'W3'!G14))+(COUNTIF('W3'!$G$7:$G$50,'W3'!G14))+(COUNTIF('ATHIS MONS'!$G$7:$G$50,'W3'!G14))+(COUNTIF('L HAY LES ROSES'!$G$7:$G$50,'W3'!G14))+(COUNTIF(RUNGIS!$G$7:$G$50,'W3'!G14))+(COUNTIF(SCEAUX!$G$7:$G$50,'W3'!G14))+(COUNTIF('INSTANCE C1'!$G$7:$G$50,'W3'!G14))+(COUNTIF('INSTANCE C2'!$G$7:$G$50,'W3'!G14))+(COUNTIF(INTERNES!$G$7:$G$50,'W3'!G14))+(COUNTIF('EN PANNE'!$G$7:$G$50,'W3'!G14))-I14</f>
        <v>0</v>
      </c>
      <c r="I14" s="23">
        <f>(COUNTIF('2S EXPRESS'!$A$7:$A$50,'W3'!G14))+(COUNTIF('2 ZT'!$A$7:$A$50,'W3'!G14))+(COUNTIF('GO TRANSPORT'!$A$7:$A$50,'W3'!G14))+(COUNTIF('HMZ - KAIS'!$A$7:$A$50,'W3'!G14))+(COUNTIF('IB TRANSPORT'!$A$7:$A$50,'W3'!G14))+(COUNTIF(JSL!$A$7:$A$50,'W3'!G14))+(COUNTIF(KIFAITOUT!$A$7:$A$50,'W3'!G14))+(COUNTIF('LUXE DRIVE'!$A$7:$A$50,'W3'!G14))+(COUNTIF(SSN!$A$7:$A$50,'W3'!G14))+(COUNTIF('W3'!$A$7:$A$50,'W3'!G14))+(COUNTIF('ATHIS MONS'!$A$7:$A$50,'W3'!G14))+(COUNTIF('L HAY LES ROSES'!$A$7:$A$50,'W3'!G14))+(COUNTIF(RUNGIS!$A$7:$A$50,'W3'!G14))+(COUNTIF(SCEAUX!$A$7:$A$50,'W3'!G14))+(COUNTIF('INSTANCE C1'!$A$7:$A$50,'W3'!G14))+(COUNTIF('INSTANCE C2'!$A$7:$A$50,'W3'!G14))+(COUNTIF(INTERNES!$A$7:$A$50,'W3'!G14))+(COUNTIF('EN PANNE'!$A$7:$A$50,'W3'!G14))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S14" s="60">
        <f t="shared" si="1"/>
        <v>0</v>
      </c>
      <c r="T14" s="67">
        <f t="shared" si="2"/>
        <v>0</v>
      </c>
    </row>
    <row r="15" spans="1:26" ht="24.95" customHeight="1" x14ac:dyDescent="0.2">
      <c r="A15" s="20"/>
      <c r="B15" s="23">
        <f>(COUNTIF('2S EXPRESS'!$A$7:$A$50,'W3'!A15))+(COUNTIF('2 ZT'!$A$7:$A$50,'W3'!A15))+(COUNTIF('GO TRANSPORT'!$A$7:$A$50,'W3'!A15))+(COUNTIF('HMZ - KAIS'!$A$7:$A$50,'W3'!A15))+(COUNTIF('IB TRANSPORT'!$A$7:$A$50,'W3'!A15))+(COUNTIF(JSL!$A$7:$A$50,'W3'!A15))+(COUNTIF(KIFAITOUT!$A$7:$A$50,'W3'!A15))+(COUNTIF('LUXE DRIVE'!$A$7:$A$50,'W3'!A15))+(COUNTIF(SSN!$A$7:$A$50,'W3'!A15))+(COUNTIF('W3'!$A$7:$A$50,'W3'!A15))+(COUNTIF('ATHIS MONS'!$A$7:$A$50,'W3'!A15))+(COUNTIF('L HAY LES ROSES'!$A$7:$A$50,'W3'!A15))+(COUNTIF(RUNGIS!$A$7:$A$50,'W3'!A15))+(COUNTIF(SCEAUX!$A$7:$A$50,'W3'!A15))+(COUNTIF('INSTANCE C1'!$A$7:$A$50,'W3'!A15))+(COUNTIF('INSTANCE C2'!$A$7:$A$50,'W3'!A15))+(COUNTIF(INTERNES!$A$7:$A$50,'W3'!A15))+(COUNTIF('EN PANNE'!$A$7:$A$50,'W3'!A15))-C15</f>
        <v>0</v>
      </c>
      <c r="C15" s="23">
        <f>(COUNTIF('2S EXPRESS'!$G$7:$G$50,'W3'!A15))+(COUNTIF('2 ZT'!$G$7:$G$50,'W3'!A15))+(COUNTIF('GO TRANSPORT'!$G$7:$G$50,'W3'!A15))+(COUNTIF('W3'!$G$7:$G$50,'W3'!A15))+(COUNTIF('IB TRANSPORT'!$G$7:$G$50,'W3'!A15))+(COUNTIF(JSL!$G$7:$G$50,'W3'!A15))+(COUNTIF(KIFAITOUT!$G$7:$G$50,'W3'!A15))+(COUNTIF('LUXE DRIVE'!$G$7:$G$50,'W3'!A15))+(COUNTIF(SSN!$G$7:$G$50,'W3'!A15))+(COUNTIF('W3'!$G$7:$G$50,'W3'!A15))+(COUNTIF('ATHIS MONS'!$G$7:$G$50,'W3'!A15))+(COUNTIF('L HAY LES ROSES'!$G$7:$G$50,'W3'!A15))+(COUNTIF(RUNGIS!$G$7:$G$50,'W3'!A15))+(COUNTIF(SCEAUX!$G$7:$G$50,'W3'!A15))+(COUNTIF('INSTANCE C1'!$G$7:$G$50,'W3'!A15))+(COUNTIF('INSTANCE C2'!$G$7:$G$50,'W3'!A15))+(COUNTIF(INTERNES!$G$7:$G$50,'W3'!A15))+(COUNTIF('EN PANNE'!$G$7:$G$50,'W3'!A15))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EXPRESS'!$G$7:$G$50,'W3'!G15))+(COUNTIF('2 ZT'!$G$7:$G$50,'W3'!G15))+(COUNTIF('GO TRANSPORT'!$G$7:$G$50,'W3'!G15))+(COUNTIF('HMZ - KAIS'!$G$7:$G$50,'W3'!G15))+(COUNTIF('IB TRANSPORT'!$G$7:$G$50,'W3'!G15))+(COUNTIF(JSL!$G$7:$G$50,'W3'!G15))+(COUNTIF(KIFAITOUT!$G$7:$G$50,'W3'!G15))+(COUNTIF('LUXE DRIVE'!$G$7:$G$50,'W3'!G15))+(COUNTIF(SSN!$G$7:$G$50,'W3'!G15))+(COUNTIF('W3'!$G$7:$G$50,'W3'!G15))+(COUNTIF('ATHIS MONS'!$G$7:$G$50,'W3'!G15))+(COUNTIF('L HAY LES ROSES'!$G$7:$G$50,'W3'!G15))+(COUNTIF(RUNGIS!$G$7:$G$50,'W3'!G15))+(COUNTIF(SCEAUX!$G$7:$G$50,'W3'!G15))+(COUNTIF('INSTANCE C1'!$G$7:$G$50,'W3'!G15))+(COUNTIF('INSTANCE C2'!$G$7:$G$50,'W3'!G15))+(COUNTIF(INTERNES!$G$7:$G$50,'W3'!G15))+(COUNTIF('EN PANNE'!$G$7:$G$50,'W3'!G15))-I15</f>
        <v>0</v>
      </c>
      <c r="I15" s="23">
        <f>(COUNTIF('2S EXPRESS'!$A$7:$A$50,'W3'!G15))+(COUNTIF('2 ZT'!$A$7:$A$50,'W3'!G15))+(COUNTIF('GO TRANSPORT'!$A$7:$A$50,'W3'!G15))+(COUNTIF('HMZ - KAIS'!$A$7:$A$50,'W3'!G15))+(COUNTIF('IB TRANSPORT'!$A$7:$A$50,'W3'!G15))+(COUNTIF(JSL!$A$7:$A$50,'W3'!G15))+(COUNTIF(KIFAITOUT!$A$7:$A$50,'W3'!G15))+(COUNTIF('LUXE DRIVE'!$A$7:$A$50,'W3'!G15))+(COUNTIF(SSN!$A$7:$A$50,'W3'!G15))+(COUNTIF('W3'!$A$7:$A$50,'W3'!G15))+(COUNTIF('ATHIS MONS'!$A$7:$A$50,'W3'!G15))+(COUNTIF('L HAY LES ROSES'!$A$7:$A$50,'W3'!G15))+(COUNTIF(RUNGIS!$A$7:$A$50,'W3'!G15))+(COUNTIF(SCEAUX!$A$7:$A$50,'W3'!G15))+(COUNTIF('INSTANCE C1'!$A$7:$A$50,'W3'!G15))+(COUNTIF('INSTANCE C2'!$A$7:$A$50,'W3'!G15))+(COUNTIF(INTERNES!$A$7:$A$50,'W3'!G15))+(COUNTIF('EN PANNE'!$A$7:$A$50,'W3'!G15))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S15" s="60">
        <f t="shared" si="1"/>
        <v>0</v>
      </c>
      <c r="T15" s="67">
        <f t="shared" si="2"/>
        <v>0</v>
      </c>
    </row>
    <row r="16" spans="1:26" ht="24.95" customHeight="1" x14ac:dyDescent="0.2">
      <c r="A16" s="20"/>
      <c r="B16" s="23">
        <f>(COUNTIF('2S EXPRESS'!$A$7:$A$50,'W3'!A16))+(COUNTIF('2 ZT'!$A$7:$A$50,'W3'!A16))+(COUNTIF('GO TRANSPORT'!$A$7:$A$50,'W3'!A16))+(COUNTIF('HMZ - KAIS'!$A$7:$A$50,'W3'!A16))+(COUNTIF('IB TRANSPORT'!$A$7:$A$50,'W3'!A16))+(COUNTIF(JSL!$A$7:$A$50,'W3'!A16))+(COUNTIF(KIFAITOUT!$A$7:$A$50,'W3'!A16))+(COUNTIF('LUXE DRIVE'!$A$7:$A$50,'W3'!A16))+(COUNTIF(SSN!$A$7:$A$50,'W3'!A16))+(COUNTIF('W3'!$A$7:$A$50,'W3'!A16))+(COUNTIF('ATHIS MONS'!$A$7:$A$50,'W3'!A16))+(COUNTIF('L HAY LES ROSES'!$A$7:$A$50,'W3'!A16))+(COUNTIF(RUNGIS!$A$7:$A$50,'W3'!A16))+(COUNTIF(SCEAUX!$A$7:$A$50,'W3'!A16))+(COUNTIF('INSTANCE C1'!$A$7:$A$50,'W3'!A16))+(COUNTIF('INSTANCE C2'!$A$7:$A$50,'W3'!A16))+(COUNTIF(INTERNES!$A$7:$A$50,'W3'!A16))+(COUNTIF('EN PANNE'!$A$7:$A$50,'W3'!A16))-C16</f>
        <v>0</v>
      </c>
      <c r="C16" s="23">
        <f>(COUNTIF('2S EXPRESS'!$G$7:$G$50,'W3'!A16))+(COUNTIF('2 ZT'!$G$7:$G$50,'W3'!A16))+(COUNTIF('GO TRANSPORT'!$G$7:$G$50,'W3'!A16))+(COUNTIF('W3'!$G$7:$G$50,'W3'!A16))+(COUNTIF('IB TRANSPORT'!$G$7:$G$50,'W3'!A16))+(COUNTIF(JSL!$G$7:$G$50,'W3'!A16))+(COUNTIF(KIFAITOUT!$G$7:$G$50,'W3'!A16))+(COUNTIF('LUXE DRIVE'!$G$7:$G$50,'W3'!A16))+(COUNTIF(SSN!$G$7:$G$50,'W3'!A16))+(COUNTIF('W3'!$G$7:$G$50,'W3'!A16))+(COUNTIF('ATHIS MONS'!$G$7:$G$50,'W3'!A16))+(COUNTIF('L HAY LES ROSES'!$G$7:$G$50,'W3'!A16))+(COUNTIF(RUNGIS!$G$7:$G$50,'W3'!A16))+(COUNTIF(SCEAUX!$G$7:$G$50,'W3'!A16))+(COUNTIF('INSTANCE C1'!$G$7:$G$50,'W3'!A16))+(COUNTIF('INSTANCE C2'!$G$7:$G$50,'W3'!A16))+(COUNTIF(INTERNES!$G$7:$G$50,'W3'!A16))+(COUNTIF('EN PANNE'!$G$7:$G$50,'W3'!A16))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EXPRESS'!$G$7:$G$50,'W3'!G16))+(COUNTIF('2 ZT'!$G$7:$G$50,'W3'!G16))+(COUNTIF('GO TRANSPORT'!$G$7:$G$50,'W3'!G16))+(COUNTIF('HMZ - KAIS'!$G$7:$G$50,'W3'!G16))+(COUNTIF('IB TRANSPORT'!$G$7:$G$50,'W3'!G16))+(COUNTIF(JSL!$G$7:$G$50,'W3'!G16))+(COUNTIF(KIFAITOUT!$G$7:$G$50,'W3'!G16))+(COUNTIF('LUXE DRIVE'!$G$7:$G$50,'W3'!G16))+(COUNTIF(SSN!$G$7:$G$50,'W3'!G16))+(COUNTIF('W3'!$G$7:$G$50,'W3'!G16))+(COUNTIF('ATHIS MONS'!$G$7:$G$50,'W3'!G16))+(COUNTIF('L HAY LES ROSES'!$G$7:$G$50,'W3'!G16))+(COUNTIF(RUNGIS!$G$7:$G$50,'W3'!G16))+(COUNTIF(SCEAUX!$G$7:$G$50,'W3'!G16))+(COUNTIF('INSTANCE C1'!$G$7:$G$50,'W3'!G16))+(COUNTIF('INSTANCE C2'!$G$7:$G$50,'W3'!G16))+(COUNTIF(INTERNES!$G$7:$G$50,'W3'!G16))+(COUNTIF('EN PANNE'!$G$7:$G$50,'W3'!G16))-I16</f>
        <v>0</v>
      </c>
      <c r="I16" s="23">
        <f>(COUNTIF('2S EXPRESS'!$A$7:$A$50,'W3'!G16))+(COUNTIF('2 ZT'!$A$7:$A$50,'W3'!G16))+(COUNTIF('GO TRANSPORT'!$A$7:$A$50,'W3'!G16))+(COUNTIF('HMZ - KAIS'!$A$7:$A$50,'W3'!G16))+(COUNTIF('IB TRANSPORT'!$A$7:$A$50,'W3'!G16))+(COUNTIF(JSL!$A$7:$A$50,'W3'!G16))+(COUNTIF(KIFAITOUT!$A$7:$A$50,'W3'!G16))+(COUNTIF('LUXE DRIVE'!$A$7:$A$50,'W3'!G16))+(COUNTIF(SSN!$A$7:$A$50,'W3'!G16))+(COUNTIF('W3'!$A$7:$A$50,'W3'!G16))+(COUNTIF('ATHIS MONS'!$A$7:$A$50,'W3'!G16))+(COUNTIF('L HAY LES ROSES'!$A$7:$A$50,'W3'!G16))+(COUNTIF(RUNGIS!$A$7:$A$50,'W3'!G16))+(COUNTIF(SCEAUX!$A$7:$A$50,'W3'!G16))+(COUNTIF('INSTANCE C1'!$A$7:$A$50,'W3'!G16))+(COUNTIF('INSTANCE C2'!$A$7:$A$50,'W3'!G16))+(COUNTIF(INTERNES!$A$7:$A$50,'W3'!G16))+(COUNTIF('EN PANNE'!$A$7:$A$50,'W3'!G16))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S16" s="60">
        <f t="shared" si="1"/>
        <v>0</v>
      </c>
      <c r="T16" s="67">
        <f t="shared" si="2"/>
        <v>0</v>
      </c>
    </row>
    <row r="17" spans="1:20" ht="24.95" customHeight="1" x14ac:dyDescent="0.2">
      <c r="A17" s="20"/>
      <c r="B17" s="23">
        <f>(COUNTIF('2S EXPRESS'!$A$7:$A$50,'W3'!A17))+(COUNTIF('2 ZT'!$A$7:$A$50,'W3'!A17))+(COUNTIF('GO TRANSPORT'!$A$7:$A$50,'W3'!A17))+(COUNTIF('HMZ - KAIS'!$A$7:$A$50,'W3'!A17))+(COUNTIF('IB TRANSPORT'!$A$7:$A$50,'W3'!A17))+(COUNTIF(JSL!$A$7:$A$50,'W3'!A17))+(COUNTIF(KIFAITOUT!$A$7:$A$50,'W3'!A17))+(COUNTIF('LUXE DRIVE'!$A$7:$A$50,'W3'!A17))+(COUNTIF(SSN!$A$7:$A$50,'W3'!A17))+(COUNTIF('W3'!$A$7:$A$50,'W3'!A17))+(COUNTIF('ATHIS MONS'!$A$7:$A$50,'W3'!A17))+(COUNTIF('L HAY LES ROSES'!$A$7:$A$50,'W3'!A17))+(COUNTIF(RUNGIS!$A$7:$A$50,'W3'!A17))+(COUNTIF(SCEAUX!$A$7:$A$50,'W3'!A17))+(COUNTIF('INSTANCE C1'!$A$7:$A$50,'W3'!A17))+(COUNTIF('INSTANCE C2'!$A$7:$A$50,'W3'!A17))+(COUNTIF(INTERNES!$A$7:$A$50,'W3'!A17))+(COUNTIF('EN PANNE'!$A$7:$A$50,'W3'!A17))-C17</f>
        <v>0</v>
      </c>
      <c r="C17" s="23">
        <f>(COUNTIF('2S EXPRESS'!$G$7:$G$50,'W3'!A17))+(COUNTIF('2 ZT'!$G$7:$G$50,'W3'!A17))+(COUNTIF('GO TRANSPORT'!$G$7:$G$50,'W3'!A17))+(COUNTIF('W3'!$G$7:$G$50,'W3'!A17))+(COUNTIF('IB TRANSPORT'!$G$7:$G$50,'W3'!A17))+(COUNTIF(JSL!$G$7:$G$50,'W3'!A17))+(COUNTIF(KIFAITOUT!$G$7:$G$50,'W3'!A17))+(COUNTIF('LUXE DRIVE'!$G$7:$G$50,'W3'!A17))+(COUNTIF(SSN!$G$7:$G$50,'W3'!A17))+(COUNTIF('W3'!$G$7:$G$50,'W3'!A17))+(COUNTIF('ATHIS MONS'!$G$7:$G$50,'W3'!A17))+(COUNTIF('L HAY LES ROSES'!$G$7:$G$50,'W3'!A17))+(COUNTIF(RUNGIS!$G$7:$G$50,'W3'!A17))+(COUNTIF(SCEAUX!$G$7:$G$50,'W3'!A17))+(COUNTIF('INSTANCE C1'!$G$7:$G$50,'W3'!A17))+(COUNTIF('INSTANCE C2'!$G$7:$G$50,'W3'!A17))+(COUNTIF(INTERNES!$G$7:$G$50,'W3'!A17))+(COUNTIF('EN PANNE'!$G$7:$G$50,'W3'!A17))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EXPRESS'!$G$7:$G$50,'W3'!G17))+(COUNTIF('2 ZT'!$G$7:$G$50,'W3'!G17))+(COUNTIF('GO TRANSPORT'!$G$7:$G$50,'W3'!G17))+(COUNTIF('HMZ - KAIS'!$G$7:$G$50,'W3'!G17))+(COUNTIF('IB TRANSPORT'!$G$7:$G$50,'W3'!G17))+(COUNTIF(JSL!$G$7:$G$50,'W3'!G17))+(COUNTIF(KIFAITOUT!$G$7:$G$50,'W3'!G17))+(COUNTIF('LUXE DRIVE'!$G$7:$G$50,'W3'!G17))+(COUNTIF(SSN!$G$7:$G$50,'W3'!G17))+(COUNTIF('W3'!$G$7:$G$50,'W3'!G17))+(COUNTIF('ATHIS MONS'!$G$7:$G$50,'W3'!G17))+(COUNTIF('L HAY LES ROSES'!$G$7:$G$50,'W3'!G17))+(COUNTIF(RUNGIS!$G$7:$G$50,'W3'!G17))+(COUNTIF(SCEAUX!$G$7:$G$50,'W3'!G17))+(COUNTIF('INSTANCE C1'!$G$7:$G$50,'W3'!G17))+(COUNTIF('INSTANCE C2'!$G$7:$G$50,'W3'!G17))+(COUNTIF(INTERNES!$G$7:$G$50,'W3'!G17))+(COUNTIF('EN PANNE'!$G$7:$G$50,'W3'!G17))-I17</f>
        <v>0</v>
      </c>
      <c r="I17" s="23">
        <f>(COUNTIF('2S EXPRESS'!$A$7:$A$50,'W3'!G17))+(COUNTIF('2 ZT'!$A$7:$A$50,'W3'!G17))+(COUNTIF('GO TRANSPORT'!$A$7:$A$50,'W3'!G17))+(COUNTIF('HMZ - KAIS'!$A$7:$A$50,'W3'!G17))+(COUNTIF('IB TRANSPORT'!$A$7:$A$50,'W3'!G17))+(COUNTIF(JSL!$A$7:$A$50,'W3'!G17))+(COUNTIF(KIFAITOUT!$A$7:$A$50,'W3'!G17))+(COUNTIF('LUXE DRIVE'!$A$7:$A$50,'W3'!G17))+(COUNTIF(SSN!$A$7:$A$50,'W3'!G17))+(COUNTIF('W3'!$A$7:$A$50,'W3'!G17))+(COUNTIF('ATHIS MONS'!$A$7:$A$50,'W3'!G17))+(COUNTIF('L HAY LES ROSES'!$A$7:$A$50,'W3'!G17))+(COUNTIF(RUNGIS!$A$7:$A$50,'W3'!G17))+(COUNTIF(SCEAUX!$A$7:$A$50,'W3'!G17))+(COUNTIF('INSTANCE C1'!$A$7:$A$50,'W3'!G17))+(COUNTIF('INSTANCE C2'!$A$7:$A$50,'W3'!G17))+(COUNTIF(INTERNES!$A$7:$A$50,'W3'!G17))+(COUNTIF('EN PANNE'!$A$7:$A$50,'W3'!G17))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S17" s="60">
        <f t="shared" si="1"/>
        <v>0</v>
      </c>
      <c r="T17" s="67">
        <f t="shared" si="2"/>
        <v>0</v>
      </c>
    </row>
    <row r="18" spans="1:20" ht="24.95" customHeight="1" x14ac:dyDescent="0.2">
      <c r="A18" s="20"/>
      <c r="B18" s="23">
        <f>(COUNTIF('2S EXPRESS'!$A$7:$A$50,'W3'!A18))+(COUNTIF('2 ZT'!$A$7:$A$50,'W3'!A18))+(COUNTIF('GO TRANSPORT'!$A$7:$A$50,'W3'!A18))+(COUNTIF('HMZ - KAIS'!$A$7:$A$50,'W3'!A18))+(COUNTIF('IB TRANSPORT'!$A$7:$A$50,'W3'!A18))+(COUNTIF(JSL!$A$7:$A$50,'W3'!A18))+(COUNTIF(KIFAITOUT!$A$7:$A$50,'W3'!A18))+(COUNTIF('LUXE DRIVE'!$A$7:$A$50,'W3'!A18))+(COUNTIF(SSN!$A$7:$A$50,'W3'!A18))+(COUNTIF('W3'!$A$7:$A$50,'W3'!A18))+(COUNTIF('ATHIS MONS'!$A$7:$A$50,'W3'!A18))+(COUNTIF('L HAY LES ROSES'!$A$7:$A$50,'W3'!A18))+(COUNTIF(RUNGIS!$A$7:$A$50,'W3'!A18))+(COUNTIF(SCEAUX!$A$7:$A$50,'W3'!A18))+(COUNTIF('INSTANCE C1'!$A$7:$A$50,'W3'!A18))+(COUNTIF('INSTANCE C2'!$A$7:$A$50,'W3'!A18))+(COUNTIF(INTERNES!$A$7:$A$50,'W3'!A18))+(COUNTIF('EN PANNE'!$A$7:$A$50,'W3'!A18))-C18</f>
        <v>0</v>
      </c>
      <c r="C18" s="23">
        <f>(COUNTIF('2S EXPRESS'!$G$7:$G$50,'W3'!A18))+(COUNTIF('2 ZT'!$G$7:$G$50,'W3'!A18))+(COUNTIF('GO TRANSPORT'!$G$7:$G$50,'W3'!A18))+(COUNTIF('W3'!$G$7:$G$50,'W3'!A18))+(COUNTIF('IB TRANSPORT'!$G$7:$G$50,'W3'!A18))+(COUNTIF(JSL!$G$7:$G$50,'W3'!A18))+(COUNTIF(KIFAITOUT!$G$7:$G$50,'W3'!A18))+(COUNTIF('LUXE DRIVE'!$G$7:$G$50,'W3'!A18))+(COUNTIF(SSN!$G$7:$G$50,'W3'!A18))+(COUNTIF('W3'!$G$7:$G$50,'W3'!A18))+(COUNTIF('ATHIS MONS'!$G$7:$G$50,'W3'!A18))+(COUNTIF('L HAY LES ROSES'!$G$7:$G$50,'W3'!A18))+(COUNTIF(RUNGIS!$G$7:$G$50,'W3'!A18))+(COUNTIF(SCEAUX!$G$7:$G$50,'W3'!A18))+(COUNTIF('INSTANCE C1'!$G$7:$G$50,'W3'!A18))+(COUNTIF('INSTANCE C2'!$G$7:$G$50,'W3'!A18))+(COUNTIF(INTERNES!$G$7:$G$50,'W3'!A18))+(COUNTIF('EN PANNE'!$G$7:$G$50,'W3'!A18))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EXPRESS'!$G$7:$G$50,'W3'!G18))+(COUNTIF('2 ZT'!$G$7:$G$50,'W3'!G18))+(COUNTIF('GO TRANSPORT'!$G$7:$G$50,'W3'!G18))+(COUNTIF('HMZ - KAIS'!$G$7:$G$50,'W3'!G18))+(COUNTIF('IB TRANSPORT'!$G$7:$G$50,'W3'!G18))+(COUNTIF(JSL!$G$7:$G$50,'W3'!G18))+(COUNTIF(KIFAITOUT!$G$7:$G$50,'W3'!G18))+(COUNTIF('LUXE DRIVE'!$G$7:$G$50,'W3'!G18))+(COUNTIF(SSN!$G$7:$G$50,'W3'!G18))+(COUNTIF('W3'!$G$7:$G$50,'W3'!G18))+(COUNTIF('ATHIS MONS'!$G$7:$G$50,'W3'!G18))+(COUNTIF('L HAY LES ROSES'!$G$7:$G$50,'W3'!G18))+(COUNTIF(RUNGIS!$G$7:$G$50,'W3'!G18))+(COUNTIF(SCEAUX!$G$7:$G$50,'W3'!G18))+(COUNTIF('INSTANCE C1'!$G$7:$G$50,'W3'!G18))+(COUNTIF('INSTANCE C2'!$G$7:$G$50,'W3'!G18))+(COUNTIF(INTERNES!$G$7:$G$50,'W3'!G18))+(COUNTIF('EN PANNE'!$G$7:$G$50,'W3'!G18))-I18</f>
        <v>0</v>
      </c>
      <c r="I18" s="23">
        <f>(COUNTIF('2S EXPRESS'!$A$7:$A$50,'W3'!G18))+(COUNTIF('2 ZT'!$A$7:$A$50,'W3'!G18))+(COUNTIF('GO TRANSPORT'!$A$7:$A$50,'W3'!G18))+(COUNTIF('HMZ - KAIS'!$A$7:$A$50,'W3'!G18))+(COUNTIF('IB TRANSPORT'!$A$7:$A$50,'W3'!G18))+(COUNTIF(JSL!$A$7:$A$50,'W3'!G18))+(COUNTIF(KIFAITOUT!$A$7:$A$50,'W3'!G18))+(COUNTIF('LUXE DRIVE'!$A$7:$A$50,'W3'!G18))+(COUNTIF(SSN!$A$7:$A$50,'W3'!G18))+(COUNTIF('W3'!$A$7:$A$50,'W3'!G18))+(COUNTIF('ATHIS MONS'!$A$7:$A$50,'W3'!G18))+(COUNTIF('L HAY LES ROSES'!$A$7:$A$50,'W3'!G18))+(COUNTIF(RUNGIS!$A$7:$A$50,'W3'!G18))+(COUNTIF(SCEAUX!$A$7:$A$50,'W3'!G18))+(COUNTIF('INSTANCE C1'!$A$7:$A$50,'W3'!G18))+(COUNTIF('INSTANCE C2'!$A$7:$A$50,'W3'!G18))+(COUNTIF(INTERNES!$A$7:$A$50,'W3'!G18))+(COUNTIF('EN PANNE'!$A$7:$A$50,'W3'!G18))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S18" s="60">
        <f t="shared" si="1"/>
        <v>0</v>
      </c>
      <c r="T18" s="67">
        <f t="shared" si="2"/>
        <v>0</v>
      </c>
    </row>
    <row r="19" spans="1:20" ht="24.95" customHeight="1" x14ac:dyDescent="0.2">
      <c r="A19" s="20"/>
      <c r="B19" s="23">
        <f>(COUNTIF('2S EXPRESS'!$A$7:$A$50,'W3'!A19))+(COUNTIF('2 ZT'!$A$7:$A$50,'W3'!A19))+(COUNTIF('GO TRANSPORT'!$A$7:$A$50,'W3'!A19))+(COUNTIF('HMZ - KAIS'!$A$7:$A$50,'W3'!A19))+(COUNTIF('IB TRANSPORT'!$A$7:$A$50,'W3'!A19))+(COUNTIF(JSL!$A$7:$A$50,'W3'!A19))+(COUNTIF(KIFAITOUT!$A$7:$A$50,'W3'!A19))+(COUNTIF('LUXE DRIVE'!$A$7:$A$50,'W3'!A19))+(COUNTIF(SSN!$A$7:$A$50,'W3'!A19))+(COUNTIF('W3'!$A$7:$A$50,'W3'!A19))+(COUNTIF('ATHIS MONS'!$A$7:$A$50,'W3'!A19))+(COUNTIF('L HAY LES ROSES'!$A$7:$A$50,'W3'!A19))+(COUNTIF(RUNGIS!$A$7:$A$50,'W3'!A19))+(COUNTIF(SCEAUX!$A$7:$A$50,'W3'!A19))+(COUNTIF('INSTANCE C1'!$A$7:$A$50,'W3'!A19))+(COUNTIF('INSTANCE C2'!$A$7:$A$50,'W3'!A19))+(COUNTIF(INTERNES!$A$7:$A$50,'W3'!A19))+(COUNTIF('EN PANNE'!$A$7:$A$50,'W3'!A19))-C19</f>
        <v>0</v>
      </c>
      <c r="C19" s="23">
        <f>(COUNTIF('2S EXPRESS'!$G$7:$G$50,'W3'!A19))+(COUNTIF('2 ZT'!$G$7:$G$50,'W3'!A19))+(COUNTIF('GO TRANSPORT'!$G$7:$G$50,'W3'!A19))+(COUNTIF('W3'!$G$7:$G$50,'W3'!A19))+(COUNTIF('IB TRANSPORT'!$G$7:$G$50,'W3'!A19))+(COUNTIF(JSL!$G$7:$G$50,'W3'!A19))+(COUNTIF(KIFAITOUT!$G$7:$G$50,'W3'!A19))+(COUNTIF('LUXE DRIVE'!$G$7:$G$50,'W3'!A19))+(COUNTIF(SSN!$G$7:$G$50,'W3'!A19))+(COUNTIF('W3'!$G$7:$G$50,'W3'!A19))+(COUNTIF('ATHIS MONS'!$G$7:$G$50,'W3'!A19))+(COUNTIF('L HAY LES ROSES'!$G$7:$G$50,'W3'!A19))+(COUNTIF(RUNGIS!$G$7:$G$50,'W3'!A19))+(COUNTIF(SCEAUX!$G$7:$G$50,'W3'!A19))+(COUNTIF('INSTANCE C1'!$G$7:$G$50,'W3'!A19))+(COUNTIF('INSTANCE C2'!$G$7:$G$50,'W3'!A19))+(COUNTIF(INTERNES!$G$7:$G$50,'W3'!A19))+(COUNTIF('EN PANNE'!$G$7:$G$50,'W3'!A19))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EXPRESS'!$G$7:$G$50,'W3'!G19))+(COUNTIF('2 ZT'!$G$7:$G$50,'W3'!G19))+(COUNTIF('GO TRANSPORT'!$G$7:$G$50,'W3'!G19))+(COUNTIF('HMZ - KAIS'!$G$7:$G$50,'W3'!G19))+(COUNTIF('IB TRANSPORT'!$G$7:$G$50,'W3'!G19))+(COUNTIF(JSL!$G$7:$G$50,'W3'!G19))+(COUNTIF(KIFAITOUT!$G$7:$G$50,'W3'!G19))+(COUNTIF('LUXE DRIVE'!$G$7:$G$50,'W3'!G19))+(COUNTIF(SSN!$G$7:$G$50,'W3'!G19))+(COUNTIF('W3'!$G$7:$G$50,'W3'!G19))+(COUNTIF('ATHIS MONS'!$G$7:$G$50,'W3'!G19))+(COUNTIF('L HAY LES ROSES'!$G$7:$G$50,'W3'!G19))+(COUNTIF(RUNGIS!$G$7:$G$50,'W3'!G19))+(COUNTIF(SCEAUX!$G$7:$G$50,'W3'!G19))+(COUNTIF('INSTANCE C1'!$G$7:$G$50,'W3'!G19))+(COUNTIF('INSTANCE C2'!$G$7:$G$50,'W3'!G19))+(COUNTIF(INTERNES!$G$7:$G$50,'W3'!G19))+(COUNTIF('EN PANNE'!$G$7:$G$50,'W3'!G19))-I19</f>
        <v>0</v>
      </c>
      <c r="I19" s="23">
        <f>(COUNTIF('2S EXPRESS'!$A$7:$A$50,'W3'!G19))+(COUNTIF('2 ZT'!$A$7:$A$50,'W3'!G19))+(COUNTIF('GO TRANSPORT'!$A$7:$A$50,'W3'!G19))+(COUNTIF('HMZ - KAIS'!$A$7:$A$50,'W3'!G19))+(COUNTIF('IB TRANSPORT'!$A$7:$A$50,'W3'!G19))+(COUNTIF(JSL!$A$7:$A$50,'W3'!G19))+(COUNTIF(KIFAITOUT!$A$7:$A$50,'W3'!G19))+(COUNTIF('LUXE DRIVE'!$A$7:$A$50,'W3'!G19))+(COUNTIF(SSN!$A$7:$A$50,'W3'!G19))+(COUNTIF('W3'!$A$7:$A$50,'W3'!G19))+(COUNTIF('ATHIS MONS'!$A$7:$A$50,'W3'!G19))+(COUNTIF('L HAY LES ROSES'!$A$7:$A$50,'W3'!G19))+(COUNTIF(RUNGIS!$A$7:$A$50,'W3'!G19))+(COUNTIF(SCEAUX!$A$7:$A$50,'W3'!G19))+(COUNTIF('INSTANCE C1'!$A$7:$A$50,'W3'!G19))+(COUNTIF('INSTANCE C2'!$A$7:$A$50,'W3'!G19))+(COUNTIF(INTERNES!$A$7:$A$50,'W3'!G19))+(COUNTIF('EN PANNE'!$A$7:$A$50,'W3'!G19))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S19" s="60">
        <f t="shared" si="1"/>
        <v>0</v>
      </c>
      <c r="T19" s="67">
        <f t="shared" si="2"/>
        <v>0</v>
      </c>
    </row>
    <row r="20" spans="1:20" ht="24.95" customHeight="1" x14ac:dyDescent="0.2">
      <c r="A20" s="20"/>
      <c r="B20" s="23">
        <f>(COUNTIF('2S EXPRESS'!$A$7:$A$50,'W3'!A20))+(COUNTIF('2 ZT'!$A$7:$A$50,'W3'!A20))+(COUNTIF('GO TRANSPORT'!$A$7:$A$50,'W3'!A20))+(COUNTIF('HMZ - KAIS'!$A$7:$A$50,'W3'!A20))+(COUNTIF('IB TRANSPORT'!$A$7:$A$50,'W3'!A20))+(COUNTIF(JSL!$A$7:$A$50,'W3'!A20))+(COUNTIF(KIFAITOUT!$A$7:$A$50,'W3'!A20))+(COUNTIF('LUXE DRIVE'!$A$7:$A$50,'W3'!A20))+(COUNTIF(SSN!$A$7:$A$50,'W3'!A20))+(COUNTIF('W3'!$A$7:$A$50,'W3'!A20))+(COUNTIF('ATHIS MONS'!$A$7:$A$50,'W3'!A20))+(COUNTIF('L HAY LES ROSES'!$A$7:$A$50,'W3'!A20))+(COUNTIF(RUNGIS!$A$7:$A$50,'W3'!A20))+(COUNTIF(SCEAUX!$A$7:$A$50,'W3'!A20))+(COUNTIF('INSTANCE C1'!$A$7:$A$50,'W3'!A20))+(COUNTIF('INSTANCE C2'!$A$7:$A$50,'W3'!A20))+(COUNTIF(INTERNES!$A$7:$A$50,'W3'!A20))+(COUNTIF('EN PANNE'!$A$7:$A$50,'W3'!A20))-C20</f>
        <v>0</v>
      </c>
      <c r="C20" s="23">
        <f>(COUNTIF('2S EXPRESS'!$G$7:$G$50,'W3'!A20))+(COUNTIF('2 ZT'!$G$7:$G$50,'W3'!A20))+(COUNTIF('GO TRANSPORT'!$G$7:$G$50,'W3'!A20))+(COUNTIF('W3'!$G$7:$G$50,'W3'!A20))+(COUNTIF('IB TRANSPORT'!$G$7:$G$50,'W3'!A20))+(COUNTIF(JSL!$G$7:$G$50,'W3'!A20))+(COUNTIF(KIFAITOUT!$G$7:$G$50,'W3'!A20))+(COUNTIF('LUXE DRIVE'!$G$7:$G$50,'W3'!A20))+(COUNTIF(SSN!$G$7:$G$50,'W3'!A20))+(COUNTIF('W3'!$G$7:$G$50,'W3'!A20))+(COUNTIF('ATHIS MONS'!$G$7:$G$50,'W3'!A20))+(COUNTIF('L HAY LES ROSES'!$G$7:$G$50,'W3'!A20))+(COUNTIF(RUNGIS!$G$7:$G$50,'W3'!A20))+(COUNTIF(SCEAUX!$G$7:$G$50,'W3'!A20))+(COUNTIF('INSTANCE C1'!$G$7:$G$50,'W3'!A20))+(COUNTIF('INSTANCE C2'!$G$7:$G$50,'W3'!A20))+(COUNTIF(INTERNES!$G$7:$G$50,'W3'!A20))+(COUNTIF('EN PANNE'!$G$7:$G$50,'W3'!A20))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EXPRESS'!$G$7:$G$50,'W3'!G20))+(COUNTIF('2 ZT'!$G$7:$G$50,'W3'!G20))+(COUNTIF('GO TRANSPORT'!$G$7:$G$50,'W3'!G20))+(COUNTIF('HMZ - KAIS'!$G$7:$G$50,'W3'!G20))+(COUNTIF('IB TRANSPORT'!$G$7:$G$50,'W3'!G20))+(COUNTIF(JSL!$G$7:$G$50,'W3'!G20))+(COUNTIF(KIFAITOUT!$G$7:$G$50,'W3'!G20))+(COUNTIF('LUXE DRIVE'!$G$7:$G$50,'W3'!G20))+(COUNTIF(SSN!$G$7:$G$50,'W3'!G20))+(COUNTIF('W3'!$G$7:$G$50,'W3'!G20))+(COUNTIF('ATHIS MONS'!$G$7:$G$50,'W3'!G20))+(COUNTIF('L HAY LES ROSES'!$G$7:$G$50,'W3'!G20))+(COUNTIF(RUNGIS!$G$7:$G$50,'W3'!G20))+(COUNTIF(SCEAUX!$G$7:$G$50,'W3'!G20))+(COUNTIF('INSTANCE C1'!$G$7:$G$50,'W3'!G20))+(COUNTIF('INSTANCE C2'!$G$7:$G$50,'W3'!G20))+(COUNTIF(INTERNES!$G$7:$G$50,'W3'!G20))+(COUNTIF('EN PANNE'!$G$7:$G$50,'W3'!G20))-I20</f>
        <v>0</v>
      </c>
      <c r="I20" s="23">
        <f>(COUNTIF('2S EXPRESS'!$A$7:$A$50,'W3'!G20))+(COUNTIF('2 ZT'!$A$7:$A$50,'W3'!G20))+(COUNTIF('GO TRANSPORT'!$A$7:$A$50,'W3'!G20))+(COUNTIF('HMZ - KAIS'!$A$7:$A$50,'W3'!G20))+(COUNTIF('IB TRANSPORT'!$A$7:$A$50,'W3'!G20))+(COUNTIF(JSL!$A$7:$A$50,'W3'!G20))+(COUNTIF(KIFAITOUT!$A$7:$A$50,'W3'!G20))+(COUNTIF('LUXE DRIVE'!$A$7:$A$50,'W3'!G20))+(COUNTIF(SSN!$A$7:$A$50,'W3'!G20))+(COUNTIF('W3'!$A$7:$A$50,'W3'!G20))+(COUNTIF('ATHIS MONS'!$A$7:$A$50,'W3'!G20))+(COUNTIF('L HAY LES ROSES'!$A$7:$A$50,'W3'!G20))+(COUNTIF(RUNGIS!$A$7:$A$50,'W3'!G20))+(COUNTIF(SCEAUX!$A$7:$A$50,'W3'!G20))+(COUNTIF('INSTANCE C1'!$A$7:$A$50,'W3'!G20))+(COUNTIF('INSTANCE C2'!$A$7:$A$50,'W3'!G20))+(COUNTIF(INTERNES!$A$7:$A$50,'W3'!G20))+(COUNTIF('EN PANNE'!$A$7:$A$50,'W3'!G20))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S20" s="60">
        <f t="shared" si="1"/>
        <v>0</v>
      </c>
      <c r="T20" s="67">
        <f t="shared" si="2"/>
        <v>0</v>
      </c>
    </row>
    <row r="21" spans="1:20" ht="24.95" customHeight="1" x14ac:dyDescent="0.2">
      <c r="A21" s="20"/>
      <c r="B21" s="23">
        <f>(COUNTIF('2S EXPRESS'!$A$7:$A$50,'W3'!A21))+(COUNTIF('2 ZT'!$A$7:$A$50,'W3'!A21))+(COUNTIF('GO TRANSPORT'!$A$7:$A$50,'W3'!A21))+(COUNTIF('HMZ - KAIS'!$A$7:$A$50,'W3'!A21))+(COUNTIF('IB TRANSPORT'!$A$7:$A$50,'W3'!A21))+(COUNTIF(JSL!$A$7:$A$50,'W3'!A21))+(COUNTIF(KIFAITOUT!$A$7:$A$50,'W3'!A21))+(COUNTIF('LUXE DRIVE'!$A$7:$A$50,'W3'!A21))+(COUNTIF(SSN!$A$7:$A$50,'W3'!A21))+(COUNTIF('W3'!$A$7:$A$50,'W3'!A21))+(COUNTIF('ATHIS MONS'!$A$7:$A$50,'W3'!A21))+(COUNTIF('L HAY LES ROSES'!$A$7:$A$50,'W3'!A21))+(COUNTIF(RUNGIS!$A$7:$A$50,'W3'!A21))+(COUNTIF(SCEAUX!$A$7:$A$50,'W3'!A21))+(COUNTIF('INSTANCE C1'!$A$7:$A$50,'W3'!A21))+(COUNTIF('INSTANCE C2'!$A$7:$A$50,'W3'!A21))+(COUNTIF(INTERNES!$A$7:$A$50,'W3'!A21))+(COUNTIF('EN PANNE'!$A$7:$A$50,'W3'!A21))-C21</f>
        <v>0</v>
      </c>
      <c r="C21" s="23">
        <f>(COUNTIF('2S EXPRESS'!$G$7:$G$50,'W3'!A21))+(COUNTIF('2 ZT'!$G$7:$G$50,'W3'!A21))+(COUNTIF('GO TRANSPORT'!$G$7:$G$50,'W3'!A21))+(COUNTIF('W3'!$G$7:$G$50,'W3'!A21))+(COUNTIF('IB TRANSPORT'!$G$7:$G$50,'W3'!A21))+(COUNTIF(JSL!$G$7:$G$50,'W3'!A21))+(COUNTIF(KIFAITOUT!$G$7:$G$50,'W3'!A21))+(COUNTIF('LUXE DRIVE'!$G$7:$G$50,'W3'!A21))+(COUNTIF(SSN!$G$7:$G$50,'W3'!A21))+(COUNTIF('W3'!$G$7:$G$50,'W3'!A21))+(COUNTIF('ATHIS MONS'!$G$7:$G$50,'W3'!A21))+(COUNTIF('L HAY LES ROSES'!$G$7:$G$50,'W3'!A21))+(COUNTIF(RUNGIS!$G$7:$G$50,'W3'!A21))+(COUNTIF(SCEAUX!$G$7:$G$50,'W3'!A21))+(COUNTIF('INSTANCE C1'!$G$7:$G$50,'W3'!A21))+(COUNTIF('INSTANCE C2'!$G$7:$G$50,'W3'!A21))+(COUNTIF(INTERNES!$G$7:$G$50,'W3'!A21))+(COUNTIF('EN PANNE'!$G$7:$G$50,'W3'!A21))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EXPRESS'!$G$7:$G$50,'W3'!G21))+(COUNTIF('2 ZT'!$G$7:$G$50,'W3'!G21))+(COUNTIF('GO TRANSPORT'!$G$7:$G$50,'W3'!G21))+(COUNTIF('HMZ - KAIS'!$G$7:$G$50,'W3'!G21))+(COUNTIF('IB TRANSPORT'!$G$7:$G$50,'W3'!G21))+(COUNTIF(JSL!$G$7:$G$50,'W3'!G21))+(COUNTIF(KIFAITOUT!$G$7:$G$50,'W3'!G21))+(COUNTIF('LUXE DRIVE'!$G$7:$G$50,'W3'!G21))+(COUNTIF(SSN!$G$7:$G$50,'W3'!G21))+(COUNTIF('W3'!$G$7:$G$50,'W3'!G21))+(COUNTIF('ATHIS MONS'!$G$7:$G$50,'W3'!G21))+(COUNTIF('L HAY LES ROSES'!$G$7:$G$50,'W3'!G21))+(COUNTIF(RUNGIS!$G$7:$G$50,'W3'!G21))+(COUNTIF(SCEAUX!$G$7:$G$50,'W3'!G21))+(COUNTIF('INSTANCE C1'!$G$7:$G$50,'W3'!G21))+(COUNTIF('INSTANCE C2'!$G$7:$G$50,'W3'!G21))+(COUNTIF(INTERNES!$G$7:$G$50,'W3'!G21))+(COUNTIF('EN PANNE'!$G$7:$G$50,'W3'!G21))-I21</f>
        <v>0</v>
      </c>
      <c r="I21" s="23">
        <f>(COUNTIF('2S EXPRESS'!$A$7:$A$50,'W3'!G21))+(COUNTIF('2 ZT'!$A$7:$A$50,'W3'!G21))+(COUNTIF('GO TRANSPORT'!$A$7:$A$50,'W3'!G21))+(COUNTIF('HMZ - KAIS'!$A$7:$A$50,'W3'!G21))+(COUNTIF('IB TRANSPORT'!$A$7:$A$50,'W3'!G21))+(COUNTIF(JSL!$A$7:$A$50,'W3'!G21))+(COUNTIF(KIFAITOUT!$A$7:$A$50,'W3'!G21))+(COUNTIF('LUXE DRIVE'!$A$7:$A$50,'W3'!G21))+(COUNTIF(SSN!$A$7:$A$50,'W3'!G21))+(COUNTIF('W3'!$A$7:$A$50,'W3'!G21))+(COUNTIF('ATHIS MONS'!$A$7:$A$50,'W3'!G21))+(COUNTIF('L HAY LES ROSES'!$A$7:$A$50,'W3'!G21))+(COUNTIF(RUNGIS!$A$7:$A$50,'W3'!G21))+(COUNTIF(SCEAUX!$A$7:$A$50,'W3'!G21))+(COUNTIF('INSTANCE C1'!$A$7:$A$50,'W3'!G21))+(COUNTIF('INSTANCE C2'!$A$7:$A$50,'W3'!G21))+(COUNTIF(INTERNES!$A$7:$A$50,'W3'!G21))+(COUNTIF('EN PANNE'!$A$7:$A$50,'W3'!G21))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S21" s="60">
        <f t="shared" si="1"/>
        <v>0</v>
      </c>
      <c r="T21" s="67">
        <f t="shared" si="2"/>
        <v>0</v>
      </c>
    </row>
    <row r="22" spans="1:20" ht="24.95" customHeight="1" x14ac:dyDescent="0.2">
      <c r="A22" s="20"/>
      <c r="B22" s="23">
        <f>(COUNTIF('2S EXPRESS'!$A$7:$A$50,'W3'!A22))+(COUNTIF('2 ZT'!$A$7:$A$50,'W3'!A22))+(COUNTIF('GO TRANSPORT'!$A$7:$A$50,'W3'!A22))+(COUNTIF('HMZ - KAIS'!$A$7:$A$50,'W3'!A22))+(COUNTIF('IB TRANSPORT'!$A$7:$A$50,'W3'!A22))+(COUNTIF(JSL!$A$7:$A$50,'W3'!A22))+(COUNTIF(KIFAITOUT!$A$7:$A$50,'W3'!A22))+(COUNTIF('LUXE DRIVE'!$A$7:$A$50,'W3'!A22))+(COUNTIF(SSN!$A$7:$A$50,'W3'!A22))+(COUNTIF('W3'!$A$7:$A$50,'W3'!A22))+(COUNTIF('ATHIS MONS'!$A$7:$A$50,'W3'!A22))+(COUNTIF('L HAY LES ROSES'!$A$7:$A$50,'W3'!A22))+(COUNTIF(RUNGIS!$A$7:$A$50,'W3'!A22))+(COUNTIF(SCEAUX!$A$7:$A$50,'W3'!A22))+(COUNTIF('INSTANCE C1'!$A$7:$A$50,'W3'!A22))+(COUNTIF('INSTANCE C2'!$A$7:$A$50,'W3'!A22))+(COUNTIF(INTERNES!$A$7:$A$50,'W3'!A22))+(COUNTIF('EN PANNE'!$A$7:$A$50,'W3'!A22))-C22</f>
        <v>0</v>
      </c>
      <c r="C22" s="23">
        <f>(COUNTIF('2S EXPRESS'!$G$7:$G$50,'W3'!A22))+(COUNTIF('2 ZT'!$G$7:$G$50,'W3'!A22))+(COUNTIF('GO TRANSPORT'!$G$7:$G$50,'W3'!A22))+(COUNTIF('W3'!$G$7:$G$50,'W3'!A22))+(COUNTIF('IB TRANSPORT'!$G$7:$G$50,'W3'!A22))+(COUNTIF(JSL!$G$7:$G$50,'W3'!A22))+(COUNTIF(KIFAITOUT!$G$7:$G$50,'W3'!A22))+(COUNTIF('LUXE DRIVE'!$G$7:$G$50,'W3'!A22))+(COUNTIF(SSN!$G$7:$G$50,'W3'!A22))+(COUNTIF('W3'!$G$7:$G$50,'W3'!A22))+(COUNTIF('ATHIS MONS'!$G$7:$G$50,'W3'!A22))+(COUNTIF('L HAY LES ROSES'!$G$7:$G$50,'W3'!A22))+(COUNTIF(RUNGIS!$G$7:$G$50,'W3'!A22))+(COUNTIF(SCEAUX!$G$7:$G$50,'W3'!A22))+(COUNTIF('INSTANCE C1'!$G$7:$G$50,'W3'!A22))+(COUNTIF('INSTANCE C2'!$G$7:$G$50,'W3'!A22))+(COUNTIF(INTERNES!$G$7:$G$50,'W3'!A22))+(COUNTIF('EN PANNE'!$G$7:$G$50,'W3'!A22))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EXPRESS'!$G$7:$G$50,'W3'!G22))+(COUNTIF('2 ZT'!$G$7:$G$50,'W3'!G22))+(COUNTIF('GO TRANSPORT'!$G$7:$G$50,'W3'!G22))+(COUNTIF('HMZ - KAIS'!$G$7:$G$50,'W3'!G22))+(COUNTIF('IB TRANSPORT'!$G$7:$G$50,'W3'!G22))+(COUNTIF(JSL!$G$7:$G$50,'W3'!G22))+(COUNTIF(KIFAITOUT!$G$7:$G$50,'W3'!G22))+(COUNTIF('LUXE DRIVE'!$G$7:$G$50,'W3'!G22))+(COUNTIF(SSN!$G$7:$G$50,'W3'!G22))+(COUNTIF('W3'!$G$7:$G$50,'W3'!G22))+(COUNTIF('ATHIS MONS'!$G$7:$G$50,'W3'!G22))+(COUNTIF('L HAY LES ROSES'!$G$7:$G$50,'W3'!G22))+(COUNTIF(RUNGIS!$G$7:$G$50,'W3'!G22))+(COUNTIF(SCEAUX!$G$7:$G$50,'W3'!G22))+(COUNTIF('INSTANCE C1'!$G$7:$G$50,'W3'!G22))+(COUNTIF('INSTANCE C2'!$G$7:$G$50,'W3'!G22))+(COUNTIF(INTERNES!$G$7:$G$50,'W3'!G22))+(COUNTIF('EN PANNE'!$G$7:$G$50,'W3'!G22))-I22</f>
        <v>0</v>
      </c>
      <c r="I22" s="23">
        <f>(COUNTIF('2S EXPRESS'!$A$7:$A$50,'W3'!G22))+(COUNTIF('2 ZT'!$A$7:$A$50,'W3'!G22))+(COUNTIF('GO TRANSPORT'!$A$7:$A$50,'W3'!G22))+(COUNTIF('HMZ - KAIS'!$A$7:$A$50,'W3'!G22))+(COUNTIF('IB TRANSPORT'!$A$7:$A$50,'W3'!G22))+(COUNTIF(JSL!$A$7:$A$50,'W3'!G22))+(COUNTIF(KIFAITOUT!$A$7:$A$50,'W3'!G22))+(COUNTIF('LUXE DRIVE'!$A$7:$A$50,'W3'!G22))+(COUNTIF(SSN!$A$7:$A$50,'W3'!G22))+(COUNTIF('W3'!$A$7:$A$50,'W3'!G22))+(COUNTIF('ATHIS MONS'!$A$7:$A$50,'W3'!G22))+(COUNTIF('L HAY LES ROSES'!$A$7:$A$50,'W3'!G22))+(COUNTIF(RUNGIS!$A$7:$A$50,'W3'!G22))+(COUNTIF(SCEAUX!$A$7:$A$50,'W3'!G22))+(COUNTIF('INSTANCE C1'!$A$7:$A$50,'W3'!G22))+(COUNTIF('INSTANCE C2'!$A$7:$A$50,'W3'!G22))+(COUNTIF(INTERNES!$A$7:$A$50,'W3'!G22))+(COUNTIF('EN PANNE'!$A$7:$A$50,'W3'!G22))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S22" s="60">
        <f t="shared" si="1"/>
        <v>0</v>
      </c>
      <c r="T22" s="67">
        <f t="shared" si="2"/>
        <v>0</v>
      </c>
    </row>
    <row r="23" spans="1:20" ht="24.95" customHeight="1" x14ac:dyDescent="0.2">
      <c r="A23" s="20"/>
      <c r="B23" s="23">
        <f>(COUNTIF('2S EXPRESS'!$A$7:$A$50,'W3'!A23))+(COUNTIF('2 ZT'!$A$7:$A$50,'W3'!A23))+(COUNTIF('GO TRANSPORT'!$A$7:$A$50,'W3'!A23))+(COUNTIF('HMZ - KAIS'!$A$7:$A$50,'W3'!A23))+(COUNTIF('IB TRANSPORT'!$A$7:$A$50,'W3'!A23))+(COUNTIF(JSL!$A$7:$A$50,'W3'!A23))+(COUNTIF(KIFAITOUT!$A$7:$A$50,'W3'!A23))+(COUNTIF('LUXE DRIVE'!$A$7:$A$50,'W3'!A23))+(COUNTIF(SSN!$A$7:$A$50,'W3'!A23))+(COUNTIF('W3'!$A$7:$A$50,'W3'!A23))+(COUNTIF('ATHIS MONS'!$A$7:$A$50,'W3'!A23))+(COUNTIF('L HAY LES ROSES'!$A$7:$A$50,'W3'!A23))+(COUNTIF(RUNGIS!$A$7:$A$50,'W3'!A23))+(COUNTIF(SCEAUX!$A$7:$A$50,'W3'!A23))+(COUNTIF('INSTANCE C1'!$A$7:$A$50,'W3'!A23))+(COUNTIF('INSTANCE C2'!$A$7:$A$50,'W3'!A23))+(COUNTIF(INTERNES!$A$7:$A$50,'W3'!A23))+(COUNTIF('EN PANNE'!$A$7:$A$50,'W3'!A23))-C23</f>
        <v>0</v>
      </c>
      <c r="C23" s="23">
        <f>(COUNTIF('2S EXPRESS'!$G$7:$G$50,'W3'!A23))+(COUNTIF('2 ZT'!$G$7:$G$50,'W3'!A23))+(COUNTIF('GO TRANSPORT'!$G$7:$G$50,'W3'!A23))+(COUNTIF('W3'!$G$7:$G$50,'W3'!A23))+(COUNTIF('IB TRANSPORT'!$G$7:$G$50,'W3'!A23))+(COUNTIF(JSL!$G$7:$G$50,'W3'!A23))+(COUNTIF(KIFAITOUT!$G$7:$G$50,'W3'!A23))+(COUNTIF('LUXE DRIVE'!$G$7:$G$50,'W3'!A23))+(COUNTIF(SSN!$G$7:$G$50,'W3'!A23))+(COUNTIF('W3'!$G$7:$G$50,'W3'!A23))+(COUNTIF('ATHIS MONS'!$G$7:$G$50,'W3'!A23))+(COUNTIF('L HAY LES ROSES'!$G$7:$G$50,'W3'!A23))+(COUNTIF(RUNGIS!$G$7:$G$50,'W3'!A23))+(COUNTIF(SCEAUX!$G$7:$G$50,'W3'!A23))+(COUNTIF('INSTANCE C1'!$G$7:$G$50,'W3'!A23))+(COUNTIF('INSTANCE C2'!$G$7:$G$50,'W3'!A23))+(COUNTIF(INTERNES!$G$7:$G$50,'W3'!A23))+(COUNTIF('EN PANNE'!$G$7:$G$50,'W3'!A23))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EXPRESS'!$G$7:$G$50,'W3'!G23))+(COUNTIF('2 ZT'!$G$7:$G$50,'W3'!G23))+(COUNTIF('GO TRANSPORT'!$G$7:$G$50,'W3'!G23))+(COUNTIF('HMZ - KAIS'!$G$7:$G$50,'W3'!G23))+(COUNTIF('IB TRANSPORT'!$G$7:$G$50,'W3'!G23))+(COUNTIF(JSL!$G$7:$G$50,'W3'!G23))+(COUNTIF(KIFAITOUT!$G$7:$G$50,'W3'!G23))+(COUNTIF('LUXE DRIVE'!$G$7:$G$50,'W3'!G23))+(COUNTIF(SSN!$G$7:$G$50,'W3'!G23))+(COUNTIF('W3'!$G$7:$G$50,'W3'!G23))+(COUNTIF('ATHIS MONS'!$G$7:$G$50,'W3'!G23))+(COUNTIF('L HAY LES ROSES'!$G$7:$G$50,'W3'!G23))+(COUNTIF(RUNGIS!$G$7:$G$50,'W3'!G23))+(COUNTIF(SCEAUX!$G$7:$G$50,'W3'!G23))+(COUNTIF('INSTANCE C1'!$G$7:$G$50,'W3'!G23))+(COUNTIF('INSTANCE C2'!$G$7:$G$50,'W3'!G23))+(COUNTIF(INTERNES!$G$7:$G$50,'W3'!G23))+(COUNTIF('EN PANNE'!$G$7:$G$50,'W3'!G23))-I23</f>
        <v>0</v>
      </c>
      <c r="I23" s="23">
        <f>(COUNTIF('2S EXPRESS'!$A$7:$A$50,'W3'!G23))+(COUNTIF('2 ZT'!$A$7:$A$50,'W3'!G23))+(COUNTIF('GO TRANSPORT'!$A$7:$A$50,'W3'!G23))+(COUNTIF('HMZ - KAIS'!$A$7:$A$50,'W3'!G23))+(COUNTIF('IB TRANSPORT'!$A$7:$A$50,'W3'!G23))+(COUNTIF(JSL!$A$7:$A$50,'W3'!G23))+(COUNTIF(KIFAITOUT!$A$7:$A$50,'W3'!G23))+(COUNTIF('LUXE DRIVE'!$A$7:$A$50,'W3'!G23))+(COUNTIF(SSN!$A$7:$A$50,'W3'!G23))+(COUNTIF('W3'!$A$7:$A$50,'W3'!G23))+(COUNTIF('ATHIS MONS'!$A$7:$A$50,'W3'!G23))+(COUNTIF('L HAY LES ROSES'!$A$7:$A$50,'W3'!G23))+(COUNTIF(RUNGIS!$A$7:$A$50,'W3'!G23))+(COUNTIF(SCEAUX!$A$7:$A$50,'W3'!G23))+(COUNTIF('INSTANCE C1'!$A$7:$A$50,'W3'!G23))+(COUNTIF('INSTANCE C2'!$A$7:$A$50,'W3'!G23))+(COUNTIF(INTERNES!$A$7:$A$50,'W3'!G23))+(COUNTIF('EN PANNE'!$A$7:$A$50,'W3'!G23))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S23" s="60">
        <f t="shared" si="1"/>
        <v>0</v>
      </c>
      <c r="T23" s="67">
        <f t="shared" si="2"/>
        <v>0</v>
      </c>
    </row>
    <row r="24" spans="1:20" ht="24.95" customHeight="1" x14ac:dyDescent="0.2">
      <c r="A24" s="20"/>
      <c r="B24" s="23">
        <f>(COUNTIF('2S EXPRESS'!$A$7:$A$50,'W3'!A24))+(COUNTIF('2 ZT'!$A$7:$A$50,'W3'!A24))+(COUNTIF('GO TRANSPORT'!$A$7:$A$50,'W3'!A24))+(COUNTIF('HMZ - KAIS'!$A$7:$A$50,'W3'!A24))+(COUNTIF('IB TRANSPORT'!$A$7:$A$50,'W3'!A24))+(COUNTIF(JSL!$A$7:$A$50,'W3'!A24))+(COUNTIF(KIFAITOUT!$A$7:$A$50,'W3'!A24))+(COUNTIF('LUXE DRIVE'!$A$7:$A$50,'W3'!A24))+(COUNTIF(SSN!$A$7:$A$50,'W3'!A24))+(COUNTIF('W3'!$A$7:$A$50,'W3'!A24))+(COUNTIF('ATHIS MONS'!$A$7:$A$50,'W3'!A24))+(COUNTIF('L HAY LES ROSES'!$A$7:$A$50,'W3'!A24))+(COUNTIF(RUNGIS!$A$7:$A$50,'W3'!A24))+(COUNTIF(SCEAUX!$A$7:$A$50,'W3'!A24))+(COUNTIF('INSTANCE C1'!$A$7:$A$50,'W3'!A24))+(COUNTIF('INSTANCE C2'!$A$7:$A$50,'W3'!A24))+(COUNTIF(INTERNES!$A$7:$A$50,'W3'!A24))+(COUNTIF('EN PANNE'!$A$7:$A$50,'W3'!A24))-C24</f>
        <v>0</v>
      </c>
      <c r="C24" s="23">
        <f>(COUNTIF('2S EXPRESS'!$G$7:$G$50,'W3'!A24))+(COUNTIF('2 ZT'!$G$7:$G$50,'W3'!A24))+(COUNTIF('GO TRANSPORT'!$G$7:$G$50,'W3'!A24))+(COUNTIF('W3'!$G$7:$G$50,'W3'!A24))+(COUNTIF('IB TRANSPORT'!$G$7:$G$50,'W3'!A24))+(COUNTIF(JSL!$G$7:$G$50,'W3'!A24))+(COUNTIF(KIFAITOUT!$G$7:$G$50,'W3'!A24))+(COUNTIF('LUXE DRIVE'!$G$7:$G$50,'W3'!A24))+(COUNTIF(SSN!$G$7:$G$50,'W3'!A24))+(COUNTIF('W3'!$G$7:$G$50,'W3'!A24))+(COUNTIF('ATHIS MONS'!$G$7:$G$50,'W3'!A24))+(COUNTIF('L HAY LES ROSES'!$G$7:$G$50,'W3'!A24))+(COUNTIF(RUNGIS!$G$7:$G$50,'W3'!A24))+(COUNTIF(SCEAUX!$G$7:$G$50,'W3'!A24))+(COUNTIF('INSTANCE C1'!$G$7:$G$50,'W3'!A24))+(COUNTIF('INSTANCE C2'!$G$7:$G$50,'W3'!A24))+(COUNTIF(INTERNES!$G$7:$G$50,'W3'!A24))+(COUNTIF('EN PANNE'!$G$7:$G$50,'W3'!A24))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EXPRESS'!$G$7:$G$50,'W3'!G24))+(COUNTIF('2 ZT'!$G$7:$G$50,'W3'!G24))+(COUNTIF('GO TRANSPORT'!$G$7:$G$50,'W3'!G24))+(COUNTIF('HMZ - KAIS'!$G$7:$G$50,'W3'!G24))+(COUNTIF('IB TRANSPORT'!$G$7:$G$50,'W3'!G24))+(COUNTIF(JSL!$G$7:$G$50,'W3'!G24))+(COUNTIF(KIFAITOUT!$G$7:$G$50,'W3'!G24))+(COUNTIF('LUXE DRIVE'!$G$7:$G$50,'W3'!G24))+(COUNTIF(SSN!$G$7:$G$50,'W3'!G24))+(COUNTIF('W3'!$G$7:$G$50,'W3'!G24))+(COUNTIF('ATHIS MONS'!$G$7:$G$50,'W3'!G24))+(COUNTIF('L HAY LES ROSES'!$G$7:$G$50,'W3'!G24))+(COUNTIF(RUNGIS!$G$7:$G$50,'W3'!G24))+(COUNTIF(SCEAUX!$G$7:$G$50,'W3'!G24))+(COUNTIF('INSTANCE C1'!$G$7:$G$50,'W3'!G24))+(COUNTIF('INSTANCE C2'!$G$7:$G$50,'W3'!G24))+(COUNTIF(INTERNES!$G$7:$G$50,'W3'!G24))+(COUNTIF('EN PANNE'!$G$7:$G$50,'W3'!G24))-I24</f>
        <v>0</v>
      </c>
      <c r="I24" s="23">
        <f>(COUNTIF('2S EXPRESS'!$A$7:$A$50,'W3'!G24))+(COUNTIF('2 ZT'!$A$7:$A$50,'W3'!G24))+(COUNTIF('GO TRANSPORT'!$A$7:$A$50,'W3'!G24))+(COUNTIF('HMZ - KAIS'!$A$7:$A$50,'W3'!G24))+(COUNTIF('IB TRANSPORT'!$A$7:$A$50,'W3'!G24))+(COUNTIF(JSL!$A$7:$A$50,'W3'!G24))+(COUNTIF(KIFAITOUT!$A$7:$A$50,'W3'!G24))+(COUNTIF('LUXE DRIVE'!$A$7:$A$50,'W3'!G24))+(COUNTIF(SSN!$A$7:$A$50,'W3'!G24))+(COUNTIF('W3'!$A$7:$A$50,'W3'!G24))+(COUNTIF('ATHIS MONS'!$A$7:$A$50,'W3'!G24))+(COUNTIF('L HAY LES ROSES'!$A$7:$A$50,'W3'!G24))+(COUNTIF(RUNGIS!$A$7:$A$50,'W3'!G24))+(COUNTIF(SCEAUX!$A$7:$A$50,'W3'!G24))+(COUNTIF('INSTANCE C1'!$A$7:$A$50,'W3'!G24))+(COUNTIF('INSTANCE C2'!$A$7:$A$50,'W3'!G24))+(COUNTIF(INTERNES!$A$7:$A$50,'W3'!G24))+(COUNTIF('EN PANNE'!$A$7:$A$50,'W3'!G24))</f>
        <v>0</v>
      </c>
      <c r="J24" s="28">
        <f t="shared" si="4"/>
        <v>0</v>
      </c>
      <c r="K24" s="2"/>
      <c r="L24" s="47"/>
      <c r="S24" s="60">
        <f t="shared" si="1"/>
        <v>0</v>
      </c>
      <c r="T24" s="67">
        <f t="shared" si="2"/>
        <v>0</v>
      </c>
    </row>
    <row r="25" spans="1:20" ht="24.95" customHeight="1" x14ac:dyDescent="0.2">
      <c r="A25" s="20"/>
      <c r="B25" s="23">
        <f>(COUNTIF('2S EXPRESS'!$A$7:$A$50,'W3'!A25))+(COUNTIF('2 ZT'!$A$7:$A$50,'W3'!A25))+(COUNTIF('GO TRANSPORT'!$A$7:$A$50,'W3'!A25))+(COUNTIF('HMZ - KAIS'!$A$7:$A$50,'W3'!A25))+(COUNTIF('IB TRANSPORT'!$A$7:$A$50,'W3'!A25))+(COUNTIF(JSL!$A$7:$A$50,'W3'!A25))+(COUNTIF(KIFAITOUT!$A$7:$A$50,'W3'!A25))+(COUNTIF('LUXE DRIVE'!$A$7:$A$50,'W3'!A25))+(COUNTIF(SSN!$A$7:$A$50,'W3'!A25))+(COUNTIF('W3'!$A$7:$A$50,'W3'!A25))+(COUNTIF('ATHIS MONS'!$A$7:$A$50,'W3'!A25))+(COUNTIF('L HAY LES ROSES'!$A$7:$A$50,'W3'!A25))+(COUNTIF(RUNGIS!$A$7:$A$50,'W3'!A25))+(COUNTIF(SCEAUX!$A$7:$A$50,'W3'!A25))+(COUNTIF('INSTANCE C1'!$A$7:$A$50,'W3'!A25))+(COUNTIF('INSTANCE C2'!$A$7:$A$50,'W3'!A25))+(COUNTIF(INTERNES!$A$7:$A$50,'W3'!A25))+(COUNTIF('EN PANNE'!$A$7:$A$50,'W3'!A25))-C25</f>
        <v>0</v>
      </c>
      <c r="C25" s="23">
        <f>(COUNTIF('2S EXPRESS'!$G$7:$G$50,'W3'!A25))+(COUNTIF('2 ZT'!$G$7:$G$50,'W3'!A25))+(COUNTIF('GO TRANSPORT'!$G$7:$G$50,'W3'!A25))+(COUNTIF('W3'!$G$7:$G$50,'W3'!A25))+(COUNTIF('IB TRANSPORT'!$G$7:$G$50,'W3'!A25))+(COUNTIF(JSL!$G$7:$G$50,'W3'!A25))+(COUNTIF(KIFAITOUT!$G$7:$G$50,'W3'!A25))+(COUNTIF('LUXE DRIVE'!$G$7:$G$50,'W3'!A25))+(COUNTIF(SSN!$G$7:$G$50,'W3'!A25))+(COUNTIF('W3'!$G$7:$G$50,'W3'!A25))+(COUNTIF('ATHIS MONS'!$G$7:$G$50,'W3'!A25))+(COUNTIF('L HAY LES ROSES'!$G$7:$G$50,'W3'!A25))+(COUNTIF(RUNGIS!$G$7:$G$50,'W3'!A25))+(COUNTIF(SCEAUX!$G$7:$G$50,'W3'!A25))+(COUNTIF('INSTANCE C1'!$G$7:$G$50,'W3'!A25))+(COUNTIF('INSTANCE C2'!$G$7:$G$50,'W3'!A25))+(COUNTIF(INTERNES!$G$7:$G$50,'W3'!A25))+(COUNTIF('EN PANNE'!$G$7:$G$50,'W3'!A25))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EXPRESS'!$G$7:$G$50,'W3'!G25))+(COUNTIF('2 ZT'!$G$7:$G$50,'W3'!G25))+(COUNTIF('GO TRANSPORT'!$G$7:$G$50,'W3'!G25))+(COUNTIF('HMZ - KAIS'!$G$7:$G$50,'W3'!G25))+(COUNTIF('IB TRANSPORT'!$G$7:$G$50,'W3'!G25))+(COUNTIF(JSL!$G$7:$G$50,'W3'!G25))+(COUNTIF(KIFAITOUT!$G$7:$G$50,'W3'!G25))+(COUNTIF('LUXE DRIVE'!$G$7:$G$50,'W3'!G25))+(COUNTIF(SSN!$G$7:$G$50,'W3'!G25))+(COUNTIF('W3'!$G$7:$G$50,'W3'!G25))+(COUNTIF('ATHIS MONS'!$G$7:$G$50,'W3'!G25))+(COUNTIF('L HAY LES ROSES'!$G$7:$G$50,'W3'!G25))+(COUNTIF(RUNGIS!$G$7:$G$50,'W3'!G25))+(COUNTIF(SCEAUX!$G$7:$G$50,'W3'!G25))+(COUNTIF('INSTANCE C1'!$G$7:$G$50,'W3'!G25))+(COUNTIF('INSTANCE C2'!$G$7:$G$50,'W3'!G25))+(COUNTIF(INTERNES!$G$7:$G$50,'W3'!G25))+(COUNTIF('EN PANNE'!$G$7:$G$50,'W3'!G25))-I25</f>
        <v>0</v>
      </c>
      <c r="I25" s="23">
        <f>(COUNTIF('2S EXPRESS'!$A$7:$A$50,'W3'!G25))+(COUNTIF('2 ZT'!$A$7:$A$50,'W3'!G25))+(COUNTIF('GO TRANSPORT'!$A$7:$A$50,'W3'!G25))+(COUNTIF('HMZ - KAIS'!$A$7:$A$50,'W3'!G25))+(COUNTIF('IB TRANSPORT'!$A$7:$A$50,'W3'!G25))+(COUNTIF(JSL!$A$7:$A$50,'W3'!G25))+(COUNTIF(KIFAITOUT!$A$7:$A$50,'W3'!G25))+(COUNTIF('LUXE DRIVE'!$A$7:$A$50,'W3'!G25))+(COUNTIF(SSN!$A$7:$A$50,'W3'!G25))+(COUNTIF('W3'!$A$7:$A$50,'W3'!G25))+(COUNTIF('ATHIS MONS'!$A$7:$A$50,'W3'!G25))+(COUNTIF('L HAY LES ROSES'!$A$7:$A$50,'W3'!G25))+(COUNTIF(RUNGIS!$A$7:$A$50,'W3'!G25))+(COUNTIF(SCEAUX!$A$7:$A$50,'W3'!G25))+(COUNTIF('INSTANCE C1'!$A$7:$A$50,'W3'!G25))+(COUNTIF('INSTANCE C2'!$A$7:$A$50,'W3'!G25))+(COUNTIF(INTERNES!$A$7:$A$50,'W3'!G25))+(COUNTIF('EN PANNE'!$A$7:$A$50,'W3'!G25))</f>
        <v>0</v>
      </c>
      <c r="J25" s="28">
        <f t="shared" si="4"/>
        <v>0</v>
      </c>
      <c r="K25" s="2"/>
      <c r="L25" s="47"/>
      <c r="S25" s="60">
        <f t="shared" si="1"/>
        <v>0</v>
      </c>
      <c r="T25" s="67">
        <f t="shared" si="2"/>
        <v>0</v>
      </c>
    </row>
    <row r="26" spans="1:20" ht="24.95" customHeight="1" x14ac:dyDescent="0.2">
      <c r="A26" s="20"/>
      <c r="B26" s="23">
        <f>(COUNTIF('2S EXPRESS'!$A$7:$A$50,'W3'!A26))+(COUNTIF('2 ZT'!$A$7:$A$50,'W3'!A26))+(COUNTIF('GO TRANSPORT'!$A$7:$A$50,'W3'!A26))+(COUNTIF('HMZ - KAIS'!$A$7:$A$50,'W3'!A26))+(COUNTIF('IB TRANSPORT'!$A$7:$A$50,'W3'!A26))+(COUNTIF(JSL!$A$7:$A$50,'W3'!A26))+(COUNTIF(KIFAITOUT!$A$7:$A$50,'W3'!A26))+(COUNTIF('LUXE DRIVE'!$A$7:$A$50,'W3'!A26))+(COUNTIF(SSN!$A$7:$A$50,'W3'!A26))+(COUNTIF('W3'!$A$7:$A$50,'W3'!A26))+(COUNTIF('ATHIS MONS'!$A$7:$A$50,'W3'!A26))+(COUNTIF('L HAY LES ROSES'!$A$7:$A$50,'W3'!A26))+(COUNTIF(RUNGIS!$A$7:$A$50,'W3'!A26))+(COUNTIF(SCEAUX!$A$7:$A$50,'W3'!A26))+(COUNTIF('INSTANCE C1'!$A$7:$A$50,'W3'!A26))+(COUNTIF('INSTANCE C2'!$A$7:$A$50,'W3'!A26))+(COUNTIF(INTERNES!$A$7:$A$50,'W3'!A26))+(COUNTIF('EN PANNE'!$A$7:$A$50,'W3'!A26))-C26</f>
        <v>0</v>
      </c>
      <c r="C26" s="23">
        <f>(COUNTIF('2S EXPRESS'!$G$7:$G$50,'W3'!A26))+(COUNTIF('2 ZT'!$G$7:$G$50,'W3'!A26))+(COUNTIF('GO TRANSPORT'!$G$7:$G$50,'W3'!A26))+(COUNTIF('W3'!$G$7:$G$50,'W3'!A26))+(COUNTIF('IB TRANSPORT'!$G$7:$G$50,'W3'!A26))+(COUNTIF(JSL!$G$7:$G$50,'W3'!A26))+(COUNTIF(KIFAITOUT!$G$7:$G$50,'W3'!A26))+(COUNTIF('LUXE DRIVE'!$G$7:$G$50,'W3'!A26))+(COUNTIF(SSN!$G$7:$G$50,'W3'!A26))+(COUNTIF('W3'!$G$7:$G$50,'W3'!A26))+(COUNTIF('ATHIS MONS'!$G$7:$G$50,'W3'!A26))+(COUNTIF('L HAY LES ROSES'!$G$7:$G$50,'W3'!A26))+(COUNTIF(RUNGIS!$G$7:$G$50,'W3'!A26))+(COUNTIF(SCEAUX!$G$7:$G$50,'W3'!A26))+(COUNTIF('INSTANCE C1'!$G$7:$G$50,'W3'!A26))+(COUNTIF('INSTANCE C2'!$G$7:$G$50,'W3'!A26))+(COUNTIF(INTERNES!$G$7:$G$50,'W3'!A26))+(COUNTIF('EN PANNE'!$G$7:$G$50,'W3'!A26))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EXPRESS'!$G$7:$G$50,'W3'!G26))+(COUNTIF('2 ZT'!$G$7:$G$50,'W3'!G26))+(COUNTIF('GO TRANSPORT'!$G$7:$G$50,'W3'!G26))+(COUNTIF('HMZ - KAIS'!$G$7:$G$50,'W3'!G26))+(COUNTIF('IB TRANSPORT'!$G$7:$G$50,'W3'!G26))+(COUNTIF(JSL!$G$7:$G$50,'W3'!G26))+(COUNTIF(KIFAITOUT!$G$7:$G$50,'W3'!G26))+(COUNTIF('LUXE DRIVE'!$G$7:$G$50,'W3'!G26))+(COUNTIF(SSN!$G$7:$G$50,'W3'!G26))+(COUNTIF('W3'!$G$7:$G$50,'W3'!G26))+(COUNTIF('ATHIS MONS'!$G$7:$G$50,'W3'!G26))+(COUNTIF('L HAY LES ROSES'!$G$7:$G$50,'W3'!G26))+(COUNTIF(RUNGIS!$G$7:$G$50,'W3'!G26))+(COUNTIF(SCEAUX!$G$7:$G$50,'W3'!G26))+(COUNTIF('INSTANCE C1'!$G$7:$G$50,'W3'!G26))+(COUNTIF('INSTANCE C2'!$G$7:$G$50,'W3'!G26))+(COUNTIF(INTERNES!$G$7:$G$50,'W3'!G26))+(COUNTIF('EN PANNE'!$G$7:$G$50,'W3'!G26))-I26</f>
        <v>0</v>
      </c>
      <c r="I26" s="23">
        <f>(COUNTIF('2S EXPRESS'!$A$7:$A$50,'W3'!G26))+(COUNTIF('2 ZT'!$A$7:$A$50,'W3'!G26))+(COUNTIF('GO TRANSPORT'!$A$7:$A$50,'W3'!G26))+(COUNTIF('HMZ - KAIS'!$A$7:$A$50,'W3'!G26))+(COUNTIF('IB TRANSPORT'!$A$7:$A$50,'W3'!G26))+(COUNTIF(JSL!$A$7:$A$50,'W3'!G26))+(COUNTIF(KIFAITOUT!$A$7:$A$50,'W3'!G26))+(COUNTIF('LUXE DRIVE'!$A$7:$A$50,'W3'!G26))+(COUNTIF(SSN!$A$7:$A$50,'W3'!G26))+(COUNTIF('W3'!$A$7:$A$50,'W3'!G26))+(COUNTIF('ATHIS MONS'!$A$7:$A$50,'W3'!G26))+(COUNTIF('L HAY LES ROSES'!$A$7:$A$50,'W3'!G26))+(COUNTIF(RUNGIS!$A$7:$A$50,'W3'!G26))+(COUNTIF(SCEAUX!$A$7:$A$50,'W3'!G26))+(COUNTIF('INSTANCE C1'!$A$7:$A$50,'W3'!G26))+(COUNTIF('INSTANCE C2'!$A$7:$A$50,'W3'!G26))+(COUNTIF(INTERNES!$A$7:$A$50,'W3'!G26))+(COUNTIF('EN PANNE'!$A$7:$A$50,'W3'!G26))</f>
        <v>0</v>
      </c>
      <c r="J26" s="28">
        <f t="shared" si="4"/>
        <v>0</v>
      </c>
      <c r="K26" s="2"/>
      <c r="L26" s="47"/>
      <c r="S26" s="60">
        <f t="shared" si="1"/>
        <v>0</v>
      </c>
      <c r="T26" s="67">
        <f t="shared" si="2"/>
        <v>0</v>
      </c>
    </row>
    <row r="27" spans="1:20" ht="24.95" customHeight="1" x14ac:dyDescent="0.2">
      <c r="A27" s="20"/>
      <c r="B27" s="23">
        <f>(COUNTIF('2S EXPRESS'!$A$7:$A$50,'W3'!A27))+(COUNTIF('2 ZT'!$A$7:$A$50,'W3'!A27))+(COUNTIF('GO TRANSPORT'!$A$7:$A$50,'W3'!A27))+(COUNTIF('HMZ - KAIS'!$A$7:$A$50,'W3'!A27))+(COUNTIF('IB TRANSPORT'!$A$7:$A$50,'W3'!A27))+(COUNTIF(JSL!$A$7:$A$50,'W3'!A27))+(COUNTIF(KIFAITOUT!$A$7:$A$50,'W3'!A27))+(COUNTIF('LUXE DRIVE'!$A$7:$A$50,'W3'!A27))+(COUNTIF(SSN!$A$7:$A$50,'W3'!A27))+(COUNTIF('W3'!$A$7:$A$50,'W3'!A27))+(COUNTIF('ATHIS MONS'!$A$7:$A$50,'W3'!A27))+(COUNTIF('L HAY LES ROSES'!$A$7:$A$50,'W3'!A27))+(COUNTIF(RUNGIS!$A$7:$A$50,'W3'!A27))+(COUNTIF(SCEAUX!$A$7:$A$50,'W3'!A27))+(COUNTIF('INSTANCE C1'!$A$7:$A$50,'W3'!A27))+(COUNTIF('INSTANCE C2'!$A$7:$A$50,'W3'!A27))+(COUNTIF(INTERNES!$A$7:$A$50,'W3'!A27))+(COUNTIF('EN PANNE'!$A$7:$A$50,'W3'!A27))-C27</f>
        <v>0</v>
      </c>
      <c r="C27" s="23">
        <f>(COUNTIF('2S EXPRESS'!$G$7:$G$50,'W3'!A27))+(COUNTIF('2 ZT'!$G$7:$G$50,'W3'!A27))+(COUNTIF('GO TRANSPORT'!$G$7:$G$50,'W3'!A27))+(COUNTIF('W3'!$G$7:$G$50,'W3'!A27))+(COUNTIF('IB TRANSPORT'!$G$7:$G$50,'W3'!A27))+(COUNTIF(JSL!$G$7:$G$50,'W3'!A27))+(COUNTIF(KIFAITOUT!$G$7:$G$50,'W3'!A27))+(COUNTIF('LUXE DRIVE'!$G$7:$G$50,'W3'!A27))+(COUNTIF(SSN!$G$7:$G$50,'W3'!A27))+(COUNTIF('W3'!$G$7:$G$50,'W3'!A27))+(COUNTIF('ATHIS MONS'!$G$7:$G$50,'W3'!A27))+(COUNTIF('L HAY LES ROSES'!$G$7:$G$50,'W3'!A27))+(COUNTIF(RUNGIS!$G$7:$G$50,'W3'!A27))+(COUNTIF(SCEAUX!$G$7:$G$50,'W3'!A27))+(COUNTIF('INSTANCE C1'!$G$7:$G$50,'W3'!A27))+(COUNTIF('INSTANCE C2'!$G$7:$G$50,'W3'!A27))+(COUNTIF(INTERNES!$G$7:$G$50,'W3'!A27))+(COUNTIF('EN PANNE'!$G$7:$G$50,'W3'!A27))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EXPRESS'!$G$7:$G$50,'W3'!G27))+(COUNTIF('2 ZT'!$G$7:$G$50,'W3'!G27))+(COUNTIF('GO TRANSPORT'!$G$7:$G$50,'W3'!G27))+(COUNTIF('HMZ - KAIS'!$G$7:$G$50,'W3'!G27))+(COUNTIF('IB TRANSPORT'!$G$7:$G$50,'W3'!G27))+(COUNTIF(JSL!$G$7:$G$50,'W3'!G27))+(COUNTIF(KIFAITOUT!$G$7:$G$50,'W3'!G27))+(COUNTIF('LUXE DRIVE'!$G$7:$G$50,'W3'!G27))+(COUNTIF(SSN!$G$7:$G$50,'W3'!G27))+(COUNTIF('W3'!$G$7:$G$50,'W3'!G27))+(COUNTIF('ATHIS MONS'!$G$7:$G$50,'W3'!G27))+(COUNTIF('L HAY LES ROSES'!$G$7:$G$50,'W3'!G27))+(COUNTIF(RUNGIS!$G$7:$G$50,'W3'!G27))+(COUNTIF(SCEAUX!$G$7:$G$50,'W3'!G27))+(COUNTIF('INSTANCE C1'!$G$7:$G$50,'W3'!G27))+(COUNTIF('INSTANCE C2'!$G$7:$G$50,'W3'!G27))+(COUNTIF(INTERNES!$G$7:$G$50,'W3'!G27))+(COUNTIF('EN PANNE'!$G$7:$G$50,'W3'!G27))-I27</f>
        <v>0</v>
      </c>
      <c r="I27" s="23">
        <f>(COUNTIF('2S EXPRESS'!$A$7:$A$50,'W3'!G27))+(COUNTIF('2 ZT'!$A$7:$A$50,'W3'!G27))+(COUNTIF('GO TRANSPORT'!$A$7:$A$50,'W3'!G27))+(COUNTIF('HMZ - KAIS'!$A$7:$A$50,'W3'!G27))+(COUNTIF('IB TRANSPORT'!$A$7:$A$50,'W3'!G27))+(COUNTIF(JSL!$A$7:$A$50,'W3'!G27))+(COUNTIF(KIFAITOUT!$A$7:$A$50,'W3'!G27))+(COUNTIF('LUXE DRIVE'!$A$7:$A$50,'W3'!G27))+(COUNTIF(SSN!$A$7:$A$50,'W3'!G27))+(COUNTIF('W3'!$A$7:$A$50,'W3'!G27))+(COUNTIF('ATHIS MONS'!$A$7:$A$50,'W3'!G27))+(COUNTIF('L HAY LES ROSES'!$A$7:$A$50,'W3'!G27))+(COUNTIF(RUNGIS!$A$7:$A$50,'W3'!G27))+(COUNTIF(SCEAUX!$A$7:$A$50,'W3'!G27))+(COUNTIF('INSTANCE C1'!$A$7:$A$50,'W3'!G27))+(COUNTIF('INSTANCE C2'!$A$7:$A$50,'W3'!G27))+(COUNTIF(INTERNES!$A$7:$A$50,'W3'!G27))+(COUNTIF('EN PANNE'!$A$7:$A$50,'W3'!G27))</f>
        <v>0</v>
      </c>
      <c r="J27" s="28">
        <f t="shared" si="4"/>
        <v>0</v>
      </c>
      <c r="K27" s="2"/>
      <c r="L27" s="47"/>
      <c r="S27" s="60">
        <f t="shared" si="1"/>
        <v>0</v>
      </c>
      <c r="T27" s="67">
        <f t="shared" si="2"/>
        <v>0</v>
      </c>
    </row>
    <row r="28" spans="1:20" ht="24.95" customHeight="1" x14ac:dyDescent="0.2">
      <c r="A28" s="20"/>
      <c r="B28" s="23">
        <f>(COUNTIF('2S EXPRESS'!$A$7:$A$50,'W3'!A28))+(COUNTIF('2 ZT'!$A$7:$A$50,'W3'!A28))+(COUNTIF('GO TRANSPORT'!$A$7:$A$50,'W3'!A28))+(COUNTIF('HMZ - KAIS'!$A$7:$A$50,'W3'!A28))+(COUNTIF('IB TRANSPORT'!$A$7:$A$50,'W3'!A28))+(COUNTIF(JSL!$A$7:$A$50,'W3'!A28))+(COUNTIF(KIFAITOUT!$A$7:$A$50,'W3'!A28))+(COUNTIF('LUXE DRIVE'!$A$7:$A$50,'W3'!A28))+(COUNTIF(SSN!$A$7:$A$50,'W3'!A28))+(COUNTIF('W3'!$A$7:$A$50,'W3'!A28))+(COUNTIF('ATHIS MONS'!$A$7:$A$50,'W3'!A28))+(COUNTIF('L HAY LES ROSES'!$A$7:$A$50,'W3'!A28))+(COUNTIF(RUNGIS!$A$7:$A$50,'W3'!A28))+(COUNTIF(SCEAUX!$A$7:$A$50,'W3'!A28))+(COUNTIF('INSTANCE C1'!$A$7:$A$50,'W3'!A28))+(COUNTIF('INSTANCE C2'!$A$7:$A$50,'W3'!A28))+(COUNTIF(INTERNES!$A$7:$A$50,'W3'!A28))+(COUNTIF('EN PANNE'!$A$7:$A$50,'W3'!A28))-C28</f>
        <v>0</v>
      </c>
      <c r="C28" s="23">
        <f>(COUNTIF('2S EXPRESS'!$G$7:$G$50,'W3'!A28))+(COUNTIF('2 ZT'!$G$7:$G$50,'W3'!A28))+(COUNTIF('GO TRANSPORT'!$G$7:$G$50,'W3'!A28))+(COUNTIF('W3'!$G$7:$G$50,'W3'!A28))+(COUNTIF('IB TRANSPORT'!$G$7:$G$50,'W3'!A28))+(COUNTIF(JSL!$G$7:$G$50,'W3'!A28))+(COUNTIF(KIFAITOUT!$G$7:$G$50,'W3'!A28))+(COUNTIF('LUXE DRIVE'!$G$7:$G$50,'W3'!A28))+(COUNTIF(SSN!$G$7:$G$50,'W3'!A28))+(COUNTIF('W3'!$G$7:$G$50,'W3'!A28))+(COUNTIF('ATHIS MONS'!$G$7:$G$50,'W3'!A28))+(COUNTIF('L HAY LES ROSES'!$G$7:$G$50,'W3'!A28))+(COUNTIF(RUNGIS!$G$7:$G$50,'W3'!A28))+(COUNTIF(SCEAUX!$G$7:$G$50,'W3'!A28))+(COUNTIF('INSTANCE C1'!$G$7:$G$50,'W3'!A28))+(COUNTIF('INSTANCE C2'!$G$7:$G$50,'W3'!A28))+(COUNTIF(INTERNES!$G$7:$G$50,'W3'!A28))+(COUNTIF('EN PANNE'!$G$7:$G$50,'W3'!A28))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EXPRESS'!$G$7:$G$50,'W3'!G28))+(COUNTIF('2 ZT'!$G$7:$G$50,'W3'!G28))+(COUNTIF('GO TRANSPORT'!$G$7:$G$50,'W3'!G28))+(COUNTIF('HMZ - KAIS'!$G$7:$G$50,'W3'!G28))+(COUNTIF('IB TRANSPORT'!$G$7:$G$50,'W3'!G28))+(COUNTIF(JSL!$G$7:$G$50,'W3'!G28))+(COUNTIF(KIFAITOUT!$G$7:$G$50,'W3'!G28))+(COUNTIF('LUXE DRIVE'!$G$7:$G$50,'W3'!G28))+(COUNTIF(SSN!$G$7:$G$50,'W3'!G28))+(COUNTIF('W3'!$G$7:$G$50,'W3'!G28))+(COUNTIF('ATHIS MONS'!$G$7:$G$50,'W3'!G28))+(COUNTIF('L HAY LES ROSES'!$G$7:$G$50,'W3'!G28))+(COUNTIF(RUNGIS!$G$7:$G$50,'W3'!G28))+(COUNTIF(SCEAUX!$G$7:$G$50,'W3'!G28))+(COUNTIF('INSTANCE C1'!$G$7:$G$50,'W3'!G28))+(COUNTIF('INSTANCE C2'!$G$7:$G$50,'W3'!G28))+(COUNTIF(INTERNES!$G$7:$G$50,'W3'!G28))+(COUNTIF('EN PANNE'!$G$7:$G$50,'W3'!G28))-I28</f>
        <v>0</v>
      </c>
      <c r="I28" s="23">
        <f>(COUNTIF('2S EXPRESS'!$A$7:$A$50,'W3'!G28))+(COUNTIF('2 ZT'!$A$7:$A$50,'W3'!G28))+(COUNTIF('GO TRANSPORT'!$A$7:$A$50,'W3'!G28))+(COUNTIF('HMZ - KAIS'!$A$7:$A$50,'W3'!G28))+(COUNTIF('IB TRANSPORT'!$A$7:$A$50,'W3'!G28))+(COUNTIF(JSL!$A$7:$A$50,'W3'!G28))+(COUNTIF(KIFAITOUT!$A$7:$A$50,'W3'!G28))+(COUNTIF('LUXE DRIVE'!$A$7:$A$50,'W3'!G28))+(COUNTIF(SSN!$A$7:$A$50,'W3'!G28))+(COUNTIF('W3'!$A$7:$A$50,'W3'!G28))+(COUNTIF('ATHIS MONS'!$A$7:$A$50,'W3'!G28))+(COUNTIF('L HAY LES ROSES'!$A$7:$A$50,'W3'!G28))+(COUNTIF(RUNGIS!$A$7:$A$50,'W3'!G28))+(COUNTIF(SCEAUX!$A$7:$A$50,'W3'!G28))+(COUNTIF('INSTANCE C1'!$A$7:$A$50,'W3'!G28))+(COUNTIF('INSTANCE C2'!$A$7:$A$50,'W3'!G28))+(COUNTIF(INTERNES!$A$7:$A$50,'W3'!G28))+(COUNTIF('EN PANNE'!$A$7:$A$50,'W3'!G28))</f>
        <v>0</v>
      </c>
      <c r="J28" s="28">
        <f t="shared" si="4"/>
        <v>0</v>
      </c>
      <c r="K28" s="2"/>
      <c r="L28" s="47"/>
      <c r="S28" s="60">
        <f t="shared" si="1"/>
        <v>0</v>
      </c>
      <c r="T28" s="67">
        <f t="shared" si="2"/>
        <v>0</v>
      </c>
    </row>
    <row r="29" spans="1:20" ht="24.95" customHeight="1" x14ac:dyDescent="0.2">
      <c r="A29" s="20"/>
      <c r="B29" s="23">
        <f>(COUNTIF('2S EXPRESS'!$A$7:$A$50,'W3'!A29))+(COUNTIF('2 ZT'!$A$7:$A$50,'W3'!A29))+(COUNTIF('GO TRANSPORT'!$A$7:$A$50,'W3'!A29))+(COUNTIF('HMZ - KAIS'!$A$7:$A$50,'W3'!A29))+(COUNTIF('IB TRANSPORT'!$A$7:$A$50,'W3'!A29))+(COUNTIF(JSL!$A$7:$A$50,'W3'!A29))+(COUNTIF(KIFAITOUT!$A$7:$A$50,'W3'!A29))+(COUNTIF('LUXE DRIVE'!$A$7:$A$50,'W3'!A29))+(COUNTIF(SSN!$A$7:$A$50,'W3'!A29))+(COUNTIF('W3'!$A$7:$A$50,'W3'!A29))+(COUNTIF('ATHIS MONS'!$A$7:$A$50,'W3'!A29))+(COUNTIF('L HAY LES ROSES'!$A$7:$A$50,'W3'!A29))+(COUNTIF(RUNGIS!$A$7:$A$50,'W3'!A29))+(COUNTIF(SCEAUX!$A$7:$A$50,'W3'!A29))+(COUNTIF('INSTANCE C1'!$A$7:$A$50,'W3'!A29))+(COUNTIF('INSTANCE C2'!$A$7:$A$50,'W3'!A29))+(COUNTIF(INTERNES!$A$7:$A$50,'W3'!A29))+(COUNTIF('EN PANNE'!$A$7:$A$50,'W3'!A29))-C29</f>
        <v>0</v>
      </c>
      <c r="C29" s="23">
        <f>(COUNTIF('2S EXPRESS'!$G$7:$G$50,'W3'!A29))+(COUNTIF('2 ZT'!$G$7:$G$50,'W3'!A29))+(COUNTIF('GO TRANSPORT'!$G$7:$G$50,'W3'!A29))+(COUNTIF('W3'!$G$7:$G$50,'W3'!A29))+(COUNTIF('IB TRANSPORT'!$G$7:$G$50,'W3'!A29))+(COUNTIF(JSL!$G$7:$G$50,'W3'!A29))+(COUNTIF(KIFAITOUT!$G$7:$G$50,'W3'!A29))+(COUNTIF('LUXE DRIVE'!$G$7:$G$50,'W3'!A29))+(COUNTIF(SSN!$G$7:$G$50,'W3'!A29))+(COUNTIF('W3'!$G$7:$G$50,'W3'!A29))+(COUNTIF('ATHIS MONS'!$G$7:$G$50,'W3'!A29))+(COUNTIF('L HAY LES ROSES'!$G$7:$G$50,'W3'!A29))+(COUNTIF(RUNGIS!$G$7:$G$50,'W3'!A29))+(COUNTIF(SCEAUX!$G$7:$G$50,'W3'!A29))+(COUNTIF('INSTANCE C1'!$G$7:$G$50,'W3'!A29))+(COUNTIF('INSTANCE C2'!$G$7:$G$50,'W3'!A29))+(COUNTIF(INTERNES!$G$7:$G$50,'W3'!A29))+(COUNTIF('EN PANNE'!$G$7:$G$50,'W3'!A29))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EXPRESS'!$G$7:$G$50,'W3'!G29))+(COUNTIF('2 ZT'!$G$7:$G$50,'W3'!G29))+(COUNTIF('GO TRANSPORT'!$G$7:$G$50,'W3'!G29))+(COUNTIF('HMZ - KAIS'!$G$7:$G$50,'W3'!G29))+(COUNTIF('IB TRANSPORT'!$G$7:$G$50,'W3'!G29))+(COUNTIF(JSL!$G$7:$G$50,'W3'!G29))+(COUNTIF(KIFAITOUT!$G$7:$G$50,'W3'!G29))+(COUNTIF('LUXE DRIVE'!$G$7:$G$50,'W3'!G29))+(COUNTIF(SSN!$G$7:$G$50,'W3'!G29))+(COUNTIF('W3'!$G$7:$G$50,'W3'!G29))+(COUNTIF('ATHIS MONS'!$G$7:$G$50,'W3'!G29))+(COUNTIF('L HAY LES ROSES'!$G$7:$G$50,'W3'!G29))+(COUNTIF(RUNGIS!$G$7:$G$50,'W3'!G29))+(COUNTIF(SCEAUX!$G$7:$G$50,'W3'!G29))+(COUNTIF('INSTANCE C1'!$G$7:$G$50,'W3'!G29))+(COUNTIF('INSTANCE C2'!$G$7:$G$50,'W3'!G29))+(COUNTIF(INTERNES!$G$7:$G$50,'W3'!G29))+(COUNTIF('EN PANNE'!$G$7:$G$50,'W3'!G29))-I29</f>
        <v>0</v>
      </c>
      <c r="I29" s="23">
        <f>(COUNTIF('2S EXPRESS'!$A$7:$A$50,'W3'!G29))+(COUNTIF('2 ZT'!$A$7:$A$50,'W3'!G29))+(COUNTIF('GO TRANSPORT'!$A$7:$A$50,'W3'!G29))+(COUNTIF('HMZ - KAIS'!$A$7:$A$50,'W3'!G29))+(COUNTIF('IB TRANSPORT'!$A$7:$A$50,'W3'!G29))+(COUNTIF(JSL!$A$7:$A$50,'W3'!G29))+(COUNTIF(KIFAITOUT!$A$7:$A$50,'W3'!G29))+(COUNTIF('LUXE DRIVE'!$A$7:$A$50,'W3'!G29))+(COUNTIF(SSN!$A$7:$A$50,'W3'!G29))+(COUNTIF('W3'!$A$7:$A$50,'W3'!G29))+(COUNTIF('ATHIS MONS'!$A$7:$A$50,'W3'!G29))+(COUNTIF('L HAY LES ROSES'!$A$7:$A$50,'W3'!G29))+(COUNTIF(RUNGIS!$A$7:$A$50,'W3'!G29))+(COUNTIF(SCEAUX!$A$7:$A$50,'W3'!G29))+(COUNTIF('INSTANCE C1'!$A$7:$A$50,'W3'!G29))+(COUNTIF('INSTANCE C2'!$A$7:$A$50,'W3'!G29))+(COUNTIF(INTERNES!$A$7:$A$50,'W3'!G29))+(COUNTIF('EN PANNE'!$A$7:$A$50,'W3'!G29))</f>
        <v>0</v>
      </c>
      <c r="J29" s="28">
        <f t="shared" si="4"/>
        <v>0</v>
      </c>
      <c r="K29" s="2"/>
      <c r="L29" s="47"/>
      <c r="S29" s="60">
        <f t="shared" si="1"/>
        <v>0</v>
      </c>
      <c r="T29" s="67">
        <f t="shared" si="2"/>
        <v>0</v>
      </c>
    </row>
    <row r="30" spans="1:20" ht="24.95" customHeight="1" x14ac:dyDescent="0.2">
      <c r="A30" s="20"/>
      <c r="B30" s="23">
        <f>(COUNTIF('2S EXPRESS'!$A$7:$A$50,'W3'!A30))+(COUNTIF('2 ZT'!$A$7:$A$50,'W3'!A30))+(COUNTIF('GO TRANSPORT'!$A$7:$A$50,'W3'!A30))+(COUNTIF('HMZ - KAIS'!$A$7:$A$50,'W3'!A30))+(COUNTIF('IB TRANSPORT'!$A$7:$A$50,'W3'!A30))+(COUNTIF(JSL!$A$7:$A$50,'W3'!A30))+(COUNTIF(KIFAITOUT!$A$7:$A$50,'W3'!A30))+(COUNTIF('LUXE DRIVE'!$A$7:$A$50,'W3'!A30))+(COUNTIF(SSN!$A$7:$A$50,'W3'!A30))+(COUNTIF('W3'!$A$7:$A$50,'W3'!A30))+(COUNTIF('ATHIS MONS'!$A$7:$A$50,'W3'!A30))+(COUNTIF('L HAY LES ROSES'!$A$7:$A$50,'W3'!A30))+(COUNTIF(RUNGIS!$A$7:$A$50,'W3'!A30))+(COUNTIF(SCEAUX!$A$7:$A$50,'W3'!A30))+(COUNTIF('INSTANCE C1'!$A$7:$A$50,'W3'!A30))+(COUNTIF('INSTANCE C2'!$A$7:$A$50,'W3'!A30))+(COUNTIF(INTERNES!$A$7:$A$50,'W3'!A30))+(COUNTIF('EN PANNE'!$A$7:$A$50,'W3'!A30))-C30</f>
        <v>0</v>
      </c>
      <c r="C30" s="23">
        <f>(COUNTIF('2S EXPRESS'!$G$7:$G$50,'W3'!A30))+(COUNTIF('2 ZT'!$G$7:$G$50,'W3'!A30))+(COUNTIF('GO TRANSPORT'!$G$7:$G$50,'W3'!A30))+(COUNTIF('W3'!$G$7:$G$50,'W3'!A30))+(COUNTIF('IB TRANSPORT'!$G$7:$G$50,'W3'!A30))+(COUNTIF(JSL!$G$7:$G$50,'W3'!A30))+(COUNTIF(KIFAITOUT!$G$7:$G$50,'W3'!A30))+(COUNTIF('LUXE DRIVE'!$G$7:$G$50,'W3'!A30))+(COUNTIF(SSN!$G$7:$G$50,'W3'!A30))+(COUNTIF('W3'!$G$7:$G$50,'W3'!A30))+(COUNTIF('ATHIS MONS'!$G$7:$G$50,'W3'!A30))+(COUNTIF('L HAY LES ROSES'!$G$7:$G$50,'W3'!A30))+(COUNTIF(RUNGIS!$G$7:$G$50,'W3'!A30))+(COUNTIF(SCEAUX!$G$7:$G$50,'W3'!A30))+(COUNTIF('INSTANCE C1'!$G$7:$G$50,'W3'!A30))+(COUNTIF('INSTANCE C2'!$G$7:$G$50,'W3'!A30))+(COUNTIF(INTERNES!$G$7:$G$50,'W3'!A30))+(COUNTIF('EN PANNE'!$G$7:$G$50,'W3'!A30))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EXPRESS'!$G$7:$G$50,'W3'!G30))+(COUNTIF('2 ZT'!$G$7:$G$50,'W3'!G30))+(COUNTIF('GO TRANSPORT'!$G$7:$G$50,'W3'!G30))+(COUNTIF('HMZ - KAIS'!$G$7:$G$50,'W3'!G30))+(COUNTIF('IB TRANSPORT'!$G$7:$G$50,'W3'!G30))+(COUNTIF(JSL!$G$7:$G$50,'W3'!G30))+(COUNTIF(KIFAITOUT!$G$7:$G$50,'W3'!G30))+(COUNTIF('LUXE DRIVE'!$G$7:$G$50,'W3'!G30))+(COUNTIF(SSN!$G$7:$G$50,'W3'!G30))+(COUNTIF('W3'!$G$7:$G$50,'W3'!G30))+(COUNTIF('ATHIS MONS'!$G$7:$G$50,'W3'!G30))+(COUNTIF('L HAY LES ROSES'!$G$7:$G$50,'W3'!G30))+(COUNTIF(RUNGIS!$G$7:$G$50,'W3'!G30))+(COUNTIF(SCEAUX!$G$7:$G$50,'W3'!G30))+(COUNTIF('INSTANCE C1'!$G$7:$G$50,'W3'!G30))+(COUNTIF('INSTANCE C2'!$G$7:$G$50,'W3'!G30))+(COUNTIF(INTERNES!$G$7:$G$50,'W3'!G30))+(COUNTIF('EN PANNE'!$G$7:$G$50,'W3'!G30))-I30</f>
        <v>0</v>
      </c>
      <c r="I30" s="23">
        <f>(COUNTIF('2S EXPRESS'!$A$7:$A$50,'W3'!G30))+(COUNTIF('2 ZT'!$A$7:$A$50,'W3'!G30))+(COUNTIF('GO TRANSPORT'!$A$7:$A$50,'W3'!G30))+(COUNTIF('HMZ - KAIS'!$A$7:$A$50,'W3'!G30))+(COUNTIF('IB TRANSPORT'!$A$7:$A$50,'W3'!G30))+(COUNTIF(JSL!$A$7:$A$50,'W3'!G30))+(COUNTIF(KIFAITOUT!$A$7:$A$50,'W3'!G30))+(COUNTIF('LUXE DRIVE'!$A$7:$A$50,'W3'!G30))+(COUNTIF(SSN!$A$7:$A$50,'W3'!G30))+(COUNTIF('W3'!$A$7:$A$50,'W3'!G30))+(COUNTIF('ATHIS MONS'!$A$7:$A$50,'W3'!G30))+(COUNTIF('L HAY LES ROSES'!$A$7:$A$50,'W3'!G30))+(COUNTIF(RUNGIS!$A$7:$A$50,'W3'!G30))+(COUNTIF(SCEAUX!$A$7:$A$50,'W3'!G30))+(COUNTIF('INSTANCE C1'!$A$7:$A$50,'W3'!G30))+(COUNTIF('INSTANCE C2'!$A$7:$A$50,'W3'!G30))+(COUNTIF(INTERNES!$A$7:$A$50,'W3'!G30))+(COUNTIF('EN PANNE'!$A$7:$A$50,'W3'!G30))</f>
        <v>0</v>
      </c>
      <c r="J30" s="28">
        <f t="shared" si="4"/>
        <v>0</v>
      </c>
      <c r="K30" s="2"/>
      <c r="L30" s="47"/>
      <c r="S30" s="60">
        <f t="shared" si="1"/>
        <v>0</v>
      </c>
      <c r="T30" s="67">
        <f t="shared" si="2"/>
        <v>0</v>
      </c>
    </row>
    <row r="31" spans="1:20" ht="24.95" customHeight="1" x14ac:dyDescent="0.2">
      <c r="A31" s="20"/>
      <c r="B31" s="23">
        <f>(COUNTIF('2S EXPRESS'!$A$7:$A$50,'W3'!A31))+(COUNTIF('2 ZT'!$A$7:$A$50,'W3'!A31))+(COUNTIF('GO TRANSPORT'!$A$7:$A$50,'W3'!A31))+(COUNTIF('HMZ - KAIS'!$A$7:$A$50,'W3'!A31))+(COUNTIF('IB TRANSPORT'!$A$7:$A$50,'W3'!A31))+(COUNTIF(JSL!$A$7:$A$50,'W3'!A31))+(COUNTIF(KIFAITOUT!$A$7:$A$50,'W3'!A31))+(COUNTIF('LUXE DRIVE'!$A$7:$A$50,'W3'!A31))+(COUNTIF(SSN!$A$7:$A$50,'W3'!A31))+(COUNTIF('W3'!$A$7:$A$50,'W3'!A31))+(COUNTIF('ATHIS MONS'!$A$7:$A$50,'W3'!A31))+(COUNTIF('L HAY LES ROSES'!$A$7:$A$50,'W3'!A31))+(COUNTIF(RUNGIS!$A$7:$A$50,'W3'!A31))+(COUNTIF(SCEAUX!$A$7:$A$50,'W3'!A31))+(COUNTIF('INSTANCE C1'!$A$7:$A$50,'W3'!A31))+(COUNTIF('INSTANCE C2'!$A$7:$A$50,'W3'!A31))+(COUNTIF(INTERNES!$A$7:$A$50,'W3'!A31))+(COUNTIF('EN PANNE'!$A$7:$A$50,'W3'!A31))-C31</f>
        <v>0</v>
      </c>
      <c r="C31" s="23">
        <f>(COUNTIF('2S EXPRESS'!$G$7:$G$50,'W3'!A31))+(COUNTIF('2 ZT'!$G$7:$G$50,'W3'!A31))+(COUNTIF('GO TRANSPORT'!$G$7:$G$50,'W3'!A31))+(COUNTIF('W3'!$G$7:$G$50,'W3'!A31))+(COUNTIF('IB TRANSPORT'!$G$7:$G$50,'W3'!A31))+(COUNTIF(JSL!$G$7:$G$50,'W3'!A31))+(COUNTIF(KIFAITOUT!$G$7:$G$50,'W3'!A31))+(COUNTIF('LUXE DRIVE'!$G$7:$G$50,'W3'!A31))+(COUNTIF(SSN!$G$7:$G$50,'W3'!A31))+(COUNTIF('W3'!$G$7:$G$50,'W3'!A31))+(COUNTIF('ATHIS MONS'!$G$7:$G$50,'W3'!A31))+(COUNTIF('L HAY LES ROSES'!$G$7:$G$50,'W3'!A31))+(COUNTIF(RUNGIS!$G$7:$G$50,'W3'!A31))+(COUNTIF(SCEAUX!$G$7:$G$50,'W3'!A31))+(COUNTIF('INSTANCE C1'!$G$7:$G$50,'W3'!A31))+(COUNTIF('INSTANCE C2'!$G$7:$G$50,'W3'!A31))+(COUNTIF(INTERNES!$G$7:$G$50,'W3'!A31))+(COUNTIF('EN PANNE'!$G$7:$G$50,'W3'!A31))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EXPRESS'!$G$7:$G$50,'W3'!G31))+(COUNTIF('2 ZT'!$G$7:$G$50,'W3'!G31))+(COUNTIF('GO TRANSPORT'!$G$7:$G$50,'W3'!G31))+(COUNTIF('HMZ - KAIS'!$G$7:$G$50,'W3'!G31))+(COUNTIF('IB TRANSPORT'!$G$7:$G$50,'W3'!G31))+(COUNTIF(JSL!$G$7:$G$50,'W3'!G31))+(COUNTIF(KIFAITOUT!$G$7:$G$50,'W3'!G31))+(COUNTIF('LUXE DRIVE'!$G$7:$G$50,'W3'!G31))+(COUNTIF(SSN!$G$7:$G$50,'W3'!G31))+(COUNTIF('W3'!$G$7:$G$50,'W3'!G31))+(COUNTIF('ATHIS MONS'!$G$7:$G$50,'W3'!G31))+(COUNTIF('L HAY LES ROSES'!$G$7:$G$50,'W3'!G31))+(COUNTIF(RUNGIS!$G$7:$G$50,'W3'!G31))+(COUNTIF(SCEAUX!$G$7:$G$50,'W3'!G31))+(COUNTIF('INSTANCE C1'!$G$7:$G$50,'W3'!G31))+(COUNTIF('INSTANCE C2'!$G$7:$G$50,'W3'!G31))+(COUNTIF(INTERNES!$G$7:$G$50,'W3'!G31))+(COUNTIF('EN PANNE'!$G$7:$G$50,'W3'!G31))-I31</f>
        <v>0</v>
      </c>
      <c r="I31" s="23">
        <f>(COUNTIF('2S EXPRESS'!$A$7:$A$50,'W3'!G31))+(COUNTIF('2 ZT'!$A$7:$A$50,'W3'!G31))+(COUNTIF('GO TRANSPORT'!$A$7:$A$50,'W3'!G31))+(COUNTIF('HMZ - KAIS'!$A$7:$A$50,'W3'!G31))+(COUNTIF('IB TRANSPORT'!$A$7:$A$50,'W3'!G31))+(COUNTIF(JSL!$A$7:$A$50,'W3'!G31))+(COUNTIF(KIFAITOUT!$A$7:$A$50,'W3'!G31))+(COUNTIF('LUXE DRIVE'!$A$7:$A$50,'W3'!G31))+(COUNTIF(SSN!$A$7:$A$50,'W3'!G31))+(COUNTIF('W3'!$A$7:$A$50,'W3'!G31))+(COUNTIF('ATHIS MONS'!$A$7:$A$50,'W3'!G31))+(COUNTIF('L HAY LES ROSES'!$A$7:$A$50,'W3'!G31))+(COUNTIF(RUNGIS!$A$7:$A$50,'W3'!G31))+(COUNTIF(SCEAUX!$A$7:$A$50,'W3'!G31))+(COUNTIF('INSTANCE C1'!$A$7:$A$50,'W3'!G31))+(COUNTIF('INSTANCE C2'!$A$7:$A$50,'W3'!G31))+(COUNTIF(INTERNES!$A$7:$A$50,'W3'!G31))+(COUNTIF('EN PANNE'!$A$7:$A$50,'W3'!G31))</f>
        <v>0</v>
      </c>
      <c r="J31" s="28">
        <f t="shared" si="4"/>
        <v>0</v>
      </c>
      <c r="K31" s="2"/>
      <c r="L31" s="47"/>
      <c r="S31" s="60">
        <f t="shared" si="1"/>
        <v>0</v>
      </c>
      <c r="T31" s="67">
        <f t="shared" si="2"/>
        <v>0</v>
      </c>
    </row>
    <row r="32" spans="1:20" ht="24.95" customHeight="1" x14ac:dyDescent="0.2">
      <c r="A32" s="20"/>
      <c r="B32" s="23">
        <f>(COUNTIF('2S EXPRESS'!$A$7:$A$50,'W3'!A32))+(COUNTIF('2 ZT'!$A$7:$A$50,'W3'!A32))+(COUNTIF('GO TRANSPORT'!$A$7:$A$50,'W3'!A32))+(COUNTIF('HMZ - KAIS'!$A$7:$A$50,'W3'!A32))+(COUNTIF('IB TRANSPORT'!$A$7:$A$50,'W3'!A32))+(COUNTIF(JSL!$A$7:$A$50,'W3'!A32))+(COUNTIF(KIFAITOUT!$A$7:$A$50,'W3'!A32))+(COUNTIF('LUXE DRIVE'!$A$7:$A$50,'W3'!A32))+(COUNTIF(SSN!$A$7:$A$50,'W3'!A32))+(COUNTIF('W3'!$A$7:$A$50,'W3'!A32))+(COUNTIF('ATHIS MONS'!$A$7:$A$50,'W3'!A32))+(COUNTIF('L HAY LES ROSES'!$A$7:$A$50,'W3'!A32))+(COUNTIF(RUNGIS!$A$7:$A$50,'W3'!A32))+(COUNTIF(SCEAUX!$A$7:$A$50,'W3'!A32))+(COUNTIF('INSTANCE C1'!$A$7:$A$50,'W3'!A32))+(COUNTIF('INSTANCE C2'!$A$7:$A$50,'W3'!A32))+(COUNTIF(INTERNES!$A$7:$A$50,'W3'!A32))+(COUNTIF('EN PANNE'!$A$7:$A$50,'W3'!A32))-C32</f>
        <v>0</v>
      </c>
      <c r="C32" s="23">
        <f>(COUNTIF('2S EXPRESS'!$G$7:$G$50,'W3'!A32))+(COUNTIF('2 ZT'!$G$7:$G$50,'W3'!A32))+(COUNTIF('GO TRANSPORT'!$G$7:$G$50,'W3'!A32))+(COUNTIF('W3'!$G$7:$G$50,'W3'!A32))+(COUNTIF('IB TRANSPORT'!$G$7:$G$50,'W3'!A32))+(COUNTIF(JSL!$G$7:$G$50,'W3'!A32))+(COUNTIF(KIFAITOUT!$G$7:$G$50,'W3'!A32))+(COUNTIF('LUXE DRIVE'!$G$7:$G$50,'W3'!A32))+(COUNTIF(SSN!$G$7:$G$50,'W3'!A32))+(COUNTIF('W3'!$G$7:$G$50,'W3'!A32))+(COUNTIF('ATHIS MONS'!$G$7:$G$50,'W3'!A32))+(COUNTIF('L HAY LES ROSES'!$G$7:$G$50,'W3'!A32))+(COUNTIF(RUNGIS!$G$7:$G$50,'W3'!A32))+(COUNTIF(SCEAUX!$G$7:$G$50,'W3'!A32))+(COUNTIF('INSTANCE C1'!$G$7:$G$50,'W3'!A32))+(COUNTIF('INSTANCE C2'!$G$7:$G$50,'W3'!A32))+(COUNTIF(INTERNES!$G$7:$G$50,'W3'!A32))+(COUNTIF('EN PANNE'!$G$7:$G$50,'W3'!A32))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EXPRESS'!$G$7:$G$50,'W3'!G32))+(COUNTIF('2 ZT'!$G$7:$G$50,'W3'!G32))+(COUNTIF('GO TRANSPORT'!$G$7:$G$50,'W3'!G32))+(COUNTIF('HMZ - KAIS'!$G$7:$G$50,'W3'!G32))+(COUNTIF('IB TRANSPORT'!$G$7:$G$50,'W3'!G32))+(COUNTIF(JSL!$G$7:$G$50,'W3'!G32))+(COUNTIF(KIFAITOUT!$G$7:$G$50,'W3'!G32))+(COUNTIF('LUXE DRIVE'!$G$7:$G$50,'W3'!G32))+(COUNTIF(SSN!$G$7:$G$50,'W3'!G32))+(COUNTIF('W3'!$G$7:$G$50,'W3'!G32))+(COUNTIF('ATHIS MONS'!$G$7:$G$50,'W3'!G32))+(COUNTIF('L HAY LES ROSES'!$G$7:$G$50,'W3'!G32))+(COUNTIF(RUNGIS!$G$7:$G$50,'W3'!G32))+(COUNTIF(SCEAUX!$G$7:$G$50,'W3'!G32))+(COUNTIF('INSTANCE C1'!$G$7:$G$50,'W3'!G32))+(COUNTIF('INSTANCE C2'!$G$7:$G$50,'W3'!G32))+(COUNTIF(INTERNES!$G$7:$G$50,'W3'!G32))+(COUNTIF('EN PANNE'!$G$7:$G$50,'W3'!G32))-I32</f>
        <v>0</v>
      </c>
      <c r="I32" s="23">
        <f>(COUNTIF('2S EXPRESS'!$A$7:$A$50,'W3'!G32))+(COUNTIF('2 ZT'!$A$7:$A$50,'W3'!G32))+(COUNTIF('GO TRANSPORT'!$A$7:$A$50,'W3'!G32))+(COUNTIF('HMZ - KAIS'!$A$7:$A$50,'W3'!G32))+(COUNTIF('IB TRANSPORT'!$A$7:$A$50,'W3'!G32))+(COUNTIF(JSL!$A$7:$A$50,'W3'!G32))+(COUNTIF(KIFAITOUT!$A$7:$A$50,'W3'!G32))+(COUNTIF('LUXE DRIVE'!$A$7:$A$50,'W3'!G32))+(COUNTIF(SSN!$A$7:$A$50,'W3'!G32))+(COUNTIF('W3'!$A$7:$A$50,'W3'!G32))+(COUNTIF('ATHIS MONS'!$A$7:$A$50,'W3'!G32))+(COUNTIF('L HAY LES ROSES'!$A$7:$A$50,'W3'!G32))+(COUNTIF(RUNGIS!$A$7:$A$50,'W3'!G32))+(COUNTIF(SCEAUX!$A$7:$A$50,'W3'!G32))+(COUNTIF('INSTANCE C1'!$A$7:$A$50,'W3'!G32))+(COUNTIF('INSTANCE C2'!$A$7:$A$50,'W3'!G32))+(COUNTIF(INTERNES!$A$7:$A$50,'W3'!G32))+(COUNTIF('EN PANNE'!$A$7:$A$50,'W3'!G32))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S32" s="60">
        <f t="shared" si="1"/>
        <v>0</v>
      </c>
      <c r="T32" s="67">
        <f t="shared" si="2"/>
        <v>0</v>
      </c>
    </row>
    <row r="33" spans="1:20" ht="24.95" customHeight="1" x14ac:dyDescent="0.2">
      <c r="A33" s="20"/>
      <c r="B33" s="23">
        <f>(COUNTIF('2S EXPRESS'!$A$7:$A$50,'W3'!A33))+(COUNTIF('2 ZT'!$A$7:$A$50,'W3'!A33))+(COUNTIF('GO TRANSPORT'!$A$7:$A$50,'W3'!A33))+(COUNTIF('HMZ - KAIS'!$A$7:$A$50,'W3'!A33))+(COUNTIF('IB TRANSPORT'!$A$7:$A$50,'W3'!A33))+(COUNTIF(JSL!$A$7:$A$50,'W3'!A33))+(COUNTIF(KIFAITOUT!$A$7:$A$50,'W3'!A33))+(COUNTIF('LUXE DRIVE'!$A$7:$A$50,'W3'!A33))+(COUNTIF(SSN!$A$7:$A$50,'W3'!A33))+(COUNTIF('W3'!$A$7:$A$50,'W3'!A33))+(COUNTIF('ATHIS MONS'!$A$7:$A$50,'W3'!A33))+(COUNTIF('L HAY LES ROSES'!$A$7:$A$50,'W3'!A33))+(COUNTIF(RUNGIS!$A$7:$A$50,'W3'!A33))+(COUNTIF(SCEAUX!$A$7:$A$50,'W3'!A33))+(COUNTIF('INSTANCE C1'!$A$7:$A$50,'W3'!A33))+(COUNTIF('INSTANCE C2'!$A$7:$A$50,'W3'!A33))+(COUNTIF(INTERNES!$A$7:$A$50,'W3'!A33))+(COUNTIF('EN PANNE'!$A$7:$A$50,'W3'!A33))-C33</f>
        <v>0</v>
      </c>
      <c r="C33" s="23">
        <f>(COUNTIF('2S EXPRESS'!$G$7:$G$50,'W3'!A33))+(COUNTIF('2 ZT'!$G$7:$G$50,'W3'!A33))+(COUNTIF('GO TRANSPORT'!$G$7:$G$50,'W3'!A33))+(COUNTIF('W3'!$G$7:$G$50,'W3'!A33))+(COUNTIF('IB TRANSPORT'!$G$7:$G$50,'W3'!A33))+(COUNTIF(JSL!$G$7:$G$50,'W3'!A33))+(COUNTIF(KIFAITOUT!$G$7:$G$50,'W3'!A33))+(COUNTIF('LUXE DRIVE'!$G$7:$G$50,'W3'!A33))+(COUNTIF(SSN!$G$7:$G$50,'W3'!A33))+(COUNTIF('W3'!$G$7:$G$50,'W3'!A33))+(COUNTIF('ATHIS MONS'!$G$7:$G$50,'W3'!A33))+(COUNTIF('L HAY LES ROSES'!$G$7:$G$50,'W3'!A33))+(COUNTIF(RUNGIS!$G$7:$G$50,'W3'!A33))+(COUNTIF(SCEAUX!$G$7:$G$50,'W3'!A33))+(COUNTIF('INSTANCE C1'!$G$7:$G$50,'W3'!A33))+(COUNTIF('INSTANCE C2'!$G$7:$G$50,'W3'!A33))+(COUNTIF(INTERNES!$G$7:$G$50,'W3'!A33))+(COUNTIF('EN PANNE'!$G$7:$G$50,'W3'!A33))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EXPRESS'!$G$7:$G$50,'W3'!G33))+(COUNTIF('2 ZT'!$G$7:$G$50,'W3'!G33))+(COUNTIF('GO TRANSPORT'!$G$7:$G$50,'W3'!G33))+(COUNTIF('HMZ - KAIS'!$G$7:$G$50,'W3'!G33))+(COUNTIF('IB TRANSPORT'!$G$7:$G$50,'W3'!G33))+(COUNTIF(JSL!$G$7:$G$50,'W3'!G33))+(COUNTIF(KIFAITOUT!$G$7:$G$50,'W3'!G33))+(COUNTIF('LUXE DRIVE'!$G$7:$G$50,'W3'!G33))+(COUNTIF(SSN!$G$7:$G$50,'W3'!G33))+(COUNTIF('W3'!$G$7:$G$50,'W3'!G33))+(COUNTIF('ATHIS MONS'!$G$7:$G$50,'W3'!G33))+(COUNTIF('L HAY LES ROSES'!$G$7:$G$50,'W3'!G33))+(COUNTIF(RUNGIS!$G$7:$G$50,'W3'!G33))+(COUNTIF(SCEAUX!$G$7:$G$50,'W3'!G33))+(COUNTIF('INSTANCE C1'!$G$7:$G$50,'W3'!G33))+(COUNTIF('INSTANCE C2'!$G$7:$G$50,'W3'!G33))+(COUNTIF(INTERNES!$G$7:$G$50,'W3'!G33))+(COUNTIF('EN PANNE'!$G$7:$G$50,'W3'!G33))-I33</f>
        <v>0</v>
      </c>
      <c r="I33" s="23">
        <f>(COUNTIF('2S EXPRESS'!$A$7:$A$50,'W3'!G33))+(COUNTIF('2 ZT'!$A$7:$A$50,'W3'!G33))+(COUNTIF('GO TRANSPORT'!$A$7:$A$50,'W3'!G33))+(COUNTIF('HMZ - KAIS'!$A$7:$A$50,'W3'!G33))+(COUNTIF('IB TRANSPORT'!$A$7:$A$50,'W3'!G33))+(COUNTIF(JSL!$A$7:$A$50,'W3'!G33))+(COUNTIF(KIFAITOUT!$A$7:$A$50,'W3'!G33))+(COUNTIF('LUXE DRIVE'!$A$7:$A$50,'W3'!G33))+(COUNTIF(SSN!$A$7:$A$50,'W3'!G33))+(COUNTIF('W3'!$A$7:$A$50,'W3'!G33))+(COUNTIF('ATHIS MONS'!$A$7:$A$50,'W3'!G33))+(COUNTIF('L HAY LES ROSES'!$A$7:$A$50,'W3'!G33))+(COUNTIF(RUNGIS!$A$7:$A$50,'W3'!G33))+(COUNTIF(SCEAUX!$A$7:$A$50,'W3'!G33))+(COUNTIF('INSTANCE C1'!$A$7:$A$50,'W3'!G33))+(COUNTIF('INSTANCE C2'!$A$7:$A$50,'W3'!G33))+(COUNTIF(INTERNES!$A$7:$A$50,'W3'!G33))+(COUNTIF('EN PANNE'!$A$7:$A$50,'W3'!G33))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S33" s="60">
        <f t="shared" si="1"/>
        <v>0</v>
      </c>
      <c r="T33" s="67">
        <f t="shared" si="2"/>
        <v>0</v>
      </c>
    </row>
    <row r="34" spans="1:20" ht="24.95" customHeight="1" x14ac:dyDescent="0.2">
      <c r="A34" s="20"/>
      <c r="B34" s="23">
        <f>(COUNTIF('2S EXPRESS'!$A$7:$A$50,'W3'!A34))+(COUNTIF('2 ZT'!$A$7:$A$50,'W3'!A34))+(COUNTIF('GO TRANSPORT'!$A$7:$A$50,'W3'!A34))+(COUNTIF('HMZ - KAIS'!$A$7:$A$50,'W3'!A34))+(COUNTIF('IB TRANSPORT'!$A$7:$A$50,'W3'!A34))+(COUNTIF(JSL!$A$7:$A$50,'W3'!A34))+(COUNTIF(KIFAITOUT!$A$7:$A$50,'W3'!A34))+(COUNTIF('LUXE DRIVE'!$A$7:$A$50,'W3'!A34))+(COUNTIF(SSN!$A$7:$A$50,'W3'!A34))+(COUNTIF('W3'!$A$7:$A$50,'W3'!A34))+(COUNTIF('ATHIS MONS'!$A$7:$A$50,'W3'!A34))+(COUNTIF('L HAY LES ROSES'!$A$7:$A$50,'W3'!A34))+(COUNTIF(RUNGIS!$A$7:$A$50,'W3'!A34))+(COUNTIF(SCEAUX!$A$7:$A$50,'W3'!A34))+(COUNTIF('INSTANCE C1'!$A$7:$A$50,'W3'!A34))+(COUNTIF('INSTANCE C2'!$A$7:$A$50,'W3'!A34))+(COUNTIF(INTERNES!$A$7:$A$50,'W3'!A34))+(COUNTIF('EN PANNE'!$A$7:$A$50,'W3'!A34))-C34</f>
        <v>0</v>
      </c>
      <c r="C34" s="23">
        <f>(COUNTIF('2S EXPRESS'!$G$7:$G$50,'W3'!A34))+(COUNTIF('2 ZT'!$G$7:$G$50,'W3'!A34))+(COUNTIF('GO TRANSPORT'!$G$7:$G$50,'W3'!A34))+(COUNTIF('W3'!$G$7:$G$50,'W3'!A34))+(COUNTIF('IB TRANSPORT'!$G$7:$G$50,'W3'!A34))+(COUNTIF(JSL!$G$7:$G$50,'W3'!A34))+(COUNTIF(KIFAITOUT!$G$7:$G$50,'W3'!A34))+(COUNTIF('LUXE DRIVE'!$G$7:$G$50,'W3'!A34))+(COUNTIF(SSN!$G$7:$G$50,'W3'!A34))+(COUNTIF('W3'!$G$7:$G$50,'W3'!A34))+(COUNTIF('ATHIS MONS'!$G$7:$G$50,'W3'!A34))+(COUNTIF('L HAY LES ROSES'!$G$7:$G$50,'W3'!A34))+(COUNTIF(RUNGIS!$G$7:$G$50,'W3'!A34))+(COUNTIF(SCEAUX!$G$7:$G$50,'W3'!A34))+(COUNTIF('INSTANCE C1'!$G$7:$G$50,'W3'!A34))+(COUNTIF('INSTANCE C2'!$G$7:$G$50,'W3'!A34))+(COUNTIF(INTERNES!$G$7:$G$50,'W3'!A34))+(COUNTIF('EN PANNE'!$G$7:$G$50,'W3'!A34))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EXPRESS'!$G$7:$G$50,'W3'!G34))+(COUNTIF('2 ZT'!$G$7:$G$50,'W3'!G34))+(COUNTIF('GO TRANSPORT'!$G$7:$G$50,'W3'!G34))+(COUNTIF('HMZ - KAIS'!$G$7:$G$50,'W3'!G34))+(COUNTIF('IB TRANSPORT'!$G$7:$G$50,'W3'!G34))+(COUNTIF(JSL!$G$7:$G$50,'W3'!G34))+(COUNTIF(KIFAITOUT!$G$7:$G$50,'W3'!G34))+(COUNTIF('LUXE DRIVE'!$G$7:$G$50,'W3'!G34))+(COUNTIF(SSN!$G$7:$G$50,'W3'!G34))+(COUNTIF('W3'!$G$7:$G$50,'W3'!G34))+(COUNTIF('ATHIS MONS'!$G$7:$G$50,'W3'!G34))+(COUNTIF('L HAY LES ROSES'!$G$7:$G$50,'W3'!G34))+(COUNTIF(RUNGIS!$G$7:$G$50,'W3'!G34))+(COUNTIF(SCEAUX!$G$7:$G$50,'W3'!G34))+(COUNTIF('INSTANCE C1'!$G$7:$G$50,'W3'!G34))+(COUNTIF('INSTANCE C2'!$G$7:$G$50,'W3'!G34))+(COUNTIF(INTERNES!$G$7:$G$50,'W3'!G34))+(COUNTIF('EN PANNE'!$G$7:$G$50,'W3'!G34))-I34</f>
        <v>0</v>
      </c>
      <c r="I34" s="23">
        <f>(COUNTIF('2S EXPRESS'!$A$7:$A$50,'W3'!G34))+(COUNTIF('2 ZT'!$A$7:$A$50,'W3'!G34))+(COUNTIF('GO TRANSPORT'!$A$7:$A$50,'W3'!G34))+(COUNTIF('HMZ - KAIS'!$A$7:$A$50,'W3'!G34))+(COUNTIF('IB TRANSPORT'!$A$7:$A$50,'W3'!G34))+(COUNTIF(JSL!$A$7:$A$50,'W3'!G34))+(COUNTIF(KIFAITOUT!$A$7:$A$50,'W3'!G34))+(COUNTIF('LUXE DRIVE'!$A$7:$A$50,'W3'!G34))+(COUNTIF(SSN!$A$7:$A$50,'W3'!G34))+(COUNTIF('W3'!$A$7:$A$50,'W3'!G34))+(COUNTIF('ATHIS MONS'!$A$7:$A$50,'W3'!G34))+(COUNTIF('L HAY LES ROSES'!$A$7:$A$50,'W3'!G34))+(COUNTIF(RUNGIS!$A$7:$A$50,'W3'!G34))+(COUNTIF(SCEAUX!$A$7:$A$50,'W3'!G34))+(COUNTIF('INSTANCE C1'!$A$7:$A$50,'W3'!G34))+(COUNTIF('INSTANCE C2'!$A$7:$A$50,'W3'!G34))+(COUNTIF(INTERNES!$A$7:$A$50,'W3'!G34))+(COUNTIF('EN PANNE'!$A$7:$A$50,'W3'!G34))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S34" s="60">
        <f t="shared" si="1"/>
        <v>0</v>
      </c>
      <c r="T34" s="67">
        <f t="shared" si="2"/>
        <v>0</v>
      </c>
    </row>
    <row r="35" spans="1:20" ht="24.95" customHeight="1" x14ac:dyDescent="0.2">
      <c r="A35" s="20"/>
      <c r="B35" s="23">
        <f>(COUNTIF('2S EXPRESS'!$A$7:$A$50,'W3'!A35))+(COUNTIF('2 ZT'!$A$7:$A$50,'W3'!A35))+(COUNTIF('GO TRANSPORT'!$A$7:$A$50,'W3'!A35))+(COUNTIF('HMZ - KAIS'!$A$7:$A$50,'W3'!A35))+(COUNTIF('IB TRANSPORT'!$A$7:$A$50,'W3'!A35))+(COUNTIF(JSL!$A$7:$A$50,'W3'!A35))+(COUNTIF(KIFAITOUT!$A$7:$A$50,'W3'!A35))+(COUNTIF('LUXE DRIVE'!$A$7:$A$50,'W3'!A35))+(COUNTIF(SSN!$A$7:$A$50,'W3'!A35))+(COUNTIF('W3'!$A$7:$A$50,'W3'!A35))+(COUNTIF('ATHIS MONS'!$A$7:$A$50,'W3'!A35))+(COUNTIF('L HAY LES ROSES'!$A$7:$A$50,'W3'!A35))+(COUNTIF(RUNGIS!$A$7:$A$50,'W3'!A35))+(COUNTIF(SCEAUX!$A$7:$A$50,'W3'!A35))+(COUNTIF('INSTANCE C1'!$A$7:$A$50,'W3'!A35))+(COUNTIF('INSTANCE C2'!$A$7:$A$50,'W3'!A35))+(COUNTIF(INTERNES!$A$7:$A$50,'W3'!A35))+(COUNTIF('EN PANNE'!$A$7:$A$50,'W3'!A35))-C35</f>
        <v>0</v>
      </c>
      <c r="C35" s="23">
        <f>(COUNTIF('2S EXPRESS'!$G$7:$G$50,'W3'!A35))+(COUNTIF('2 ZT'!$G$7:$G$50,'W3'!A35))+(COUNTIF('GO TRANSPORT'!$G$7:$G$50,'W3'!A35))+(COUNTIF('W3'!$G$7:$G$50,'W3'!A35))+(COUNTIF('IB TRANSPORT'!$G$7:$G$50,'W3'!A35))+(COUNTIF(JSL!$G$7:$G$50,'W3'!A35))+(COUNTIF(KIFAITOUT!$G$7:$G$50,'W3'!A35))+(COUNTIF('LUXE DRIVE'!$G$7:$G$50,'W3'!A35))+(COUNTIF(SSN!$G$7:$G$50,'W3'!A35))+(COUNTIF('W3'!$G$7:$G$50,'W3'!A35))+(COUNTIF('ATHIS MONS'!$G$7:$G$50,'W3'!A35))+(COUNTIF('L HAY LES ROSES'!$G$7:$G$50,'W3'!A35))+(COUNTIF(RUNGIS!$G$7:$G$50,'W3'!A35))+(COUNTIF(SCEAUX!$G$7:$G$50,'W3'!A35))+(COUNTIF('INSTANCE C1'!$G$7:$G$50,'W3'!A35))+(COUNTIF('INSTANCE C2'!$G$7:$G$50,'W3'!A35))+(COUNTIF(INTERNES!$G$7:$G$50,'W3'!A35))+(COUNTIF('EN PANNE'!$G$7:$G$50,'W3'!A35))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EXPRESS'!$G$7:$G$50,'W3'!G35))+(COUNTIF('2 ZT'!$G$7:$G$50,'W3'!G35))+(COUNTIF('GO TRANSPORT'!$G$7:$G$50,'W3'!G35))+(COUNTIF('HMZ - KAIS'!$G$7:$G$50,'W3'!G35))+(COUNTIF('IB TRANSPORT'!$G$7:$G$50,'W3'!G35))+(COUNTIF(JSL!$G$7:$G$50,'W3'!G35))+(COUNTIF(KIFAITOUT!$G$7:$G$50,'W3'!G35))+(COUNTIF('LUXE DRIVE'!$G$7:$G$50,'W3'!G35))+(COUNTIF(SSN!$G$7:$G$50,'W3'!G35))+(COUNTIF('W3'!$G$7:$G$50,'W3'!G35))+(COUNTIF('ATHIS MONS'!$G$7:$G$50,'W3'!G35))+(COUNTIF('L HAY LES ROSES'!$G$7:$G$50,'W3'!G35))+(COUNTIF(RUNGIS!$G$7:$G$50,'W3'!G35))+(COUNTIF(SCEAUX!$G$7:$G$50,'W3'!G35))+(COUNTIF('INSTANCE C1'!$G$7:$G$50,'W3'!G35))+(COUNTIF('INSTANCE C2'!$G$7:$G$50,'W3'!G35))+(COUNTIF(INTERNES!$G$7:$G$50,'W3'!G35))+(COUNTIF('EN PANNE'!$G$7:$G$50,'W3'!G35))-I35</f>
        <v>0</v>
      </c>
      <c r="I35" s="23">
        <f>(COUNTIF('2S EXPRESS'!$A$7:$A$50,'W3'!G35))+(COUNTIF('2 ZT'!$A$7:$A$50,'W3'!G35))+(COUNTIF('GO TRANSPORT'!$A$7:$A$50,'W3'!G35))+(COUNTIF('HMZ - KAIS'!$A$7:$A$50,'W3'!G35))+(COUNTIF('IB TRANSPORT'!$A$7:$A$50,'W3'!G35))+(COUNTIF(JSL!$A$7:$A$50,'W3'!G35))+(COUNTIF(KIFAITOUT!$A$7:$A$50,'W3'!G35))+(COUNTIF('LUXE DRIVE'!$A$7:$A$50,'W3'!G35))+(COUNTIF(SSN!$A$7:$A$50,'W3'!G35))+(COUNTIF('W3'!$A$7:$A$50,'W3'!G35))+(COUNTIF('ATHIS MONS'!$A$7:$A$50,'W3'!G35))+(COUNTIF('L HAY LES ROSES'!$A$7:$A$50,'W3'!G35))+(COUNTIF(RUNGIS!$A$7:$A$50,'W3'!G35))+(COUNTIF(SCEAUX!$A$7:$A$50,'W3'!G35))+(COUNTIF('INSTANCE C1'!$A$7:$A$50,'W3'!G35))+(COUNTIF('INSTANCE C2'!$A$7:$A$50,'W3'!G35))+(COUNTIF(INTERNES!$A$7:$A$50,'W3'!G35))+(COUNTIF('EN PANNE'!$A$7:$A$50,'W3'!G35))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S35" s="60">
        <f t="shared" si="1"/>
        <v>0</v>
      </c>
      <c r="T35" s="67">
        <f t="shared" si="2"/>
        <v>0</v>
      </c>
    </row>
    <row r="36" spans="1:20" ht="24.95" customHeight="1" x14ac:dyDescent="0.2">
      <c r="A36" s="20"/>
      <c r="B36" s="23">
        <f>(COUNTIF('2S EXPRESS'!$A$7:$A$50,'W3'!A36))+(COUNTIF('2 ZT'!$A$7:$A$50,'W3'!A36))+(COUNTIF('GO TRANSPORT'!$A$7:$A$50,'W3'!A36))+(COUNTIF('HMZ - KAIS'!$A$7:$A$50,'W3'!A36))+(COUNTIF('IB TRANSPORT'!$A$7:$A$50,'W3'!A36))+(COUNTIF(JSL!$A$7:$A$50,'W3'!A36))+(COUNTIF(KIFAITOUT!$A$7:$A$50,'W3'!A36))+(COUNTIF('LUXE DRIVE'!$A$7:$A$50,'W3'!A36))+(COUNTIF(SSN!$A$7:$A$50,'W3'!A36))+(COUNTIF('W3'!$A$7:$A$50,'W3'!A36))+(COUNTIF('ATHIS MONS'!$A$7:$A$50,'W3'!A36))+(COUNTIF('L HAY LES ROSES'!$A$7:$A$50,'W3'!A36))+(COUNTIF(RUNGIS!$A$7:$A$50,'W3'!A36))+(COUNTIF(SCEAUX!$A$7:$A$50,'W3'!A36))+(COUNTIF('INSTANCE C1'!$A$7:$A$50,'W3'!A36))+(COUNTIF('INSTANCE C2'!$A$7:$A$50,'W3'!A36))+(COUNTIF(INTERNES!$A$7:$A$50,'W3'!A36))+(COUNTIF('EN PANNE'!$A$7:$A$50,'W3'!A36))-C36</f>
        <v>0</v>
      </c>
      <c r="C36" s="23">
        <f>(COUNTIF('2S EXPRESS'!$G$7:$G$50,'W3'!A36))+(COUNTIF('2 ZT'!$G$7:$G$50,'W3'!A36))+(COUNTIF('GO TRANSPORT'!$G$7:$G$50,'W3'!A36))+(COUNTIF('W3'!$G$7:$G$50,'W3'!A36))+(COUNTIF('IB TRANSPORT'!$G$7:$G$50,'W3'!A36))+(COUNTIF(JSL!$G$7:$G$50,'W3'!A36))+(COUNTIF(KIFAITOUT!$G$7:$G$50,'W3'!A36))+(COUNTIF('LUXE DRIVE'!$G$7:$G$50,'W3'!A36))+(COUNTIF(SSN!$G$7:$G$50,'W3'!A36))+(COUNTIF('W3'!$G$7:$G$50,'W3'!A36))+(COUNTIF('ATHIS MONS'!$G$7:$G$50,'W3'!A36))+(COUNTIF('L HAY LES ROSES'!$G$7:$G$50,'W3'!A36))+(COUNTIF(RUNGIS!$G$7:$G$50,'W3'!A36))+(COUNTIF(SCEAUX!$G$7:$G$50,'W3'!A36))+(COUNTIF('INSTANCE C1'!$G$7:$G$50,'W3'!A36))+(COUNTIF('INSTANCE C2'!$G$7:$G$50,'W3'!A36))+(COUNTIF(INTERNES!$G$7:$G$50,'W3'!A36))+(COUNTIF('EN PANNE'!$G$7:$G$50,'W3'!A36))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EXPRESS'!$G$7:$G$50,'W3'!G36))+(COUNTIF('2 ZT'!$G$7:$G$50,'W3'!G36))+(COUNTIF('GO TRANSPORT'!$G$7:$G$50,'W3'!G36))+(COUNTIF('HMZ - KAIS'!$G$7:$G$50,'W3'!G36))+(COUNTIF('IB TRANSPORT'!$G$7:$G$50,'W3'!G36))+(COUNTIF(JSL!$G$7:$G$50,'W3'!G36))+(COUNTIF(KIFAITOUT!$G$7:$G$50,'W3'!G36))+(COUNTIF('LUXE DRIVE'!$G$7:$G$50,'W3'!G36))+(COUNTIF(SSN!$G$7:$G$50,'W3'!G36))+(COUNTIF('W3'!$G$7:$G$50,'W3'!G36))+(COUNTIF('ATHIS MONS'!$G$7:$G$50,'W3'!G36))+(COUNTIF('L HAY LES ROSES'!$G$7:$G$50,'W3'!G36))+(COUNTIF(RUNGIS!$G$7:$G$50,'W3'!G36))+(COUNTIF(SCEAUX!$G$7:$G$50,'W3'!G36))+(COUNTIF('INSTANCE C1'!$G$7:$G$50,'W3'!G36))+(COUNTIF('INSTANCE C2'!$G$7:$G$50,'W3'!G36))+(COUNTIF(INTERNES!$G$7:$G$50,'W3'!G36))+(COUNTIF('EN PANNE'!$G$7:$G$50,'W3'!G36))-I36</f>
        <v>0</v>
      </c>
      <c r="I36" s="23">
        <f>(COUNTIF('2S EXPRESS'!$A$7:$A$50,'W3'!G36))+(COUNTIF('2 ZT'!$A$7:$A$50,'W3'!G36))+(COUNTIF('GO TRANSPORT'!$A$7:$A$50,'W3'!G36))+(COUNTIF('HMZ - KAIS'!$A$7:$A$50,'W3'!G36))+(COUNTIF('IB TRANSPORT'!$A$7:$A$50,'W3'!G36))+(COUNTIF(JSL!$A$7:$A$50,'W3'!G36))+(COUNTIF(KIFAITOUT!$A$7:$A$50,'W3'!G36))+(COUNTIF('LUXE DRIVE'!$A$7:$A$50,'W3'!G36))+(COUNTIF(SSN!$A$7:$A$50,'W3'!G36))+(COUNTIF('W3'!$A$7:$A$50,'W3'!G36))+(COUNTIF('ATHIS MONS'!$A$7:$A$50,'W3'!G36))+(COUNTIF('L HAY LES ROSES'!$A$7:$A$50,'W3'!G36))+(COUNTIF(RUNGIS!$A$7:$A$50,'W3'!G36))+(COUNTIF(SCEAUX!$A$7:$A$50,'W3'!G36))+(COUNTIF('INSTANCE C1'!$A$7:$A$50,'W3'!G36))+(COUNTIF('INSTANCE C2'!$A$7:$A$50,'W3'!G36))+(COUNTIF(INTERNES!$A$7:$A$50,'W3'!G36))+(COUNTIF('EN PANNE'!$A$7:$A$50,'W3'!G36))</f>
        <v>0</v>
      </c>
      <c r="J36" s="28">
        <f t="shared" si="4"/>
        <v>0</v>
      </c>
      <c r="K36" s="2"/>
      <c r="L36" s="47"/>
      <c r="S36" s="60">
        <f t="shared" si="1"/>
        <v>0</v>
      </c>
      <c r="T36" s="67">
        <f t="shared" si="2"/>
        <v>0</v>
      </c>
    </row>
    <row r="37" spans="1:20" ht="24.95" customHeight="1" x14ac:dyDescent="0.2">
      <c r="A37" s="20"/>
      <c r="B37" s="23">
        <f>(COUNTIF('2S EXPRESS'!$A$7:$A$50,'W3'!A37))+(COUNTIF('2 ZT'!$A$7:$A$50,'W3'!A37))+(COUNTIF('GO TRANSPORT'!$A$7:$A$50,'W3'!A37))+(COUNTIF('HMZ - KAIS'!$A$7:$A$50,'W3'!A37))+(COUNTIF('IB TRANSPORT'!$A$7:$A$50,'W3'!A37))+(COUNTIF(JSL!$A$7:$A$50,'W3'!A37))+(COUNTIF(KIFAITOUT!$A$7:$A$50,'W3'!A37))+(COUNTIF('LUXE DRIVE'!$A$7:$A$50,'W3'!A37))+(COUNTIF(SSN!$A$7:$A$50,'W3'!A37))+(COUNTIF('W3'!$A$7:$A$50,'W3'!A37))+(COUNTIF('ATHIS MONS'!$A$7:$A$50,'W3'!A37))+(COUNTIF('L HAY LES ROSES'!$A$7:$A$50,'W3'!A37))+(COUNTIF(RUNGIS!$A$7:$A$50,'W3'!A37))+(COUNTIF(SCEAUX!$A$7:$A$50,'W3'!A37))+(COUNTIF('INSTANCE C1'!$A$7:$A$50,'W3'!A37))+(COUNTIF('INSTANCE C2'!$A$7:$A$50,'W3'!A37))+(COUNTIF(INTERNES!$A$7:$A$50,'W3'!A37))+(COUNTIF('EN PANNE'!$A$7:$A$50,'W3'!A37))-C37</f>
        <v>0</v>
      </c>
      <c r="C37" s="23">
        <f>(COUNTIF('2S EXPRESS'!$G$7:$G$50,'W3'!A37))+(COUNTIF('2 ZT'!$G$7:$G$50,'W3'!A37))+(COUNTIF('GO TRANSPORT'!$G$7:$G$50,'W3'!A37))+(COUNTIF('W3'!$G$7:$G$50,'W3'!A37))+(COUNTIF('IB TRANSPORT'!$G$7:$G$50,'W3'!A37))+(COUNTIF(JSL!$G$7:$G$50,'W3'!A37))+(COUNTIF(KIFAITOUT!$G$7:$G$50,'W3'!A37))+(COUNTIF('LUXE DRIVE'!$G$7:$G$50,'W3'!A37))+(COUNTIF(SSN!$G$7:$G$50,'W3'!A37))+(COUNTIF('W3'!$G$7:$G$50,'W3'!A37))+(COUNTIF('ATHIS MONS'!$G$7:$G$50,'W3'!A37))+(COUNTIF('L HAY LES ROSES'!$G$7:$G$50,'W3'!A37))+(COUNTIF(RUNGIS!$G$7:$G$50,'W3'!A37))+(COUNTIF(SCEAUX!$G$7:$G$50,'W3'!A37))+(COUNTIF('INSTANCE C1'!$G$7:$G$50,'W3'!A37))+(COUNTIF('INSTANCE C2'!$G$7:$G$50,'W3'!A37))+(COUNTIF(INTERNES!$G$7:$G$50,'W3'!A37))+(COUNTIF('EN PANNE'!$G$7:$G$50,'W3'!A37))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EXPRESS'!$G$7:$G$50,'W3'!G37))+(COUNTIF('2 ZT'!$G$7:$G$50,'W3'!G37))+(COUNTIF('GO TRANSPORT'!$G$7:$G$50,'W3'!G37))+(COUNTIF('HMZ - KAIS'!$G$7:$G$50,'W3'!G37))+(COUNTIF('IB TRANSPORT'!$G$7:$G$50,'W3'!G37))+(COUNTIF(JSL!$G$7:$G$50,'W3'!G37))+(COUNTIF(KIFAITOUT!$G$7:$G$50,'W3'!G37))+(COUNTIF('LUXE DRIVE'!$G$7:$G$50,'W3'!G37))+(COUNTIF(SSN!$G$7:$G$50,'W3'!G37))+(COUNTIF('W3'!$G$7:$G$50,'W3'!G37))+(COUNTIF('ATHIS MONS'!$G$7:$G$50,'W3'!G37))+(COUNTIF('L HAY LES ROSES'!$G$7:$G$50,'W3'!G37))+(COUNTIF(RUNGIS!$G$7:$G$50,'W3'!G37))+(COUNTIF(SCEAUX!$G$7:$G$50,'W3'!G37))+(COUNTIF('INSTANCE C1'!$G$7:$G$50,'W3'!G37))+(COUNTIF('INSTANCE C2'!$G$7:$G$50,'W3'!G37))+(COUNTIF(INTERNES!$G$7:$G$50,'W3'!G37))+(COUNTIF('EN PANNE'!$G$7:$G$50,'W3'!G37))-I37</f>
        <v>0</v>
      </c>
      <c r="I37" s="23">
        <f>(COUNTIF('2S EXPRESS'!$A$7:$A$50,'W3'!G37))+(COUNTIF('2 ZT'!$A$7:$A$50,'W3'!G37))+(COUNTIF('GO TRANSPORT'!$A$7:$A$50,'W3'!G37))+(COUNTIF('HMZ - KAIS'!$A$7:$A$50,'W3'!G37))+(COUNTIF('IB TRANSPORT'!$A$7:$A$50,'W3'!G37))+(COUNTIF(JSL!$A$7:$A$50,'W3'!G37))+(COUNTIF(KIFAITOUT!$A$7:$A$50,'W3'!G37))+(COUNTIF('LUXE DRIVE'!$A$7:$A$50,'W3'!G37))+(COUNTIF(SSN!$A$7:$A$50,'W3'!G37))+(COUNTIF('W3'!$A$7:$A$50,'W3'!G37))+(COUNTIF('ATHIS MONS'!$A$7:$A$50,'W3'!G37))+(COUNTIF('L HAY LES ROSES'!$A$7:$A$50,'W3'!G37))+(COUNTIF(RUNGIS!$A$7:$A$50,'W3'!G37))+(COUNTIF(SCEAUX!$A$7:$A$50,'W3'!G37))+(COUNTIF('INSTANCE C1'!$A$7:$A$50,'W3'!G37))+(COUNTIF('INSTANCE C2'!$A$7:$A$50,'W3'!G37))+(COUNTIF(INTERNES!$A$7:$A$50,'W3'!G37))+(COUNTIF('EN PANNE'!$A$7:$A$50,'W3'!G37))</f>
        <v>0</v>
      </c>
      <c r="J37" s="28">
        <f t="shared" si="4"/>
        <v>0</v>
      </c>
      <c r="K37" s="2"/>
      <c r="L37" s="47"/>
      <c r="S37" s="60">
        <f t="shared" si="1"/>
        <v>0</v>
      </c>
      <c r="T37" s="67">
        <f t="shared" si="2"/>
        <v>0</v>
      </c>
    </row>
    <row r="38" spans="1:20" ht="24.95" customHeight="1" x14ac:dyDescent="0.2">
      <c r="A38" s="20"/>
      <c r="B38" s="23">
        <f>(COUNTIF('2S EXPRESS'!$A$7:$A$50,'W3'!A38))+(COUNTIF('2 ZT'!$A$7:$A$50,'W3'!A38))+(COUNTIF('GO TRANSPORT'!$A$7:$A$50,'W3'!A38))+(COUNTIF('HMZ - KAIS'!$A$7:$A$50,'W3'!A38))+(COUNTIF('IB TRANSPORT'!$A$7:$A$50,'W3'!A38))+(COUNTIF(JSL!$A$7:$A$50,'W3'!A38))+(COUNTIF(KIFAITOUT!$A$7:$A$50,'W3'!A38))+(COUNTIF('LUXE DRIVE'!$A$7:$A$50,'W3'!A38))+(COUNTIF(SSN!$A$7:$A$50,'W3'!A38))+(COUNTIF('W3'!$A$7:$A$50,'W3'!A38))+(COUNTIF('ATHIS MONS'!$A$7:$A$50,'W3'!A38))+(COUNTIF('L HAY LES ROSES'!$A$7:$A$50,'W3'!A38))+(COUNTIF(RUNGIS!$A$7:$A$50,'W3'!A38))+(COUNTIF(SCEAUX!$A$7:$A$50,'W3'!A38))+(COUNTIF('INSTANCE C1'!$A$7:$A$50,'W3'!A38))+(COUNTIF('INSTANCE C2'!$A$7:$A$50,'W3'!A38))+(COUNTIF(INTERNES!$A$7:$A$50,'W3'!A38))+(COUNTIF('EN PANNE'!$A$7:$A$50,'W3'!A38))-C38</f>
        <v>0</v>
      </c>
      <c r="C38" s="23">
        <f>(COUNTIF('2S EXPRESS'!$G$7:$G$50,'W3'!A38))+(COUNTIF('2 ZT'!$G$7:$G$50,'W3'!A38))+(COUNTIF('GO TRANSPORT'!$G$7:$G$50,'W3'!A38))+(COUNTIF('W3'!$G$7:$G$50,'W3'!A38))+(COUNTIF('IB TRANSPORT'!$G$7:$G$50,'W3'!A38))+(COUNTIF(JSL!$G$7:$G$50,'W3'!A38))+(COUNTIF(KIFAITOUT!$G$7:$G$50,'W3'!A38))+(COUNTIF('LUXE DRIVE'!$G$7:$G$50,'W3'!A38))+(COUNTIF(SSN!$G$7:$G$50,'W3'!A38))+(COUNTIF('W3'!$G$7:$G$50,'W3'!A38))+(COUNTIF('ATHIS MONS'!$G$7:$G$50,'W3'!A38))+(COUNTIF('L HAY LES ROSES'!$G$7:$G$50,'W3'!A38))+(COUNTIF(RUNGIS!$G$7:$G$50,'W3'!A38))+(COUNTIF(SCEAUX!$G$7:$G$50,'W3'!A38))+(COUNTIF('INSTANCE C1'!$G$7:$G$50,'W3'!A38))+(COUNTIF('INSTANCE C2'!$G$7:$G$50,'W3'!A38))+(COUNTIF(INTERNES!$G$7:$G$50,'W3'!A38))+(COUNTIF('EN PANNE'!$G$7:$G$50,'W3'!A38))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EXPRESS'!$G$7:$G$50,'W3'!G38))+(COUNTIF('2 ZT'!$G$7:$G$50,'W3'!G38))+(COUNTIF('GO TRANSPORT'!$G$7:$G$50,'W3'!G38))+(COUNTIF('HMZ - KAIS'!$G$7:$G$50,'W3'!G38))+(COUNTIF('IB TRANSPORT'!$G$7:$G$50,'W3'!G38))+(COUNTIF(JSL!$G$7:$G$50,'W3'!G38))+(COUNTIF(KIFAITOUT!$G$7:$G$50,'W3'!G38))+(COUNTIF('LUXE DRIVE'!$G$7:$G$50,'W3'!G38))+(COUNTIF(SSN!$G$7:$G$50,'W3'!G38))+(COUNTIF('W3'!$G$7:$G$50,'W3'!G38))+(COUNTIF('ATHIS MONS'!$G$7:$G$50,'W3'!G38))+(COUNTIF('L HAY LES ROSES'!$G$7:$G$50,'W3'!G38))+(COUNTIF(RUNGIS!$G$7:$G$50,'W3'!G38))+(COUNTIF(SCEAUX!$G$7:$G$50,'W3'!G38))+(COUNTIF('INSTANCE C1'!$G$7:$G$50,'W3'!G38))+(COUNTIF('INSTANCE C2'!$G$7:$G$50,'W3'!G38))+(COUNTIF(INTERNES!$G$7:$G$50,'W3'!G38))+(COUNTIF('EN PANNE'!$G$7:$G$50,'W3'!G38))-I38</f>
        <v>0</v>
      </c>
      <c r="I38" s="23">
        <f>(COUNTIF('2S EXPRESS'!$A$7:$A$50,'W3'!G38))+(COUNTIF('2 ZT'!$A$7:$A$50,'W3'!G38))+(COUNTIF('GO TRANSPORT'!$A$7:$A$50,'W3'!G38))+(COUNTIF('HMZ - KAIS'!$A$7:$A$50,'W3'!G38))+(COUNTIF('IB TRANSPORT'!$A$7:$A$50,'W3'!G38))+(COUNTIF(JSL!$A$7:$A$50,'W3'!G38))+(COUNTIF(KIFAITOUT!$A$7:$A$50,'W3'!G38))+(COUNTIF('LUXE DRIVE'!$A$7:$A$50,'W3'!G38))+(COUNTIF(SSN!$A$7:$A$50,'W3'!G38))+(COUNTIF('W3'!$A$7:$A$50,'W3'!G38))+(COUNTIF('ATHIS MONS'!$A$7:$A$50,'W3'!G38))+(COUNTIF('L HAY LES ROSES'!$A$7:$A$50,'W3'!G38))+(COUNTIF(RUNGIS!$A$7:$A$50,'W3'!G38))+(COUNTIF(SCEAUX!$A$7:$A$50,'W3'!G38))+(COUNTIF('INSTANCE C1'!$A$7:$A$50,'W3'!G38))+(COUNTIF('INSTANCE C2'!$A$7:$A$50,'W3'!G38))+(COUNTIF(INTERNES!$A$7:$A$50,'W3'!G38))+(COUNTIF('EN PANNE'!$A$7:$A$50,'W3'!G38))</f>
        <v>0</v>
      </c>
      <c r="J38" s="28">
        <f t="shared" si="4"/>
        <v>0</v>
      </c>
      <c r="K38" s="2"/>
      <c r="L38" s="47"/>
      <c r="S38" s="60">
        <f t="shared" si="1"/>
        <v>0</v>
      </c>
      <c r="T38" s="67">
        <f t="shared" si="2"/>
        <v>0</v>
      </c>
    </row>
    <row r="39" spans="1:20" ht="24.95" customHeight="1" x14ac:dyDescent="0.2">
      <c r="A39" s="20"/>
      <c r="B39" s="23">
        <f>(COUNTIF('2S EXPRESS'!$A$7:$A$50,'W3'!A39))+(COUNTIF('2 ZT'!$A$7:$A$50,'W3'!A39))+(COUNTIF('GO TRANSPORT'!$A$7:$A$50,'W3'!A39))+(COUNTIF('HMZ - KAIS'!$A$7:$A$50,'W3'!A39))+(COUNTIF('IB TRANSPORT'!$A$7:$A$50,'W3'!A39))+(COUNTIF(JSL!$A$7:$A$50,'W3'!A39))+(COUNTIF(KIFAITOUT!$A$7:$A$50,'W3'!A39))+(COUNTIF('LUXE DRIVE'!$A$7:$A$50,'W3'!A39))+(COUNTIF(SSN!$A$7:$A$50,'W3'!A39))+(COUNTIF('W3'!$A$7:$A$50,'W3'!A39))+(COUNTIF('ATHIS MONS'!$A$7:$A$50,'W3'!A39))+(COUNTIF('L HAY LES ROSES'!$A$7:$A$50,'W3'!A39))+(COUNTIF(RUNGIS!$A$7:$A$50,'W3'!A39))+(COUNTIF(SCEAUX!$A$7:$A$50,'W3'!A39))+(COUNTIF('INSTANCE C1'!$A$7:$A$50,'W3'!A39))+(COUNTIF('INSTANCE C2'!$A$7:$A$50,'W3'!A39))+(COUNTIF(INTERNES!$A$7:$A$50,'W3'!A39))+(COUNTIF('EN PANNE'!$A$7:$A$50,'W3'!A39))-C39</f>
        <v>0</v>
      </c>
      <c r="C39" s="23">
        <f>(COUNTIF('2S EXPRESS'!$G$7:$G$50,'W3'!A39))+(COUNTIF('2 ZT'!$G$7:$G$50,'W3'!A39))+(COUNTIF('GO TRANSPORT'!$G$7:$G$50,'W3'!A39))+(COUNTIF('W3'!$G$7:$G$50,'W3'!A39))+(COUNTIF('IB TRANSPORT'!$G$7:$G$50,'W3'!A39))+(COUNTIF(JSL!$G$7:$G$50,'W3'!A39))+(COUNTIF(KIFAITOUT!$G$7:$G$50,'W3'!A39))+(COUNTIF('LUXE DRIVE'!$G$7:$G$50,'W3'!A39))+(COUNTIF(SSN!$G$7:$G$50,'W3'!A39))+(COUNTIF('W3'!$G$7:$G$50,'W3'!A39))+(COUNTIF('ATHIS MONS'!$G$7:$G$50,'W3'!A39))+(COUNTIF('L HAY LES ROSES'!$G$7:$G$50,'W3'!A39))+(COUNTIF(RUNGIS!$G$7:$G$50,'W3'!A39))+(COUNTIF(SCEAUX!$G$7:$G$50,'W3'!A39))+(COUNTIF('INSTANCE C1'!$G$7:$G$50,'W3'!A39))+(COUNTIF('INSTANCE C2'!$G$7:$G$50,'W3'!A39))+(COUNTIF(INTERNES!$G$7:$G$50,'W3'!A39))+(COUNTIF('EN PANNE'!$G$7:$G$50,'W3'!A39))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EXPRESS'!$G$7:$G$50,'W3'!G39))+(COUNTIF('2 ZT'!$G$7:$G$50,'W3'!G39))+(COUNTIF('GO TRANSPORT'!$G$7:$G$50,'W3'!G39))+(COUNTIF('HMZ - KAIS'!$G$7:$G$50,'W3'!G39))+(COUNTIF('IB TRANSPORT'!$G$7:$G$50,'W3'!G39))+(COUNTIF(JSL!$G$7:$G$50,'W3'!G39))+(COUNTIF(KIFAITOUT!$G$7:$G$50,'W3'!G39))+(COUNTIF('LUXE DRIVE'!$G$7:$G$50,'W3'!G39))+(COUNTIF(SSN!$G$7:$G$50,'W3'!G39))+(COUNTIF('W3'!$G$7:$G$50,'W3'!G39))+(COUNTIF('ATHIS MONS'!$G$7:$G$50,'W3'!G39))+(COUNTIF('L HAY LES ROSES'!$G$7:$G$50,'W3'!G39))+(COUNTIF(RUNGIS!$G$7:$G$50,'W3'!G39))+(COUNTIF(SCEAUX!$G$7:$G$50,'W3'!G39))+(COUNTIF('INSTANCE C1'!$G$7:$G$50,'W3'!G39))+(COUNTIF('INSTANCE C2'!$G$7:$G$50,'W3'!G39))+(COUNTIF(INTERNES!$G$7:$G$50,'W3'!G39))+(COUNTIF('EN PANNE'!$G$7:$G$50,'W3'!G39))-I39</f>
        <v>0</v>
      </c>
      <c r="I39" s="23">
        <f>(COUNTIF('2S EXPRESS'!$A$7:$A$50,'W3'!G39))+(COUNTIF('2 ZT'!$A$7:$A$50,'W3'!G39))+(COUNTIF('GO TRANSPORT'!$A$7:$A$50,'W3'!G39))+(COUNTIF('HMZ - KAIS'!$A$7:$A$50,'W3'!G39))+(COUNTIF('IB TRANSPORT'!$A$7:$A$50,'W3'!G39))+(COUNTIF(JSL!$A$7:$A$50,'W3'!G39))+(COUNTIF(KIFAITOUT!$A$7:$A$50,'W3'!G39))+(COUNTIF('LUXE DRIVE'!$A$7:$A$50,'W3'!G39))+(COUNTIF(SSN!$A$7:$A$50,'W3'!G39))+(COUNTIF('W3'!$A$7:$A$50,'W3'!G39))+(COUNTIF('ATHIS MONS'!$A$7:$A$50,'W3'!G39))+(COUNTIF('L HAY LES ROSES'!$A$7:$A$50,'W3'!G39))+(COUNTIF(RUNGIS!$A$7:$A$50,'W3'!G39))+(COUNTIF(SCEAUX!$A$7:$A$50,'W3'!G39))+(COUNTIF('INSTANCE C1'!$A$7:$A$50,'W3'!G39))+(COUNTIF('INSTANCE C2'!$A$7:$A$50,'W3'!G39))+(COUNTIF(INTERNES!$A$7:$A$50,'W3'!G39))+(COUNTIF('EN PANNE'!$A$7:$A$50,'W3'!G39))</f>
        <v>0</v>
      </c>
      <c r="J39" s="28">
        <f t="shared" si="4"/>
        <v>0</v>
      </c>
      <c r="K39" s="2"/>
      <c r="L39" s="47"/>
      <c r="S39" s="60">
        <f t="shared" si="1"/>
        <v>0</v>
      </c>
      <c r="T39" s="67">
        <f t="shared" si="2"/>
        <v>0</v>
      </c>
    </row>
    <row r="40" spans="1:20" ht="24.95" customHeight="1" x14ac:dyDescent="0.2">
      <c r="A40" s="20"/>
      <c r="B40" s="23">
        <f>(COUNTIF('2S EXPRESS'!$A$7:$A$50,'W3'!A40))+(COUNTIF('2 ZT'!$A$7:$A$50,'W3'!A40))+(COUNTIF('GO TRANSPORT'!$A$7:$A$50,'W3'!A40))+(COUNTIF('HMZ - KAIS'!$A$7:$A$50,'W3'!A40))+(COUNTIF('IB TRANSPORT'!$A$7:$A$50,'W3'!A40))+(COUNTIF(JSL!$A$7:$A$50,'W3'!A40))+(COUNTIF(KIFAITOUT!$A$7:$A$50,'W3'!A40))+(COUNTIF('LUXE DRIVE'!$A$7:$A$50,'W3'!A40))+(COUNTIF(SSN!$A$7:$A$50,'W3'!A40))+(COUNTIF('W3'!$A$7:$A$50,'W3'!A40))+(COUNTIF('ATHIS MONS'!$A$7:$A$50,'W3'!A40))+(COUNTIF('L HAY LES ROSES'!$A$7:$A$50,'W3'!A40))+(COUNTIF(RUNGIS!$A$7:$A$50,'W3'!A40))+(COUNTIF(SCEAUX!$A$7:$A$50,'W3'!A40))+(COUNTIF('INSTANCE C1'!$A$7:$A$50,'W3'!A40))+(COUNTIF('INSTANCE C2'!$A$7:$A$50,'W3'!A40))+(COUNTIF(INTERNES!$A$7:$A$50,'W3'!A40))+(COUNTIF('EN PANNE'!$A$7:$A$50,'W3'!A40))-C40</f>
        <v>0</v>
      </c>
      <c r="C40" s="23">
        <f>(COUNTIF('2S EXPRESS'!$G$7:$G$50,'W3'!A40))+(COUNTIF('2 ZT'!$G$7:$G$50,'W3'!A40))+(COUNTIF('GO TRANSPORT'!$G$7:$G$50,'W3'!A40))+(COUNTIF('W3'!$G$7:$G$50,'W3'!A40))+(COUNTIF('IB TRANSPORT'!$G$7:$G$50,'W3'!A40))+(COUNTIF(JSL!$G$7:$G$50,'W3'!A40))+(COUNTIF(KIFAITOUT!$G$7:$G$50,'W3'!A40))+(COUNTIF('LUXE DRIVE'!$G$7:$G$50,'W3'!A40))+(COUNTIF(SSN!$G$7:$G$50,'W3'!A40))+(COUNTIF('W3'!$G$7:$G$50,'W3'!A40))+(COUNTIF('ATHIS MONS'!$G$7:$G$50,'W3'!A40))+(COUNTIF('L HAY LES ROSES'!$G$7:$G$50,'W3'!A40))+(COUNTIF(RUNGIS!$G$7:$G$50,'W3'!A40))+(COUNTIF(SCEAUX!$G$7:$G$50,'W3'!A40))+(COUNTIF('INSTANCE C1'!$G$7:$G$50,'W3'!A40))+(COUNTIF('INSTANCE C2'!$G$7:$G$50,'W3'!A40))+(COUNTIF(INTERNES!$G$7:$G$50,'W3'!A40))+(COUNTIF('EN PANNE'!$G$7:$G$50,'W3'!A40))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EXPRESS'!$G$7:$G$50,'W3'!G40))+(COUNTIF('2 ZT'!$G$7:$G$50,'W3'!G40))+(COUNTIF('GO TRANSPORT'!$G$7:$G$50,'W3'!G40))+(COUNTIF('HMZ - KAIS'!$G$7:$G$50,'W3'!G40))+(COUNTIF('IB TRANSPORT'!$G$7:$G$50,'W3'!G40))+(COUNTIF(JSL!$G$7:$G$50,'W3'!G40))+(COUNTIF(KIFAITOUT!$G$7:$G$50,'W3'!G40))+(COUNTIF('LUXE DRIVE'!$G$7:$G$50,'W3'!G40))+(COUNTIF(SSN!$G$7:$G$50,'W3'!G40))+(COUNTIF('W3'!$G$7:$G$50,'W3'!G40))+(COUNTIF('ATHIS MONS'!$G$7:$G$50,'W3'!G40))+(COUNTIF('L HAY LES ROSES'!$G$7:$G$50,'W3'!G40))+(COUNTIF(RUNGIS!$G$7:$G$50,'W3'!G40))+(COUNTIF(SCEAUX!$G$7:$G$50,'W3'!G40))+(COUNTIF('INSTANCE C1'!$G$7:$G$50,'W3'!G40))+(COUNTIF('INSTANCE C2'!$G$7:$G$50,'W3'!G40))+(COUNTIF(INTERNES!$G$7:$G$50,'W3'!G40))+(COUNTIF('EN PANNE'!$G$7:$G$50,'W3'!G40))-I40</f>
        <v>0</v>
      </c>
      <c r="I40" s="23">
        <f>(COUNTIF('2S EXPRESS'!$A$7:$A$50,'W3'!G40))+(COUNTIF('2 ZT'!$A$7:$A$50,'W3'!G40))+(COUNTIF('GO TRANSPORT'!$A$7:$A$50,'W3'!G40))+(COUNTIF('HMZ - KAIS'!$A$7:$A$50,'W3'!G40))+(COUNTIF('IB TRANSPORT'!$A$7:$A$50,'W3'!G40))+(COUNTIF(JSL!$A$7:$A$50,'W3'!G40))+(COUNTIF(KIFAITOUT!$A$7:$A$50,'W3'!G40))+(COUNTIF('LUXE DRIVE'!$A$7:$A$50,'W3'!G40))+(COUNTIF(SSN!$A$7:$A$50,'W3'!G40))+(COUNTIF('W3'!$A$7:$A$50,'W3'!G40))+(COUNTIF('ATHIS MONS'!$A$7:$A$50,'W3'!G40))+(COUNTIF('L HAY LES ROSES'!$A$7:$A$50,'W3'!G40))+(COUNTIF(RUNGIS!$A$7:$A$50,'W3'!G40))+(COUNTIF(SCEAUX!$A$7:$A$50,'W3'!G40))+(COUNTIF('INSTANCE C1'!$A$7:$A$50,'W3'!G40))+(COUNTIF('INSTANCE C2'!$A$7:$A$50,'W3'!G40))+(COUNTIF(INTERNES!$A$7:$A$50,'W3'!G40))+(COUNTIF('EN PANNE'!$A$7:$A$50,'W3'!G40))</f>
        <v>0</v>
      </c>
      <c r="J40" s="28">
        <f t="shared" si="4"/>
        <v>0</v>
      </c>
      <c r="K40" s="2"/>
      <c r="L40" s="47"/>
      <c r="S40" s="60">
        <f t="shared" si="1"/>
        <v>0</v>
      </c>
      <c r="T40" s="67">
        <f t="shared" si="2"/>
        <v>0</v>
      </c>
    </row>
    <row r="41" spans="1:20" ht="24.95" customHeight="1" x14ac:dyDescent="0.2">
      <c r="A41" s="20"/>
      <c r="B41" s="23">
        <f>(COUNTIF('2S EXPRESS'!$A$7:$A$50,'W3'!A41))+(COUNTIF('2 ZT'!$A$7:$A$50,'W3'!A41))+(COUNTIF('GO TRANSPORT'!$A$7:$A$50,'W3'!A41))+(COUNTIF('HMZ - KAIS'!$A$7:$A$50,'W3'!A41))+(COUNTIF('IB TRANSPORT'!$A$7:$A$50,'W3'!A41))+(COUNTIF(JSL!$A$7:$A$50,'W3'!A41))+(COUNTIF(KIFAITOUT!$A$7:$A$50,'W3'!A41))+(COUNTIF('LUXE DRIVE'!$A$7:$A$50,'W3'!A41))+(COUNTIF(SSN!$A$7:$A$50,'W3'!A41))+(COUNTIF('W3'!$A$7:$A$50,'W3'!A41))+(COUNTIF('ATHIS MONS'!$A$7:$A$50,'W3'!A41))+(COUNTIF('L HAY LES ROSES'!$A$7:$A$50,'W3'!A41))+(COUNTIF(RUNGIS!$A$7:$A$50,'W3'!A41))+(COUNTIF(SCEAUX!$A$7:$A$50,'W3'!A41))+(COUNTIF('INSTANCE C1'!$A$7:$A$50,'W3'!A41))+(COUNTIF('INSTANCE C2'!$A$7:$A$50,'W3'!A41))+(COUNTIF(INTERNES!$A$7:$A$50,'W3'!A41))+(COUNTIF('EN PANNE'!$A$7:$A$50,'W3'!A41))-C41</f>
        <v>0</v>
      </c>
      <c r="C41" s="23">
        <f>(COUNTIF('2S EXPRESS'!$G$7:$G$50,'W3'!A41))+(COUNTIF('2 ZT'!$G$7:$G$50,'W3'!A41))+(COUNTIF('GO TRANSPORT'!$G$7:$G$50,'W3'!A41))+(COUNTIF('W3'!$G$7:$G$50,'W3'!A41))+(COUNTIF('IB TRANSPORT'!$G$7:$G$50,'W3'!A41))+(COUNTIF(JSL!$G$7:$G$50,'W3'!A41))+(COUNTIF(KIFAITOUT!$G$7:$G$50,'W3'!A41))+(COUNTIF('LUXE DRIVE'!$G$7:$G$50,'W3'!A41))+(COUNTIF(SSN!$G$7:$G$50,'W3'!A41))+(COUNTIF('W3'!$G$7:$G$50,'W3'!A41))+(COUNTIF('ATHIS MONS'!$G$7:$G$50,'W3'!A41))+(COUNTIF('L HAY LES ROSES'!$G$7:$G$50,'W3'!A41))+(COUNTIF(RUNGIS!$G$7:$G$50,'W3'!A41))+(COUNTIF(SCEAUX!$G$7:$G$50,'W3'!A41))+(COUNTIF('INSTANCE C1'!$G$7:$G$50,'W3'!A41))+(COUNTIF('INSTANCE C2'!$G$7:$G$50,'W3'!A41))+(COUNTIF(INTERNES!$G$7:$G$50,'W3'!A41))+(COUNTIF('EN PANNE'!$G$7:$G$50,'W3'!A41))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EXPRESS'!$G$7:$G$50,'W3'!G41))+(COUNTIF('2 ZT'!$G$7:$G$50,'W3'!G41))+(COUNTIF('GO TRANSPORT'!$G$7:$G$50,'W3'!G41))+(COUNTIF('HMZ - KAIS'!$G$7:$G$50,'W3'!G41))+(COUNTIF('IB TRANSPORT'!$G$7:$G$50,'W3'!G41))+(COUNTIF(JSL!$G$7:$G$50,'W3'!G41))+(COUNTIF(KIFAITOUT!$G$7:$G$50,'W3'!G41))+(COUNTIF('LUXE DRIVE'!$G$7:$G$50,'W3'!G41))+(COUNTIF(SSN!$G$7:$G$50,'W3'!G41))+(COUNTIF('W3'!$G$7:$G$50,'W3'!G41))+(COUNTIF('ATHIS MONS'!$G$7:$G$50,'W3'!G41))+(COUNTIF('L HAY LES ROSES'!$G$7:$G$50,'W3'!G41))+(COUNTIF(RUNGIS!$G$7:$G$50,'W3'!G41))+(COUNTIF(SCEAUX!$G$7:$G$50,'W3'!G41))+(COUNTIF('INSTANCE C1'!$G$7:$G$50,'W3'!G41))+(COUNTIF('INSTANCE C2'!$G$7:$G$50,'W3'!G41))+(COUNTIF(INTERNES!$G$7:$G$50,'W3'!G41))+(COUNTIF('EN PANNE'!$G$7:$G$50,'W3'!G41))-I41</f>
        <v>0</v>
      </c>
      <c r="I41" s="23">
        <f>(COUNTIF('2S EXPRESS'!$A$7:$A$50,'W3'!G41))+(COUNTIF('2 ZT'!$A$7:$A$50,'W3'!G41))+(COUNTIF('GO TRANSPORT'!$A$7:$A$50,'W3'!G41))+(COUNTIF('HMZ - KAIS'!$A$7:$A$50,'W3'!G41))+(COUNTIF('IB TRANSPORT'!$A$7:$A$50,'W3'!G41))+(COUNTIF(JSL!$A$7:$A$50,'W3'!G41))+(COUNTIF(KIFAITOUT!$A$7:$A$50,'W3'!G41))+(COUNTIF('LUXE DRIVE'!$A$7:$A$50,'W3'!G41))+(COUNTIF(SSN!$A$7:$A$50,'W3'!G41))+(COUNTIF('W3'!$A$7:$A$50,'W3'!G41))+(COUNTIF('ATHIS MONS'!$A$7:$A$50,'W3'!G41))+(COUNTIF('L HAY LES ROSES'!$A$7:$A$50,'W3'!G41))+(COUNTIF(RUNGIS!$A$7:$A$50,'W3'!G41))+(COUNTIF(SCEAUX!$A$7:$A$50,'W3'!G41))+(COUNTIF('INSTANCE C1'!$A$7:$A$50,'W3'!G41))+(COUNTIF('INSTANCE C2'!$A$7:$A$50,'W3'!G41))+(COUNTIF(INTERNES!$A$7:$A$50,'W3'!G41))+(COUNTIF('EN PANNE'!$A$7:$A$50,'W3'!G41))</f>
        <v>0</v>
      </c>
      <c r="J41" s="28">
        <f t="shared" si="4"/>
        <v>0</v>
      </c>
      <c r="K41" s="2"/>
      <c r="L41" s="47"/>
      <c r="S41" s="60">
        <f t="shared" si="1"/>
        <v>0</v>
      </c>
      <c r="T41" s="67">
        <f t="shared" si="2"/>
        <v>0</v>
      </c>
    </row>
    <row r="42" spans="1:20" ht="24.95" customHeight="1" x14ac:dyDescent="0.2">
      <c r="A42" s="20"/>
      <c r="B42" s="23">
        <f>(COUNTIF('2S EXPRESS'!$A$7:$A$50,'W3'!A42))+(COUNTIF('2 ZT'!$A$7:$A$50,'W3'!A42))+(COUNTIF('GO TRANSPORT'!$A$7:$A$50,'W3'!A42))+(COUNTIF('HMZ - KAIS'!$A$7:$A$50,'W3'!A42))+(COUNTIF('IB TRANSPORT'!$A$7:$A$50,'W3'!A42))+(COUNTIF(JSL!$A$7:$A$50,'W3'!A42))+(COUNTIF(KIFAITOUT!$A$7:$A$50,'W3'!A42))+(COUNTIF('LUXE DRIVE'!$A$7:$A$50,'W3'!A42))+(COUNTIF(SSN!$A$7:$A$50,'W3'!A42))+(COUNTIF('W3'!$A$7:$A$50,'W3'!A42))+(COUNTIF('ATHIS MONS'!$A$7:$A$50,'W3'!A42))+(COUNTIF('L HAY LES ROSES'!$A$7:$A$50,'W3'!A42))+(COUNTIF(RUNGIS!$A$7:$A$50,'W3'!A42))+(COUNTIF(SCEAUX!$A$7:$A$50,'W3'!A42))+(COUNTIF('INSTANCE C1'!$A$7:$A$50,'W3'!A42))+(COUNTIF('INSTANCE C2'!$A$7:$A$50,'W3'!A42))+(COUNTIF(INTERNES!$A$7:$A$50,'W3'!A42))+(COUNTIF('EN PANNE'!$A$7:$A$50,'W3'!A42))-C42</f>
        <v>0</v>
      </c>
      <c r="C42" s="23">
        <f>(COUNTIF('2S EXPRESS'!$G$7:$G$50,'W3'!A42))+(COUNTIF('2 ZT'!$G$7:$G$50,'W3'!A42))+(COUNTIF('GO TRANSPORT'!$G$7:$G$50,'W3'!A42))+(COUNTIF('W3'!$G$7:$G$50,'W3'!A42))+(COUNTIF('IB TRANSPORT'!$G$7:$G$50,'W3'!A42))+(COUNTIF(JSL!$G$7:$G$50,'W3'!A42))+(COUNTIF(KIFAITOUT!$G$7:$G$50,'W3'!A42))+(COUNTIF('LUXE DRIVE'!$G$7:$G$50,'W3'!A42))+(COUNTIF(SSN!$G$7:$G$50,'W3'!A42))+(COUNTIF('W3'!$G$7:$G$50,'W3'!A42))+(COUNTIF('ATHIS MONS'!$G$7:$G$50,'W3'!A42))+(COUNTIF('L HAY LES ROSES'!$G$7:$G$50,'W3'!A42))+(COUNTIF(RUNGIS!$G$7:$G$50,'W3'!A42))+(COUNTIF(SCEAUX!$G$7:$G$50,'W3'!A42))+(COUNTIF('INSTANCE C1'!$G$7:$G$50,'W3'!A42))+(COUNTIF('INSTANCE C2'!$G$7:$G$50,'W3'!A42))+(COUNTIF(INTERNES!$G$7:$G$50,'W3'!A42))+(COUNTIF('EN PANNE'!$G$7:$G$50,'W3'!A42))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EXPRESS'!$G$7:$G$50,'W3'!G42))+(COUNTIF('2 ZT'!$G$7:$G$50,'W3'!G42))+(COUNTIF('GO TRANSPORT'!$G$7:$G$50,'W3'!G42))+(COUNTIF('HMZ - KAIS'!$G$7:$G$50,'W3'!G42))+(COUNTIF('IB TRANSPORT'!$G$7:$G$50,'W3'!G42))+(COUNTIF(JSL!$G$7:$G$50,'W3'!G42))+(COUNTIF(KIFAITOUT!$G$7:$G$50,'W3'!G42))+(COUNTIF('LUXE DRIVE'!$G$7:$G$50,'W3'!G42))+(COUNTIF(SSN!$G$7:$G$50,'W3'!G42))+(COUNTIF('W3'!$G$7:$G$50,'W3'!G42))+(COUNTIF('ATHIS MONS'!$G$7:$G$50,'W3'!G42))+(COUNTIF('L HAY LES ROSES'!$G$7:$G$50,'W3'!G42))+(COUNTIF(RUNGIS!$G$7:$G$50,'W3'!G42))+(COUNTIF(SCEAUX!$G$7:$G$50,'W3'!G42))+(COUNTIF('INSTANCE C1'!$G$7:$G$50,'W3'!G42))+(COUNTIF('INSTANCE C2'!$G$7:$G$50,'W3'!G42))+(COUNTIF(INTERNES!$G$7:$G$50,'W3'!G42))+(COUNTIF('EN PANNE'!$G$7:$G$50,'W3'!G42))-I42</f>
        <v>0</v>
      </c>
      <c r="I42" s="23">
        <f>(COUNTIF('2S EXPRESS'!$A$7:$A$50,'W3'!G42))+(COUNTIF('2 ZT'!$A$7:$A$50,'W3'!G42))+(COUNTIF('GO TRANSPORT'!$A$7:$A$50,'W3'!G42))+(COUNTIF('HMZ - KAIS'!$A$7:$A$50,'W3'!G42))+(COUNTIF('IB TRANSPORT'!$A$7:$A$50,'W3'!G42))+(COUNTIF(JSL!$A$7:$A$50,'W3'!G42))+(COUNTIF(KIFAITOUT!$A$7:$A$50,'W3'!G42))+(COUNTIF('LUXE DRIVE'!$A$7:$A$50,'W3'!G42))+(COUNTIF(SSN!$A$7:$A$50,'W3'!G42))+(COUNTIF('W3'!$A$7:$A$50,'W3'!G42))+(COUNTIF('ATHIS MONS'!$A$7:$A$50,'W3'!G42))+(COUNTIF('L HAY LES ROSES'!$A$7:$A$50,'W3'!G42))+(COUNTIF(RUNGIS!$A$7:$A$50,'W3'!G42))+(COUNTIF(SCEAUX!$A$7:$A$50,'W3'!G42))+(COUNTIF('INSTANCE C1'!$A$7:$A$50,'W3'!G42))+(COUNTIF('INSTANCE C2'!$A$7:$A$50,'W3'!G42))+(COUNTIF(INTERNES!$A$7:$A$50,'W3'!G42))+(COUNTIF('EN PANNE'!$A$7:$A$50,'W3'!G42))</f>
        <v>0</v>
      </c>
      <c r="J42" s="28">
        <f t="shared" si="4"/>
        <v>0</v>
      </c>
      <c r="K42" s="2"/>
      <c r="L42" s="47"/>
      <c r="S42" s="60">
        <f t="shared" si="1"/>
        <v>0</v>
      </c>
      <c r="T42" s="67">
        <f t="shared" si="2"/>
        <v>0</v>
      </c>
    </row>
    <row r="43" spans="1:20" ht="24.95" customHeight="1" x14ac:dyDescent="0.2">
      <c r="A43" s="20"/>
      <c r="B43" s="23">
        <f>(COUNTIF('2S EXPRESS'!$A$7:$A$50,'W3'!A43))+(COUNTIF('2 ZT'!$A$7:$A$50,'W3'!A43))+(COUNTIF('GO TRANSPORT'!$A$7:$A$50,'W3'!A43))+(COUNTIF('HMZ - KAIS'!$A$7:$A$50,'W3'!A43))+(COUNTIF('IB TRANSPORT'!$A$7:$A$50,'W3'!A43))+(COUNTIF(JSL!$A$7:$A$50,'W3'!A43))+(COUNTIF(KIFAITOUT!$A$7:$A$50,'W3'!A43))+(COUNTIF('LUXE DRIVE'!$A$7:$A$50,'W3'!A43))+(COUNTIF(SSN!$A$7:$A$50,'W3'!A43))+(COUNTIF('W3'!$A$7:$A$50,'W3'!A43))+(COUNTIF('ATHIS MONS'!$A$7:$A$50,'W3'!A43))+(COUNTIF('L HAY LES ROSES'!$A$7:$A$50,'W3'!A43))+(COUNTIF(RUNGIS!$A$7:$A$50,'W3'!A43))+(COUNTIF(SCEAUX!$A$7:$A$50,'W3'!A43))+(COUNTIF('INSTANCE C1'!$A$7:$A$50,'W3'!A43))+(COUNTIF('INSTANCE C2'!$A$7:$A$50,'W3'!A43))+(COUNTIF(INTERNES!$A$7:$A$50,'W3'!A43))+(COUNTIF('EN PANNE'!$A$7:$A$50,'W3'!A43))-C43</f>
        <v>0</v>
      </c>
      <c r="C43" s="23">
        <f>(COUNTIF('2S EXPRESS'!$G$7:$G$50,'W3'!A43))+(COUNTIF('2 ZT'!$G$7:$G$50,'W3'!A43))+(COUNTIF('GO TRANSPORT'!$G$7:$G$50,'W3'!A43))+(COUNTIF('W3'!$G$7:$G$50,'W3'!A43))+(COUNTIF('IB TRANSPORT'!$G$7:$G$50,'W3'!A43))+(COUNTIF(JSL!$G$7:$G$50,'W3'!A43))+(COUNTIF(KIFAITOUT!$G$7:$G$50,'W3'!A43))+(COUNTIF('LUXE DRIVE'!$G$7:$G$50,'W3'!A43))+(COUNTIF(SSN!$G$7:$G$50,'W3'!A43))+(COUNTIF('W3'!$G$7:$G$50,'W3'!A43))+(COUNTIF('ATHIS MONS'!$G$7:$G$50,'W3'!A43))+(COUNTIF('L HAY LES ROSES'!$G$7:$G$50,'W3'!A43))+(COUNTIF(RUNGIS!$G$7:$G$50,'W3'!A43))+(COUNTIF(SCEAUX!$G$7:$G$50,'W3'!A43))+(COUNTIF('INSTANCE C1'!$G$7:$G$50,'W3'!A43))+(COUNTIF('INSTANCE C2'!$G$7:$G$50,'W3'!A43))+(COUNTIF(INTERNES!$G$7:$G$50,'W3'!A43))+(COUNTIF('EN PANNE'!$G$7:$G$50,'W3'!A43))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EXPRESS'!$G$7:$G$50,'W3'!G43))+(COUNTIF('2 ZT'!$G$7:$G$50,'W3'!G43))+(COUNTIF('GO TRANSPORT'!$G$7:$G$50,'W3'!G43))+(COUNTIF('HMZ - KAIS'!$G$7:$G$50,'W3'!G43))+(COUNTIF('IB TRANSPORT'!$G$7:$G$50,'W3'!G43))+(COUNTIF(JSL!$G$7:$G$50,'W3'!G43))+(COUNTIF(KIFAITOUT!$G$7:$G$50,'W3'!G43))+(COUNTIF('LUXE DRIVE'!$G$7:$G$50,'W3'!G43))+(COUNTIF(SSN!$G$7:$G$50,'W3'!G43))+(COUNTIF('W3'!$G$7:$G$50,'W3'!G43))+(COUNTIF('ATHIS MONS'!$G$7:$G$50,'W3'!G43))+(COUNTIF('L HAY LES ROSES'!$G$7:$G$50,'W3'!G43))+(COUNTIF(RUNGIS!$G$7:$G$50,'W3'!G43))+(COUNTIF(SCEAUX!$G$7:$G$50,'W3'!G43))+(COUNTIF('INSTANCE C1'!$G$7:$G$50,'W3'!G43))+(COUNTIF('INSTANCE C2'!$G$7:$G$50,'W3'!G43))+(COUNTIF(INTERNES!$G$7:$G$50,'W3'!G43))+(COUNTIF('EN PANNE'!$G$7:$G$50,'W3'!G43))-I43</f>
        <v>0</v>
      </c>
      <c r="I43" s="23">
        <f>(COUNTIF('2S EXPRESS'!$A$7:$A$50,'W3'!G43))+(COUNTIF('2 ZT'!$A$7:$A$50,'W3'!G43))+(COUNTIF('GO TRANSPORT'!$A$7:$A$50,'W3'!G43))+(COUNTIF('HMZ - KAIS'!$A$7:$A$50,'W3'!G43))+(COUNTIF('IB TRANSPORT'!$A$7:$A$50,'W3'!G43))+(COUNTIF(JSL!$A$7:$A$50,'W3'!G43))+(COUNTIF(KIFAITOUT!$A$7:$A$50,'W3'!G43))+(COUNTIF('LUXE DRIVE'!$A$7:$A$50,'W3'!G43))+(COUNTIF(SSN!$A$7:$A$50,'W3'!G43))+(COUNTIF('W3'!$A$7:$A$50,'W3'!G43))+(COUNTIF('ATHIS MONS'!$A$7:$A$50,'W3'!G43))+(COUNTIF('L HAY LES ROSES'!$A$7:$A$50,'W3'!G43))+(COUNTIF(RUNGIS!$A$7:$A$50,'W3'!G43))+(COUNTIF(SCEAUX!$A$7:$A$50,'W3'!G43))+(COUNTIF('INSTANCE C1'!$A$7:$A$50,'W3'!G43))+(COUNTIF('INSTANCE C2'!$A$7:$A$50,'W3'!G43))+(COUNTIF(INTERNES!$A$7:$A$50,'W3'!G43))+(COUNTIF('EN PANNE'!$A$7:$A$50,'W3'!G43))</f>
        <v>0</v>
      </c>
      <c r="J43" s="28">
        <f t="shared" si="4"/>
        <v>0</v>
      </c>
      <c r="K43" s="2"/>
      <c r="L43" s="47"/>
      <c r="S43" s="60">
        <f t="shared" si="1"/>
        <v>0</v>
      </c>
      <c r="T43" s="67">
        <f t="shared" si="2"/>
        <v>0</v>
      </c>
    </row>
    <row r="44" spans="1:20" ht="24.95" customHeight="1" x14ac:dyDescent="0.2">
      <c r="A44" s="20"/>
      <c r="B44" s="23">
        <f>(COUNTIF('2S EXPRESS'!$A$7:$A$50,'W3'!A44))+(COUNTIF('2 ZT'!$A$7:$A$50,'W3'!A44))+(COUNTIF('GO TRANSPORT'!$A$7:$A$50,'W3'!A44))+(COUNTIF('HMZ - KAIS'!$A$7:$A$50,'W3'!A44))+(COUNTIF('IB TRANSPORT'!$A$7:$A$50,'W3'!A44))+(COUNTIF(JSL!$A$7:$A$50,'W3'!A44))+(COUNTIF(KIFAITOUT!$A$7:$A$50,'W3'!A44))+(COUNTIF('LUXE DRIVE'!$A$7:$A$50,'W3'!A44))+(COUNTIF(SSN!$A$7:$A$50,'W3'!A44))+(COUNTIF('W3'!$A$7:$A$50,'W3'!A44))+(COUNTIF('ATHIS MONS'!$A$7:$A$50,'W3'!A44))+(COUNTIF('L HAY LES ROSES'!$A$7:$A$50,'W3'!A44))+(COUNTIF(RUNGIS!$A$7:$A$50,'W3'!A44))+(COUNTIF(SCEAUX!$A$7:$A$50,'W3'!A44))+(COUNTIF('INSTANCE C1'!$A$7:$A$50,'W3'!A44))+(COUNTIF('INSTANCE C2'!$A$7:$A$50,'W3'!A44))+(COUNTIF(INTERNES!$A$7:$A$50,'W3'!A44))+(COUNTIF('EN PANNE'!$A$7:$A$50,'W3'!A44))-C44</f>
        <v>0</v>
      </c>
      <c r="C44" s="23">
        <f>(COUNTIF('2S EXPRESS'!$G$7:$G$50,'W3'!A44))+(COUNTIF('2 ZT'!$G$7:$G$50,'W3'!A44))+(COUNTIF('GO TRANSPORT'!$G$7:$G$50,'W3'!A44))+(COUNTIF('W3'!$G$7:$G$50,'W3'!A44))+(COUNTIF('IB TRANSPORT'!$G$7:$G$50,'W3'!A44))+(COUNTIF(JSL!$G$7:$G$50,'W3'!A44))+(COUNTIF(KIFAITOUT!$G$7:$G$50,'W3'!A44))+(COUNTIF('LUXE DRIVE'!$G$7:$G$50,'W3'!A44))+(COUNTIF(SSN!$G$7:$G$50,'W3'!A44))+(COUNTIF('W3'!$G$7:$G$50,'W3'!A44))+(COUNTIF('ATHIS MONS'!$G$7:$G$50,'W3'!A44))+(COUNTIF('L HAY LES ROSES'!$G$7:$G$50,'W3'!A44))+(COUNTIF(RUNGIS!$G$7:$G$50,'W3'!A44))+(COUNTIF(SCEAUX!$G$7:$G$50,'W3'!A44))+(COUNTIF('INSTANCE C1'!$G$7:$G$50,'W3'!A44))+(COUNTIF('INSTANCE C2'!$G$7:$G$50,'W3'!A44))+(COUNTIF(INTERNES!$G$7:$G$50,'W3'!A44))+(COUNTIF('EN PANNE'!$G$7:$G$50,'W3'!A44))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EXPRESS'!$G$7:$G$50,'W3'!G44))+(COUNTIF('2 ZT'!$G$7:$G$50,'W3'!G44))+(COUNTIF('GO TRANSPORT'!$G$7:$G$50,'W3'!G44))+(COUNTIF('HMZ - KAIS'!$G$7:$G$50,'W3'!G44))+(COUNTIF('IB TRANSPORT'!$G$7:$G$50,'W3'!G44))+(COUNTIF(JSL!$G$7:$G$50,'W3'!G44))+(COUNTIF(KIFAITOUT!$G$7:$G$50,'W3'!G44))+(COUNTIF('LUXE DRIVE'!$G$7:$G$50,'W3'!G44))+(COUNTIF(SSN!$G$7:$G$50,'W3'!G44))+(COUNTIF('W3'!$G$7:$G$50,'W3'!G44))+(COUNTIF('ATHIS MONS'!$G$7:$G$50,'W3'!G44))+(COUNTIF('L HAY LES ROSES'!$G$7:$G$50,'W3'!G44))+(COUNTIF(RUNGIS!$G$7:$G$50,'W3'!G44))+(COUNTIF(SCEAUX!$G$7:$G$50,'W3'!G44))+(COUNTIF('INSTANCE C1'!$G$7:$G$50,'W3'!G44))+(COUNTIF('INSTANCE C2'!$G$7:$G$50,'W3'!G44))+(COUNTIF(INTERNES!$G$7:$G$50,'W3'!G44))+(COUNTIF('EN PANNE'!$G$7:$G$50,'W3'!G44))-I44</f>
        <v>0</v>
      </c>
      <c r="I44" s="23">
        <f>(COUNTIF('2S EXPRESS'!$A$7:$A$50,'W3'!G44))+(COUNTIF('2 ZT'!$A$7:$A$50,'W3'!G44))+(COUNTIF('GO TRANSPORT'!$A$7:$A$50,'W3'!G44))+(COUNTIF('HMZ - KAIS'!$A$7:$A$50,'W3'!G44))+(COUNTIF('IB TRANSPORT'!$A$7:$A$50,'W3'!G44))+(COUNTIF(JSL!$A$7:$A$50,'W3'!G44))+(COUNTIF(KIFAITOUT!$A$7:$A$50,'W3'!G44))+(COUNTIF('LUXE DRIVE'!$A$7:$A$50,'W3'!G44))+(COUNTIF(SSN!$A$7:$A$50,'W3'!G44))+(COUNTIF('W3'!$A$7:$A$50,'W3'!G44))+(COUNTIF('ATHIS MONS'!$A$7:$A$50,'W3'!G44))+(COUNTIF('L HAY LES ROSES'!$A$7:$A$50,'W3'!G44))+(COUNTIF(RUNGIS!$A$7:$A$50,'W3'!G44))+(COUNTIF(SCEAUX!$A$7:$A$50,'W3'!G44))+(COUNTIF('INSTANCE C1'!$A$7:$A$50,'W3'!G44))+(COUNTIF('INSTANCE C2'!$A$7:$A$50,'W3'!G44))+(COUNTIF(INTERNES!$A$7:$A$50,'W3'!G44))+(COUNTIF('EN PANNE'!$A$7:$A$50,'W3'!G44))</f>
        <v>0</v>
      </c>
      <c r="J44" s="28">
        <f t="shared" si="4"/>
        <v>0</v>
      </c>
      <c r="K44" s="2"/>
      <c r="L44" s="47"/>
      <c r="S44" s="60">
        <f t="shared" si="1"/>
        <v>0</v>
      </c>
      <c r="T44" s="67">
        <f t="shared" si="2"/>
        <v>0</v>
      </c>
    </row>
    <row r="45" spans="1:20" ht="24.95" customHeight="1" x14ac:dyDescent="0.2">
      <c r="A45" s="20"/>
      <c r="B45" s="23">
        <f>(COUNTIF('2S EXPRESS'!$A$7:$A$50,'W3'!A45))+(COUNTIF('2 ZT'!$A$7:$A$50,'W3'!A45))+(COUNTIF('GO TRANSPORT'!$A$7:$A$50,'W3'!A45))+(COUNTIF('HMZ - KAIS'!$A$7:$A$50,'W3'!A45))+(COUNTIF('IB TRANSPORT'!$A$7:$A$50,'W3'!A45))+(COUNTIF(JSL!$A$7:$A$50,'W3'!A45))+(COUNTIF(KIFAITOUT!$A$7:$A$50,'W3'!A45))+(COUNTIF('LUXE DRIVE'!$A$7:$A$50,'W3'!A45))+(COUNTIF(SSN!$A$7:$A$50,'W3'!A45))+(COUNTIF('W3'!$A$7:$A$50,'W3'!A45))+(COUNTIF('ATHIS MONS'!$A$7:$A$50,'W3'!A45))+(COUNTIF('L HAY LES ROSES'!$A$7:$A$50,'W3'!A45))+(COUNTIF(RUNGIS!$A$7:$A$50,'W3'!A45))+(COUNTIF(SCEAUX!$A$7:$A$50,'W3'!A45))+(COUNTIF('INSTANCE C1'!$A$7:$A$50,'W3'!A45))+(COUNTIF('INSTANCE C2'!$A$7:$A$50,'W3'!A45))+(COUNTIF(INTERNES!$A$7:$A$50,'W3'!A45))+(COUNTIF('EN PANNE'!$A$7:$A$50,'W3'!A45))-C45</f>
        <v>0</v>
      </c>
      <c r="C45" s="23">
        <f>(COUNTIF('2S EXPRESS'!$G$7:$G$50,'W3'!A45))+(COUNTIF('2 ZT'!$G$7:$G$50,'W3'!A45))+(COUNTIF('GO TRANSPORT'!$G$7:$G$50,'W3'!A45))+(COUNTIF('W3'!$G$7:$G$50,'W3'!A45))+(COUNTIF('IB TRANSPORT'!$G$7:$G$50,'W3'!A45))+(COUNTIF(JSL!$G$7:$G$50,'W3'!A45))+(COUNTIF(KIFAITOUT!$G$7:$G$50,'W3'!A45))+(COUNTIF('LUXE DRIVE'!$G$7:$G$50,'W3'!A45))+(COUNTIF(SSN!$G$7:$G$50,'W3'!A45))+(COUNTIF('W3'!$G$7:$G$50,'W3'!A45))+(COUNTIF('ATHIS MONS'!$G$7:$G$50,'W3'!A45))+(COUNTIF('L HAY LES ROSES'!$G$7:$G$50,'W3'!A45))+(COUNTIF(RUNGIS!$G$7:$G$50,'W3'!A45))+(COUNTIF(SCEAUX!$G$7:$G$50,'W3'!A45))+(COUNTIF('INSTANCE C1'!$G$7:$G$50,'W3'!A45))+(COUNTIF('INSTANCE C2'!$G$7:$G$50,'W3'!A45))+(COUNTIF(INTERNES!$G$7:$G$50,'W3'!A45))+(COUNTIF('EN PANNE'!$G$7:$G$50,'W3'!A45))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EXPRESS'!$G$7:$G$50,'W3'!G45))+(COUNTIF('2 ZT'!$G$7:$G$50,'W3'!G45))+(COUNTIF('GO TRANSPORT'!$G$7:$G$50,'W3'!G45))+(COUNTIF('HMZ - KAIS'!$G$7:$G$50,'W3'!G45))+(COUNTIF('IB TRANSPORT'!$G$7:$G$50,'W3'!G45))+(COUNTIF(JSL!$G$7:$G$50,'W3'!G45))+(COUNTIF(KIFAITOUT!$G$7:$G$50,'W3'!G45))+(COUNTIF('LUXE DRIVE'!$G$7:$G$50,'W3'!G45))+(COUNTIF(SSN!$G$7:$G$50,'W3'!G45))+(COUNTIF('W3'!$G$7:$G$50,'W3'!G45))+(COUNTIF('ATHIS MONS'!$G$7:$G$50,'W3'!G45))+(COUNTIF('L HAY LES ROSES'!$G$7:$G$50,'W3'!G45))+(COUNTIF(RUNGIS!$G$7:$G$50,'W3'!G45))+(COUNTIF(SCEAUX!$G$7:$G$50,'W3'!G45))+(COUNTIF('INSTANCE C1'!$G$7:$G$50,'W3'!G45))+(COUNTIF('INSTANCE C2'!$G$7:$G$50,'W3'!G45))+(COUNTIF(INTERNES!$G$7:$G$50,'W3'!G45))+(COUNTIF('EN PANNE'!$G$7:$G$50,'W3'!G45))-I45</f>
        <v>0</v>
      </c>
      <c r="I45" s="23">
        <f>(COUNTIF('2S EXPRESS'!$A$7:$A$50,'W3'!G45))+(COUNTIF('2 ZT'!$A$7:$A$50,'W3'!G45))+(COUNTIF('GO TRANSPORT'!$A$7:$A$50,'W3'!G45))+(COUNTIF('HMZ - KAIS'!$A$7:$A$50,'W3'!G45))+(COUNTIF('IB TRANSPORT'!$A$7:$A$50,'W3'!G45))+(COUNTIF(JSL!$A$7:$A$50,'W3'!G45))+(COUNTIF(KIFAITOUT!$A$7:$A$50,'W3'!G45))+(COUNTIF('LUXE DRIVE'!$A$7:$A$50,'W3'!G45))+(COUNTIF(SSN!$A$7:$A$50,'W3'!G45))+(COUNTIF('W3'!$A$7:$A$50,'W3'!G45))+(COUNTIF('ATHIS MONS'!$A$7:$A$50,'W3'!G45))+(COUNTIF('L HAY LES ROSES'!$A$7:$A$50,'W3'!G45))+(COUNTIF(RUNGIS!$A$7:$A$50,'W3'!G45))+(COUNTIF(SCEAUX!$A$7:$A$50,'W3'!G45))+(COUNTIF('INSTANCE C1'!$A$7:$A$50,'W3'!G45))+(COUNTIF('INSTANCE C2'!$A$7:$A$50,'W3'!G45))+(COUNTIF(INTERNES!$A$7:$A$50,'W3'!G45))+(COUNTIF('EN PANNE'!$A$7:$A$50,'W3'!G45))</f>
        <v>0</v>
      </c>
      <c r="J45" s="28">
        <f t="shared" si="4"/>
        <v>0</v>
      </c>
      <c r="K45" s="2"/>
      <c r="L45" s="47"/>
      <c r="S45" s="60">
        <f t="shared" si="1"/>
        <v>0</v>
      </c>
      <c r="T45" s="67">
        <f t="shared" si="2"/>
        <v>0</v>
      </c>
    </row>
    <row r="46" spans="1:20" ht="24.95" customHeight="1" x14ac:dyDescent="0.2">
      <c r="A46" s="20"/>
      <c r="B46" s="23">
        <f>(COUNTIF('2S EXPRESS'!$A$7:$A$50,'W3'!A46))+(COUNTIF('2 ZT'!$A$7:$A$50,'W3'!A46))+(COUNTIF('GO TRANSPORT'!$A$7:$A$50,'W3'!A46))+(COUNTIF('HMZ - KAIS'!$A$7:$A$50,'W3'!A46))+(COUNTIF('IB TRANSPORT'!$A$7:$A$50,'W3'!A46))+(COUNTIF(JSL!$A$7:$A$50,'W3'!A46))+(COUNTIF(KIFAITOUT!$A$7:$A$50,'W3'!A46))+(COUNTIF('LUXE DRIVE'!$A$7:$A$50,'W3'!A46))+(COUNTIF(SSN!$A$7:$A$50,'W3'!A46))+(COUNTIF('W3'!$A$7:$A$50,'W3'!A46))+(COUNTIF('ATHIS MONS'!$A$7:$A$50,'W3'!A46))+(COUNTIF('L HAY LES ROSES'!$A$7:$A$50,'W3'!A46))+(COUNTIF(RUNGIS!$A$7:$A$50,'W3'!A46))+(COUNTIF(SCEAUX!$A$7:$A$50,'W3'!A46))+(COUNTIF('INSTANCE C1'!$A$7:$A$50,'W3'!A46))+(COUNTIF('INSTANCE C2'!$A$7:$A$50,'W3'!A46))+(COUNTIF(INTERNES!$A$7:$A$50,'W3'!A46))+(COUNTIF('EN PANNE'!$A$7:$A$50,'W3'!A46))-C46</f>
        <v>0</v>
      </c>
      <c r="C46" s="23">
        <f>(COUNTIF('2S EXPRESS'!$G$7:$G$50,'W3'!A46))+(COUNTIF('2 ZT'!$G$7:$G$50,'W3'!A46))+(COUNTIF('GO TRANSPORT'!$G$7:$G$50,'W3'!A46))+(COUNTIF('W3'!$G$7:$G$50,'W3'!A46))+(COUNTIF('IB TRANSPORT'!$G$7:$G$50,'W3'!A46))+(COUNTIF(JSL!$G$7:$G$50,'W3'!A46))+(COUNTIF(KIFAITOUT!$G$7:$G$50,'W3'!A46))+(COUNTIF('LUXE DRIVE'!$G$7:$G$50,'W3'!A46))+(COUNTIF(SSN!$G$7:$G$50,'W3'!A46))+(COUNTIF('W3'!$G$7:$G$50,'W3'!A46))+(COUNTIF('ATHIS MONS'!$G$7:$G$50,'W3'!A46))+(COUNTIF('L HAY LES ROSES'!$G$7:$G$50,'W3'!A46))+(COUNTIF(RUNGIS!$G$7:$G$50,'W3'!A46))+(COUNTIF(SCEAUX!$G$7:$G$50,'W3'!A46))+(COUNTIF('INSTANCE C1'!$G$7:$G$50,'W3'!A46))+(COUNTIF('INSTANCE C2'!$G$7:$G$50,'W3'!A46))+(COUNTIF(INTERNES!$G$7:$G$50,'W3'!A46))+(COUNTIF('EN PANNE'!$G$7:$G$50,'W3'!A46))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EXPRESS'!$G$7:$G$50,'W3'!G46))+(COUNTIF('2 ZT'!$G$7:$G$50,'W3'!G46))+(COUNTIF('GO TRANSPORT'!$G$7:$G$50,'W3'!G46))+(COUNTIF('HMZ - KAIS'!$G$7:$G$50,'W3'!G46))+(COUNTIF('IB TRANSPORT'!$G$7:$G$50,'W3'!G46))+(COUNTIF(JSL!$G$7:$G$50,'W3'!G46))+(COUNTIF(KIFAITOUT!$G$7:$G$50,'W3'!G46))+(COUNTIF('LUXE DRIVE'!$G$7:$G$50,'W3'!G46))+(COUNTIF(SSN!$G$7:$G$50,'W3'!G46))+(COUNTIF('W3'!$G$7:$G$50,'W3'!G46))+(COUNTIF('ATHIS MONS'!$G$7:$G$50,'W3'!G46))+(COUNTIF('L HAY LES ROSES'!$G$7:$G$50,'W3'!G46))+(COUNTIF(RUNGIS!$G$7:$G$50,'W3'!G46))+(COUNTIF(SCEAUX!$G$7:$G$50,'W3'!G46))+(COUNTIF('INSTANCE C1'!$G$7:$G$50,'W3'!G46))+(COUNTIF('INSTANCE C2'!$G$7:$G$50,'W3'!G46))+(COUNTIF(INTERNES!$G$7:$G$50,'W3'!G46))+(COUNTIF('EN PANNE'!$G$7:$G$50,'W3'!G46))-I46</f>
        <v>0</v>
      </c>
      <c r="I46" s="23">
        <f>(COUNTIF('2S EXPRESS'!$A$7:$A$50,'W3'!G46))+(COUNTIF('2 ZT'!$A$7:$A$50,'W3'!G46))+(COUNTIF('GO TRANSPORT'!$A$7:$A$50,'W3'!G46))+(COUNTIF('HMZ - KAIS'!$A$7:$A$50,'W3'!G46))+(COUNTIF('IB TRANSPORT'!$A$7:$A$50,'W3'!G46))+(COUNTIF(JSL!$A$7:$A$50,'W3'!G46))+(COUNTIF(KIFAITOUT!$A$7:$A$50,'W3'!G46))+(COUNTIF('LUXE DRIVE'!$A$7:$A$50,'W3'!G46))+(COUNTIF(SSN!$A$7:$A$50,'W3'!G46))+(COUNTIF('W3'!$A$7:$A$50,'W3'!G46))+(COUNTIF('ATHIS MONS'!$A$7:$A$50,'W3'!G46))+(COUNTIF('L HAY LES ROSES'!$A$7:$A$50,'W3'!G46))+(COUNTIF(RUNGIS!$A$7:$A$50,'W3'!G46))+(COUNTIF(SCEAUX!$A$7:$A$50,'W3'!G46))+(COUNTIF('INSTANCE C1'!$A$7:$A$50,'W3'!G46))+(COUNTIF('INSTANCE C2'!$A$7:$A$50,'W3'!G46))+(COUNTIF(INTERNES!$A$7:$A$50,'W3'!G46))+(COUNTIF('EN PANNE'!$A$7:$A$50,'W3'!G46))</f>
        <v>0</v>
      </c>
      <c r="J46" s="28">
        <f t="shared" si="4"/>
        <v>0</v>
      </c>
      <c r="K46" s="2"/>
      <c r="L46" s="47"/>
      <c r="S46" s="60">
        <f t="shared" si="1"/>
        <v>0</v>
      </c>
      <c r="T46" s="67">
        <f t="shared" si="2"/>
        <v>0</v>
      </c>
    </row>
    <row r="47" spans="1:20" ht="24.95" customHeight="1" x14ac:dyDescent="0.2">
      <c r="A47" s="20"/>
      <c r="B47" s="23">
        <f>(COUNTIF('2S EXPRESS'!$A$7:$A$50,'W3'!A47))+(COUNTIF('2 ZT'!$A$7:$A$50,'W3'!A47))+(COUNTIF('GO TRANSPORT'!$A$7:$A$50,'W3'!A47))+(COUNTIF('HMZ - KAIS'!$A$7:$A$50,'W3'!A47))+(COUNTIF('IB TRANSPORT'!$A$7:$A$50,'W3'!A47))+(COUNTIF(JSL!$A$7:$A$50,'W3'!A47))+(COUNTIF(KIFAITOUT!$A$7:$A$50,'W3'!A47))+(COUNTIF('LUXE DRIVE'!$A$7:$A$50,'W3'!A47))+(COUNTIF(SSN!$A$7:$A$50,'W3'!A47))+(COUNTIF('W3'!$A$7:$A$50,'W3'!A47))+(COUNTIF('ATHIS MONS'!$A$7:$A$50,'W3'!A47))+(COUNTIF('L HAY LES ROSES'!$A$7:$A$50,'W3'!A47))+(COUNTIF(RUNGIS!$A$7:$A$50,'W3'!A47))+(COUNTIF(SCEAUX!$A$7:$A$50,'W3'!A47))+(COUNTIF('INSTANCE C1'!$A$7:$A$50,'W3'!A47))+(COUNTIF('INSTANCE C2'!$A$7:$A$50,'W3'!A47))+(COUNTIF(INTERNES!$A$7:$A$50,'W3'!A47))+(COUNTIF('EN PANNE'!$A$7:$A$50,'W3'!A47))-C47</f>
        <v>0</v>
      </c>
      <c r="C47" s="23">
        <f>(COUNTIF('2S EXPRESS'!$G$7:$G$50,'W3'!A47))+(COUNTIF('2 ZT'!$G$7:$G$50,'W3'!A47))+(COUNTIF('GO TRANSPORT'!$G$7:$G$50,'W3'!A47))+(COUNTIF('W3'!$G$7:$G$50,'W3'!A47))+(COUNTIF('IB TRANSPORT'!$G$7:$G$50,'W3'!A47))+(COUNTIF(JSL!$G$7:$G$50,'W3'!A47))+(COUNTIF(KIFAITOUT!$G$7:$G$50,'W3'!A47))+(COUNTIF('LUXE DRIVE'!$G$7:$G$50,'W3'!A47))+(COUNTIF(SSN!$G$7:$G$50,'W3'!A47))+(COUNTIF('W3'!$G$7:$G$50,'W3'!A47))+(COUNTIF('ATHIS MONS'!$G$7:$G$50,'W3'!A47))+(COUNTIF('L HAY LES ROSES'!$G$7:$G$50,'W3'!A47))+(COUNTIF(RUNGIS!$G$7:$G$50,'W3'!A47))+(COUNTIF(SCEAUX!$G$7:$G$50,'W3'!A47))+(COUNTIF('INSTANCE C1'!$G$7:$G$50,'W3'!A47))+(COUNTIF('INSTANCE C2'!$G$7:$G$50,'W3'!A47))+(COUNTIF(INTERNES!$G$7:$G$50,'W3'!A47))+(COUNTIF('EN PANNE'!$G$7:$G$50,'W3'!A47))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EXPRESS'!$G$7:$G$50,'W3'!G47))+(COUNTIF('2 ZT'!$G$7:$G$50,'W3'!G47))+(COUNTIF('GO TRANSPORT'!$G$7:$G$50,'W3'!G47))+(COUNTIF('HMZ - KAIS'!$G$7:$G$50,'W3'!G47))+(COUNTIF('IB TRANSPORT'!$G$7:$G$50,'W3'!G47))+(COUNTIF(JSL!$G$7:$G$50,'W3'!G47))+(COUNTIF(KIFAITOUT!$G$7:$G$50,'W3'!G47))+(COUNTIF('LUXE DRIVE'!$G$7:$G$50,'W3'!G47))+(COUNTIF(SSN!$G$7:$G$50,'W3'!G47))+(COUNTIF('W3'!$G$7:$G$50,'W3'!G47))+(COUNTIF('ATHIS MONS'!$G$7:$G$50,'W3'!G47))+(COUNTIF('L HAY LES ROSES'!$G$7:$G$50,'W3'!G47))+(COUNTIF(RUNGIS!$G$7:$G$50,'W3'!G47))+(COUNTIF(SCEAUX!$G$7:$G$50,'W3'!G47))+(COUNTIF('INSTANCE C1'!$G$7:$G$50,'W3'!G47))+(COUNTIF('INSTANCE C2'!$G$7:$G$50,'W3'!G47))+(COUNTIF(INTERNES!$G$7:$G$50,'W3'!G47))+(COUNTIF('EN PANNE'!$G$7:$G$50,'W3'!G47))-I47</f>
        <v>0</v>
      </c>
      <c r="I47" s="23">
        <f>(COUNTIF('2S EXPRESS'!$A$7:$A$50,'W3'!G47))+(COUNTIF('2 ZT'!$A$7:$A$50,'W3'!G47))+(COUNTIF('GO TRANSPORT'!$A$7:$A$50,'W3'!G47))+(COUNTIF('HMZ - KAIS'!$A$7:$A$50,'W3'!G47))+(COUNTIF('IB TRANSPORT'!$A$7:$A$50,'W3'!G47))+(COUNTIF(JSL!$A$7:$A$50,'W3'!G47))+(COUNTIF(KIFAITOUT!$A$7:$A$50,'W3'!G47))+(COUNTIF('LUXE DRIVE'!$A$7:$A$50,'W3'!G47))+(COUNTIF(SSN!$A$7:$A$50,'W3'!G47))+(COUNTIF('W3'!$A$7:$A$50,'W3'!G47))+(COUNTIF('ATHIS MONS'!$A$7:$A$50,'W3'!G47))+(COUNTIF('L HAY LES ROSES'!$A$7:$A$50,'W3'!G47))+(COUNTIF(RUNGIS!$A$7:$A$50,'W3'!G47))+(COUNTIF(SCEAUX!$A$7:$A$50,'W3'!G47))+(COUNTIF('INSTANCE C1'!$A$7:$A$50,'W3'!G47))+(COUNTIF('INSTANCE C2'!$A$7:$A$50,'W3'!G47))+(COUNTIF(INTERNES!$A$7:$A$50,'W3'!G47))+(COUNTIF('EN PANNE'!$A$7:$A$50,'W3'!G47))</f>
        <v>0</v>
      </c>
      <c r="J47" s="28">
        <f t="shared" si="4"/>
        <v>0</v>
      </c>
      <c r="K47" s="2"/>
      <c r="L47" s="47"/>
      <c r="S47" s="60">
        <f t="shared" si="1"/>
        <v>0</v>
      </c>
      <c r="T47" s="67">
        <f t="shared" si="2"/>
        <v>0</v>
      </c>
    </row>
    <row r="48" spans="1:20" ht="24.95" customHeight="1" x14ac:dyDescent="0.2">
      <c r="A48" s="20"/>
      <c r="B48" s="23">
        <f>(COUNTIF('2S EXPRESS'!$A$7:$A$50,'W3'!A48))+(COUNTIF('2 ZT'!$A$7:$A$50,'W3'!A48))+(COUNTIF('GO TRANSPORT'!$A$7:$A$50,'W3'!A48))+(COUNTIF('HMZ - KAIS'!$A$7:$A$50,'W3'!A48))+(COUNTIF('IB TRANSPORT'!$A$7:$A$50,'W3'!A48))+(COUNTIF(JSL!$A$7:$A$50,'W3'!A48))+(COUNTIF(KIFAITOUT!$A$7:$A$50,'W3'!A48))+(COUNTIF('LUXE DRIVE'!$A$7:$A$50,'W3'!A48))+(COUNTIF(SSN!$A$7:$A$50,'W3'!A48))+(COUNTIF('W3'!$A$7:$A$50,'W3'!A48))+(COUNTIF('ATHIS MONS'!$A$7:$A$50,'W3'!A48))+(COUNTIF('L HAY LES ROSES'!$A$7:$A$50,'W3'!A48))+(COUNTIF(RUNGIS!$A$7:$A$50,'W3'!A48))+(COUNTIF(SCEAUX!$A$7:$A$50,'W3'!A48))+(COUNTIF('INSTANCE C1'!$A$7:$A$50,'W3'!A48))+(COUNTIF('INSTANCE C2'!$A$7:$A$50,'W3'!A48))+(COUNTIF(INTERNES!$A$7:$A$50,'W3'!A48))+(COUNTIF('EN PANNE'!$A$7:$A$50,'W3'!A48))-C48</f>
        <v>0</v>
      </c>
      <c r="C48" s="23">
        <f>(COUNTIF('2S EXPRESS'!$G$7:$G$50,'W3'!A48))+(COUNTIF('2 ZT'!$G$7:$G$50,'W3'!A48))+(COUNTIF('GO TRANSPORT'!$G$7:$G$50,'W3'!A48))+(COUNTIF('W3'!$G$7:$G$50,'W3'!A48))+(COUNTIF('IB TRANSPORT'!$G$7:$G$50,'W3'!A48))+(COUNTIF(JSL!$G$7:$G$50,'W3'!A48))+(COUNTIF(KIFAITOUT!$G$7:$G$50,'W3'!A48))+(COUNTIF('LUXE DRIVE'!$G$7:$G$50,'W3'!A48))+(COUNTIF(SSN!$G$7:$G$50,'W3'!A48))+(COUNTIF('W3'!$G$7:$G$50,'W3'!A48))+(COUNTIF('ATHIS MONS'!$G$7:$G$50,'W3'!A48))+(COUNTIF('L HAY LES ROSES'!$G$7:$G$50,'W3'!A48))+(COUNTIF(RUNGIS!$G$7:$G$50,'W3'!A48))+(COUNTIF(SCEAUX!$G$7:$G$50,'W3'!A48))+(COUNTIF('INSTANCE C1'!$G$7:$G$50,'W3'!A48))+(COUNTIF('INSTANCE C2'!$G$7:$G$50,'W3'!A48))+(COUNTIF(INTERNES!$G$7:$G$50,'W3'!A48))+(COUNTIF('EN PANNE'!$G$7:$G$50,'W3'!A48))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EXPRESS'!$G$7:$G$50,'W3'!G48))+(COUNTIF('2 ZT'!$G$7:$G$50,'W3'!G48))+(COUNTIF('GO TRANSPORT'!$G$7:$G$50,'W3'!G48))+(COUNTIF('HMZ - KAIS'!$G$7:$G$50,'W3'!G48))+(COUNTIF('IB TRANSPORT'!$G$7:$G$50,'W3'!G48))+(COUNTIF(JSL!$G$7:$G$50,'W3'!G48))+(COUNTIF(KIFAITOUT!$G$7:$G$50,'W3'!G48))+(COUNTIF('LUXE DRIVE'!$G$7:$G$50,'W3'!G48))+(COUNTIF(SSN!$G$7:$G$50,'W3'!G48))+(COUNTIF('W3'!$G$7:$G$50,'W3'!G48))+(COUNTIF('ATHIS MONS'!$G$7:$G$50,'W3'!G48))+(COUNTIF('L HAY LES ROSES'!$G$7:$G$50,'W3'!G48))+(COUNTIF(RUNGIS!$G$7:$G$50,'W3'!G48))+(COUNTIF(SCEAUX!$G$7:$G$50,'W3'!G48))+(COUNTIF('INSTANCE C1'!$G$7:$G$50,'W3'!G48))+(COUNTIF('INSTANCE C2'!$G$7:$G$50,'W3'!G48))+(COUNTIF(INTERNES!$G$7:$G$50,'W3'!G48))+(COUNTIF('EN PANNE'!$G$7:$G$50,'W3'!G48))-I48</f>
        <v>0</v>
      </c>
      <c r="I48" s="23">
        <f>(COUNTIF('2S EXPRESS'!$A$7:$A$50,'W3'!G48))+(COUNTIF('2 ZT'!$A$7:$A$50,'W3'!G48))+(COUNTIF('GO TRANSPORT'!$A$7:$A$50,'W3'!G48))+(COUNTIF('HMZ - KAIS'!$A$7:$A$50,'W3'!G48))+(COUNTIF('IB TRANSPORT'!$A$7:$A$50,'W3'!G48))+(COUNTIF(JSL!$A$7:$A$50,'W3'!G48))+(COUNTIF(KIFAITOUT!$A$7:$A$50,'W3'!G48))+(COUNTIF('LUXE DRIVE'!$A$7:$A$50,'W3'!G48))+(COUNTIF(SSN!$A$7:$A$50,'W3'!G48))+(COUNTIF('W3'!$A$7:$A$50,'W3'!G48))+(COUNTIF('ATHIS MONS'!$A$7:$A$50,'W3'!G48))+(COUNTIF('L HAY LES ROSES'!$A$7:$A$50,'W3'!G48))+(COUNTIF(RUNGIS!$A$7:$A$50,'W3'!G48))+(COUNTIF(SCEAUX!$A$7:$A$50,'W3'!G48))+(COUNTIF('INSTANCE C1'!$A$7:$A$50,'W3'!G48))+(COUNTIF('INSTANCE C2'!$A$7:$A$50,'W3'!G48))+(COUNTIF(INTERNES!$A$7:$A$50,'W3'!G48))+(COUNTIF('EN PANNE'!$A$7:$A$50,'W3'!G48))</f>
        <v>0</v>
      </c>
      <c r="J48" s="28">
        <f t="shared" si="4"/>
        <v>0</v>
      </c>
      <c r="K48" s="2"/>
      <c r="L48" s="47"/>
      <c r="S48" s="60">
        <f t="shared" si="1"/>
        <v>0</v>
      </c>
      <c r="T48" s="67">
        <f t="shared" si="2"/>
        <v>0</v>
      </c>
    </row>
    <row r="49" spans="1:20" ht="24.95" customHeight="1" x14ac:dyDescent="0.2">
      <c r="A49" s="20"/>
      <c r="B49" s="23">
        <f>(COUNTIF('2S EXPRESS'!$A$7:$A$50,'W3'!A49))+(COUNTIF('2 ZT'!$A$7:$A$50,'W3'!A49))+(COUNTIF('GO TRANSPORT'!$A$7:$A$50,'W3'!A49))+(COUNTIF('HMZ - KAIS'!$A$7:$A$50,'W3'!A49))+(COUNTIF('IB TRANSPORT'!$A$7:$A$50,'W3'!A49))+(COUNTIF(JSL!$A$7:$A$50,'W3'!A49))+(COUNTIF(KIFAITOUT!$A$7:$A$50,'W3'!A49))+(COUNTIF('LUXE DRIVE'!$A$7:$A$50,'W3'!A49))+(COUNTIF(SSN!$A$7:$A$50,'W3'!A49))+(COUNTIF('W3'!$A$7:$A$50,'W3'!A49))+(COUNTIF('ATHIS MONS'!$A$7:$A$50,'W3'!A49))+(COUNTIF('L HAY LES ROSES'!$A$7:$A$50,'W3'!A49))+(COUNTIF(RUNGIS!$A$7:$A$50,'W3'!A49))+(COUNTIF(SCEAUX!$A$7:$A$50,'W3'!A49))+(COUNTIF('INSTANCE C1'!$A$7:$A$50,'W3'!A49))+(COUNTIF('INSTANCE C2'!$A$7:$A$50,'W3'!A49))+(COUNTIF(INTERNES!$A$7:$A$50,'W3'!A49))+(COUNTIF('EN PANNE'!$A$7:$A$50,'W3'!A49))-C49</f>
        <v>0</v>
      </c>
      <c r="C49" s="23">
        <f>(COUNTIF('2S EXPRESS'!$G$7:$G$50,'W3'!A49))+(COUNTIF('2 ZT'!$G$7:$G$50,'W3'!A49))+(COUNTIF('GO TRANSPORT'!$G$7:$G$50,'W3'!A49))+(COUNTIF('W3'!$G$7:$G$50,'W3'!A49))+(COUNTIF('IB TRANSPORT'!$G$7:$G$50,'W3'!A49))+(COUNTIF(JSL!$G$7:$G$50,'W3'!A49))+(COUNTIF(KIFAITOUT!$G$7:$G$50,'W3'!A49))+(COUNTIF('LUXE DRIVE'!$G$7:$G$50,'W3'!A49))+(COUNTIF(SSN!$G$7:$G$50,'W3'!A49))+(COUNTIF('W3'!$G$7:$G$50,'W3'!A49))+(COUNTIF('ATHIS MONS'!$G$7:$G$50,'W3'!A49))+(COUNTIF('L HAY LES ROSES'!$G$7:$G$50,'W3'!A49))+(COUNTIF(RUNGIS!$G$7:$G$50,'W3'!A49))+(COUNTIF(SCEAUX!$G$7:$G$50,'W3'!A49))+(COUNTIF('INSTANCE C1'!$G$7:$G$50,'W3'!A49))+(COUNTIF('INSTANCE C2'!$G$7:$G$50,'W3'!A49))+(COUNTIF(INTERNES!$G$7:$G$50,'W3'!A49))+(COUNTIF('EN PANNE'!$G$7:$G$50,'W3'!A49))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EXPRESS'!$G$7:$G$50,'W3'!G49))+(COUNTIF('2 ZT'!$G$7:$G$50,'W3'!G49))+(COUNTIF('GO TRANSPORT'!$G$7:$G$50,'W3'!G49))+(COUNTIF('HMZ - KAIS'!$G$7:$G$50,'W3'!G49))+(COUNTIF('IB TRANSPORT'!$G$7:$G$50,'W3'!G49))+(COUNTIF(JSL!$G$7:$G$50,'W3'!G49))+(COUNTIF(KIFAITOUT!$G$7:$G$50,'W3'!G49))+(COUNTIF('LUXE DRIVE'!$G$7:$G$50,'W3'!G49))+(COUNTIF(SSN!$G$7:$G$50,'W3'!G49))+(COUNTIF('W3'!$G$7:$G$50,'W3'!G49))+(COUNTIF('ATHIS MONS'!$G$7:$G$50,'W3'!G49))+(COUNTIF('L HAY LES ROSES'!$G$7:$G$50,'W3'!G49))+(COUNTIF(RUNGIS!$G$7:$G$50,'W3'!G49))+(COUNTIF(SCEAUX!$G$7:$G$50,'W3'!G49))+(COUNTIF('INSTANCE C1'!$G$7:$G$50,'W3'!G49))+(COUNTIF('INSTANCE C2'!$G$7:$G$50,'W3'!G49))+(COUNTIF(INTERNES!$G$7:$G$50,'W3'!G49))+(COUNTIF('EN PANNE'!$G$7:$G$50,'W3'!G49))-I49</f>
        <v>0</v>
      </c>
      <c r="I49" s="23">
        <f>(COUNTIF('2S EXPRESS'!$A$7:$A$50,'W3'!G49))+(COUNTIF('2 ZT'!$A$7:$A$50,'W3'!G49))+(COUNTIF('GO TRANSPORT'!$A$7:$A$50,'W3'!G49))+(COUNTIF('HMZ - KAIS'!$A$7:$A$50,'W3'!G49))+(COUNTIF('IB TRANSPORT'!$A$7:$A$50,'W3'!G49))+(COUNTIF(JSL!$A$7:$A$50,'W3'!G49))+(COUNTIF(KIFAITOUT!$A$7:$A$50,'W3'!G49))+(COUNTIF('LUXE DRIVE'!$A$7:$A$50,'W3'!G49))+(COUNTIF(SSN!$A$7:$A$50,'W3'!G49))+(COUNTIF('W3'!$A$7:$A$50,'W3'!G49))+(COUNTIF('ATHIS MONS'!$A$7:$A$50,'W3'!G49))+(COUNTIF('L HAY LES ROSES'!$A$7:$A$50,'W3'!G49))+(COUNTIF(RUNGIS!$A$7:$A$50,'W3'!G49))+(COUNTIF(SCEAUX!$A$7:$A$50,'W3'!G49))+(COUNTIF('INSTANCE C1'!$A$7:$A$50,'W3'!G49))+(COUNTIF('INSTANCE C2'!$A$7:$A$50,'W3'!G49))+(COUNTIF(INTERNES!$A$7:$A$50,'W3'!G49))+(COUNTIF('EN PANNE'!$A$7:$A$50,'W3'!G49))</f>
        <v>0</v>
      </c>
      <c r="J49" s="28">
        <f t="shared" si="4"/>
        <v>0</v>
      </c>
      <c r="K49" s="2"/>
      <c r="L49" s="47"/>
      <c r="S49" s="60">
        <f t="shared" si="1"/>
        <v>0</v>
      </c>
      <c r="T49" s="67">
        <f t="shared" si="2"/>
        <v>0</v>
      </c>
    </row>
    <row r="50" spans="1:20" ht="24.95" customHeight="1" thickBot="1" x14ac:dyDescent="0.25">
      <c r="A50" s="21"/>
      <c r="B50" s="25">
        <f>(COUNTIF('2S EXPRESS'!$A$7:$A$50,'W3'!A50))+(COUNTIF('2 ZT'!$A$7:$A$50,'W3'!A50))+(COUNTIF('GO TRANSPORT'!$A$7:$A$50,'W3'!A50))+(COUNTIF('HMZ - KAIS'!$A$7:$A$50,'W3'!A50))+(COUNTIF('IB TRANSPORT'!$A$7:$A$50,'W3'!A50))+(COUNTIF(JSL!$A$7:$A$50,'W3'!A50))+(COUNTIF(KIFAITOUT!$A$7:$A$50,'W3'!A50))+(COUNTIF('LUXE DRIVE'!$A$7:$A$50,'W3'!A50))+(COUNTIF(SSN!$A$7:$A$50,'W3'!A50))+(COUNTIF('W3'!$A$7:$A$50,'W3'!A50))+(COUNTIF('ATHIS MONS'!$A$7:$A$50,'W3'!A50))+(COUNTIF('L HAY LES ROSES'!$A$7:$A$50,'W3'!A50))+(COUNTIF(RUNGIS!$A$7:$A$50,'W3'!A50))+(COUNTIF(SCEAUX!$A$7:$A$50,'W3'!A50))+(COUNTIF('INSTANCE C1'!$A$7:$A$50,'W3'!A50))+(COUNTIF('INSTANCE C2'!$A$7:$A$50,'W3'!A50))+(COUNTIF(INTERNES!$A$7:$A$50,'W3'!A50))+(COUNTIF('EN PANNE'!$A$7:$A$50,'W3'!A50))-C50</f>
        <v>0</v>
      </c>
      <c r="C50" s="23">
        <f>(COUNTIF('2S EXPRESS'!$G$7:$G$50,'W3'!A50))+(COUNTIF('2 ZT'!$G$7:$G$50,'W3'!A50))+(COUNTIF('GO TRANSPORT'!$G$7:$G$50,'W3'!A50))+(COUNTIF('W3'!$G$7:$G$50,'W3'!A50))+(COUNTIF('IB TRANSPORT'!$G$7:$G$50,'W3'!A50))+(COUNTIF(JSL!$G$7:$G$50,'W3'!A50))+(COUNTIF(KIFAITOUT!$G$7:$G$50,'W3'!A50))+(COUNTIF('LUXE DRIVE'!$G$7:$G$50,'W3'!A50))+(COUNTIF(SSN!$G$7:$G$50,'W3'!A50))+(COUNTIF('W3'!$G$7:$G$50,'W3'!A50))+(COUNTIF('ATHIS MONS'!$G$7:$G$50,'W3'!A50))+(COUNTIF('L HAY LES ROSES'!$G$7:$G$50,'W3'!A50))+(COUNTIF(RUNGIS!$G$7:$G$50,'W3'!A50))+(COUNTIF(SCEAUX!$G$7:$G$50,'W3'!A50))+(COUNTIF('INSTANCE C1'!$G$7:$G$50,'W3'!A50))+(COUNTIF('INSTANCE C2'!$G$7:$G$50,'W3'!A50))+(COUNTIF(INTERNES!$G$7:$G$50,'W3'!A50))+(COUNTIF('EN PANNE'!$G$7:$G$50,'W3'!A50))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EXPRESS'!$G$7:$G$50,'W3'!G50))+(COUNTIF('2 ZT'!$G$7:$G$50,'W3'!G50))+(COUNTIF('GO TRANSPORT'!$G$7:$G$50,'W3'!G50))+(COUNTIF('HMZ - KAIS'!$G$7:$G$50,'W3'!G50))+(COUNTIF('IB TRANSPORT'!$G$7:$G$50,'W3'!G50))+(COUNTIF(JSL!$G$7:$G$50,'W3'!G50))+(COUNTIF(KIFAITOUT!$G$7:$G$50,'W3'!G50))+(COUNTIF('LUXE DRIVE'!$G$7:$G$50,'W3'!G50))+(COUNTIF(SSN!$G$7:$G$50,'W3'!G50))+(COUNTIF('W3'!$G$7:$G$50,'W3'!G50))+(COUNTIF('ATHIS MONS'!$G$7:$G$50,'W3'!G50))+(COUNTIF('L HAY LES ROSES'!$G$7:$G$50,'W3'!G50))+(COUNTIF(RUNGIS!$G$7:$G$50,'W3'!G50))+(COUNTIF(SCEAUX!$G$7:$G$50,'W3'!G50))+(COUNTIF('INSTANCE C1'!$G$7:$G$50,'W3'!G50))+(COUNTIF('INSTANCE C2'!$G$7:$G$50,'W3'!G50))+(COUNTIF(INTERNES!$G$7:$G$50,'W3'!G50))+(COUNTIF('EN PANNE'!$G$7:$G$50,'W3'!G50))-I50</f>
        <v>0</v>
      </c>
      <c r="I50" s="25">
        <f>(COUNTIF('2S EXPRESS'!$A$7:$A$50,'W3'!G50))+(COUNTIF('2 ZT'!$A$7:$A$50,'W3'!G50))+(COUNTIF('GO TRANSPORT'!$A$7:$A$50,'W3'!G50))+(COUNTIF('HMZ - KAIS'!$A$7:$A$50,'W3'!G50))+(COUNTIF('IB TRANSPORT'!$A$7:$A$50,'W3'!G50))+(COUNTIF(JSL!$A$7:$A$50,'W3'!G50))+(COUNTIF(KIFAITOUT!$A$7:$A$50,'W3'!G50))+(COUNTIF('LUXE DRIVE'!$A$7:$A$50,'W3'!G50))+(COUNTIF(SSN!$A$7:$A$50,'W3'!G50))+(COUNTIF('W3'!$A$7:$A$50,'W3'!G50))+(COUNTIF('ATHIS MONS'!$A$7:$A$50,'W3'!G50))+(COUNTIF('L HAY LES ROSES'!$A$7:$A$50,'W3'!G50))+(COUNTIF(RUNGIS!$A$7:$A$50,'W3'!G50))+(COUNTIF(SCEAUX!$A$7:$A$50,'W3'!G50))+(COUNTIF('INSTANCE C1'!$A$7:$A$50,'W3'!G50))+(COUNTIF('INSTANCE C2'!$A$7:$A$50,'W3'!G50))+(COUNTIF(INTERNES!$A$7:$A$50,'W3'!G50))+(COUNTIF('EN PANNE'!$A$7:$A$50,'W3'!G50))</f>
        <v>0</v>
      </c>
      <c r="J50" s="29">
        <f t="shared" si="4"/>
        <v>0</v>
      </c>
      <c r="K50" s="3"/>
      <c r="L50" s="47"/>
      <c r="S50" s="60">
        <f t="shared" si="1"/>
        <v>0</v>
      </c>
      <c r="T50" s="67">
        <f t="shared" si="2"/>
        <v>0</v>
      </c>
    </row>
    <row r="53" spans="1:20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</row>
  </sheetData>
  <mergeCells count="13">
    <mergeCell ref="M12:P12"/>
    <mergeCell ref="B2:E3"/>
    <mergeCell ref="G2:K3"/>
    <mergeCell ref="A4:E4"/>
    <mergeCell ref="G4:K4"/>
    <mergeCell ref="G5:G6"/>
    <mergeCell ref="K5:K6"/>
    <mergeCell ref="M8:P8"/>
    <mergeCell ref="M9:P9"/>
    <mergeCell ref="M11:P11"/>
    <mergeCell ref="E5:E6"/>
    <mergeCell ref="F5:F6"/>
    <mergeCell ref="A5:A6"/>
  </mergeCells>
  <conditionalFormatting sqref="F7:F50">
    <cfRule type="cellIs" dxfId="91" priority="10" operator="equal">
      <formula>1</formula>
    </cfRule>
  </conditionalFormatting>
  <conditionalFormatting sqref="A7:A50">
    <cfRule type="duplicateValues" dxfId="90" priority="8"/>
  </conditionalFormatting>
  <conditionalFormatting sqref="L7:L50">
    <cfRule type="cellIs" dxfId="89" priority="7" operator="greaterThan">
      <formula>0</formula>
    </cfRule>
  </conditionalFormatting>
  <conditionalFormatting sqref="D7">
    <cfRule type="cellIs" dxfId="88" priority="6" operator="greaterThan">
      <formula>0</formula>
    </cfRule>
  </conditionalFormatting>
  <conditionalFormatting sqref="D8:D50">
    <cfRule type="cellIs" dxfId="87" priority="5" operator="greaterThan">
      <formula>0</formula>
    </cfRule>
  </conditionalFormatting>
  <conditionalFormatting sqref="G7:G50">
    <cfRule type="duplicateValues" dxfId="86" priority="4"/>
  </conditionalFormatting>
  <conditionalFormatting sqref="J7">
    <cfRule type="cellIs" dxfId="85" priority="3" operator="greaterThan">
      <formula>0</formula>
    </cfRule>
  </conditionalFormatting>
  <conditionalFormatting sqref="J8:J50">
    <cfRule type="cellIs" dxfId="84" priority="2" operator="greaterThan">
      <formula>0</formula>
    </cfRule>
  </conditionalFormatting>
  <conditionalFormatting sqref="S7:S50">
    <cfRule type="cellIs" dxfId="83" priority="1" operator="greaterThan">
      <formula>0</formula>
    </cfRule>
  </conditionalFormatting>
  <dataValidations count="1">
    <dataValidation type="list" allowBlank="1" showInputMessage="1" showErrorMessage="1" sqref="K7:K50 E7:E50" xr:uid="{4DB62DCB-7C0C-4CE7-A402-68EC166C1F4B}">
      <formula1>$Q$9:$Q$17</formula1>
    </dataValidation>
  </dataValidations>
  <pageMargins left="0.25" right="0.25" top="0.75" bottom="0.75" header="0.3" footer="0.3"/>
  <pageSetup paperSize="9" scale="88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2284CC45-CECD-486F-ABFF-005A6D022615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92D050"/>
    <pageSetUpPr fitToPage="1"/>
  </sheetPr>
  <dimension ref="A1:HQ53"/>
  <sheetViews>
    <sheetView showGridLines="0" zoomScaleNormal="100" workbookViewId="0">
      <selection activeCell="X19" sqref="X19"/>
    </sheetView>
  </sheetViews>
  <sheetFormatPr baseColWidth="10" defaultColWidth="11.42578125" defaultRowHeight="12.75" x14ac:dyDescent="0.2"/>
  <cols>
    <col min="1" max="1" width="25.7109375" style="10" customWidth="1"/>
    <col min="2" max="3" width="10.7109375" style="10" hidden="1" customWidth="1"/>
    <col min="4" max="4" width="7.7109375" style="10" customWidth="1"/>
    <col min="5" max="5" width="50.7109375" style="10" customWidth="1"/>
    <col min="6" max="6" width="13.7109375" style="10" customWidth="1"/>
    <col min="7" max="7" width="25.7109375" style="10" customWidth="1"/>
    <col min="8" max="8" width="10.7109375" style="10" hidden="1" customWidth="1"/>
    <col min="9" max="9" width="10.7109375" style="9" hidden="1" customWidth="1"/>
    <col min="10" max="10" width="7.7109375" style="10" customWidth="1"/>
    <col min="11" max="11" width="50.7109375" style="10" customWidth="1"/>
    <col min="12" max="16" width="7.7109375" style="10" customWidth="1"/>
    <col min="17" max="17" width="22.7109375" style="9" hidden="1" customWidth="1"/>
    <col min="18" max="20" width="11.42578125" style="30" hidden="1" customWidth="1"/>
    <col min="21" max="21" width="11.42578125" style="30" customWidth="1"/>
    <col min="22" max="26" width="11.42578125" style="30"/>
    <col min="27" max="16384" width="11.42578125" style="10"/>
  </cols>
  <sheetData>
    <row r="1" spans="1:225" ht="13.5" thickBot="1" x14ac:dyDescent="0.25">
      <c r="A1" s="33"/>
      <c r="B1" s="35"/>
      <c r="C1" s="35"/>
      <c r="D1" s="35"/>
      <c r="F1" s="34"/>
      <c r="G1" s="9"/>
      <c r="H1" s="9"/>
      <c r="I1" s="10"/>
      <c r="J1" s="9"/>
      <c r="K1" s="9"/>
      <c r="L1" s="9"/>
      <c r="M1" s="9"/>
      <c r="N1" s="9"/>
      <c r="O1" s="9"/>
      <c r="P1" s="9"/>
    </row>
    <row r="2" spans="1:225" s="52" customFormat="1" ht="24.95" customHeight="1" x14ac:dyDescent="0.2">
      <c r="A2" s="36"/>
      <c r="B2" s="194" t="s">
        <v>43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4"/>
      <c r="S2" s="74"/>
      <c r="T2" s="74"/>
      <c r="U2" s="74"/>
      <c r="V2" s="74"/>
      <c r="W2" s="74"/>
      <c r="X2" s="74"/>
      <c r="Y2" s="74"/>
      <c r="Z2" s="74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51"/>
      <c r="CG2" s="51"/>
      <c r="CH2" s="51"/>
      <c r="CI2" s="51"/>
      <c r="CJ2" s="51"/>
      <c r="CK2" s="51"/>
      <c r="CL2" s="51"/>
      <c r="CM2" s="51"/>
      <c r="CN2" s="51"/>
      <c r="CO2" s="51"/>
      <c r="CP2" s="51"/>
      <c r="CQ2" s="51"/>
      <c r="CR2" s="51"/>
      <c r="CS2" s="51"/>
      <c r="CT2" s="51"/>
      <c r="CU2" s="51"/>
      <c r="CV2" s="51"/>
      <c r="CW2" s="51"/>
      <c r="CX2" s="51"/>
      <c r="CY2" s="51"/>
      <c r="CZ2" s="51"/>
      <c r="DA2" s="51"/>
      <c r="DB2" s="51"/>
      <c r="DC2" s="51"/>
      <c r="DD2" s="51"/>
      <c r="DE2" s="51"/>
      <c r="DF2" s="51"/>
      <c r="DG2" s="51"/>
      <c r="DH2" s="51"/>
      <c r="DI2" s="51"/>
      <c r="DJ2" s="51"/>
      <c r="DK2" s="51"/>
      <c r="DL2" s="51"/>
      <c r="DM2" s="51"/>
      <c r="DN2" s="51"/>
      <c r="DO2" s="51"/>
      <c r="DP2" s="51"/>
      <c r="DQ2" s="51"/>
      <c r="DR2" s="51"/>
      <c r="DS2" s="51"/>
      <c r="DT2" s="51"/>
      <c r="DU2" s="51"/>
      <c r="DV2" s="51"/>
      <c r="DW2" s="51"/>
      <c r="DX2" s="51"/>
      <c r="DY2" s="51"/>
      <c r="DZ2" s="51"/>
      <c r="EA2" s="51"/>
      <c r="EB2" s="51"/>
      <c r="EC2" s="51"/>
      <c r="ED2" s="51"/>
      <c r="EE2" s="51"/>
      <c r="EF2" s="51"/>
      <c r="EG2" s="51"/>
      <c r="EH2" s="51"/>
      <c r="EI2" s="51"/>
      <c r="EJ2" s="51"/>
      <c r="EK2" s="51"/>
      <c r="EL2" s="51"/>
      <c r="EM2" s="51"/>
      <c r="EN2" s="51"/>
      <c r="EO2" s="51"/>
      <c r="EP2" s="51"/>
      <c r="EQ2" s="51"/>
      <c r="ER2" s="51"/>
      <c r="ES2" s="51"/>
      <c r="ET2" s="51"/>
      <c r="EU2" s="51"/>
      <c r="EV2" s="51"/>
      <c r="EW2" s="51"/>
      <c r="EX2" s="51"/>
      <c r="EY2" s="51"/>
      <c r="EZ2" s="51"/>
      <c r="FA2" s="51"/>
      <c r="FB2" s="51"/>
      <c r="FC2" s="51"/>
      <c r="FD2" s="51"/>
      <c r="FE2" s="51"/>
      <c r="FF2" s="51"/>
      <c r="FG2" s="51"/>
      <c r="FH2" s="51"/>
      <c r="FI2" s="51"/>
      <c r="FJ2" s="51"/>
      <c r="FK2" s="51"/>
      <c r="FL2" s="51"/>
      <c r="FM2" s="51"/>
      <c r="FN2" s="51"/>
      <c r="FO2" s="51"/>
      <c r="FP2" s="51"/>
      <c r="FQ2" s="51"/>
      <c r="FR2" s="51"/>
      <c r="FS2" s="51"/>
      <c r="FT2" s="51"/>
      <c r="FU2" s="51"/>
      <c r="FV2" s="51"/>
      <c r="FW2" s="51"/>
      <c r="FX2" s="51"/>
      <c r="FY2" s="51"/>
      <c r="FZ2" s="51"/>
      <c r="GA2" s="51"/>
      <c r="GB2" s="51"/>
      <c r="GC2" s="51"/>
      <c r="GD2" s="51"/>
      <c r="GE2" s="51"/>
      <c r="GF2" s="51"/>
      <c r="GG2" s="51"/>
      <c r="GH2" s="51"/>
      <c r="GI2" s="51"/>
      <c r="GJ2" s="51"/>
      <c r="GK2" s="51"/>
      <c r="GL2" s="51"/>
      <c r="GM2" s="51"/>
      <c r="GN2" s="51"/>
      <c r="GO2" s="51"/>
      <c r="GP2" s="51"/>
      <c r="GQ2" s="51"/>
      <c r="GR2" s="51"/>
      <c r="GS2" s="51"/>
      <c r="GT2" s="51"/>
      <c r="GU2" s="51"/>
      <c r="GV2" s="51"/>
      <c r="GW2" s="51"/>
      <c r="GX2" s="51"/>
      <c r="GY2" s="51"/>
      <c r="GZ2" s="51"/>
      <c r="HA2" s="51"/>
      <c r="HB2" s="51"/>
      <c r="HC2" s="51"/>
      <c r="HD2" s="51"/>
      <c r="HE2" s="51"/>
      <c r="HF2" s="51"/>
      <c r="HG2" s="51"/>
      <c r="HH2" s="51"/>
      <c r="HI2" s="51"/>
      <c r="HJ2" s="51"/>
      <c r="HK2" s="51"/>
      <c r="HL2" s="51"/>
      <c r="HM2" s="51"/>
      <c r="HN2" s="51"/>
      <c r="HO2" s="51"/>
      <c r="HP2" s="51"/>
      <c r="HQ2" s="51"/>
    </row>
    <row r="3" spans="1:225" s="52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4"/>
      <c r="S3" s="74"/>
      <c r="T3" s="74"/>
      <c r="U3" s="74"/>
      <c r="V3" s="74"/>
      <c r="W3" s="74"/>
      <c r="X3" s="74"/>
      <c r="Y3" s="74"/>
      <c r="Z3" s="74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1"/>
      <c r="BC3" s="51"/>
      <c r="BD3" s="51"/>
      <c r="BE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  <c r="CO3" s="51"/>
      <c r="CP3" s="51"/>
      <c r="CQ3" s="51"/>
      <c r="CR3" s="51"/>
      <c r="CS3" s="51"/>
      <c r="CT3" s="51"/>
      <c r="CU3" s="51"/>
      <c r="CV3" s="51"/>
      <c r="CW3" s="51"/>
      <c r="CX3" s="51"/>
      <c r="CY3" s="51"/>
      <c r="CZ3" s="51"/>
      <c r="DA3" s="51"/>
      <c r="DB3" s="51"/>
      <c r="DC3" s="51"/>
      <c r="DD3" s="51"/>
      <c r="DE3" s="51"/>
      <c r="DF3" s="51"/>
      <c r="DG3" s="51"/>
      <c r="DH3" s="51"/>
      <c r="DI3" s="51"/>
      <c r="DJ3" s="51"/>
      <c r="DK3" s="51"/>
      <c r="DL3" s="51"/>
      <c r="DM3" s="51"/>
      <c r="DN3" s="51"/>
      <c r="DO3" s="51"/>
      <c r="DP3" s="51"/>
      <c r="DQ3" s="51"/>
      <c r="DR3" s="51"/>
      <c r="DS3" s="51"/>
      <c r="DT3" s="51"/>
      <c r="DU3" s="51"/>
      <c r="DV3" s="51"/>
      <c r="DW3" s="51"/>
      <c r="DX3" s="51"/>
      <c r="DY3" s="51"/>
      <c r="DZ3" s="51"/>
      <c r="EA3" s="51"/>
      <c r="EB3" s="51"/>
      <c r="EC3" s="51"/>
      <c r="ED3" s="51"/>
      <c r="EE3" s="51"/>
      <c r="EF3" s="51"/>
      <c r="EG3" s="51"/>
      <c r="EH3" s="51"/>
      <c r="EI3" s="51"/>
      <c r="EJ3" s="51"/>
      <c r="EK3" s="51"/>
      <c r="EL3" s="51"/>
      <c r="EM3" s="51"/>
      <c r="EN3" s="51"/>
      <c r="EO3" s="51"/>
      <c r="EP3" s="51"/>
      <c r="EQ3" s="51"/>
      <c r="ER3" s="51"/>
      <c r="ES3" s="51"/>
      <c r="ET3" s="51"/>
      <c r="EU3" s="51"/>
      <c r="EV3" s="51"/>
      <c r="EW3" s="51"/>
      <c r="EX3" s="51"/>
      <c r="EY3" s="51"/>
      <c r="EZ3" s="51"/>
      <c r="FA3" s="51"/>
      <c r="FB3" s="51"/>
      <c r="FC3" s="51"/>
      <c r="FD3" s="51"/>
      <c r="FE3" s="51"/>
      <c r="FF3" s="51"/>
      <c r="FG3" s="51"/>
      <c r="FH3" s="51"/>
      <c r="FI3" s="51"/>
      <c r="FJ3" s="51"/>
      <c r="FK3" s="51"/>
      <c r="FL3" s="51"/>
      <c r="FM3" s="51"/>
      <c r="FN3" s="51"/>
      <c r="FO3" s="51"/>
      <c r="FP3" s="51"/>
      <c r="FQ3" s="51"/>
      <c r="FR3" s="51"/>
      <c r="FS3" s="51"/>
      <c r="FT3" s="51"/>
      <c r="FU3" s="51"/>
      <c r="FV3" s="51"/>
      <c r="FW3" s="51"/>
      <c r="FX3" s="51"/>
      <c r="FY3" s="51"/>
      <c r="FZ3" s="51"/>
      <c r="GA3" s="51"/>
      <c r="GB3" s="51"/>
      <c r="GC3" s="51"/>
      <c r="GD3" s="51"/>
      <c r="GE3" s="51"/>
      <c r="GF3" s="51"/>
      <c r="GG3" s="51"/>
      <c r="GH3" s="51"/>
      <c r="GI3" s="51"/>
      <c r="GJ3" s="51"/>
      <c r="GK3" s="51"/>
      <c r="GL3" s="51"/>
      <c r="GM3" s="51"/>
      <c r="GN3" s="51"/>
      <c r="GO3" s="51"/>
      <c r="GP3" s="51"/>
      <c r="GQ3" s="51"/>
      <c r="GR3" s="51"/>
      <c r="GS3" s="51"/>
      <c r="GT3" s="51"/>
      <c r="GU3" s="51"/>
      <c r="GV3" s="51"/>
      <c r="GW3" s="51"/>
      <c r="GX3" s="51"/>
      <c r="GY3" s="51"/>
      <c r="GZ3" s="51"/>
      <c r="HA3" s="51"/>
      <c r="HB3" s="51"/>
      <c r="HC3" s="51"/>
      <c r="HD3" s="51"/>
      <c r="HE3" s="51"/>
      <c r="HF3" s="51"/>
      <c r="HG3" s="51"/>
      <c r="HH3" s="51"/>
      <c r="HI3" s="51"/>
      <c r="HJ3" s="51"/>
      <c r="HK3" s="51"/>
      <c r="HL3" s="51"/>
      <c r="HM3" s="51"/>
      <c r="HN3" s="51"/>
      <c r="HO3" s="51"/>
      <c r="HP3" s="51"/>
      <c r="HQ3" s="51"/>
    </row>
    <row r="4" spans="1:225" s="52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4"/>
      <c r="T4" s="74"/>
      <c r="U4" s="74"/>
      <c r="V4" s="74"/>
      <c r="W4" s="74"/>
      <c r="X4" s="74"/>
      <c r="Y4" s="74"/>
      <c r="Z4" s="74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51"/>
      <c r="CU4" s="51"/>
      <c r="CV4" s="51"/>
      <c r="CW4" s="51"/>
      <c r="CX4" s="51"/>
      <c r="CY4" s="51"/>
      <c r="CZ4" s="51"/>
      <c r="DA4" s="51"/>
      <c r="DB4" s="51"/>
      <c r="DC4" s="51"/>
      <c r="DD4" s="51"/>
      <c r="DE4" s="51"/>
      <c r="DF4" s="51"/>
      <c r="DG4" s="51"/>
      <c r="DH4" s="51"/>
      <c r="DI4" s="51"/>
      <c r="DJ4" s="51"/>
      <c r="DK4" s="51"/>
      <c r="DL4" s="51"/>
      <c r="DM4" s="51"/>
      <c r="DN4" s="51"/>
      <c r="DO4" s="51"/>
      <c r="DP4" s="51"/>
      <c r="DQ4" s="51"/>
      <c r="DR4" s="51"/>
      <c r="DS4" s="51"/>
      <c r="DT4" s="51"/>
      <c r="DU4" s="51"/>
      <c r="DV4" s="51"/>
      <c r="DW4" s="51"/>
      <c r="DX4" s="51"/>
      <c r="DY4" s="51"/>
      <c r="DZ4" s="51"/>
      <c r="EA4" s="51"/>
      <c r="EB4" s="51"/>
      <c r="EC4" s="51"/>
      <c r="ED4" s="51"/>
      <c r="EE4" s="51"/>
      <c r="EF4" s="51"/>
      <c r="EG4" s="51"/>
      <c r="EH4" s="51"/>
      <c r="EI4" s="51"/>
      <c r="EJ4" s="51"/>
      <c r="EK4" s="51"/>
      <c r="EL4" s="51"/>
      <c r="EM4" s="51"/>
      <c r="EN4" s="51"/>
      <c r="EO4" s="51"/>
      <c r="EP4" s="51"/>
      <c r="EQ4" s="51"/>
      <c r="ER4" s="51"/>
      <c r="ES4" s="51"/>
      <c r="ET4" s="51"/>
      <c r="EU4" s="51"/>
      <c r="EV4" s="51"/>
      <c r="EW4" s="51"/>
      <c r="EX4" s="51"/>
      <c r="EY4" s="51"/>
      <c r="EZ4" s="51"/>
      <c r="FA4" s="51"/>
      <c r="FB4" s="51"/>
      <c r="FC4" s="51"/>
      <c r="FD4" s="51"/>
      <c r="FE4" s="51"/>
      <c r="FF4" s="51"/>
      <c r="FG4" s="51"/>
      <c r="FH4" s="51"/>
      <c r="FI4" s="51"/>
      <c r="FJ4" s="51"/>
      <c r="FK4" s="51"/>
      <c r="FL4" s="51"/>
      <c r="FM4" s="51"/>
      <c r="FN4" s="51"/>
      <c r="FO4" s="51"/>
      <c r="FP4" s="51"/>
      <c r="FQ4" s="51"/>
      <c r="FR4" s="51"/>
      <c r="FS4" s="51"/>
      <c r="FT4" s="51"/>
      <c r="FU4" s="51"/>
      <c r="FV4" s="51"/>
      <c r="FW4" s="51"/>
      <c r="FX4" s="51"/>
      <c r="FY4" s="51"/>
      <c r="FZ4" s="51"/>
      <c r="GA4" s="51"/>
      <c r="GB4" s="51"/>
      <c r="GC4" s="51"/>
      <c r="GD4" s="51"/>
      <c r="GE4" s="51"/>
      <c r="GF4" s="51"/>
      <c r="GG4" s="51"/>
      <c r="GH4" s="51"/>
      <c r="GI4" s="51"/>
      <c r="GJ4" s="51"/>
      <c r="GK4" s="51"/>
      <c r="GL4" s="51"/>
      <c r="GM4" s="51"/>
      <c r="GN4" s="51"/>
      <c r="GO4" s="51"/>
      <c r="GP4" s="51"/>
      <c r="GQ4" s="51"/>
      <c r="GR4" s="51"/>
      <c r="GS4" s="51"/>
      <c r="GT4" s="51"/>
      <c r="GU4" s="51"/>
      <c r="GV4" s="51"/>
      <c r="GW4" s="51"/>
      <c r="GX4" s="51"/>
      <c r="GY4" s="51"/>
      <c r="GZ4" s="51"/>
      <c r="HA4" s="51"/>
      <c r="HB4" s="51"/>
      <c r="HC4" s="51"/>
      <c r="HD4" s="51"/>
      <c r="HE4" s="51"/>
      <c r="HF4" s="51"/>
      <c r="HG4" s="51"/>
      <c r="HH4" s="51"/>
      <c r="HI4" s="51"/>
      <c r="HJ4" s="51"/>
      <c r="HK4" s="51"/>
      <c r="HL4" s="51"/>
      <c r="HM4" s="51"/>
      <c r="HN4" s="51"/>
      <c r="HO4" s="51"/>
      <c r="HP4" s="51"/>
      <c r="HQ4" s="51"/>
    </row>
    <row r="5" spans="1:225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  <c r="R5" s="75"/>
      <c r="S5" s="75"/>
    </row>
    <row r="6" spans="1:225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  <c r="R6" s="75"/>
      <c r="S6" s="75"/>
    </row>
    <row r="7" spans="1:225" ht="24.95" customHeight="1" thickBot="1" x14ac:dyDescent="0.25">
      <c r="A7" s="19"/>
      <c r="B7" s="22">
        <f>(COUNTIF('2S EXPRESS'!$A$7:$A$50,'ATHIS MONS'!A7))+(COUNTIF('2 ZT'!$A$7:$A$50,'ATHIS MONS'!A7))+(COUNTIF('GO TRANSPORT'!$A$7:$A$50,'ATHIS MONS'!A7))+(COUNTIF('HMZ - KAIS'!$A$7:$A$50,'ATHIS MONS'!A7))+(COUNTIF('IB TRANSPORT'!$A$7:$A$50,'ATHIS MONS'!A7))+(COUNTIF(JSL!$A$7:$A$50,'ATHIS MONS'!A7))+(COUNTIF(KIFAITOUT!$A$7:$A$50,'ATHIS MONS'!A7))+(COUNTIF('LUXE DRIVE'!$A$7:$A$50,'ATHIS MONS'!A7))+(COUNTIF(SSN!$A$7:$A$50,'ATHIS MONS'!A7))+(COUNTIF('W3'!$A$7:$A$50,'ATHIS MONS'!A7))+(COUNTIF('ATHIS MONS'!$A$7:$A$50,'ATHIS MONS'!A7))+(COUNTIF('L HAY LES ROSES'!$A$7:$A$50,'ATHIS MONS'!A7))+(COUNTIF(RUNGIS!$A$7:$A$50,'ATHIS MONS'!A7))+(COUNTIF(SCEAUX!$A$7:$A$50,'ATHIS MONS'!A7))+(COUNTIF('INSTANCE C1'!$A$7:$A$50,'ATHIS MONS'!A7))+(COUNTIF('INSTANCE C2'!$A$7:$A$50,'ATHIS MONS'!A7))+(COUNTIF(INTERNES!$A$7:$A$50,'ATHIS MONS'!A7))+(COUNTIF('EN PANNE'!$A$7:$A$50,'ATHIS MONS'!A7))-C7</f>
        <v>0</v>
      </c>
      <c r="C7" s="23">
        <f>(COUNTIF('2S EXPRESS'!$G$7:$G$50,'ATHIS MONS'!A7))+(COUNTIF('2 ZT'!$G$7:$G$50,'ATHIS MONS'!A7))+(COUNTIF('GO TRANSPORT'!$G$7:$G$50,'ATHIS MONS'!A7))+(COUNTIF('ATHIS MONS'!$G$7:$G$50,'ATHIS MONS'!A7))+(COUNTIF('IB TRANSPORT'!$G$7:$G$50,'ATHIS MONS'!A7))+(COUNTIF(JSL!$G$7:$G$50,'ATHIS MONS'!A7))+(COUNTIF(KIFAITOUT!$G$7:$G$50,'ATHIS MONS'!A7))+(COUNTIF('LUXE DRIVE'!$G$7:$G$50,'ATHIS MONS'!A7))+(COUNTIF(SSN!$G$7:$G$50,'ATHIS MONS'!A7))+(COUNTIF('W3'!$G$7:$G$50,'ATHIS MONS'!A7))+(COUNTIF('ATHIS MONS'!$G$7:$G$50,'ATHIS MONS'!A7))+(COUNTIF('L HAY LES ROSES'!$G$7:$G$50,'ATHIS MONS'!A7))+(COUNTIF(RUNGIS!$G$7:$G$50,'ATHIS MONS'!A7))+(COUNTIF(SCEAUX!$G$7:$G$50,'ATHIS MONS'!A7))+(COUNTIF('INSTANCE C1'!$G$7:$G$50,'ATHIS MONS'!A7))+(COUNTIF('INSTANCE C2'!$G$7:$G$50,'ATHIS MONS'!A7))+(COUNTIF(INTERNES!$G$7:$G$50,'ATHIS MONS'!A7))+(COUNTIF('EN PANNE'!$G$7:$G$50,'ATHIS MONS'!A7))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EXPRESS'!$G$7:$G$50,'ATHIS MONS'!G7))+(COUNTIF('2 ZT'!$G$7:$G$50,'ATHIS MONS'!G7))+(COUNTIF('GO TRANSPORT'!$G$7:$G$50,'ATHIS MONS'!G7))+(COUNTIF('HMZ - KAIS'!$G$7:$G$50,'ATHIS MONS'!G7))+(COUNTIF('IB TRANSPORT'!$G$7:$G$50,'ATHIS MONS'!G7))+(COUNTIF(JSL!$G$7:$G$50,'ATHIS MONS'!G7))+(COUNTIF(KIFAITOUT!$G$7:$G$50,'ATHIS MONS'!G7))+(COUNTIF('LUXE DRIVE'!$G$7:$G$50,'ATHIS MONS'!G7))+(COUNTIF(SSN!$G$7:$G$50,'ATHIS MONS'!G7))+(COUNTIF('W3'!$G$7:$G$50,'ATHIS MONS'!G7))+(COUNTIF('ATHIS MONS'!$G$7:$G$50,'ATHIS MONS'!G7))+(COUNTIF('L HAY LES ROSES'!$G$7:$G$50,'ATHIS MONS'!G7))+(COUNTIF(RUNGIS!$G$7:$G$50,'ATHIS MONS'!G7))+(COUNTIF(SCEAUX!$G$7:$G$50,'ATHIS MONS'!G7))+(COUNTIF('INSTANCE C1'!$G$7:$G$50,'ATHIS MONS'!G7))+(COUNTIF('INSTANCE C2'!$G$7:$G$50,'ATHIS MONS'!G7))+(COUNTIF(INTERNES!$G$7:$G$50,'ATHIS MONS'!G7))+(COUNTIF('EN PANNE'!$G$7:$G$50,'ATHIS MONS'!G7))-I7</f>
        <v>0</v>
      </c>
      <c r="I7" s="22">
        <f>(COUNTIF('2S EXPRESS'!$A$7:$A$50,'ATHIS MONS'!G7))+(COUNTIF('2 ZT'!$A$7:$A$50,'ATHIS MONS'!G7))+(COUNTIF('GO TRANSPORT'!$A$7:$A$50,'ATHIS MONS'!G7))+(COUNTIF('HMZ - KAIS'!$A$7:$A$50,'ATHIS MONS'!G7))+(COUNTIF('IB TRANSPORT'!$A$7:$A$50,'ATHIS MONS'!G7))+(COUNTIF(JSL!$A$7:$A$50,'ATHIS MONS'!G7))+(COUNTIF(KIFAITOUT!$A$7:$A$50,'ATHIS MONS'!G7))+(COUNTIF('LUXE DRIVE'!$A$7:$A$50,'ATHIS MONS'!G7))+(COUNTIF(SSN!$A$7:$A$50,'ATHIS MONS'!G7))+(COUNTIF('W3'!$A$7:$A$50,'ATHIS MONS'!G7))+(COUNTIF('ATHIS MONS'!$A$7:$A$50,'ATHIS MONS'!G7))+(COUNTIF('L HAY LES ROSES'!$A$7:$A$50,'ATHIS MONS'!G7))+(COUNTIF(RUNGIS!$A$7:$A$50,'ATHIS MONS'!G7))+(COUNTIF(SCEAUX!$A$7:$A$50,'ATHIS MONS'!G7))+(COUNTIF('INSTANCE C1'!$A$7:$A$50,'ATHIS MONS'!G7))+(COUNTIF('INSTANCE C2'!$A$7:$A$50,'ATHIS MONS'!G7))+(COUNTIF(INTERNES!$A$7:$A$50,'ATHIS MONS'!G7))+(COUNTIF('EN PANNE'!$A$7:$A$50,'ATHIS MONS'!G7))</f>
        <v>0</v>
      </c>
      <c r="J7" s="27">
        <f>IF(H7&gt;=2,1,0)</f>
        <v>0</v>
      </c>
      <c r="K7" s="1"/>
      <c r="L7" s="47"/>
      <c r="M7" s="48"/>
      <c r="N7" s="9"/>
      <c r="O7" s="48"/>
      <c r="P7" s="48"/>
      <c r="Q7" s="48"/>
      <c r="R7" s="75"/>
      <c r="S7" s="60">
        <f t="shared" ref="S7:S50" si="1">COUNTIF($G$7:$G$50,$A7)</f>
        <v>0</v>
      </c>
      <c r="T7" s="67">
        <f t="shared" ref="T7:T50" si="2">IF($S7=1,"",$A7)</f>
        <v>0</v>
      </c>
    </row>
    <row r="8" spans="1:225" ht="24.95" customHeight="1" thickBot="1" x14ac:dyDescent="0.25">
      <c r="A8" s="20"/>
      <c r="B8" s="23">
        <f>(COUNTIF('2S EXPRESS'!$A$7:$A$50,'ATHIS MONS'!A8))+(COUNTIF('2 ZT'!$A$7:$A$50,'ATHIS MONS'!A8))+(COUNTIF('GO TRANSPORT'!$A$7:$A$50,'ATHIS MONS'!A8))+(COUNTIF('HMZ - KAIS'!$A$7:$A$50,'ATHIS MONS'!A8))+(COUNTIF('IB TRANSPORT'!$A$7:$A$50,'ATHIS MONS'!A8))+(COUNTIF(JSL!$A$7:$A$50,'ATHIS MONS'!A8))+(COUNTIF(KIFAITOUT!$A$7:$A$50,'ATHIS MONS'!A8))+(COUNTIF('LUXE DRIVE'!$A$7:$A$50,'ATHIS MONS'!A8))+(COUNTIF(SSN!$A$7:$A$50,'ATHIS MONS'!A8))+(COUNTIF('W3'!$A$7:$A$50,'ATHIS MONS'!A8))+(COUNTIF('ATHIS MONS'!$A$7:$A$50,'ATHIS MONS'!A8))+(COUNTIF('L HAY LES ROSES'!$A$7:$A$50,'ATHIS MONS'!A8))+(COUNTIF(RUNGIS!$A$7:$A$50,'ATHIS MONS'!A8))+(COUNTIF(SCEAUX!$A$7:$A$50,'ATHIS MONS'!A8))+(COUNTIF('INSTANCE C1'!$A$7:$A$50,'ATHIS MONS'!A8))+(COUNTIF('INSTANCE C2'!$A$7:$A$50,'ATHIS MONS'!A8))+(COUNTIF(INTERNES!$A$7:$A$50,'ATHIS MONS'!A8))+(COUNTIF('EN PANNE'!$A$7:$A$50,'ATHIS MONS'!A8))-C8</f>
        <v>0</v>
      </c>
      <c r="C8" s="23">
        <f>(COUNTIF('2S EXPRESS'!$G$7:$G$50,'ATHIS MONS'!A8))+(COUNTIF('2 ZT'!$G$7:$G$50,'ATHIS MONS'!A8))+(COUNTIF('GO TRANSPORT'!$G$7:$G$50,'ATHIS MONS'!A8))+(COUNTIF('ATHIS MONS'!$G$7:$G$50,'ATHIS MONS'!A8))+(COUNTIF('IB TRANSPORT'!$G$7:$G$50,'ATHIS MONS'!A8))+(COUNTIF(JSL!$G$7:$G$50,'ATHIS MONS'!A8))+(COUNTIF(KIFAITOUT!$G$7:$G$50,'ATHIS MONS'!A8))+(COUNTIF('LUXE DRIVE'!$G$7:$G$50,'ATHIS MONS'!A8))+(COUNTIF(SSN!$G$7:$G$50,'ATHIS MONS'!A8))+(COUNTIF('W3'!$G$7:$G$50,'ATHIS MONS'!A8))+(COUNTIF('ATHIS MONS'!$G$7:$G$50,'ATHIS MONS'!A8))+(COUNTIF('L HAY LES ROSES'!$G$7:$G$50,'ATHIS MONS'!A8))+(COUNTIF(RUNGIS!$G$7:$G$50,'ATHIS MONS'!A8))+(COUNTIF(SCEAUX!$G$7:$G$50,'ATHIS MONS'!A8))+(COUNTIF('INSTANCE C1'!$G$7:$G$50,'ATHIS MONS'!A8))+(COUNTIF('INSTANCE C2'!$G$7:$G$50,'ATHIS MONS'!A8))+(COUNTIF(INTERNES!$G$7:$G$50,'ATHIS MONS'!A8))+(COUNTIF('EN PANNE'!$G$7:$G$50,'ATHIS MONS'!A8))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EXPRESS'!$G$7:$G$50,'ATHIS MONS'!G8))+(COUNTIF('2 ZT'!$G$7:$G$50,'ATHIS MONS'!G8))+(COUNTIF('GO TRANSPORT'!$G$7:$G$50,'ATHIS MONS'!G8))+(COUNTIF('HMZ - KAIS'!$G$7:$G$50,'ATHIS MONS'!G8))+(COUNTIF('IB TRANSPORT'!$G$7:$G$50,'ATHIS MONS'!G8))+(COUNTIF(JSL!$G$7:$G$50,'ATHIS MONS'!G8))+(COUNTIF(KIFAITOUT!$G$7:$G$50,'ATHIS MONS'!G8))+(COUNTIF('LUXE DRIVE'!$G$7:$G$50,'ATHIS MONS'!G8))+(COUNTIF(SSN!$G$7:$G$50,'ATHIS MONS'!G8))+(COUNTIF('W3'!$G$7:$G$50,'ATHIS MONS'!G8))+(COUNTIF('ATHIS MONS'!$G$7:$G$50,'ATHIS MONS'!G8))+(COUNTIF('L HAY LES ROSES'!$G$7:$G$50,'ATHIS MONS'!G8))+(COUNTIF(RUNGIS!$G$7:$G$50,'ATHIS MONS'!G8))+(COUNTIF(SCEAUX!$G$7:$G$50,'ATHIS MONS'!G8))+(COUNTIF('INSTANCE C1'!$G$7:$G$50,'ATHIS MONS'!G8))+(COUNTIF('INSTANCE C2'!$G$7:$G$50,'ATHIS MONS'!G8))+(COUNTIF(INTERNES!$G$7:$G$50,'ATHIS MONS'!G8))+(COUNTIF('EN PANNE'!$G$7:$G$50,'ATHIS MONS'!G8))-I8</f>
        <v>0</v>
      </c>
      <c r="I8" s="23">
        <f>(COUNTIF('2S EXPRESS'!$A$7:$A$50,'ATHIS MONS'!G8))+(COUNTIF('2 ZT'!$A$7:$A$50,'ATHIS MONS'!G8))+(COUNTIF('GO TRANSPORT'!$A$7:$A$50,'ATHIS MONS'!G8))+(COUNTIF('HMZ - KAIS'!$A$7:$A$50,'ATHIS MONS'!G8))+(COUNTIF('IB TRANSPORT'!$A$7:$A$50,'ATHIS MONS'!G8))+(COUNTIF(JSL!$A$7:$A$50,'ATHIS MONS'!G8))+(COUNTIF(KIFAITOUT!$A$7:$A$50,'ATHIS MONS'!G8))+(COUNTIF('LUXE DRIVE'!$A$7:$A$50,'ATHIS MONS'!G8))+(COUNTIF(SSN!$A$7:$A$50,'ATHIS MONS'!G8))+(COUNTIF('W3'!$A$7:$A$50,'ATHIS MONS'!G8))+(COUNTIF('ATHIS MONS'!$A$7:$A$50,'ATHIS MONS'!G8))+(COUNTIF('L HAY LES ROSES'!$A$7:$A$50,'ATHIS MONS'!G8))+(COUNTIF(RUNGIS!$A$7:$A$50,'ATHIS MONS'!G8))+(COUNTIF(SCEAUX!$A$7:$A$50,'ATHIS MONS'!G8))+(COUNTIF('INSTANCE C1'!$A$7:$A$50,'ATHIS MONS'!G8))+(COUNTIF('INSTANCE C2'!$A$7:$A$50,'ATHIS MONS'!G8))+(COUNTIF(INTERNES!$A$7:$A$50,'ATHIS MONS'!G8))+(COUNTIF('EN PANNE'!$A$7:$A$50,'ATHIS MONS'!G8))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75"/>
      <c r="S8" s="60">
        <f t="shared" si="1"/>
        <v>0</v>
      </c>
      <c r="T8" s="67">
        <f t="shared" si="2"/>
        <v>0</v>
      </c>
    </row>
    <row r="9" spans="1:225" ht="24.95" customHeight="1" thickBot="1" x14ac:dyDescent="0.25">
      <c r="A9" s="20"/>
      <c r="B9" s="23">
        <f>(COUNTIF('2S EXPRESS'!$A$7:$A$50,'ATHIS MONS'!A9))+(COUNTIF('2 ZT'!$A$7:$A$50,'ATHIS MONS'!A9))+(COUNTIF('GO TRANSPORT'!$A$7:$A$50,'ATHIS MONS'!A9))+(COUNTIF('HMZ - KAIS'!$A$7:$A$50,'ATHIS MONS'!A9))+(COUNTIF('IB TRANSPORT'!$A$7:$A$50,'ATHIS MONS'!A9))+(COUNTIF(JSL!$A$7:$A$50,'ATHIS MONS'!A9))+(COUNTIF(KIFAITOUT!$A$7:$A$50,'ATHIS MONS'!A9))+(COUNTIF('LUXE DRIVE'!$A$7:$A$50,'ATHIS MONS'!A9))+(COUNTIF(SSN!$A$7:$A$50,'ATHIS MONS'!A9))+(COUNTIF('W3'!$A$7:$A$50,'ATHIS MONS'!A9))+(COUNTIF('ATHIS MONS'!$A$7:$A$50,'ATHIS MONS'!A9))+(COUNTIF('L HAY LES ROSES'!$A$7:$A$50,'ATHIS MONS'!A9))+(COUNTIF(RUNGIS!$A$7:$A$50,'ATHIS MONS'!A9))+(COUNTIF(SCEAUX!$A$7:$A$50,'ATHIS MONS'!A9))+(COUNTIF('INSTANCE C1'!$A$7:$A$50,'ATHIS MONS'!A9))+(COUNTIF('INSTANCE C2'!$A$7:$A$50,'ATHIS MONS'!A9))+(COUNTIF(INTERNES!$A$7:$A$50,'ATHIS MONS'!A9))+(COUNTIF('EN PANNE'!$A$7:$A$50,'ATHIS MONS'!A9))-C9</f>
        <v>0</v>
      </c>
      <c r="C9" s="23">
        <f>(COUNTIF('2S EXPRESS'!$G$7:$G$50,'ATHIS MONS'!A9))+(COUNTIF('2 ZT'!$G$7:$G$50,'ATHIS MONS'!A9))+(COUNTIF('GO TRANSPORT'!$G$7:$G$50,'ATHIS MONS'!A9))+(COUNTIF('ATHIS MONS'!$G$7:$G$50,'ATHIS MONS'!A9))+(COUNTIF('IB TRANSPORT'!$G$7:$G$50,'ATHIS MONS'!A9))+(COUNTIF(JSL!$G$7:$G$50,'ATHIS MONS'!A9))+(COUNTIF(KIFAITOUT!$G$7:$G$50,'ATHIS MONS'!A9))+(COUNTIF('LUXE DRIVE'!$G$7:$G$50,'ATHIS MONS'!A9))+(COUNTIF(SSN!$G$7:$G$50,'ATHIS MONS'!A9))+(COUNTIF('W3'!$G$7:$G$50,'ATHIS MONS'!A9))+(COUNTIF('ATHIS MONS'!$G$7:$G$50,'ATHIS MONS'!A9))+(COUNTIF('L HAY LES ROSES'!$G$7:$G$50,'ATHIS MONS'!A9))+(COUNTIF(RUNGIS!$G$7:$G$50,'ATHIS MONS'!A9))+(COUNTIF(SCEAUX!$G$7:$G$50,'ATHIS MONS'!A9))+(COUNTIF('INSTANCE C1'!$G$7:$G$50,'ATHIS MONS'!A9))+(COUNTIF('INSTANCE C2'!$G$7:$G$50,'ATHIS MONS'!A9))+(COUNTIF(INTERNES!$G$7:$G$50,'ATHIS MONS'!A9))+(COUNTIF('EN PANNE'!$G$7:$G$50,'ATHIS MONS'!A9))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EXPRESS'!$G$7:$G$50,'ATHIS MONS'!G9))+(COUNTIF('2 ZT'!$G$7:$G$50,'ATHIS MONS'!G9))+(COUNTIF('GO TRANSPORT'!$G$7:$G$50,'ATHIS MONS'!G9))+(COUNTIF('HMZ - KAIS'!$G$7:$G$50,'ATHIS MONS'!G9))+(COUNTIF('IB TRANSPORT'!$G$7:$G$50,'ATHIS MONS'!G9))+(COUNTIF(JSL!$G$7:$G$50,'ATHIS MONS'!G9))+(COUNTIF(KIFAITOUT!$G$7:$G$50,'ATHIS MONS'!G9))+(COUNTIF('LUXE DRIVE'!$G$7:$G$50,'ATHIS MONS'!G9))+(COUNTIF(SSN!$G$7:$G$50,'ATHIS MONS'!G9))+(COUNTIF('W3'!$G$7:$G$50,'ATHIS MONS'!G9))+(COUNTIF('ATHIS MONS'!$G$7:$G$50,'ATHIS MONS'!G9))+(COUNTIF('L HAY LES ROSES'!$G$7:$G$50,'ATHIS MONS'!G9))+(COUNTIF(RUNGIS!$G$7:$G$50,'ATHIS MONS'!G9))+(COUNTIF(SCEAUX!$G$7:$G$50,'ATHIS MONS'!G9))+(COUNTIF('INSTANCE C1'!$G$7:$G$50,'ATHIS MONS'!G9))+(COUNTIF('INSTANCE C2'!$G$7:$G$50,'ATHIS MONS'!G9))+(COUNTIF(INTERNES!$G$7:$G$50,'ATHIS MONS'!G9))+(COUNTIF('EN PANNE'!$G$7:$G$50,'ATHIS MONS'!G9))-I9</f>
        <v>0</v>
      </c>
      <c r="I9" s="23">
        <f>(COUNTIF('2S EXPRESS'!$A$7:$A$50,'ATHIS MONS'!G9))+(COUNTIF('2 ZT'!$A$7:$A$50,'ATHIS MONS'!G9))+(COUNTIF('GO TRANSPORT'!$A$7:$A$50,'ATHIS MONS'!G9))+(COUNTIF('HMZ - KAIS'!$A$7:$A$50,'ATHIS MONS'!G9))+(COUNTIF('IB TRANSPORT'!$A$7:$A$50,'ATHIS MONS'!G9))+(COUNTIF(JSL!$A$7:$A$50,'ATHIS MONS'!G9))+(COUNTIF(KIFAITOUT!$A$7:$A$50,'ATHIS MONS'!G9))+(COUNTIF('LUXE DRIVE'!$A$7:$A$50,'ATHIS MONS'!G9))+(COUNTIF(SSN!$A$7:$A$50,'ATHIS MONS'!G9))+(COUNTIF('W3'!$A$7:$A$50,'ATHIS MONS'!G9))+(COUNTIF('ATHIS MONS'!$A$7:$A$50,'ATHIS MONS'!G9))+(COUNTIF('L HAY LES ROSES'!$A$7:$A$50,'ATHIS MONS'!G9))+(COUNTIF(RUNGIS!$A$7:$A$50,'ATHIS MONS'!G9))+(COUNTIF(SCEAUX!$A$7:$A$50,'ATHIS MONS'!G9))+(COUNTIF('INSTANCE C1'!$A$7:$A$50,'ATHIS MONS'!G9))+(COUNTIF('INSTANCE C2'!$A$7:$A$50,'ATHIS MONS'!G9))+(COUNTIF(INTERNES!$A$7:$A$50,'ATHIS MONS'!G9))+(COUNTIF('EN PANNE'!$A$7:$A$50,'ATHIS MONS'!G9))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75"/>
      <c r="S9" s="60">
        <f t="shared" si="1"/>
        <v>0</v>
      </c>
      <c r="T9" s="67">
        <f t="shared" si="2"/>
        <v>0</v>
      </c>
    </row>
    <row r="10" spans="1:225" ht="24.95" customHeight="1" thickBot="1" x14ac:dyDescent="0.25">
      <c r="A10" s="20"/>
      <c r="B10" s="23">
        <f>(COUNTIF('2S EXPRESS'!$A$7:$A$50,'ATHIS MONS'!A10))+(COUNTIF('2 ZT'!$A$7:$A$50,'ATHIS MONS'!A10))+(COUNTIF('GO TRANSPORT'!$A$7:$A$50,'ATHIS MONS'!A10))+(COUNTIF('HMZ - KAIS'!$A$7:$A$50,'ATHIS MONS'!A10))+(COUNTIF('IB TRANSPORT'!$A$7:$A$50,'ATHIS MONS'!A10))+(COUNTIF(JSL!$A$7:$A$50,'ATHIS MONS'!A10))+(COUNTIF(KIFAITOUT!$A$7:$A$50,'ATHIS MONS'!A10))+(COUNTIF('LUXE DRIVE'!$A$7:$A$50,'ATHIS MONS'!A10))+(COUNTIF(SSN!$A$7:$A$50,'ATHIS MONS'!A10))+(COUNTIF('W3'!$A$7:$A$50,'ATHIS MONS'!A10))+(COUNTIF('ATHIS MONS'!$A$7:$A$50,'ATHIS MONS'!A10))+(COUNTIF('L HAY LES ROSES'!$A$7:$A$50,'ATHIS MONS'!A10))+(COUNTIF(RUNGIS!$A$7:$A$50,'ATHIS MONS'!A10))+(COUNTIF(SCEAUX!$A$7:$A$50,'ATHIS MONS'!A10))+(COUNTIF('INSTANCE C1'!$A$7:$A$50,'ATHIS MONS'!A10))+(COUNTIF('INSTANCE C2'!$A$7:$A$50,'ATHIS MONS'!A10))+(COUNTIF(INTERNES!$A$7:$A$50,'ATHIS MONS'!A10))+(COUNTIF('EN PANNE'!$A$7:$A$50,'ATHIS MONS'!A10))-C10</f>
        <v>0</v>
      </c>
      <c r="C10" s="23">
        <f>(COUNTIF('2S EXPRESS'!$G$7:$G$50,'ATHIS MONS'!A10))+(COUNTIF('2 ZT'!$G$7:$G$50,'ATHIS MONS'!A10))+(COUNTIF('GO TRANSPORT'!$G$7:$G$50,'ATHIS MONS'!A10))+(COUNTIF('ATHIS MONS'!$G$7:$G$50,'ATHIS MONS'!A10))+(COUNTIF('IB TRANSPORT'!$G$7:$G$50,'ATHIS MONS'!A10))+(COUNTIF(JSL!$G$7:$G$50,'ATHIS MONS'!A10))+(COUNTIF(KIFAITOUT!$G$7:$G$50,'ATHIS MONS'!A10))+(COUNTIF('LUXE DRIVE'!$G$7:$G$50,'ATHIS MONS'!A10))+(COUNTIF(SSN!$G$7:$G$50,'ATHIS MONS'!A10))+(COUNTIF('W3'!$G$7:$G$50,'ATHIS MONS'!A10))+(COUNTIF('ATHIS MONS'!$G$7:$G$50,'ATHIS MONS'!A10))+(COUNTIF('L HAY LES ROSES'!$G$7:$G$50,'ATHIS MONS'!A10))+(COUNTIF(RUNGIS!$G$7:$G$50,'ATHIS MONS'!A10))+(COUNTIF(SCEAUX!$G$7:$G$50,'ATHIS MONS'!A10))+(COUNTIF('INSTANCE C1'!$G$7:$G$50,'ATHIS MONS'!A10))+(COUNTIF('INSTANCE C2'!$G$7:$G$50,'ATHIS MONS'!A10))+(COUNTIF(INTERNES!$G$7:$G$50,'ATHIS MONS'!A10))+(COUNTIF('EN PANNE'!$G$7:$G$50,'ATHIS MONS'!A10))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EXPRESS'!$G$7:$G$50,'ATHIS MONS'!G10))+(COUNTIF('2 ZT'!$G$7:$G$50,'ATHIS MONS'!G10))+(COUNTIF('GO TRANSPORT'!$G$7:$G$50,'ATHIS MONS'!G10))+(COUNTIF('HMZ - KAIS'!$G$7:$G$50,'ATHIS MONS'!G10))+(COUNTIF('IB TRANSPORT'!$G$7:$G$50,'ATHIS MONS'!G10))+(COUNTIF(JSL!$G$7:$G$50,'ATHIS MONS'!G10))+(COUNTIF(KIFAITOUT!$G$7:$G$50,'ATHIS MONS'!G10))+(COUNTIF('LUXE DRIVE'!$G$7:$G$50,'ATHIS MONS'!G10))+(COUNTIF(SSN!$G$7:$G$50,'ATHIS MONS'!G10))+(COUNTIF('W3'!$G$7:$G$50,'ATHIS MONS'!G10))+(COUNTIF('ATHIS MONS'!$G$7:$G$50,'ATHIS MONS'!G10))+(COUNTIF('L HAY LES ROSES'!$G$7:$G$50,'ATHIS MONS'!G10))+(COUNTIF(RUNGIS!$G$7:$G$50,'ATHIS MONS'!G10))+(COUNTIF(SCEAUX!$G$7:$G$50,'ATHIS MONS'!G10))+(COUNTIF('INSTANCE C1'!$G$7:$G$50,'ATHIS MONS'!G10))+(COUNTIF('INSTANCE C2'!$G$7:$G$50,'ATHIS MONS'!G10))+(COUNTIF(INTERNES!$G$7:$G$50,'ATHIS MONS'!G10))+(COUNTIF('EN PANNE'!$G$7:$G$50,'ATHIS MONS'!G10))-I10</f>
        <v>0</v>
      </c>
      <c r="I10" s="23">
        <f>(COUNTIF('2S EXPRESS'!$A$7:$A$50,'ATHIS MONS'!G10))+(COUNTIF('2 ZT'!$A$7:$A$50,'ATHIS MONS'!G10))+(COUNTIF('GO TRANSPORT'!$A$7:$A$50,'ATHIS MONS'!G10))+(COUNTIF('HMZ - KAIS'!$A$7:$A$50,'ATHIS MONS'!G10))+(COUNTIF('IB TRANSPORT'!$A$7:$A$50,'ATHIS MONS'!G10))+(COUNTIF(JSL!$A$7:$A$50,'ATHIS MONS'!G10))+(COUNTIF(KIFAITOUT!$A$7:$A$50,'ATHIS MONS'!G10))+(COUNTIF('LUXE DRIVE'!$A$7:$A$50,'ATHIS MONS'!G10))+(COUNTIF(SSN!$A$7:$A$50,'ATHIS MONS'!G10))+(COUNTIF('W3'!$A$7:$A$50,'ATHIS MONS'!G10))+(COUNTIF('ATHIS MONS'!$A$7:$A$50,'ATHIS MONS'!G10))+(COUNTIF('L HAY LES ROSES'!$A$7:$A$50,'ATHIS MONS'!G10))+(COUNTIF(RUNGIS!$A$7:$A$50,'ATHIS MONS'!G10))+(COUNTIF(SCEAUX!$A$7:$A$50,'ATHIS MONS'!G10))+(COUNTIF('INSTANCE C1'!$A$7:$A$50,'ATHIS MONS'!G10))+(COUNTIF('INSTANCE C2'!$A$7:$A$50,'ATHIS MONS'!G10))+(COUNTIF(INTERNES!$A$7:$A$50,'ATHIS MONS'!G10))+(COUNTIF('EN PANNE'!$A$7:$A$50,'ATHIS MONS'!G10))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R10" s="75"/>
      <c r="S10" s="60">
        <f t="shared" si="1"/>
        <v>0</v>
      </c>
      <c r="T10" s="67">
        <f t="shared" si="2"/>
        <v>0</v>
      </c>
    </row>
    <row r="11" spans="1:225" ht="24.95" customHeight="1" thickBot="1" x14ac:dyDescent="0.25">
      <c r="A11" s="20"/>
      <c r="B11" s="23">
        <f>(COUNTIF('2S EXPRESS'!$A$7:$A$50,'ATHIS MONS'!A11))+(COUNTIF('2 ZT'!$A$7:$A$50,'ATHIS MONS'!A11))+(COUNTIF('GO TRANSPORT'!$A$7:$A$50,'ATHIS MONS'!A11))+(COUNTIF('HMZ - KAIS'!$A$7:$A$50,'ATHIS MONS'!A11))+(COUNTIF('IB TRANSPORT'!$A$7:$A$50,'ATHIS MONS'!A11))+(COUNTIF(JSL!$A$7:$A$50,'ATHIS MONS'!A11))+(COUNTIF(KIFAITOUT!$A$7:$A$50,'ATHIS MONS'!A11))+(COUNTIF('LUXE DRIVE'!$A$7:$A$50,'ATHIS MONS'!A11))+(COUNTIF(SSN!$A$7:$A$50,'ATHIS MONS'!A11))+(COUNTIF('W3'!$A$7:$A$50,'ATHIS MONS'!A11))+(COUNTIF('ATHIS MONS'!$A$7:$A$50,'ATHIS MONS'!A11))+(COUNTIF('L HAY LES ROSES'!$A$7:$A$50,'ATHIS MONS'!A11))+(COUNTIF(RUNGIS!$A$7:$A$50,'ATHIS MONS'!A11))+(COUNTIF(SCEAUX!$A$7:$A$50,'ATHIS MONS'!A11))+(COUNTIF('INSTANCE C1'!$A$7:$A$50,'ATHIS MONS'!A11))+(COUNTIF('INSTANCE C2'!$A$7:$A$50,'ATHIS MONS'!A11))+(COUNTIF(INTERNES!$A$7:$A$50,'ATHIS MONS'!A11))+(COUNTIF('EN PANNE'!$A$7:$A$50,'ATHIS MONS'!A11))-C11</f>
        <v>0</v>
      </c>
      <c r="C11" s="23">
        <f>(COUNTIF('2S EXPRESS'!$G$7:$G$50,'ATHIS MONS'!A11))+(COUNTIF('2 ZT'!$G$7:$G$50,'ATHIS MONS'!A11))+(COUNTIF('GO TRANSPORT'!$G$7:$G$50,'ATHIS MONS'!A11))+(COUNTIF('ATHIS MONS'!$G$7:$G$50,'ATHIS MONS'!A11))+(COUNTIF('IB TRANSPORT'!$G$7:$G$50,'ATHIS MONS'!A11))+(COUNTIF(JSL!$G$7:$G$50,'ATHIS MONS'!A11))+(COUNTIF(KIFAITOUT!$G$7:$G$50,'ATHIS MONS'!A11))+(COUNTIF('LUXE DRIVE'!$G$7:$G$50,'ATHIS MONS'!A11))+(COUNTIF(SSN!$G$7:$G$50,'ATHIS MONS'!A11))+(COUNTIF('W3'!$G$7:$G$50,'ATHIS MONS'!A11))+(COUNTIF('ATHIS MONS'!$G$7:$G$50,'ATHIS MONS'!A11))+(COUNTIF('L HAY LES ROSES'!$G$7:$G$50,'ATHIS MONS'!A11))+(COUNTIF(RUNGIS!$G$7:$G$50,'ATHIS MONS'!A11))+(COUNTIF(SCEAUX!$G$7:$G$50,'ATHIS MONS'!A11))+(COUNTIF('INSTANCE C1'!$G$7:$G$50,'ATHIS MONS'!A11))+(COUNTIF('INSTANCE C2'!$G$7:$G$50,'ATHIS MONS'!A11))+(COUNTIF(INTERNES!$G$7:$G$50,'ATHIS MONS'!A11))+(COUNTIF('EN PANNE'!$G$7:$G$50,'ATHIS MONS'!A11))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EXPRESS'!$G$7:$G$50,'ATHIS MONS'!G11))+(COUNTIF('2 ZT'!$G$7:$G$50,'ATHIS MONS'!G11))+(COUNTIF('GO TRANSPORT'!$G$7:$G$50,'ATHIS MONS'!G11))+(COUNTIF('HMZ - KAIS'!$G$7:$G$50,'ATHIS MONS'!G11))+(COUNTIF('IB TRANSPORT'!$G$7:$G$50,'ATHIS MONS'!G11))+(COUNTIF(JSL!$G$7:$G$50,'ATHIS MONS'!G11))+(COUNTIF(KIFAITOUT!$G$7:$G$50,'ATHIS MONS'!G11))+(COUNTIF('LUXE DRIVE'!$G$7:$G$50,'ATHIS MONS'!G11))+(COUNTIF(SSN!$G$7:$G$50,'ATHIS MONS'!G11))+(COUNTIF('W3'!$G$7:$G$50,'ATHIS MONS'!G11))+(COUNTIF('ATHIS MONS'!$G$7:$G$50,'ATHIS MONS'!G11))+(COUNTIF('L HAY LES ROSES'!$G$7:$G$50,'ATHIS MONS'!G11))+(COUNTIF(RUNGIS!$G$7:$G$50,'ATHIS MONS'!G11))+(COUNTIF(SCEAUX!$G$7:$G$50,'ATHIS MONS'!G11))+(COUNTIF('INSTANCE C1'!$G$7:$G$50,'ATHIS MONS'!G11))+(COUNTIF('INSTANCE C2'!$G$7:$G$50,'ATHIS MONS'!G11))+(COUNTIF(INTERNES!$G$7:$G$50,'ATHIS MONS'!G11))+(COUNTIF('EN PANNE'!$G$7:$G$50,'ATHIS MONS'!G11))-I11</f>
        <v>0</v>
      </c>
      <c r="I11" s="23">
        <f>(COUNTIF('2S EXPRESS'!$A$7:$A$50,'ATHIS MONS'!G11))+(COUNTIF('2 ZT'!$A$7:$A$50,'ATHIS MONS'!G11))+(COUNTIF('GO TRANSPORT'!$A$7:$A$50,'ATHIS MONS'!G11))+(COUNTIF('HMZ - KAIS'!$A$7:$A$50,'ATHIS MONS'!G11))+(COUNTIF('IB TRANSPORT'!$A$7:$A$50,'ATHIS MONS'!G11))+(COUNTIF(JSL!$A$7:$A$50,'ATHIS MONS'!G11))+(COUNTIF(KIFAITOUT!$A$7:$A$50,'ATHIS MONS'!G11))+(COUNTIF('LUXE DRIVE'!$A$7:$A$50,'ATHIS MONS'!G11))+(COUNTIF(SSN!$A$7:$A$50,'ATHIS MONS'!G11))+(COUNTIF('W3'!$A$7:$A$50,'ATHIS MONS'!G11))+(COUNTIF('ATHIS MONS'!$A$7:$A$50,'ATHIS MONS'!G11))+(COUNTIF('L HAY LES ROSES'!$A$7:$A$50,'ATHIS MONS'!G11))+(COUNTIF(RUNGIS!$A$7:$A$50,'ATHIS MONS'!G11))+(COUNTIF(SCEAUX!$A$7:$A$50,'ATHIS MONS'!G11))+(COUNTIF('INSTANCE C1'!$A$7:$A$50,'ATHIS MONS'!G11))+(COUNTIF('INSTANCE C2'!$A$7:$A$50,'ATHIS MONS'!G11))+(COUNTIF(INTERNES!$A$7:$A$50,'ATHIS MONS'!G11))+(COUNTIF('EN PANNE'!$A$7:$A$50,'ATHIS MONS'!G11))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R11" s="75"/>
      <c r="S11" s="60">
        <f t="shared" si="1"/>
        <v>0</v>
      </c>
      <c r="T11" s="67">
        <f t="shared" si="2"/>
        <v>0</v>
      </c>
    </row>
    <row r="12" spans="1:225" ht="24.95" customHeight="1" thickBot="1" x14ac:dyDescent="0.25">
      <c r="A12" s="20"/>
      <c r="B12" s="23">
        <f>(COUNTIF('2S EXPRESS'!$A$7:$A$50,'ATHIS MONS'!A12))+(COUNTIF('2 ZT'!$A$7:$A$50,'ATHIS MONS'!A12))+(COUNTIF('GO TRANSPORT'!$A$7:$A$50,'ATHIS MONS'!A12))+(COUNTIF('HMZ - KAIS'!$A$7:$A$50,'ATHIS MONS'!A12))+(COUNTIF('IB TRANSPORT'!$A$7:$A$50,'ATHIS MONS'!A12))+(COUNTIF(JSL!$A$7:$A$50,'ATHIS MONS'!A12))+(COUNTIF(KIFAITOUT!$A$7:$A$50,'ATHIS MONS'!A12))+(COUNTIF('LUXE DRIVE'!$A$7:$A$50,'ATHIS MONS'!A12))+(COUNTIF(SSN!$A$7:$A$50,'ATHIS MONS'!A12))+(COUNTIF('W3'!$A$7:$A$50,'ATHIS MONS'!A12))+(COUNTIF('ATHIS MONS'!$A$7:$A$50,'ATHIS MONS'!A12))+(COUNTIF('L HAY LES ROSES'!$A$7:$A$50,'ATHIS MONS'!A12))+(COUNTIF(RUNGIS!$A$7:$A$50,'ATHIS MONS'!A12))+(COUNTIF(SCEAUX!$A$7:$A$50,'ATHIS MONS'!A12))+(COUNTIF('INSTANCE C1'!$A$7:$A$50,'ATHIS MONS'!A12))+(COUNTIF('INSTANCE C2'!$A$7:$A$50,'ATHIS MONS'!A12))+(COUNTIF(INTERNES!$A$7:$A$50,'ATHIS MONS'!A12))+(COUNTIF('EN PANNE'!$A$7:$A$50,'ATHIS MONS'!A12))-C12</f>
        <v>0</v>
      </c>
      <c r="C12" s="23">
        <f>(COUNTIF('2S EXPRESS'!$G$7:$G$50,'ATHIS MONS'!A12))+(COUNTIF('2 ZT'!$G$7:$G$50,'ATHIS MONS'!A12))+(COUNTIF('GO TRANSPORT'!$G$7:$G$50,'ATHIS MONS'!A12))+(COUNTIF('ATHIS MONS'!$G$7:$G$50,'ATHIS MONS'!A12))+(COUNTIF('IB TRANSPORT'!$G$7:$G$50,'ATHIS MONS'!A12))+(COUNTIF(JSL!$G$7:$G$50,'ATHIS MONS'!A12))+(COUNTIF(KIFAITOUT!$G$7:$G$50,'ATHIS MONS'!A12))+(COUNTIF('LUXE DRIVE'!$G$7:$G$50,'ATHIS MONS'!A12))+(COUNTIF(SSN!$G$7:$G$50,'ATHIS MONS'!A12))+(COUNTIF('W3'!$G$7:$G$50,'ATHIS MONS'!A12))+(COUNTIF('ATHIS MONS'!$G$7:$G$50,'ATHIS MONS'!A12))+(COUNTIF('L HAY LES ROSES'!$G$7:$G$50,'ATHIS MONS'!A12))+(COUNTIF(RUNGIS!$G$7:$G$50,'ATHIS MONS'!A12))+(COUNTIF(SCEAUX!$G$7:$G$50,'ATHIS MONS'!A12))+(COUNTIF('INSTANCE C1'!$G$7:$G$50,'ATHIS MONS'!A12))+(COUNTIF('INSTANCE C2'!$G$7:$G$50,'ATHIS MONS'!A12))+(COUNTIF(INTERNES!$G$7:$G$50,'ATHIS MONS'!A12))+(COUNTIF('EN PANNE'!$G$7:$G$50,'ATHIS MONS'!A12))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EXPRESS'!$G$7:$G$50,'ATHIS MONS'!G12))+(COUNTIF('2 ZT'!$G$7:$G$50,'ATHIS MONS'!G12))+(COUNTIF('GO TRANSPORT'!$G$7:$G$50,'ATHIS MONS'!G12))+(COUNTIF('HMZ - KAIS'!$G$7:$G$50,'ATHIS MONS'!G12))+(COUNTIF('IB TRANSPORT'!$G$7:$G$50,'ATHIS MONS'!G12))+(COUNTIF(JSL!$G$7:$G$50,'ATHIS MONS'!G12))+(COUNTIF(KIFAITOUT!$G$7:$G$50,'ATHIS MONS'!G12))+(COUNTIF('LUXE DRIVE'!$G$7:$G$50,'ATHIS MONS'!G12))+(COUNTIF(SSN!$G$7:$G$50,'ATHIS MONS'!G12))+(COUNTIF('W3'!$G$7:$G$50,'ATHIS MONS'!G12))+(COUNTIF('ATHIS MONS'!$G$7:$G$50,'ATHIS MONS'!G12))+(COUNTIF('L HAY LES ROSES'!$G$7:$G$50,'ATHIS MONS'!G12))+(COUNTIF(RUNGIS!$G$7:$G$50,'ATHIS MONS'!G12))+(COUNTIF(SCEAUX!$G$7:$G$50,'ATHIS MONS'!G12))+(COUNTIF('INSTANCE C1'!$G$7:$G$50,'ATHIS MONS'!G12))+(COUNTIF('INSTANCE C2'!$G$7:$G$50,'ATHIS MONS'!G12))+(COUNTIF(INTERNES!$G$7:$G$50,'ATHIS MONS'!G12))+(COUNTIF('EN PANNE'!$G$7:$G$50,'ATHIS MONS'!G12))-I12</f>
        <v>0</v>
      </c>
      <c r="I12" s="23">
        <f>(COUNTIF('2S EXPRESS'!$A$7:$A$50,'ATHIS MONS'!G12))+(COUNTIF('2 ZT'!$A$7:$A$50,'ATHIS MONS'!G12))+(COUNTIF('GO TRANSPORT'!$A$7:$A$50,'ATHIS MONS'!G12))+(COUNTIF('HMZ - KAIS'!$A$7:$A$50,'ATHIS MONS'!G12))+(COUNTIF('IB TRANSPORT'!$A$7:$A$50,'ATHIS MONS'!G12))+(COUNTIF(JSL!$A$7:$A$50,'ATHIS MONS'!G12))+(COUNTIF(KIFAITOUT!$A$7:$A$50,'ATHIS MONS'!G12))+(COUNTIF('LUXE DRIVE'!$A$7:$A$50,'ATHIS MONS'!G12))+(COUNTIF(SSN!$A$7:$A$50,'ATHIS MONS'!G12))+(COUNTIF('W3'!$A$7:$A$50,'ATHIS MONS'!G12))+(COUNTIF('ATHIS MONS'!$A$7:$A$50,'ATHIS MONS'!G12))+(COUNTIF('L HAY LES ROSES'!$A$7:$A$50,'ATHIS MONS'!G12))+(COUNTIF(RUNGIS!$A$7:$A$50,'ATHIS MONS'!G12))+(COUNTIF(SCEAUX!$A$7:$A$50,'ATHIS MONS'!G12))+(COUNTIF('INSTANCE C1'!$A$7:$A$50,'ATHIS MONS'!G12))+(COUNTIF('INSTANCE C2'!$A$7:$A$50,'ATHIS MONS'!G12))+(COUNTIF(INTERNES!$A$7:$A$50,'ATHIS MONS'!G12))+(COUNTIF('EN PANNE'!$A$7:$A$50,'ATHIS MONS'!G12))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R12" s="75"/>
      <c r="S12" s="60">
        <f t="shared" si="1"/>
        <v>0</v>
      </c>
      <c r="T12" s="67">
        <f t="shared" si="2"/>
        <v>0</v>
      </c>
    </row>
    <row r="13" spans="1:225" ht="24.95" customHeight="1" x14ac:dyDescent="0.2">
      <c r="A13" s="20"/>
      <c r="B13" s="23">
        <f>(COUNTIF('2S EXPRESS'!$A$7:$A$50,'ATHIS MONS'!A13))+(COUNTIF('2 ZT'!$A$7:$A$50,'ATHIS MONS'!A13))+(COUNTIF('GO TRANSPORT'!$A$7:$A$50,'ATHIS MONS'!A13))+(COUNTIF('HMZ - KAIS'!$A$7:$A$50,'ATHIS MONS'!A13))+(COUNTIF('IB TRANSPORT'!$A$7:$A$50,'ATHIS MONS'!A13))+(COUNTIF(JSL!$A$7:$A$50,'ATHIS MONS'!A13))+(COUNTIF(KIFAITOUT!$A$7:$A$50,'ATHIS MONS'!A13))+(COUNTIF('LUXE DRIVE'!$A$7:$A$50,'ATHIS MONS'!A13))+(COUNTIF(SSN!$A$7:$A$50,'ATHIS MONS'!A13))+(COUNTIF('W3'!$A$7:$A$50,'ATHIS MONS'!A13))+(COUNTIF('ATHIS MONS'!$A$7:$A$50,'ATHIS MONS'!A13))+(COUNTIF('L HAY LES ROSES'!$A$7:$A$50,'ATHIS MONS'!A13))+(COUNTIF(RUNGIS!$A$7:$A$50,'ATHIS MONS'!A13))+(COUNTIF(SCEAUX!$A$7:$A$50,'ATHIS MONS'!A13))+(COUNTIF('INSTANCE C1'!$A$7:$A$50,'ATHIS MONS'!A13))+(COUNTIF('INSTANCE C2'!$A$7:$A$50,'ATHIS MONS'!A13))+(COUNTIF(INTERNES!$A$7:$A$50,'ATHIS MONS'!A13))+(COUNTIF('EN PANNE'!$A$7:$A$50,'ATHIS MONS'!A13))-C13</f>
        <v>0</v>
      </c>
      <c r="C13" s="23">
        <f>(COUNTIF('2S EXPRESS'!$G$7:$G$50,'ATHIS MONS'!A13))+(COUNTIF('2 ZT'!$G$7:$G$50,'ATHIS MONS'!A13))+(COUNTIF('GO TRANSPORT'!$G$7:$G$50,'ATHIS MONS'!A13))+(COUNTIF('ATHIS MONS'!$G$7:$G$50,'ATHIS MONS'!A13))+(COUNTIF('IB TRANSPORT'!$G$7:$G$50,'ATHIS MONS'!A13))+(COUNTIF(JSL!$G$7:$G$50,'ATHIS MONS'!A13))+(COUNTIF(KIFAITOUT!$G$7:$G$50,'ATHIS MONS'!A13))+(COUNTIF('LUXE DRIVE'!$G$7:$G$50,'ATHIS MONS'!A13))+(COUNTIF(SSN!$G$7:$G$50,'ATHIS MONS'!A13))+(COUNTIF('W3'!$G$7:$G$50,'ATHIS MONS'!A13))+(COUNTIF('ATHIS MONS'!$G$7:$G$50,'ATHIS MONS'!A13))+(COUNTIF('L HAY LES ROSES'!$G$7:$G$50,'ATHIS MONS'!A13))+(COUNTIF(RUNGIS!$G$7:$G$50,'ATHIS MONS'!A13))+(COUNTIF(SCEAUX!$G$7:$G$50,'ATHIS MONS'!A13))+(COUNTIF('INSTANCE C1'!$G$7:$G$50,'ATHIS MONS'!A13))+(COUNTIF('INSTANCE C2'!$G$7:$G$50,'ATHIS MONS'!A13))+(COUNTIF(INTERNES!$G$7:$G$50,'ATHIS MONS'!A13))+(COUNTIF('EN PANNE'!$G$7:$G$50,'ATHIS MONS'!A13))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EXPRESS'!$G$7:$G$50,'ATHIS MONS'!G13))+(COUNTIF('2 ZT'!$G$7:$G$50,'ATHIS MONS'!G13))+(COUNTIF('GO TRANSPORT'!$G$7:$G$50,'ATHIS MONS'!G13))+(COUNTIF('HMZ - KAIS'!$G$7:$G$50,'ATHIS MONS'!G13))+(COUNTIF('IB TRANSPORT'!$G$7:$G$50,'ATHIS MONS'!G13))+(COUNTIF(JSL!$G$7:$G$50,'ATHIS MONS'!G13))+(COUNTIF(KIFAITOUT!$G$7:$G$50,'ATHIS MONS'!G13))+(COUNTIF('LUXE DRIVE'!$G$7:$G$50,'ATHIS MONS'!G13))+(COUNTIF(SSN!$G$7:$G$50,'ATHIS MONS'!G13))+(COUNTIF('W3'!$G$7:$G$50,'ATHIS MONS'!G13))+(COUNTIF('ATHIS MONS'!$G$7:$G$50,'ATHIS MONS'!G13))+(COUNTIF('L HAY LES ROSES'!$G$7:$G$50,'ATHIS MONS'!G13))+(COUNTIF(RUNGIS!$G$7:$G$50,'ATHIS MONS'!G13))+(COUNTIF(SCEAUX!$G$7:$G$50,'ATHIS MONS'!G13))+(COUNTIF('INSTANCE C1'!$G$7:$G$50,'ATHIS MONS'!G13))+(COUNTIF('INSTANCE C2'!$G$7:$G$50,'ATHIS MONS'!G13))+(COUNTIF(INTERNES!$G$7:$G$50,'ATHIS MONS'!G13))+(COUNTIF('EN PANNE'!$G$7:$G$50,'ATHIS MONS'!G13))-I13</f>
        <v>0</v>
      </c>
      <c r="I13" s="23">
        <f>(COUNTIF('2S EXPRESS'!$A$7:$A$50,'ATHIS MONS'!G13))+(COUNTIF('2 ZT'!$A$7:$A$50,'ATHIS MONS'!G13))+(COUNTIF('GO TRANSPORT'!$A$7:$A$50,'ATHIS MONS'!G13))+(COUNTIF('HMZ - KAIS'!$A$7:$A$50,'ATHIS MONS'!G13))+(COUNTIF('IB TRANSPORT'!$A$7:$A$50,'ATHIS MONS'!G13))+(COUNTIF(JSL!$A$7:$A$50,'ATHIS MONS'!G13))+(COUNTIF(KIFAITOUT!$A$7:$A$50,'ATHIS MONS'!G13))+(COUNTIF('LUXE DRIVE'!$A$7:$A$50,'ATHIS MONS'!G13))+(COUNTIF(SSN!$A$7:$A$50,'ATHIS MONS'!G13))+(COUNTIF('W3'!$A$7:$A$50,'ATHIS MONS'!G13))+(COUNTIF('ATHIS MONS'!$A$7:$A$50,'ATHIS MONS'!G13))+(COUNTIF('L HAY LES ROSES'!$A$7:$A$50,'ATHIS MONS'!G13))+(COUNTIF(RUNGIS!$A$7:$A$50,'ATHIS MONS'!G13))+(COUNTIF(SCEAUX!$A$7:$A$50,'ATHIS MONS'!G13))+(COUNTIF('INSTANCE C1'!$A$7:$A$50,'ATHIS MONS'!G13))+(COUNTIF('INSTANCE C2'!$A$7:$A$50,'ATHIS MONS'!G13))+(COUNTIF(INTERNES!$A$7:$A$50,'ATHIS MONS'!G13))+(COUNTIF('EN PANNE'!$A$7:$A$50,'ATHIS MONS'!G13))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R13" s="75"/>
      <c r="S13" s="60">
        <f t="shared" si="1"/>
        <v>0</v>
      </c>
      <c r="T13" s="67">
        <f t="shared" si="2"/>
        <v>0</v>
      </c>
      <c r="V13" s="76"/>
    </row>
    <row r="14" spans="1:225" ht="24.95" customHeight="1" x14ac:dyDescent="0.2">
      <c r="A14" s="20"/>
      <c r="B14" s="23">
        <f>(COUNTIF('2S EXPRESS'!$A$7:$A$50,'ATHIS MONS'!A14))+(COUNTIF('2 ZT'!$A$7:$A$50,'ATHIS MONS'!A14))+(COUNTIF('GO TRANSPORT'!$A$7:$A$50,'ATHIS MONS'!A14))+(COUNTIF('HMZ - KAIS'!$A$7:$A$50,'ATHIS MONS'!A14))+(COUNTIF('IB TRANSPORT'!$A$7:$A$50,'ATHIS MONS'!A14))+(COUNTIF(JSL!$A$7:$A$50,'ATHIS MONS'!A14))+(COUNTIF(KIFAITOUT!$A$7:$A$50,'ATHIS MONS'!A14))+(COUNTIF('LUXE DRIVE'!$A$7:$A$50,'ATHIS MONS'!A14))+(COUNTIF(SSN!$A$7:$A$50,'ATHIS MONS'!A14))+(COUNTIF('W3'!$A$7:$A$50,'ATHIS MONS'!A14))+(COUNTIF('ATHIS MONS'!$A$7:$A$50,'ATHIS MONS'!A14))+(COUNTIF('L HAY LES ROSES'!$A$7:$A$50,'ATHIS MONS'!A14))+(COUNTIF(RUNGIS!$A$7:$A$50,'ATHIS MONS'!A14))+(COUNTIF(SCEAUX!$A$7:$A$50,'ATHIS MONS'!A14))+(COUNTIF('INSTANCE C1'!$A$7:$A$50,'ATHIS MONS'!A14))+(COUNTIF('INSTANCE C2'!$A$7:$A$50,'ATHIS MONS'!A14))+(COUNTIF(INTERNES!$A$7:$A$50,'ATHIS MONS'!A14))+(COUNTIF('EN PANNE'!$A$7:$A$50,'ATHIS MONS'!A14))-C14</f>
        <v>0</v>
      </c>
      <c r="C14" s="23">
        <f>(COUNTIF('2S EXPRESS'!$G$7:$G$50,'ATHIS MONS'!A14))+(COUNTIF('2 ZT'!$G$7:$G$50,'ATHIS MONS'!A14))+(COUNTIF('GO TRANSPORT'!$G$7:$G$50,'ATHIS MONS'!A14))+(COUNTIF('ATHIS MONS'!$G$7:$G$50,'ATHIS MONS'!A14))+(COUNTIF('IB TRANSPORT'!$G$7:$G$50,'ATHIS MONS'!A14))+(COUNTIF(JSL!$G$7:$G$50,'ATHIS MONS'!A14))+(COUNTIF(KIFAITOUT!$G$7:$G$50,'ATHIS MONS'!A14))+(COUNTIF('LUXE DRIVE'!$G$7:$G$50,'ATHIS MONS'!A14))+(COUNTIF(SSN!$G$7:$G$50,'ATHIS MONS'!A14))+(COUNTIF('W3'!$G$7:$G$50,'ATHIS MONS'!A14))+(COUNTIF('ATHIS MONS'!$G$7:$G$50,'ATHIS MONS'!A14))+(COUNTIF('L HAY LES ROSES'!$G$7:$G$50,'ATHIS MONS'!A14))+(COUNTIF(RUNGIS!$G$7:$G$50,'ATHIS MONS'!A14))+(COUNTIF(SCEAUX!$G$7:$G$50,'ATHIS MONS'!A14))+(COUNTIF('INSTANCE C1'!$G$7:$G$50,'ATHIS MONS'!A14))+(COUNTIF('INSTANCE C2'!$G$7:$G$50,'ATHIS MONS'!A14))+(COUNTIF(INTERNES!$G$7:$G$50,'ATHIS MONS'!A14))+(COUNTIF('EN PANNE'!$G$7:$G$50,'ATHIS MONS'!A14))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EXPRESS'!$G$7:$G$50,'ATHIS MONS'!G14))+(COUNTIF('2 ZT'!$G$7:$G$50,'ATHIS MONS'!G14))+(COUNTIF('GO TRANSPORT'!$G$7:$G$50,'ATHIS MONS'!G14))+(COUNTIF('HMZ - KAIS'!$G$7:$G$50,'ATHIS MONS'!G14))+(COUNTIF('IB TRANSPORT'!$G$7:$G$50,'ATHIS MONS'!G14))+(COUNTIF(JSL!$G$7:$G$50,'ATHIS MONS'!G14))+(COUNTIF(KIFAITOUT!$G$7:$G$50,'ATHIS MONS'!G14))+(COUNTIF('LUXE DRIVE'!$G$7:$G$50,'ATHIS MONS'!G14))+(COUNTIF(SSN!$G$7:$G$50,'ATHIS MONS'!G14))+(COUNTIF('W3'!$G$7:$G$50,'ATHIS MONS'!G14))+(COUNTIF('ATHIS MONS'!$G$7:$G$50,'ATHIS MONS'!G14))+(COUNTIF('L HAY LES ROSES'!$G$7:$G$50,'ATHIS MONS'!G14))+(COUNTIF(RUNGIS!$G$7:$G$50,'ATHIS MONS'!G14))+(COUNTIF(SCEAUX!$G$7:$G$50,'ATHIS MONS'!G14))+(COUNTIF('INSTANCE C1'!$G$7:$G$50,'ATHIS MONS'!G14))+(COUNTIF('INSTANCE C2'!$G$7:$G$50,'ATHIS MONS'!G14))+(COUNTIF(INTERNES!$G$7:$G$50,'ATHIS MONS'!G14))+(COUNTIF('EN PANNE'!$G$7:$G$50,'ATHIS MONS'!G14))-I14</f>
        <v>0</v>
      </c>
      <c r="I14" s="23">
        <f>(COUNTIF('2S EXPRESS'!$A$7:$A$50,'ATHIS MONS'!G14))+(COUNTIF('2 ZT'!$A$7:$A$50,'ATHIS MONS'!G14))+(COUNTIF('GO TRANSPORT'!$A$7:$A$50,'ATHIS MONS'!G14))+(COUNTIF('HMZ - KAIS'!$A$7:$A$50,'ATHIS MONS'!G14))+(COUNTIF('IB TRANSPORT'!$A$7:$A$50,'ATHIS MONS'!G14))+(COUNTIF(JSL!$A$7:$A$50,'ATHIS MONS'!G14))+(COUNTIF(KIFAITOUT!$A$7:$A$50,'ATHIS MONS'!G14))+(COUNTIF('LUXE DRIVE'!$A$7:$A$50,'ATHIS MONS'!G14))+(COUNTIF(SSN!$A$7:$A$50,'ATHIS MONS'!G14))+(COUNTIF('W3'!$A$7:$A$50,'ATHIS MONS'!G14))+(COUNTIF('ATHIS MONS'!$A$7:$A$50,'ATHIS MONS'!G14))+(COUNTIF('L HAY LES ROSES'!$A$7:$A$50,'ATHIS MONS'!G14))+(COUNTIF(RUNGIS!$A$7:$A$50,'ATHIS MONS'!G14))+(COUNTIF(SCEAUX!$A$7:$A$50,'ATHIS MONS'!G14))+(COUNTIF('INSTANCE C1'!$A$7:$A$50,'ATHIS MONS'!G14))+(COUNTIF('INSTANCE C2'!$A$7:$A$50,'ATHIS MONS'!G14))+(COUNTIF(INTERNES!$A$7:$A$50,'ATHIS MONS'!G14))+(COUNTIF('EN PANNE'!$A$7:$A$50,'ATHIS MONS'!G14))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R14" s="75"/>
      <c r="S14" s="60">
        <f t="shared" si="1"/>
        <v>0</v>
      </c>
      <c r="T14" s="67">
        <f t="shared" si="2"/>
        <v>0</v>
      </c>
    </row>
    <row r="15" spans="1:225" ht="24.95" customHeight="1" x14ac:dyDescent="0.2">
      <c r="A15" s="20"/>
      <c r="B15" s="23">
        <f>(COUNTIF('2S EXPRESS'!$A$7:$A$50,'ATHIS MONS'!A15))+(COUNTIF('2 ZT'!$A$7:$A$50,'ATHIS MONS'!A15))+(COUNTIF('GO TRANSPORT'!$A$7:$A$50,'ATHIS MONS'!A15))+(COUNTIF('HMZ - KAIS'!$A$7:$A$50,'ATHIS MONS'!A15))+(COUNTIF('IB TRANSPORT'!$A$7:$A$50,'ATHIS MONS'!A15))+(COUNTIF(JSL!$A$7:$A$50,'ATHIS MONS'!A15))+(COUNTIF(KIFAITOUT!$A$7:$A$50,'ATHIS MONS'!A15))+(COUNTIF('LUXE DRIVE'!$A$7:$A$50,'ATHIS MONS'!A15))+(COUNTIF(SSN!$A$7:$A$50,'ATHIS MONS'!A15))+(COUNTIF('W3'!$A$7:$A$50,'ATHIS MONS'!A15))+(COUNTIF('ATHIS MONS'!$A$7:$A$50,'ATHIS MONS'!A15))+(COUNTIF('L HAY LES ROSES'!$A$7:$A$50,'ATHIS MONS'!A15))+(COUNTIF(RUNGIS!$A$7:$A$50,'ATHIS MONS'!A15))+(COUNTIF(SCEAUX!$A$7:$A$50,'ATHIS MONS'!A15))+(COUNTIF('INSTANCE C1'!$A$7:$A$50,'ATHIS MONS'!A15))+(COUNTIF('INSTANCE C2'!$A$7:$A$50,'ATHIS MONS'!A15))+(COUNTIF(INTERNES!$A$7:$A$50,'ATHIS MONS'!A15))+(COUNTIF('EN PANNE'!$A$7:$A$50,'ATHIS MONS'!A15))-C15</f>
        <v>0</v>
      </c>
      <c r="C15" s="23">
        <f>(COUNTIF('2S EXPRESS'!$G$7:$G$50,'ATHIS MONS'!A15))+(COUNTIF('2 ZT'!$G$7:$G$50,'ATHIS MONS'!A15))+(COUNTIF('GO TRANSPORT'!$G$7:$G$50,'ATHIS MONS'!A15))+(COUNTIF('ATHIS MONS'!$G$7:$G$50,'ATHIS MONS'!A15))+(COUNTIF('IB TRANSPORT'!$G$7:$G$50,'ATHIS MONS'!A15))+(COUNTIF(JSL!$G$7:$G$50,'ATHIS MONS'!A15))+(COUNTIF(KIFAITOUT!$G$7:$G$50,'ATHIS MONS'!A15))+(COUNTIF('LUXE DRIVE'!$G$7:$G$50,'ATHIS MONS'!A15))+(COUNTIF(SSN!$G$7:$G$50,'ATHIS MONS'!A15))+(COUNTIF('W3'!$G$7:$G$50,'ATHIS MONS'!A15))+(COUNTIF('ATHIS MONS'!$G$7:$G$50,'ATHIS MONS'!A15))+(COUNTIF('L HAY LES ROSES'!$G$7:$G$50,'ATHIS MONS'!A15))+(COUNTIF(RUNGIS!$G$7:$G$50,'ATHIS MONS'!A15))+(COUNTIF(SCEAUX!$G$7:$G$50,'ATHIS MONS'!A15))+(COUNTIF('INSTANCE C1'!$G$7:$G$50,'ATHIS MONS'!A15))+(COUNTIF('INSTANCE C2'!$G$7:$G$50,'ATHIS MONS'!A15))+(COUNTIF(INTERNES!$G$7:$G$50,'ATHIS MONS'!A15))+(COUNTIF('EN PANNE'!$G$7:$G$50,'ATHIS MONS'!A15))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EXPRESS'!$G$7:$G$50,'ATHIS MONS'!G15))+(COUNTIF('2 ZT'!$G$7:$G$50,'ATHIS MONS'!G15))+(COUNTIF('GO TRANSPORT'!$G$7:$G$50,'ATHIS MONS'!G15))+(COUNTIF('HMZ - KAIS'!$G$7:$G$50,'ATHIS MONS'!G15))+(COUNTIF('IB TRANSPORT'!$G$7:$G$50,'ATHIS MONS'!G15))+(COUNTIF(JSL!$G$7:$G$50,'ATHIS MONS'!G15))+(COUNTIF(KIFAITOUT!$G$7:$G$50,'ATHIS MONS'!G15))+(COUNTIF('LUXE DRIVE'!$G$7:$G$50,'ATHIS MONS'!G15))+(COUNTIF(SSN!$G$7:$G$50,'ATHIS MONS'!G15))+(COUNTIF('W3'!$G$7:$G$50,'ATHIS MONS'!G15))+(COUNTIF('ATHIS MONS'!$G$7:$G$50,'ATHIS MONS'!G15))+(COUNTIF('L HAY LES ROSES'!$G$7:$G$50,'ATHIS MONS'!G15))+(COUNTIF(RUNGIS!$G$7:$G$50,'ATHIS MONS'!G15))+(COUNTIF(SCEAUX!$G$7:$G$50,'ATHIS MONS'!G15))+(COUNTIF('INSTANCE C1'!$G$7:$G$50,'ATHIS MONS'!G15))+(COUNTIF('INSTANCE C2'!$G$7:$G$50,'ATHIS MONS'!G15))+(COUNTIF(INTERNES!$G$7:$G$50,'ATHIS MONS'!G15))+(COUNTIF('EN PANNE'!$G$7:$G$50,'ATHIS MONS'!G15))-I15</f>
        <v>0</v>
      </c>
      <c r="I15" s="23">
        <f>(COUNTIF('2S EXPRESS'!$A$7:$A$50,'ATHIS MONS'!G15))+(COUNTIF('2 ZT'!$A$7:$A$50,'ATHIS MONS'!G15))+(COUNTIF('GO TRANSPORT'!$A$7:$A$50,'ATHIS MONS'!G15))+(COUNTIF('HMZ - KAIS'!$A$7:$A$50,'ATHIS MONS'!G15))+(COUNTIF('IB TRANSPORT'!$A$7:$A$50,'ATHIS MONS'!G15))+(COUNTIF(JSL!$A$7:$A$50,'ATHIS MONS'!G15))+(COUNTIF(KIFAITOUT!$A$7:$A$50,'ATHIS MONS'!G15))+(COUNTIF('LUXE DRIVE'!$A$7:$A$50,'ATHIS MONS'!G15))+(COUNTIF(SSN!$A$7:$A$50,'ATHIS MONS'!G15))+(COUNTIF('W3'!$A$7:$A$50,'ATHIS MONS'!G15))+(COUNTIF('ATHIS MONS'!$A$7:$A$50,'ATHIS MONS'!G15))+(COUNTIF('L HAY LES ROSES'!$A$7:$A$50,'ATHIS MONS'!G15))+(COUNTIF(RUNGIS!$A$7:$A$50,'ATHIS MONS'!G15))+(COUNTIF(SCEAUX!$A$7:$A$50,'ATHIS MONS'!G15))+(COUNTIF('INSTANCE C1'!$A$7:$A$50,'ATHIS MONS'!G15))+(COUNTIF('INSTANCE C2'!$A$7:$A$50,'ATHIS MONS'!G15))+(COUNTIF(INTERNES!$A$7:$A$50,'ATHIS MONS'!G15))+(COUNTIF('EN PANNE'!$A$7:$A$50,'ATHIS MONS'!G15))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R15" s="75"/>
      <c r="S15" s="60">
        <f t="shared" si="1"/>
        <v>0</v>
      </c>
      <c r="T15" s="67">
        <f t="shared" si="2"/>
        <v>0</v>
      </c>
    </row>
    <row r="16" spans="1:225" ht="24.95" customHeight="1" x14ac:dyDescent="0.2">
      <c r="A16" s="20"/>
      <c r="B16" s="23">
        <f>(COUNTIF('2S EXPRESS'!$A$7:$A$50,'ATHIS MONS'!A16))+(COUNTIF('2 ZT'!$A$7:$A$50,'ATHIS MONS'!A16))+(COUNTIF('GO TRANSPORT'!$A$7:$A$50,'ATHIS MONS'!A16))+(COUNTIF('HMZ - KAIS'!$A$7:$A$50,'ATHIS MONS'!A16))+(COUNTIF('IB TRANSPORT'!$A$7:$A$50,'ATHIS MONS'!A16))+(COUNTIF(JSL!$A$7:$A$50,'ATHIS MONS'!A16))+(COUNTIF(KIFAITOUT!$A$7:$A$50,'ATHIS MONS'!A16))+(COUNTIF('LUXE DRIVE'!$A$7:$A$50,'ATHIS MONS'!A16))+(COUNTIF(SSN!$A$7:$A$50,'ATHIS MONS'!A16))+(COUNTIF('W3'!$A$7:$A$50,'ATHIS MONS'!A16))+(COUNTIF('ATHIS MONS'!$A$7:$A$50,'ATHIS MONS'!A16))+(COUNTIF('L HAY LES ROSES'!$A$7:$A$50,'ATHIS MONS'!A16))+(COUNTIF(RUNGIS!$A$7:$A$50,'ATHIS MONS'!A16))+(COUNTIF(SCEAUX!$A$7:$A$50,'ATHIS MONS'!A16))+(COUNTIF('INSTANCE C1'!$A$7:$A$50,'ATHIS MONS'!A16))+(COUNTIF('INSTANCE C2'!$A$7:$A$50,'ATHIS MONS'!A16))+(COUNTIF(INTERNES!$A$7:$A$50,'ATHIS MONS'!A16))+(COUNTIF('EN PANNE'!$A$7:$A$50,'ATHIS MONS'!A16))-C16</f>
        <v>0</v>
      </c>
      <c r="C16" s="23">
        <f>(COUNTIF('2S EXPRESS'!$G$7:$G$50,'ATHIS MONS'!A16))+(COUNTIF('2 ZT'!$G$7:$G$50,'ATHIS MONS'!A16))+(COUNTIF('GO TRANSPORT'!$G$7:$G$50,'ATHIS MONS'!A16))+(COUNTIF('ATHIS MONS'!$G$7:$G$50,'ATHIS MONS'!A16))+(COUNTIF('IB TRANSPORT'!$G$7:$G$50,'ATHIS MONS'!A16))+(COUNTIF(JSL!$G$7:$G$50,'ATHIS MONS'!A16))+(COUNTIF(KIFAITOUT!$G$7:$G$50,'ATHIS MONS'!A16))+(COUNTIF('LUXE DRIVE'!$G$7:$G$50,'ATHIS MONS'!A16))+(COUNTIF(SSN!$G$7:$G$50,'ATHIS MONS'!A16))+(COUNTIF('W3'!$G$7:$G$50,'ATHIS MONS'!A16))+(COUNTIF('ATHIS MONS'!$G$7:$G$50,'ATHIS MONS'!A16))+(COUNTIF('L HAY LES ROSES'!$G$7:$G$50,'ATHIS MONS'!A16))+(COUNTIF(RUNGIS!$G$7:$G$50,'ATHIS MONS'!A16))+(COUNTIF(SCEAUX!$G$7:$G$50,'ATHIS MONS'!A16))+(COUNTIF('INSTANCE C1'!$G$7:$G$50,'ATHIS MONS'!A16))+(COUNTIF('INSTANCE C2'!$G$7:$G$50,'ATHIS MONS'!A16))+(COUNTIF(INTERNES!$G$7:$G$50,'ATHIS MONS'!A16))+(COUNTIF('EN PANNE'!$G$7:$G$50,'ATHIS MONS'!A16))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EXPRESS'!$G$7:$G$50,'ATHIS MONS'!G16))+(COUNTIF('2 ZT'!$G$7:$G$50,'ATHIS MONS'!G16))+(COUNTIF('GO TRANSPORT'!$G$7:$G$50,'ATHIS MONS'!G16))+(COUNTIF('HMZ - KAIS'!$G$7:$G$50,'ATHIS MONS'!G16))+(COUNTIF('IB TRANSPORT'!$G$7:$G$50,'ATHIS MONS'!G16))+(COUNTIF(JSL!$G$7:$G$50,'ATHIS MONS'!G16))+(COUNTIF(KIFAITOUT!$G$7:$G$50,'ATHIS MONS'!G16))+(COUNTIF('LUXE DRIVE'!$G$7:$G$50,'ATHIS MONS'!G16))+(COUNTIF(SSN!$G$7:$G$50,'ATHIS MONS'!G16))+(COUNTIF('W3'!$G$7:$G$50,'ATHIS MONS'!G16))+(COUNTIF('ATHIS MONS'!$G$7:$G$50,'ATHIS MONS'!G16))+(COUNTIF('L HAY LES ROSES'!$G$7:$G$50,'ATHIS MONS'!G16))+(COUNTIF(RUNGIS!$G$7:$G$50,'ATHIS MONS'!G16))+(COUNTIF(SCEAUX!$G$7:$G$50,'ATHIS MONS'!G16))+(COUNTIF('INSTANCE C1'!$G$7:$G$50,'ATHIS MONS'!G16))+(COUNTIF('INSTANCE C2'!$G$7:$G$50,'ATHIS MONS'!G16))+(COUNTIF(INTERNES!$G$7:$G$50,'ATHIS MONS'!G16))+(COUNTIF('EN PANNE'!$G$7:$G$50,'ATHIS MONS'!G16))-I16</f>
        <v>0</v>
      </c>
      <c r="I16" s="23">
        <f>(COUNTIF('2S EXPRESS'!$A$7:$A$50,'ATHIS MONS'!G16))+(COUNTIF('2 ZT'!$A$7:$A$50,'ATHIS MONS'!G16))+(COUNTIF('GO TRANSPORT'!$A$7:$A$50,'ATHIS MONS'!G16))+(COUNTIF('HMZ - KAIS'!$A$7:$A$50,'ATHIS MONS'!G16))+(COUNTIF('IB TRANSPORT'!$A$7:$A$50,'ATHIS MONS'!G16))+(COUNTIF(JSL!$A$7:$A$50,'ATHIS MONS'!G16))+(COUNTIF(KIFAITOUT!$A$7:$A$50,'ATHIS MONS'!G16))+(COUNTIF('LUXE DRIVE'!$A$7:$A$50,'ATHIS MONS'!G16))+(COUNTIF(SSN!$A$7:$A$50,'ATHIS MONS'!G16))+(COUNTIF('W3'!$A$7:$A$50,'ATHIS MONS'!G16))+(COUNTIF('ATHIS MONS'!$A$7:$A$50,'ATHIS MONS'!G16))+(COUNTIF('L HAY LES ROSES'!$A$7:$A$50,'ATHIS MONS'!G16))+(COUNTIF(RUNGIS!$A$7:$A$50,'ATHIS MONS'!G16))+(COUNTIF(SCEAUX!$A$7:$A$50,'ATHIS MONS'!G16))+(COUNTIF('INSTANCE C1'!$A$7:$A$50,'ATHIS MONS'!G16))+(COUNTIF('INSTANCE C2'!$A$7:$A$50,'ATHIS MONS'!G16))+(COUNTIF(INTERNES!$A$7:$A$50,'ATHIS MONS'!G16))+(COUNTIF('EN PANNE'!$A$7:$A$50,'ATHIS MONS'!G16))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R16" s="75"/>
      <c r="S16" s="60">
        <f t="shared" si="1"/>
        <v>0</v>
      </c>
      <c r="T16" s="67">
        <f t="shared" si="2"/>
        <v>0</v>
      </c>
    </row>
    <row r="17" spans="1:20" ht="24.95" customHeight="1" x14ac:dyDescent="0.2">
      <c r="A17" s="20"/>
      <c r="B17" s="23">
        <f>(COUNTIF('2S EXPRESS'!$A$7:$A$50,'ATHIS MONS'!A17))+(COUNTIF('2 ZT'!$A$7:$A$50,'ATHIS MONS'!A17))+(COUNTIF('GO TRANSPORT'!$A$7:$A$50,'ATHIS MONS'!A17))+(COUNTIF('HMZ - KAIS'!$A$7:$A$50,'ATHIS MONS'!A17))+(COUNTIF('IB TRANSPORT'!$A$7:$A$50,'ATHIS MONS'!A17))+(COUNTIF(JSL!$A$7:$A$50,'ATHIS MONS'!A17))+(COUNTIF(KIFAITOUT!$A$7:$A$50,'ATHIS MONS'!A17))+(COUNTIF('LUXE DRIVE'!$A$7:$A$50,'ATHIS MONS'!A17))+(COUNTIF(SSN!$A$7:$A$50,'ATHIS MONS'!A17))+(COUNTIF('W3'!$A$7:$A$50,'ATHIS MONS'!A17))+(COUNTIF('ATHIS MONS'!$A$7:$A$50,'ATHIS MONS'!A17))+(COUNTIF('L HAY LES ROSES'!$A$7:$A$50,'ATHIS MONS'!A17))+(COUNTIF(RUNGIS!$A$7:$A$50,'ATHIS MONS'!A17))+(COUNTIF(SCEAUX!$A$7:$A$50,'ATHIS MONS'!A17))+(COUNTIF('INSTANCE C1'!$A$7:$A$50,'ATHIS MONS'!A17))+(COUNTIF('INSTANCE C2'!$A$7:$A$50,'ATHIS MONS'!A17))+(COUNTIF(INTERNES!$A$7:$A$50,'ATHIS MONS'!A17))+(COUNTIF('EN PANNE'!$A$7:$A$50,'ATHIS MONS'!A17))-C17</f>
        <v>0</v>
      </c>
      <c r="C17" s="23">
        <f>(COUNTIF('2S EXPRESS'!$G$7:$G$50,'ATHIS MONS'!A17))+(COUNTIF('2 ZT'!$G$7:$G$50,'ATHIS MONS'!A17))+(COUNTIF('GO TRANSPORT'!$G$7:$G$50,'ATHIS MONS'!A17))+(COUNTIF('ATHIS MONS'!$G$7:$G$50,'ATHIS MONS'!A17))+(COUNTIF('IB TRANSPORT'!$G$7:$G$50,'ATHIS MONS'!A17))+(COUNTIF(JSL!$G$7:$G$50,'ATHIS MONS'!A17))+(COUNTIF(KIFAITOUT!$G$7:$G$50,'ATHIS MONS'!A17))+(COUNTIF('LUXE DRIVE'!$G$7:$G$50,'ATHIS MONS'!A17))+(COUNTIF(SSN!$G$7:$G$50,'ATHIS MONS'!A17))+(COUNTIF('W3'!$G$7:$G$50,'ATHIS MONS'!A17))+(COUNTIF('ATHIS MONS'!$G$7:$G$50,'ATHIS MONS'!A17))+(COUNTIF('L HAY LES ROSES'!$G$7:$G$50,'ATHIS MONS'!A17))+(COUNTIF(RUNGIS!$G$7:$G$50,'ATHIS MONS'!A17))+(COUNTIF(SCEAUX!$G$7:$G$50,'ATHIS MONS'!A17))+(COUNTIF('INSTANCE C1'!$G$7:$G$50,'ATHIS MONS'!A17))+(COUNTIF('INSTANCE C2'!$G$7:$G$50,'ATHIS MONS'!A17))+(COUNTIF(INTERNES!$G$7:$G$50,'ATHIS MONS'!A17))+(COUNTIF('EN PANNE'!$G$7:$G$50,'ATHIS MONS'!A17))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EXPRESS'!$G$7:$G$50,'ATHIS MONS'!G17))+(COUNTIF('2 ZT'!$G$7:$G$50,'ATHIS MONS'!G17))+(COUNTIF('GO TRANSPORT'!$G$7:$G$50,'ATHIS MONS'!G17))+(COUNTIF('HMZ - KAIS'!$G$7:$G$50,'ATHIS MONS'!G17))+(COUNTIF('IB TRANSPORT'!$G$7:$G$50,'ATHIS MONS'!G17))+(COUNTIF(JSL!$G$7:$G$50,'ATHIS MONS'!G17))+(COUNTIF(KIFAITOUT!$G$7:$G$50,'ATHIS MONS'!G17))+(COUNTIF('LUXE DRIVE'!$G$7:$G$50,'ATHIS MONS'!G17))+(COUNTIF(SSN!$G$7:$G$50,'ATHIS MONS'!G17))+(COUNTIF('W3'!$G$7:$G$50,'ATHIS MONS'!G17))+(COUNTIF('ATHIS MONS'!$G$7:$G$50,'ATHIS MONS'!G17))+(COUNTIF('L HAY LES ROSES'!$G$7:$G$50,'ATHIS MONS'!G17))+(COUNTIF(RUNGIS!$G$7:$G$50,'ATHIS MONS'!G17))+(COUNTIF(SCEAUX!$G$7:$G$50,'ATHIS MONS'!G17))+(COUNTIF('INSTANCE C1'!$G$7:$G$50,'ATHIS MONS'!G17))+(COUNTIF('INSTANCE C2'!$G$7:$G$50,'ATHIS MONS'!G17))+(COUNTIF(INTERNES!$G$7:$G$50,'ATHIS MONS'!G17))+(COUNTIF('EN PANNE'!$G$7:$G$50,'ATHIS MONS'!G17))-I17</f>
        <v>0</v>
      </c>
      <c r="I17" s="23">
        <f>(COUNTIF('2S EXPRESS'!$A$7:$A$50,'ATHIS MONS'!G17))+(COUNTIF('2 ZT'!$A$7:$A$50,'ATHIS MONS'!G17))+(COUNTIF('GO TRANSPORT'!$A$7:$A$50,'ATHIS MONS'!G17))+(COUNTIF('HMZ - KAIS'!$A$7:$A$50,'ATHIS MONS'!G17))+(COUNTIF('IB TRANSPORT'!$A$7:$A$50,'ATHIS MONS'!G17))+(COUNTIF(JSL!$A$7:$A$50,'ATHIS MONS'!G17))+(COUNTIF(KIFAITOUT!$A$7:$A$50,'ATHIS MONS'!G17))+(COUNTIF('LUXE DRIVE'!$A$7:$A$50,'ATHIS MONS'!G17))+(COUNTIF(SSN!$A$7:$A$50,'ATHIS MONS'!G17))+(COUNTIF('W3'!$A$7:$A$50,'ATHIS MONS'!G17))+(COUNTIF('ATHIS MONS'!$A$7:$A$50,'ATHIS MONS'!G17))+(COUNTIF('L HAY LES ROSES'!$A$7:$A$50,'ATHIS MONS'!G17))+(COUNTIF(RUNGIS!$A$7:$A$50,'ATHIS MONS'!G17))+(COUNTIF(SCEAUX!$A$7:$A$50,'ATHIS MONS'!G17))+(COUNTIF('INSTANCE C1'!$A$7:$A$50,'ATHIS MONS'!G17))+(COUNTIF('INSTANCE C2'!$A$7:$A$50,'ATHIS MONS'!G17))+(COUNTIF(INTERNES!$A$7:$A$50,'ATHIS MONS'!G17))+(COUNTIF('EN PANNE'!$A$7:$A$50,'ATHIS MONS'!G17))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R17" s="75"/>
      <c r="S17" s="60">
        <f t="shared" si="1"/>
        <v>0</v>
      </c>
      <c r="T17" s="67">
        <f t="shared" si="2"/>
        <v>0</v>
      </c>
    </row>
    <row r="18" spans="1:20" ht="24.95" customHeight="1" x14ac:dyDescent="0.2">
      <c r="A18" s="20"/>
      <c r="B18" s="23">
        <f>(COUNTIF('2S EXPRESS'!$A$7:$A$50,'ATHIS MONS'!A18))+(COUNTIF('2 ZT'!$A$7:$A$50,'ATHIS MONS'!A18))+(COUNTIF('GO TRANSPORT'!$A$7:$A$50,'ATHIS MONS'!A18))+(COUNTIF('HMZ - KAIS'!$A$7:$A$50,'ATHIS MONS'!A18))+(COUNTIF('IB TRANSPORT'!$A$7:$A$50,'ATHIS MONS'!A18))+(COUNTIF(JSL!$A$7:$A$50,'ATHIS MONS'!A18))+(COUNTIF(KIFAITOUT!$A$7:$A$50,'ATHIS MONS'!A18))+(COUNTIF('LUXE DRIVE'!$A$7:$A$50,'ATHIS MONS'!A18))+(COUNTIF(SSN!$A$7:$A$50,'ATHIS MONS'!A18))+(COUNTIF('W3'!$A$7:$A$50,'ATHIS MONS'!A18))+(COUNTIF('ATHIS MONS'!$A$7:$A$50,'ATHIS MONS'!A18))+(COUNTIF('L HAY LES ROSES'!$A$7:$A$50,'ATHIS MONS'!A18))+(COUNTIF(RUNGIS!$A$7:$A$50,'ATHIS MONS'!A18))+(COUNTIF(SCEAUX!$A$7:$A$50,'ATHIS MONS'!A18))+(COUNTIF('INSTANCE C1'!$A$7:$A$50,'ATHIS MONS'!A18))+(COUNTIF('INSTANCE C2'!$A$7:$A$50,'ATHIS MONS'!A18))+(COUNTIF(INTERNES!$A$7:$A$50,'ATHIS MONS'!A18))+(COUNTIF('EN PANNE'!$A$7:$A$50,'ATHIS MONS'!A18))-C18</f>
        <v>0</v>
      </c>
      <c r="C18" s="23">
        <f>(COUNTIF('2S EXPRESS'!$G$7:$G$50,'ATHIS MONS'!A18))+(COUNTIF('2 ZT'!$G$7:$G$50,'ATHIS MONS'!A18))+(COUNTIF('GO TRANSPORT'!$G$7:$G$50,'ATHIS MONS'!A18))+(COUNTIF('ATHIS MONS'!$G$7:$G$50,'ATHIS MONS'!A18))+(COUNTIF('IB TRANSPORT'!$G$7:$G$50,'ATHIS MONS'!A18))+(COUNTIF(JSL!$G$7:$G$50,'ATHIS MONS'!A18))+(COUNTIF(KIFAITOUT!$G$7:$G$50,'ATHIS MONS'!A18))+(COUNTIF('LUXE DRIVE'!$G$7:$G$50,'ATHIS MONS'!A18))+(COUNTIF(SSN!$G$7:$G$50,'ATHIS MONS'!A18))+(COUNTIF('W3'!$G$7:$G$50,'ATHIS MONS'!A18))+(COUNTIF('ATHIS MONS'!$G$7:$G$50,'ATHIS MONS'!A18))+(COUNTIF('L HAY LES ROSES'!$G$7:$G$50,'ATHIS MONS'!A18))+(COUNTIF(RUNGIS!$G$7:$G$50,'ATHIS MONS'!A18))+(COUNTIF(SCEAUX!$G$7:$G$50,'ATHIS MONS'!A18))+(COUNTIF('INSTANCE C1'!$G$7:$G$50,'ATHIS MONS'!A18))+(COUNTIF('INSTANCE C2'!$G$7:$G$50,'ATHIS MONS'!A18))+(COUNTIF(INTERNES!$G$7:$G$50,'ATHIS MONS'!A18))+(COUNTIF('EN PANNE'!$G$7:$G$50,'ATHIS MONS'!A18))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EXPRESS'!$G$7:$G$50,'ATHIS MONS'!G18))+(COUNTIF('2 ZT'!$G$7:$G$50,'ATHIS MONS'!G18))+(COUNTIF('GO TRANSPORT'!$G$7:$G$50,'ATHIS MONS'!G18))+(COUNTIF('HMZ - KAIS'!$G$7:$G$50,'ATHIS MONS'!G18))+(COUNTIF('IB TRANSPORT'!$G$7:$G$50,'ATHIS MONS'!G18))+(COUNTIF(JSL!$G$7:$G$50,'ATHIS MONS'!G18))+(COUNTIF(KIFAITOUT!$G$7:$G$50,'ATHIS MONS'!G18))+(COUNTIF('LUXE DRIVE'!$G$7:$G$50,'ATHIS MONS'!G18))+(COUNTIF(SSN!$G$7:$G$50,'ATHIS MONS'!G18))+(COUNTIF('W3'!$G$7:$G$50,'ATHIS MONS'!G18))+(COUNTIF('ATHIS MONS'!$G$7:$G$50,'ATHIS MONS'!G18))+(COUNTIF('L HAY LES ROSES'!$G$7:$G$50,'ATHIS MONS'!G18))+(COUNTIF(RUNGIS!$G$7:$G$50,'ATHIS MONS'!G18))+(COUNTIF(SCEAUX!$G$7:$G$50,'ATHIS MONS'!G18))+(COUNTIF('INSTANCE C1'!$G$7:$G$50,'ATHIS MONS'!G18))+(COUNTIF('INSTANCE C2'!$G$7:$G$50,'ATHIS MONS'!G18))+(COUNTIF(INTERNES!$G$7:$G$50,'ATHIS MONS'!G18))+(COUNTIF('EN PANNE'!$G$7:$G$50,'ATHIS MONS'!G18))-I18</f>
        <v>0</v>
      </c>
      <c r="I18" s="23">
        <f>(COUNTIF('2S EXPRESS'!$A$7:$A$50,'ATHIS MONS'!G18))+(COUNTIF('2 ZT'!$A$7:$A$50,'ATHIS MONS'!G18))+(COUNTIF('GO TRANSPORT'!$A$7:$A$50,'ATHIS MONS'!G18))+(COUNTIF('HMZ - KAIS'!$A$7:$A$50,'ATHIS MONS'!G18))+(COUNTIF('IB TRANSPORT'!$A$7:$A$50,'ATHIS MONS'!G18))+(COUNTIF(JSL!$A$7:$A$50,'ATHIS MONS'!G18))+(COUNTIF(KIFAITOUT!$A$7:$A$50,'ATHIS MONS'!G18))+(COUNTIF('LUXE DRIVE'!$A$7:$A$50,'ATHIS MONS'!G18))+(COUNTIF(SSN!$A$7:$A$50,'ATHIS MONS'!G18))+(COUNTIF('W3'!$A$7:$A$50,'ATHIS MONS'!G18))+(COUNTIF('ATHIS MONS'!$A$7:$A$50,'ATHIS MONS'!G18))+(COUNTIF('L HAY LES ROSES'!$A$7:$A$50,'ATHIS MONS'!G18))+(COUNTIF(RUNGIS!$A$7:$A$50,'ATHIS MONS'!G18))+(COUNTIF(SCEAUX!$A$7:$A$50,'ATHIS MONS'!G18))+(COUNTIF('INSTANCE C1'!$A$7:$A$50,'ATHIS MONS'!G18))+(COUNTIF('INSTANCE C2'!$A$7:$A$50,'ATHIS MONS'!G18))+(COUNTIF(INTERNES!$A$7:$A$50,'ATHIS MONS'!G18))+(COUNTIF('EN PANNE'!$A$7:$A$50,'ATHIS MONS'!G18))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R18" s="75"/>
      <c r="S18" s="60">
        <f t="shared" si="1"/>
        <v>0</v>
      </c>
      <c r="T18" s="67">
        <f t="shared" si="2"/>
        <v>0</v>
      </c>
    </row>
    <row r="19" spans="1:20" ht="24.95" customHeight="1" x14ac:dyDescent="0.2">
      <c r="A19" s="20"/>
      <c r="B19" s="23">
        <f>(COUNTIF('2S EXPRESS'!$A$7:$A$50,'ATHIS MONS'!A19))+(COUNTIF('2 ZT'!$A$7:$A$50,'ATHIS MONS'!A19))+(COUNTIF('GO TRANSPORT'!$A$7:$A$50,'ATHIS MONS'!A19))+(COUNTIF('HMZ - KAIS'!$A$7:$A$50,'ATHIS MONS'!A19))+(COUNTIF('IB TRANSPORT'!$A$7:$A$50,'ATHIS MONS'!A19))+(COUNTIF(JSL!$A$7:$A$50,'ATHIS MONS'!A19))+(COUNTIF(KIFAITOUT!$A$7:$A$50,'ATHIS MONS'!A19))+(COUNTIF('LUXE DRIVE'!$A$7:$A$50,'ATHIS MONS'!A19))+(COUNTIF(SSN!$A$7:$A$50,'ATHIS MONS'!A19))+(COUNTIF('W3'!$A$7:$A$50,'ATHIS MONS'!A19))+(COUNTIF('ATHIS MONS'!$A$7:$A$50,'ATHIS MONS'!A19))+(COUNTIF('L HAY LES ROSES'!$A$7:$A$50,'ATHIS MONS'!A19))+(COUNTIF(RUNGIS!$A$7:$A$50,'ATHIS MONS'!A19))+(COUNTIF(SCEAUX!$A$7:$A$50,'ATHIS MONS'!A19))+(COUNTIF('INSTANCE C1'!$A$7:$A$50,'ATHIS MONS'!A19))+(COUNTIF('INSTANCE C2'!$A$7:$A$50,'ATHIS MONS'!A19))+(COUNTIF(INTERNES!$A$7:$A$50,'ATHIS MONS'!A19))+(COUNTIF('EN PANNE'!$A$7:$A$50,'ATHIS MONS'!A19))-C19</f>
        <v>0</v>
      </c>
      <c r="C19" s="23">
        <f>(COUNTIF('2S EXPRESS'!$G$7:$G$50,'ATHIS MONS'!A19))+(COUNTIF('2 ZT'!$G$7:$G$50,'ATHIS MONS'!A19))+(COUNTIF('GO TRANSPORT'!$G$7:$G$50,'ATHIS MONS'!A19))+(COUNTIF('ATHIS MONS'!$G$7:$G$50,'ATHIS MONS'!A19))+(COUNTIF('IB TRANSPORT'!$G$7:$G$50,'ATHIS MONS'!A19))+(COUNTIF(JSL!$G$7:$G$50,'ATHIS MONS'!A19))+(COUNTIF(KIFAITOUT!$G$7:$G$50,'ATHIS MONS'!A19))+(COUNTIF('LUXE DRIVE'!$G$7:$G$50,'ATHIS MONS'!A19))+(COUNTIF(SSN!$G$7:$G$50,'ATHIS MONS'!A19))+(COUNTIF('W3'!$G$7:$G$50,'ATHIS MONS'!A19))+(COUNTIF('ATHIS MONS'!$G$7:$G$50,'ATHIS MONS'!A19))+(COUNTIF('L HAY LES ROSES'!$G$7:$G$50,'ATHIS MONS'!A19))+(COUNTIF(RUNGIS!$G$7:$G$50,'ATHIS MONS'!A19))+(COUNTIF(SCEAUX!$G$7:$G$50,'ATHIS MONS'!A19))+(COUNTIF('INSTANCE C1'!$G$7:$G$50,'ATHIS MONS'!A19))+(COUNTIF('INSTANCE C2'!$G$7:$G$50,'ATHIS MONS'!A19))+(COUNTIF(INTERNES!$G$7:$G$50,'ATHIS MONS'!A19))+(COUNTIF('EN PANNE'!$G$7:$G$50,'ATHIS MONS'!A19))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EXPRESS'!$G$7:$G$50,'ATHIS MONS'!G19))+(COUNTIF('2 ZT'!$G$7:$G$50,'ATHIS MONS'!G19))+(COUNTIF('GO TRANSPORT'!$G$7:$G$50,'ATHIS MONS'!G19))+(COUNTIF('HMZ - KAIS'!$G$7:$G$50,'ATHIS MONS'!G19))+(COUNTIF('IB TRANSPORT'!$G$7:$G$50,'ATHIS MONS'!G19))+(COUNTIF(JSL!$G$7:$G$50,'ATHIS MONS'!G19))+(COUNTIF(KIFAITOUT!$G$7:$G$50,'ATHIS MONS'!G19))+(COUNTIF('LUXE DRIVE'!$G$7:$G$50,'ATHIS MONS'!G19))+(COUNTIF(SSN!$G$7:$G$50,'ATHIS MONS'!G19))+(COUNTIF('W3'!$G$7:$G$50,'ATHIS MONS'!G19))+(COUNTIF('ATHIS MONS'!$G$7:$G$50,'ATHIS MONS'!G19))+(COUNTIF('L HAY LES ROSES'!$G$7:$G$50,'ATHIS MONS'!G19))+(COUNTIF(RUNGIS!$G$7:$G$50,'ATHIS MONS'!G19))+(COUNTIF(SCEAUX!$G$7:$G$50,'ATHIS MONS'!G19))+(COUNTIF('INSTANCE C1'!$G$7:$G$50,'ATHIS MONS'!G19))+(COUNTIF('INSTANCE C2'!$G$7:$G$50,'ATHIS MONS'!G19))+(COUNTIF(INTERNES!$G$7:$G$50,'ATHIS MONS'!G19))+(COUNTIF('EN PANNE'!$G$7:$G$50,'ATHIS MONS'!G19))-I19</f>
        <v>0</v>
      </c>
      <c r="I19" s="23">
        <f>(COUNTIF('2S EXPRESS'!$A$7:$A$50,'ATHIS MONS'!G19))+(COUNTIF('2 ZT'!$A$7:$A$50,'ATHIS MONS'!G19))+(COUNTIF('GO TRANSPORT'!$A$7:$A$50,'ATHIS MONS'!G19))+(COUNTIF('HMZ - KAIS'!$A$7:$A$50,'ATHIS MONS'!G19))+(COUNTIF('IB TRANSPORT'!$A$7:$A$50,'ATHIS MONS'!G19))+(COUNTIF(JSL!$A$7:$A$50,'ATHIS MONS'!G19))+(COUNTIF(KIFAITOUT!$A$7:$A$50,'ATHIS MONS'!G19))+(COUNTIF('LUXE DRIVE'!$A$7:$A$50,'ATHIS MONS'!G19))+(COUNTIF(SSN!$A$7:$A$50,'ATHIS MONS'!G19))+(COUNTIF('W3'!$A$7:$A$50,'ATHIS MONS'!G19))+(COUNTIF('ATHIS MONS'!$A$7:$A$50,'ATHIS MONS'!G19))+(COUNTIF('L HAY LES ROSES'!$A$7:$A$50,'ATHIS MONS'!G19))+(COUNTIF(RUNGIS!$A$7:$A$50,'ATHIS MONS'!G19))+(COUNTIF(SCEAUX!$A$7:$A$50,'ATHIS MONS'!G19))+(COUNTIF('INSTANCE C1'!$A$7:$A$50,'ATHIS MONS'!G19))+(COUNTIF('INSTANCE C2'!$A$7:$A$50,'ATHIS MONS'!G19))+(COUNTIF(INTERNES!$A$7:$A$50,'ATHIS MONS'!G19))+(COUNTIF('EN PANNE'!$A$7:$A$50,'ATHIS MONS'!G19))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R19" s="75"/>
      <c r="S19" s="60">
        <f t="shared" si="1"/>
        <v>0</v>
      </c>
      <c r="T19" s="67">
        <f t="shared" si="2"/>
        <v>0</v>
      </c>
    </row>
    <row r="20" spans="1:20" ht="24.95" customHeight="1" x14ac:dyDescent="0.2">
      <c r="A20" s="20"/>
      <c r="B20" s="23">
        <f>(COUNTIF('2S EXPRESS'!$A$7:$A$50,'ATHIS MONS'!A20))+(COUNTIF('2 ZT'!$A$7:$A$50,'ATHIS MONS'!A20))+(COUNTIF('GO TRANSPORT'!$A$7:$A$50,'ATHIS MONS'!A20))+(COUNTIF('HMZ - KAIS'!$A$7:$A$50,'ATHIS MONS'!A20))+(COUNTIF('IB TRANSPORT'!$A$7:$A$50,'ATHIS MONS'!A20))+(COUNTIF(JSL!$A$7:$A$50,'ATHIS MONS'!A20))+(COUNTIF(KIFAITOUT!$A$7:$A$50,'ATHIS MONS'!A20))+(COUNTIF('LUXE DRIVE'!$A$7:$A$50,'ATHIS MONS'!A20))+(COUNTIF(SSN!$A$7:$A$50,'ATHIS MONS'!A20))+(COUNTIF('W3'!$A$7:$A$50,'ATHIS MONS'!A20))+(COUNTIF('ATHIS MONS'!$A$7:$A$50,'ATHIS MONS'!A20))+(COUNTIF('L HAY LES ROSES'!$A$7:$A$50,'ATHIS MONS'!A20))+(COUNTIF(RUNGIS!$A$7:$A$50,'ATHIS MONS'!A20))+(COUNTIF(SCEAUX!$A$7:$A$50,'ATHIS MONS'!A20))+(COUNTIF('INSTANCE C1'!$A$7:$A$50,'ATHIS MONS'!A20))+(COUNTIF('INSTANCE C2'!$A$7:$A$50,'ATHIS MONS'!A20))+(COUNTIF(INTERNES!$A$7:$A$50,'ATHIS MONS'!A20))+(COUNTIF('EN PANNE'!$A$7:$A$50,'ATHIS MONS'!A20))-C20</f>
        <v>0</v>
      </c>
      <c r="C20" s="23">
        <f>(COUNTIF('2S EXPRESS'!$G$7:$G$50,'ATHIS MONS'!A20))+(COUNTIF('2 ZT'!$G$7:$G$50,'ATHIS MONS'!A20))+(COUNTIF('GO TRANSPORT'!$G$7:$G$50,'ATHIS MONS'!A20))+(COUNTIF('ATHIS MONS'!$G$7:$G$50,'ATHIS MONS'!A20))+(COUNTIF('IB TRANSPORT'!$G$7:$G$50,'ATHIS MONS'!A20))+(COUNTIF(JSL!$G$7:$G$50,'ATHIS MONS'!A20))+(COUNTIF(KIFAITOUT!$G$7:$G$50,'ATHIS MONS'!A20))+(COUNTIF('LUXE DRIVE'!$G$7:$G$50,'ATHIS MONS'!A20))+(COUNTIF(SSN!$G$7:$G$50,'ATHIS MONS'!A20))+(COUNTIF('W3'!$G$7:$G$50,'ATHIS MONS'!A20))+(COUNTIF('ATHIS MONS'!$G$7:$G$50,'ATHIS MONS'!A20))+(COUNTIF('L HAY LES ROSES'!$G$7:$G$50,'ATHIS MONS'!A20))+(COUNTIF(RUNGIS!$G$7:$G$50,'ATHIS MONS'!A20))+(COUNTIF(SCEAUX!$G$7:$G$50,'ATHIS MONS'!A20))+(COUNTIF('INSTANCE C1'!$G$7:$G$50,'ATHIS MONS'!A20))+(COUNTIF('INSTANCE C2'!$G$7:$G$50,'ATHIS MONS'!A20))+(COUNTIF(INTERNES!$G$7:$G$50,'ATHIS MONS'!A20))+(COUNTIF('EN PANNE'!$G$7:$G$50,'ATHIS MONS'!A20))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EXPRESS'!$G$7:$G$50,'ATHIS MONS'!G20))+(COUNTIF('2 ZT'!$G$7:$G$50,'ATHIS MONS'!G20))+(COUNTIF('GO TRANSPORT'!$G$7:$G$50,'ATHIS MONS'!G20))+(COUNTIF('HMZ - KAIS'!$G$7:$G$50,'ATHIS MONS'!G20))+(COUNTIF('IB TRANSPORT'!$G$7:$G$50,'ATHIS MONS'!G20))+(COUNTIF(JSL!$G$7:$G$50,'ATHIS MONS'!G20))+(COUNTIF(KIFAITOUT!$G$7:$G$50,'ATHIS MONS'!G20))+(COUNTIF('LUXE DRIVE'!$G$7:$G$50,'ATHIS MONS'!G20))+(COUNTIF(SSN!$G$7:$G$50,'ATHIS MONS'!G20))+(COUNTIF('W3'!$G$7:$G$50,'ATHIS MONS'!G20))+(COUNTIF('ATHIS MONS'!$G$7:$G$50,'ATHIS MONS'!G20))+(COUNTIF('L HAY LES ROSES'!$G$7:$G$50,'ATHIS MONS'!G20))+(COUNTIF(RUNGIS!$G$7:$G$50,'ATHIS MONS'!G20))+(COUNTIF(SCEAUX!$G$7:$G$50,'ATHIS MONS'!G20))+(COUNTIF('INSTANCE C1'!$G$7:$G$50,'ATHIS MONS'!G20))+(COUNTIF('INSTANCE C2'!$G$7:$G$50,'ATHIS MONS'!G20))+(COUNTIF(INTERNES!$G$7:$G$50,'ATHIS MONS'!G20))+(COUNTIF('EN PANNE'!$G$7:$G$50,'ATHIS MONS'!G20))-I20</f>
        <v>0</v>
      </c>
      <c r="I20" s="23">
        <f>(COUNTIF('2S EXPRESS'!$A$7:$A$50,'ATHIS MONS'!G20))+(COUNTIF('2 ZT'!$A$7:$A$50,'ATHIS MONS'!G20))+(COUNTIF('GO TRANSPORT'!$A$7:$A$50,'ATHIS MONS'!G20))+(COUNTIF('HMZ - KAIS'!$A$7:$A$50,'ATHIS MONS'!G20))+(COUNTIF('IB TRANSPORT'!$A$7:$A$50,'ATHIS MONS'!G20))+(COUNTIF(JSL!$A$7:$A$50,'ATHIS MONS'!G20))+(COUNTIF(KIFAITOUT!$A$7:$A$50,'ATHIS MONS'!G20))+(COUNTIF('LUXE DRIVE'!$A$7:$A$50,'ATHIS MONS'!G20))+(COUNTIF(SSN!$A$7:$A$50,'ATHIS MONS'!G20))+(COUNTIF('W3'!$A$7:$A$50,'ATHIS MONS'!G20))+(COUNTIF('ATHIS MONS'!$A$7:$A$50,'ATHIS MONS'!G20))+(COUNTIF('L HAY LES ROSES'!$A$7:$A$50,'ATHIS MONS'!G20))+(COUNTIF(RUNGIS!$A$7:$A$50,'ATHIS MONS'!G20))+(COUNTIF(SCEAUX!$A$7:$A$50,'ATHIS MONS'!G20))+(COUNTIF('INSTANCE C1'!$A$7:$A$50,'ATHIS MONS'!G20))+(COUNTIF('INSTANCE C2'!$A$7:$A$50,'ATHIS MONS'!G20))+(COUNTIF(INTERNES!$A$7:$A$50,'ATHIS MONS'!G20))+(COUNTIF('EN PANNE'!$A$7:$A$50,'ATHIS MONS'!G20))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R20" s="75"/>
      <c r="S20" s="60">
        <f t="shared" si="1"/>
        <v>0</v>
      </c>
      <c r="T20" s="67">
        <f t="shared" si="2"/>
        <v>0</v>
      </c>
    </row>
    <row r="21" spans="1:20" ht="24.95" customHeight="1" x14ac:dyDescent="0.2">
      <c r="A21" s="20"/>
      <c r="B21" s="23">
        <f>(COUNTIF('2S EXPRESS'!$A$7:$A$50,'ATHIS MONS'!A21))+(COUNTIF('2 ZT'!$A$7:$A$50,'ATHIS MONS'!A21))+(COUNTIF('GO TRANSPORT'!$A$7:$A$50,'ATHIS MONS'!A21))+(COUNTIF('HMZ - KAIS'!$A$7:$A$50,'ATHIS MONS'!A21))+(COUNTIF('IB TRANSPORT'!$A$7:$A$50,'ATHIS MONS'!A21))+(COUNTIF(JSL!$A$7:$A$50,'ATHIS MONS'!A21))+(COUNTIF(KIFAITOUT!$A$7:$A$50,'ATHIS MONS'!A21))+(COUNTIF('LUXE DRIVE'!$A$7:$A$50,'ATHIS MONS'!A21))+(COUNTIF(SSN!$A$7:$A$50,'ATHIS MONS'!A21))+(COUNTIF('W3'!$A$7:$A$50,'ATHIS MONS'!A21))+(COUNTIF('ATHIS MONS'!$A$7:$A$50,'ATHIS MONS'!A21))+(COUNTIF('L HAY LES ROSES'!$A$7:$A$50,'ATHIS MONS'!A21))+(COUNTIF(RUNGIS!$A$7:$A$50,'ATHIS MONS'!A21))+(COUNTIF(SCEAUX!$A$7:$A$50,'ATHIS MONS'!A21))+(COUNTIF('INSTANCE C1'!$A$7:$A$50,'ATHIS MONS'!A21))+(COUNTIF('INSTANCE C2'!$A$7:$A$50,'ATHIS MONS'!A21))+(COUNTIF(INTERNES!$A$7:$A$50,'ATHIS MONS'!A21))+(COUNTIF('EN PANNE'!$A$7:$A$50,'ATHIS MONS'!A21))-C21</f>
        <v>0</v>
      </c>
      <c r="C21" s="23">
        <f>(COUNTIF('2S EXPRESS'!$G$7:$G$50,'ATHIS MONS'!A21))+(COUNTIF('2 ZT'!$G$7:$G$50,'ATHIS MONS'!A21))+(COUNTIF('GO TRANSPORT'!$G$7:$G$50,'ATHIS MONS'!A21))+(COUNTIF('ATHIS MONS'!$G$7:$G$50,'ATHIS MONS'!A21))+(COUNTIF('IB TRANSPORT'!$G$7:$G$50,'ATHIS MONS'!A21))+(COUNTIF(JSL!$G$7:$G$50,'ATHIS MONS'!A21))+(COUNTIF(KIFAITOUT!$G$7:$G$50,'ATHIS MONS'!A21))+(COUNTIF('LUXE DRIVE'!$G$7:$G$50,'ATHIS MONS'!A21))+(COUNTIF(SSN!$G$7:$G$50,'ATHIS MONS'!A21))+(COUNTIF('W3'!$G$7:$G$50,'ATHIS MONS'!A21))+(COUNTIF('ATHIS MONS'!$G$7:$G$50,'ATHIS MONS'!A21))+(COUNTIF('L HAY LES ROSES'!$G$7:$G$50,'ATHIS MONS'!A21))+(COUNTIF(RUNGIS!$G$7:$G$50,'ATHIS MONS'!A21))+(COUNTIF(SCEAUX!$G$7:$G$50,'ATHIS MONS'!A21))+(COUNTIF('INSTANCE C1'!$G$7:$G$50,'ATHIS MONS'!A21))+(COUNTIF('INSTANCE C2'!$G$7:$G$50,'ATHIS MONS'!A21))+(COUNTIF(INTERNES!$G$7:$G$50,'ATHIS MONS'!A21))+(COUNTIF('EN PANNE'!$G$7:$G$50,'ATHIS MONS'!A21))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EXPRESS'!$G$7:$G$50,'ATHIS MONS'!G21))+(COUNTIF('2 ZT'!$G$7:$G$50,'ATHIS MONS'!G21))+(COUNTIF('GO TRANSPORT'!$G$7:$G$50,'ATHIS MONS'!G21))+(COUNTIF('HMZ - KAIS'!$G$7:$G$50,'ATHIS MONS'!G21))+(COUNTIF('IB TRANSPORT'!$G$7:$G$50,'ATHIS MONS'!G21))+(COUNTIF(JSL!$G$7:$G$50,'ATHIS MONS'!G21))+(COUNTIF(KIFAITOUT!$G$7:$G$50,'ATHIS MONS'!G21))+(COUNTIF('LUXE DRIVE'!$G$7:$G$50,'ATHIS MONS'!G21))+(COUNTIF(SSN!$G$7:$G$50,'ATHIS MONS'!G21))+(COUNTIF('W3'!$G$7:$G$50,'ATHIS MONS'!G21))+(COUNTIF('ATHIS MONS'!$G$7:$G$50,'ATHIS MONS'!G21))+(COUNTIF('L HAY LES ROSES'!$G$7:$G$50,'ATHIS MONS'!G21))+(COUNTIF(RUNGIS!$G$7:$G$50,'ATHIS MONS'!G21))+(COUNTIF(SCEAUX!$G$7:$G$50,'ATHIS MONS'!G21))+(COUNTIF('INSTANCE C1'!$G$7:$G$50,'ATHIS MONS'!G21))+(COUNTIF('INSTANCE C2'!$G$7:$G$50,'ATHIS MONS'!G21))+(COUNTIF(INTERNES!$G$7:$G$50,'ATHIS MONS'!G21))+(COUNTIF('EN PANNE'!$G$7:$G$50,'ATHIS MONS'!G21))-I21</f>
        <v>0</v>
      </c>
      <c r="I21" s="23">
        <f>(COUNTIF('2S EXPRESS'!$A$7:$A$50,'ATHIS MONS'!G21))+(COUNTIF('2 ZT'!$A$7:$A$50,'ATHIS MONS'!G21))+(COUNTIF('GO TRANSPORT'!$A$7:$A$50,'ATHIS MONS'!G21))+(COUNTIF('HMZ - KAIS'!$A$7:$A$50,'ATHIS MONS'!G21))+(COUNTIF('IB TRANSPORT'!$A$7:$A$50,'ATHIS MONS'!G21))+(COUNTIF(JSL!$A$7:$A$50,'ATHIS MONS'!G21))+(COUNTIF(KIFAITOUT!$A$7:$A$50,'ATHIS MONS'!G21))+(COUNTIF('LUXE DRIVE'!$A$7:$A$50,'ATHIS MONS'!G21))+(COUNTIF(SSN!$A$7:$A$50,'ATHIS MONS'!G21))+(COUNTIF('W3'!$A$7:$A$50,'ATHIS MONS'!G21))+(COUNTIF('ATHIS MONS'!$A$7:$A$50,'ATHIS MONS'!G21))+(COUNTIF('L HAY LES ROSES'!$A$7:$A$50,'ATHIS MONS'!G21))+(COUNTIF(RUNGIS!$A$7:$A$50,'ATHIS MONS'!G21))+(COUNTIF(SCEAUX!$A$7:$A$50,'ATHIS MONS'!G21))+(COUNTIF('INSTANCE C1'!$A$7:$A$50,'ATHIS MONS'!G21))+(COUNTIF('INSTANCE C2'!$A$7:$A$50,'ATHIS MONS'!G21))+(COUNTIF(INTERNES!$A$7:$A$50,'ATHIS MONS'!G21))+(COUNTIF('EN PANNE'!$A$7:$A$50,'ATHIS MONS'!G21))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R21" s="75"/>
      <c r="S21" s="60">
        <f t="shared" si="1"/>
        <v>0</v>
      </c>
      <c r="T21" s="67">
        <f t="shared" si="2"/>
        <v>0</v>
      </c>
    </row>
    <row r="22" spans="1:20" ht="24.95" customHeight="1" x14ac:dyDescent="0.2">
      <c r="A22" s="20"/>
      <c r="B22" s="23">
        <f>(COUNTIF('2S EXPRESS'!$A$7:$A$50,'ATHIS MONS'!A22))+(COUNTIF('2 ZT'!$A$7:$A$50,'ATHIS MONS'!A22))+(COUNTIF('GO TRANSPORT'!$A$7:$A$50,'ATHIS MONS'!A22))+(COUNTIF('HMZ - KAIS'!$A$7:$A$50,'ATHIS MONS'!A22))+(COUNTIF('IB TRANSPORT'!$A$7:$A$50,'ATHIS MONS'!A22))+(COUNTIF(JSL!$A$7:$A$50,'ATHIS MONS'!A22))+(COUNTIF(KIFAITOUT!$A$7:$A$50,'ATHIS MONS'!A22))+(COUNTIF('LUXE DRIVE'!$A$7:$A$50,'ATHIS MONS'!A22))+(COUNTIF(SSN!$A$7:$A$50,'ATHIS MONS'!A22))+(COUNTIF('W3'!$A$7:$A$50,'ATHIS MONS'!A22))+(COUNTIF('ATHIS MONS'!$A$7:$A$50,'ATHIS MONS'!A22))+(COUNTIF('L HAY LES ROSES'!$A$7:$A$50,'ATHIS MONS'!A22))+(COUNTIF(RUNGIS!$A$7:$A$50,'ATHIS MONS'!A22))+(COUNTIF(SCEAUX!$A$7:$A$50,'ATHIS MONS'!A22))+(COUNTIF('INSTANCE C1'!$A$7:$A$50,'ATHIS MONS'!A22))+(COUNTIF('INSTANCE C2'!$A$7:$A$50,'ATHIS MONS'!A22))+(COUNTIF(INTERNES!$A$7:$A$50,'ATHIS MONS'!A22))+(COUNTIF('EN PANNE'!$A$7:$A$50,'ATHIS MONS'!A22))-C22</f>
        <v>0</v>
      </c>
      <c r="C22" s="23">
        <f>(COUNTIF('2S EXPRESS'!$G$7:$G$50,'ATHIS MONS'!A22))+(COUNTIF('2 ZT'!$G$7:$G$50,'ATHIS MONS'!A22))+(COUNTIF('GO TRANSPORT'!$G$7:$G$50,'ATHIS MONS'!A22))+(COUNTIF('ATHIS MONS'!$G$7:$G$50,'ATHIS MONS'!A22))+(COUNTIF('IB TRANSPORT'!$G$7:$G$50,'ATHIS MONS'!A22))+(COUNTIF(JSL!$G$7:$G$50,'ATHIS MONS'!A22))+(COUNTIF(KIFAITOUT!$G$7:$G$50,'ATHIS MONS'!A22))+(COUNTIF('LUXE DRIVE'!$G$7:$G$50,'ATHIS MONS'!A22))+(COUNTIF(SSN!$G$7:$G$50,'ATHIS MONS'!A22))+(COUNTIF('W3'!$G$7:$G$50,'ATHIS MONS'!A22))+(COUNTIF('ATHIS MONS'!$G$7:$G$50,'ATHIS MONS'!A22))+(COUNTIF('L HAY LES ROSES'!$G$7:$G$50,'ATHIS MONS'!A22))+(COUNTIF(RUNGIS!$G$7:$G$50,'ATHIS MONS'!A22))+(COUNTIF(SCEAUX!$G$7:$G$50,'ATHIS MONS'!A22))+(COUNTIF('INSTANCE C1'!$G$7:$G$50,'ATHIS MONS'!A22))+(COUNTIF('INSTANCE C2'!$G$7:$G$50,'ATHIS MONS'!A22))+(COUNTIF(INTERNES!$G$7:$G$50,'ATHIS MONS'!A22))+(COUNTIF('EN PANNE'!$G$7:$G$50,'ATHIS MONS'!A22))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EXPRESS'!$G$7:$G$50,'ATHIS MONS'!G22))+(COUNTIF('2 ZT'!$G$7:$G$50,'ATHIS MONS'!G22))+(COUNTIF('GO TRANSPORT'!$G$7:$G$50,'ATHIS MONS'!G22))+(COUNTIF('HMZ - KAIS'!$G$7:$G$50,'ATHIS MONS'!G22))+(COUNTIF('IB TRANSPORT'!$G$7:$G$50,'ATHIS MONS'!G22))+(COUNTIF(JSL!$G$7:$G$50,'ATHIS MONS'!G22))+(COUNTIF(KIFAITOUT!$G$7:$G$50,'ATHIS MONS'!G22))+(COUNTIF('LUXE DRIVE'!$G$7:$G$50,'ATHIS MONS'!G22))+(COUNTIF(SSN!$G$7:$G$50,'ATHIS MONS'!G22))+(COUNTIF('W3'!$G$7:$G$50,'ATHIS MONS'!G22))+(COUNTIF('ATHIS MONS'!$G$7:$G$50,'ATHIS MONS'!G22))+(COUNTIF('L HAY LES ROSES'!$G$7:$G$50,'ATHIS MONS'!G22))+(COUNTIF(RUNGIS!$G$7:$G$50,'ATHIS MONS'!G22))+(COUNTIF(SCEAUX!$G$7:$G$50,'ATHIS MONS'!G22))+(COUNTIF('INSTANCE C1'!$G$7:$G$50,'ATHIS MONS'!G22))+(COUNTIF('INSTANCE C2'!$G$7:$G$50,'ATHIS MONS'!G22))+(COUNTIF(INTERNES!$G$7:$G$50,'ATHIS MONS'!G22))+(COUNTIF('EN PANNE'!$G$7:$G$50,'ATHIS MONS'!G22))-I22</f>
        <v>0</v>
      </c>
      <c r="I22" s="23">
        <f>(COUNTIF('2S EXPRESS'!$A$7:$A$50,'ATHIS MONS'!G22))+(COUNTIF('2 ZT'!$A$7:$A$50,'ATHIS MONS'!G22))+(COUNTIF('GO TRANSPORT'!$A$7:$A$50,'ATHIS MONS'!G22))+(COUNTIF('HMZ - KAIS'!$A$7:$A$50,'ATHIS MONS'!G22))+(COUNTIF('IB TRANSPORT'!$A$7:$A$50,'ATHIS MONS'!G22))+(COUNTIF(JSL!$A$7:$A$50,'ATHIS MONS'!G22))+(COUNTIF(KIFAITOUT!$A$7:$A$50,'ATHIS MONS'!G22))+(COUNTIF('LUXE DRIVE'!$A$7:$A$50,'ATHIS MONS'!G22))+(COUNTIF(SSN!$A$7:$A$50,'ATHIS MONS'!G22))+(COUNTIF('W3'!$A$7:$A$50,'ATHIS MONS'!G22))+(COUNTIF('ATHIS MONS'!$A$7:$A$50,'ATHIS MONS'!G22))+(COUNTIF('L HAY LES ROSES'!$A$7:$A$50,'ATHIS MONS'!G22))+(COUNTIF(RUNGIS!$A$7:$A$50,'ATHIS MONS'!G22))+(COUNTIF(SCEAUX!$A$7:$A$50,'ATHIS MONS'!G22))+(COUNTIF('INSTANCE C1'!$A$7:$A$50,'ATHIS MONS'!G22))+(COUNTIF('INSTANCE C2'!$A$7:$A$50,'ATHIS MONS'!G22))+(COUNTIF(INTERNES!$A$7:$A$50,'ATHIS MONS'!G22))+(COUNTIF('EN PANNE'!$A$7:$A$50,'ATHIS MONS'!G22))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R22" s="75"/>
      <c r="S22" s="60">
        <f t="shared" si="1"/>
        <v>0</v>
      </c>
      <c r="T22" s="67">
        <f t="shared" si="2"/>
        <v>0</v>
      </c>
    </row>
    <row r="23" spans="1:20" ht="24.95" customHeight="1" x14ac:dyDescent="0.2">
      <c r="A23" s="20"/>
      <c r="B23" s="23">
        <f>(COUNTIF('2S EXPRESS'!$A$7:$A$50,'ATHIS MONS'!A23))+(COUNTIF('2 ZT'!$A$7:$A$50,'ATHIS MONS'!A23))+(COUNTIF('GO TRANSPORT'!$A$7:$A$50,'ATHIS MONS'!A23))+(COUNTIF('HMZ - KAIS'!$A$7:$A$50,'ATHIS MONS'!A23))+(COUNTIF('IB TRANSPORT'!$A$7:$A$50,'ATHIS MONS'!A23))+(COUNTIF(JSL!$A$7:$A$50,'ATHIS MONS'!A23))+(COUNTIF(KIFAITOUT!$A$7:$A$50,'ATHIS MONS'!A23))+(COUNTIF('LUXE DRIVE'!$A$7:$A$50,'ATHIS MONS'!A23))+(COUNTIF(SSN!$A$7:$A$50,'ATHIS MONS'!A23))+(COUNTIF('W3'!$A$7:$A$50,'ATHIS MONS'!A23))+(COUNTIF('ATHIS MONS'!$A$7:$A$50,'ATHIS MONS'!A23))+(COUNTIF('L HAY LES ROSES'!$A$7:$A$50,'ATHIS MONS'!A23))+(COUNTIF(RUNGIS!$A$7:$A$50,'ATHIS MONS'!A23))+(COUNTIF(SCEAUX!$A$7:$A$50,'ATHIS MONS'!A23))+(COUNTIF('INSTANCE C1'!$A$7:$A$50,'ATHIS MONS'!A23))+(COUNTIF('INSTANCE C2'!$A$7:$A$50,'ATHIS MONS'!A23))+(COUNTIF(INTERNES!$A$7:$A$50,'ATHIS MONS'!A23))+(COUNTIF('EN PANNE'!$A$7:$A$50,'ATHIS MONS'!A23))-C23</f>
        <v>0</v>
      </c>
      <c r="C23" s="23">
        <f>(COUNTIF('2S EXPRESS'!$G$7:$G$50,'ATHIS MONS'!A23))+(COUNTIF('2 ZT'!$G$7:$G$50,'ATHIS MONS'!A23))+(COUNTIF('GO TRANSPORT'!$G$7:$G$50,'ATHIS MONS'!A23))+(COUNTIF('ATHIS MONS'!$G$7:$G$50,'ATHIS MONS'!A23))+(COUNTIF('IB TRANSPORT'!$G$7:$G$50,'ATHIS MONS'!A23))+(COUNTIF(JSL!$G$7:$G$50,'ATHIS MONS'!A23))+(COUNTIF(KIFAITOUT!$G$7:$G$50,'ATHIS MONS'!A23))+(COUNTIF('LUXE DRIVE'!$G$7:$G$50,'ATHIS MONS'!A23))+(COUNTIF(SSN!$G$7:$G$50,'ATHIS MONS'!A23))+(COUNTIF('W3'!$G$7:$G$50,'ATHIS MONS'!A23))+(COUNTIF('ATHIS MONS'!$G$7:$G$50,'ATHIS MONS'!A23))+(COUNTIF('L HAY LES ROSES'!$G$7:$G$50,'ATHIS MONS'!A23))+(COUNTIF(RUNGIS!$G$7:$G$50,'ATHIS MONS'!A23))+(COUNTIF(SCEAUX!$G$7:$G$50,'ATHIS MONS'!A23))+(COUNTIF('INSTANCE C1'!$G$7:$G$50,'ATHIS MONS'!A23))+(COUNTIF('INSTANCE C2'!$G$7:$G$50,'ATHIS MONS'!A23))+(COUNTIF(INTERNES!$G$7:$G$50,'ATHIS MONS'!A23))+(COUNTIF('EN PANNE'!$G$7:$G$50,'ATHIS MONS'!A23))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EXPRESS'!$G$7:$G$50,'ATHIS MONS'!G23))+(COUNTIF('2 ZT'!$G$7:$G$50,'ATHIS MONS'!G23))+(COUNTIF('GO TRANSPORT'!$G$7:$G$50,'ATHIS MONS'!G23))+(COUNTIF('HMZ - KAIS'!$G$7:$G$50,'ATHIS MONS'!G23))+(COUNTIF('IB TRANSPORT'!$G$7:$G$50,'ATHIS MONS'!G23))+(COUNTIF(JSL!$G$7:$G$50,'ATHIS MONS'!G23))+(COUNTIF(KIFAITOUT!$G$7:$G$50,'ATHIS MONS'!G23))+(COUNTIF('LUXE DRIVE'!$G$7:$G$50,'ATHIS MONS'!G23))+(COUNTIF(SSN!$G$7:$G$50,'ATHIS MONS'!G23))+(COUNTIF('W3'!$G$7:$G$50,'ATHIS MONS'!G23))+(COUNTIF('ATHIS MONS'!$G$7:$G$50,'ATHIS MONS'!G23))+(COUNTIF('L HAY LES ROSES'!$G$7:$G$50,'ATHIS MONS'!G23))+(COUNTIF(RUNGIS!$G$7:$G$50,'ATHIS MONS'!G23))+(COUNTIF(SCEAUX!$G$7:$G$50,'ATHIS MONS'!G23))+(COUNTIF('INSTANCE C1'!$G$7:$G$50,'ATHIS MONS'!G23))+(COUNTIF('INSTANCE C2'!$G$7:$G$50,'ATHIS MONS'!G23))+(COUNTIF(INTERNES!$G$7:$G$50,'ATHIS MONS'!G23))+(COUNTIF('EN PANNE'!$G$7:$G$50,'ATHIS MONS'!G23))-I23</f>
        <v>0</v>
      </c>
      <c r="I23" s="23">
        <f>(COUNTIF('2S EXPRESS'!$A$7:$A$50,'ATHIS MONS'!G23))+(COUNTIF('2 ZT'!$A$7:$A$50,'ATHIS MONS'!G23))+(COUNTIF('GO TRANSPORT'!$A$7:$A$50,'ATHIS MONS'!G23))+(COUNTIF('HMZ - KAIS'!$A$7:$A$50,'ATHIS MONS'!G23))+(COUNTIF('IB TRANSPORT'!$A$7:$A$50,'ATHIS MONS'!G23))+(COUNTIF(JSL!$A$7:$A$50,'ATHIS MONS'!G23))+(COUNTIF(KIFAITOUT!$A$7:$A$50,'ATHIS MONS'!G23))+(COUNTIF('LUXE DRIVE'!$A$7:$A$50,'ATHIS MONS'!G23))+(COUNTIF(SSN!$A$7:$A$50,'ATHIS MONS'!G23))+(COUNTIF('W3'!$A$7:$A$50,'ATHIS MONS'!G23))+(COUNTIF('ATHIS MONS'!$A$7:$A$50,'ATHIS MONS'!G23))+(COUNTIF('L HAY LES ROSES'!$A$7:$A$50,'ATHIS MONS'!G23))+(COUNTIF(RUNGIS!$A$7:$A$50,'ATHIS MONS'!G23))+(COUNTIF(SCEAUX!$A$7:$A$50,'ATHIS MONS'!G23))+(COUNTIF('INSTANCE C1'!$A$7:$A$50,'ATHIS MONS'!G23))+(COUNTIF('INSTANCE C2'!$A$7:$A$50,'ATHIS MONS'!G23))+(COUNTIF(INTERNES!$A$7:$A$50,'ATHIS MONS'!G23))+(COUNTIF('EN PANNE'!$A$7:$A$50,'ATHIS MONS'!G23))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R23" s="75"/>
      <c r="S23" s="60">
        <f t="shared" si="1"/>
        <v>0</v>
      </c>
      <c r="T23" s="67">
        <f t="shared" si="2"/>
        <v>0</v>
      </c>
    </row>
    <row r="24" spans="1:20" ht="24.95" customHeight="1" x14ac:dyDescent="0.2">
      <c r="A24" s="20"/>
      <c r="B24" s="23">
        <f>(COUNTIF('2S EXPRESS'!$A$7:$A$50,'ATHIS MONS'!A24))+(COUNTIF('2 ZT'!$A$7:$A$50,'ATHIS MONS'!A24))+(COUNTIF('GO TRANSPORT'!$A$7:$A$50,'ATHIS MONS'!A24))+(COUNTIF('HMZ - KAIS'!$A$7:$A$50,'ATHIS MONS'!A24))+(COUNTIF('IB TRANSPORT'!$A$7:$A$50,'ATHIS MONS'!A24))+(COUNTIF(JSL!$A$7:$A$50,'ATHIS MONS'!A24))+(COUNTIF(KIFAITOUT!$A$7:$A$50,'ATHIS MONS'!A24))+(COUNTIF('LUXE DRIVE'!$A$7:$A$50,'ATHIS MONS'!A24))+(COUNTIF(SSN!$A$7:$A$50,'ATHIS MONS'!A24))+(COUNTIF('W3'!$A$7:$A$50,'ATHIS MONS'!A24))+(COUNTIF('ATHIS MONS'!$A$7:$A$50,'ATHIS MONS'!A24))+(COUNTIF('L HAY LES ROSES'!$A$7:$A$50,'ATHIS MONS'!A24))+(COUNTIF(RUNGIS!$A$7:$A$50,'ATHIS MONS'!A24))+(COUNTIF(SCEAUX!$A$7:$A$50,'ATHIS MONS'!A24))+(COUNTIF('INSTANCE C1'!$A$7:$A$50,'ATHIS MONS'!A24))+(COUNTIF('INSTANCE C2'!$A$7:$A$50,'ATHIS MONS'!A24))+(COUNTIF(INTERNES!$A$7:$A$50,'ATHIS MONS'!A24))+(COUNTIF('EN PANNE'!$A$7:$A$50,'ATHIS MONS'!A24))-C24</f>
        <v>0</v>
      </c>
      <c r="C24" s="23">
        <f>(COUNTIF('2S EXPRESS'!$G$7:$G$50,'ATHIS MONS'!A24))+(COUNTIF('2 ZT'!$G$7:$G$50,'ATHIS MONS'!A24))+(COUNTIF('GO TRANSPORT'!$G$7:$G$50,'ATHIS MONS'!A24))+(COUNTIF('ATHIS MONS'!$G$7:$G$50,'ATHIS MONS'!A24))+(COUNTIF('IB TRANSPORT'!$G$7:$G$50,'ATHIS MONS'!A24))+(COUNTIF(JSL!$G$7:$G$50,'ATHIS MONS'!A24))+(COUNTIF(KIFAITOUT!$G$7:$G$50,'ATHIS MONS'!A24))+(COUNTIF('LUXE DRIVE'!$G$7:$G$50,'ATHIS MONS'!A24))+(COUNTIF(SSN!$G$7:$G$50,'ATHIS MONS'!A24))+(COUNTIF('W3'!$G$7:$G$50,'ATHIS MONS'!A24))+(COUNTIF('ATHIS MONS'!$G$7:$G$50,'ATHIS MONS'!A24))+(COUNTIF('L HAY LES ROSES'!$G$7:$G$50,'ATHIS MONS'!A24))+(COUNTIF(RUNGIS!$G$7:$G$50,'ATHIS MONS'!A24))+(COUNTIF(SCEAUX!$G$7:$G$50,'ATHIS MONS'!A24))+(COUNTIF('INSTANCE C1'!$G$7:$G$50,'ATHIS MONS'!A24))+(COUNTIF('INSTANCE C2'!$G$7:$G$50,'ATHIS MONS'!A24))+(COUNTIF(INTERNES!$G$7:$G$50,'ATHIS MONS'!A24))+(COUNTIF('EN PANNE'!$G$7:$G$50,'ATHIS MONS'!A24))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EXPRESS'!$G$7:$G$50,'ATHIS MONS'!G24))+(COUNTIF('2 ZT'!$G$7:$G$50,'ATHIS MONS'!G24))+(COUNTIF('GO TRANSPORT'!$G$7:$G$50,'ATHIS MONS'!G24))+(COUNTIF('HMZ - KAIS'!$G$7:$G$50,'ATHIS MONS'!G24))+(COUNTIF('IB TRANSPORT'!$G$7:$G$50,'ATHIS MONS'!G24))+(COUNTIF(JSL!$G$7:$G$50,'ATHIS MONS'!G24))+(COUNTIF(KIFAITOUT!$G$7:$G$50,'ATHIS MONS'!G24))+(COUNTIF('LUXE DRIVE'!$G$7:$G$50,'ATHIS MONS'!G24))+(COUNTIF(SSN!$G$7:$G$50,'ATHIS MONS'!G24))+(COUNTIF('W3'!$G$7:$G$50,'ATHIS MONS'!G24))+(COUNTIF('ATHIS MONS'!$G$7:$G$50,'ATHIS MONS'!G24))+(COUNTIF('L HAY LES ROSES'!$G$7:$G$50,'ATHIS MONS'!G24))+(COUNTIF(RUNGIS!$G$7:$G$50,'ATHIS MONS'!G24))+(COUNTIF(SCEAUX!$G$7:$G$50,'ATHIS MONS'!G24))+(COUNTIF('INSTANCE C1'!$G$7:$G$50,'ATHIS MONS'!G24))+(COUNTIF('INSTANCE C2'!$G$7:$G$50,'ATHIS MONS'!G24))+(COUNTIF(INTERNES!$G$7:$G$50,'ATHIS MONS'!G24))+(COUNTIF('EN PANNE'!$G$7:$G$50,'ATHIS MONS'!G24))-I24</f>
        <v>0</v>
      </c>
      <c r="I24" s="23">
        <f>(COUNTIF('2S EXPRESS'!$A$7:$A$50,'ATHIS MONS'!G24))+(COUNTIF('2 ZT'!$A$7:$A$50,'ATHIS MONS'!G24))+(COUNTIF('GO TRANSPORT'!$A$7:$A$50,'ATHIS MONS'!G24))+(COUNTIF('HMZ - KAIS'!$A$7:$A$50,'ATHIS MONS'!G24))+(COUNTIF('IB TRANSPORT'!$A$7:$A$50,'ATHIS MONS'!G24))+(COUNTIF(JSL!$A$7:$A$50,'ATHIS MONS'!G24))+(COUNTIF(KIFAITOUT!$A$7:$A$50,'ATHIS MONS'!G24))+(COUNTIF('LUXE DRIVE'!$A$7:$A$50,'ATHIS MONS'!G24))+(COUNTIF(SSN!$A$7:$A$50,'ATHIS MONS'!G24))+(COUNTIF('W3'!$A$7:$A$50,'ATHIS MONS'!G24))+(COUNTIF('ATHIS MONS'!$A$7:$A$50,'ATHIS MONS'!G24))+(COUNTIF('L HAY LES ROSES'!$A$7:$A$50,'ATHIS MONS'!G24))+(COUNTIF(RUNGIS!$A$7:$A$50,'ATHIS MONS'!G24))+(COUNTIF(SCEAUX!$A$7:$A$50,'ATHIS MONS'!G24))+(COUNTIF('INSTANCE C1'!$A$7:$A$50,'ATHIS MONS'!G24))+(COUNTIF('INSTANCE C2'!$A$7:$A$50,'ATHIS MONS'!G24))+(COUNTIF(INTERNES!$A$7:$A$50,'ATHIS MONS'!G24))+(COUNTIF('EN PANNE'!$A$7:$A$50,'ATHIS MONS'!G24))</f>
        <v>0</v>
      </c>
      <c r="J24" s="28">
        <f t="shared" si="4"/>
        <v>0</v>
      </c>
      <c r="K24" s="2"/>
      <c r="L24" s="47"/>
      <c r="M24" s="9"/>
      <c r="N24" s="9"/>
      <c r="O24" s="9"/>
      <c r="P24" s="9"/>
      <c r="S24" s="60">
        <f t="shared" si="1"/>
        <v>0</v>
      </c>
      <c r="T24" s="67">
        <f t="shared" si="2"/>
        <v>0</v>
      </c>
    </row>
    <row r="25" spans="1:20" ht="24.95" customHeight="1" x14ac:dyDescent="0.2">
      <c r="A25" s="20"/>
      <c r="B25" s="23">
        <f>(COUNTIF('2S EXPRESS'!$A$7:$A$50,'ATHIS MONS'!A25))+(COUNTIF('2 ZT'!$A$7:$A$50,'ATHIS MONS'!A25))+(COUNTIF('GO TRANSPORT'!$A$7:$A$50,'ATHIS MONS'!A25))+(COUNTIF('HMZ - KAIS'!$A$7:$A$50,'ATHIS MONS'!A25))+(COUNTIF('IB TRANSPORT'!$A$7:$A$50,'ATHIS MONS'!A25))+(COUNTIF(JSL!$A$7:$A$50,'ATHIS MONS'!A25))+(COUNTIF(KIFAITOUT!$A$7:$A$50,'ATHIS MONS'!A25))+(COUNTIF('LUXE DRIVE'!$A$7:$A$50,'ATHIS MONS'!A25))+(COUNTIF(SSN!$A$7:$A$50,'ATHIS MONS'!A25))+(COUNTIF('W3'!$A$7:$A$50,'ATHIS MONS'!A25))+(COUNTIF('ATHIS MONS'!$A$7:$A$50,'ATHIS MONS'!A25))+(COUNTIF('L HAY LES ROSES'!$A$7:$A$50,'ATHIS MONS'!A25))+(COUNTIF(RUNGIS!$A$7:$A$50,'ATHIS MONS'!A25))+(COUNTIF(SCEAUX!$A$7:$A$50,'ATHIS MONS'!A25))+(COUNTIF('INSTANCE C1'!$A$7:$A$50,'ATHIS MONS'!A25))+(COUNTIF('INSTANCE C2'!$A$7:$A$50,'ATHIS MONS'!A25))+(COUNTIF(INTERNES!$A$7:$A$50,'ATHIS MONS'!A25))+(COUNTIF('EN PANNE'!$A$7:$A$50,'ATHIS MONS'!A25))-C25</f>
        <v>0</v>
      </c>
      <c r="C25" s="23">
        <f>(COUNTIF('2S EXPRESS'!$G$7:$G$50,'ATHIS MONS'!A25))+(COUNTIF('2 ZT'!$G$7:$G$50,'ATHIS MONS'!A25))+(COUNTIF('GO TRANSPORT'!$G$7:$G$50,'ATHIS MONS'!A25))+(COUNTIF('ATHIS MONS'!$G$7:$G$50,'ATHIS MONS'!A25))+(COUNTIF('IB TRANSPORT'!$G$7:$G$50,'ATHIS MONS'!A25))+(COUNTIF(JSL!$G$7:$G$50,'ATHIS MONS'!A25))+(COUNTIF(KIFAITOUT!$G$7:$G$50,'ATHIS MONS'!A25))+(COUNTIF('LUXE DRIVE'!$G$7:$G$50,'ATHIS MONS'!A25))+(COUNTIF(SSN!$G$7:$G$50,'ATHIS MONS'!A25))+(COUNTIF('W3'!$G$7:$G$50,'ATHIS MONS'!A25))+(COUNTIF('ATHIS MONS'!$G$7:$G$50,'ATHIS MONS'!A25))+(COUNTIF('L HAY LES ROSES'!$G$7:$G$50,'ATHIS MONS'!A25))+(COUNTIF(RUNGIS!$G$7:$G$50,'ATHIS MONS'!A25))+(COUNTIF(SCEAUX!$G$7:$G$50,'ATHIS MONS'!A25))+(COUNTIF('INSTANCE C1'!$G$7:$G$50,'ATHIS MONS'!A25))+(COUNTIF('INSTANCE C2'!$G$7:$G$50,'ATHIS MONS'!A25))+(COUNTIF(INTERNES!$G$7:$G$50,'ATHIS MONS'!A25))+(COUNTIF('EN PANNE'!$G$7:$G$50,'ATHIS MONS'!A25))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EXPRESS'!$G$7:$G$50,'ATHIS MONS'!G25))+(COUNTIF('2 ZT'!$G$7:$G$50,'ATHIS MONS'!G25))+(COUNTIF('GO TRANSPORT'!$G$7:$G$50,'ATHIS MONS'!G25))+(COUNTIF('HMZ - KAIS'!$G$7:$G$50,'ATHIS MONS'!G25))+(COUNTIF('IB TRANSPORT'!$G$7:$G$50,'ATHIS MONS'!G25))+(COUNTIF(JSL!$G$7:$G$50,'ATHIS MONS'!G25))+(COUNTIF(KIFAITOUT!$G$7:$G$50,'ATHIS MONS'!G25))+(COUNTIF('LUXE DRIVE'!$G$7:$G$50,'ATHIS MONS'!G25))+(COUNTIF(SSN!$G$7:$G$50,'ATHIS MONS'!G25))+(COUNTIF('W3'!$G$7:$G$50,'ATHIS MONS'!G25))+(COUNTIF('ATHIS MONS'!$G$7:$G$50,'ATHIS MONS'!G25))+(COUNTIF('L HAY LES ROSES'!$G$7:$G$50,'ATHIS MONS'!G25))+(COUNTIF(RUNGIS!$G$7:$G$50,'ATHIS MONS'!G25))+(COUNTIF(SCEAUX!$G$7:$G$50,'ATHIS MONS'!G25))+(COUNTIF('INSTANCE C1'!$G$7:$G$50,'ATHIS MONS'!G25))+(COUNTIF('INSTANCE C2'!$G$7:$G$50,'ATHIS MONS'!G25))+(COUNTIF(INTERNES!$G$7:$G$50,'ATHIS MONS'!G25))+(COUNTIF('EN PANNE'!$G$7:$G$50,'ATHIS MONS'!G25))-I25</f>
        <v>0</v>
      </c>
      <c r="I25" s="23">
        <f>(COUNTIF('2S EXPRESS'!$A$7:$A$50,'ATHIS MONS'!G25))+(COUNTIF('2 ZT'!$A$7:$A$50,'ATHIS MONS'!G25))+(COUNTIF('GO TRANSPORT'!$A$7:$A$50,'ATHIS MONS'!G25))+(COUNTIF('HMZ - KAIS'!$A$7:$A$50,'ATHIS MONS'!G25))+(COUNTIF('IB TRANSPORT'!$A$7:$A$50,'ATHIS MONS'!G25))+(COUNTIF(JSL!$A$7:$A$50,'ATHIS MONS'!G25))+(COUNTIF(KIFAITOUT!$A$7:$A$50,'ATHIS MONS'!G25))+(COUNTIF('LUXE DRIVE'!$A$7:$A$50,'ATHIS MONS'!G25))+(COUNTIF(SSN!$A$7:$A$50,'ATHIS MONS'!G25))+(COUNTIF('W3'!$A$7:$A$50,'ATHIS MONS'!G25))+(COUNTIF('ATHIS MONS'!$A$7:$A$50,'ATHIS MONS'!G25))+(COUNTIF('L HAY LES ROSES'!$A$7:$A$50,'ATHIS MONS'!G25))+(COUNTIF(RUNGIS!$A$7:$A$50,'ATHIS MONS'!G25))+(COUNTIF(SCEAUX!$A$7:$A$50,'ATHIS MONS'!G25))+(COUNTIF('INSTANCE C1'!$A$7:$A$50,'ATHIS MONS'!G25))+(COUNTIF('INSTANCE C2'!$A$7:$A$50,'ATHIS MONS'!G25))+(COUNTIF(INTERNES!$A$7:$A$50,'ATHIS MONS'!G25))+(COUNTIF('EN PANNE'!$A$7:$A$50,'ATHIS MONS'!G25))</f>
        <v>0</v>
      </c>
      <c r="J25" s="28">
        <f t="shared" si="4"/>
        <v>0</v>
      </c>
      <c r="K25" s="2"/>
      <c r="L25" s="47"/>
      <c r="M25" s="9"/>
      <c r="N25" s="9"/>
      <c r="O25" s="9"/>
      <c r="P25" s="9"/>
      <c r="S25" s="60">
        <f t="shared" si="1"/>
        <v>0</v>
      </c>
      <c r="T25" s="67">
        <f t="shared" si="2"/>
        <v>0</v>
      </c>
    </row>
    <row r="26" spans="1:20" ht="24.95" customHeight="1" x14ac:dyDescent="0.2">
      <c r="A26" s="20"/>
      <c r="B26" s="23">
        <f>(COUNTIF('2S EXPRESS'!$A$7:$A$50,'ATHIS MONS'!A26))+(COUNTIF('2 ZT'!$A$7:$A$50,'ATHIS MONS'!A26))+(COUNTIF('GO TRANSPORT'!$A$7:$A$50,'ATHIS MONS'!A26))+(COUNTIF('HMZ - KAIS'!$A$7:$A$50,'ATHIS MONS'!A26))+(COUNTIF('IB TRANSPORT'!$A$7:$A$50,'ATHIS MONS'!A26))+(COUNTIF(JSL!$A$7:$A$50,'ATHIS MONS'!A26))+(COUNTIF(KIFAITOUT!$A$7:$A$50,'ATHIS MONS'!A26))+(COUNTIF('LUXE DRIVE'!$A$7:$A$50,'ATHIS MONS'!A26))+(COUNTIF(SSN!$A$7:$A$50,'ATHIS MONS'!A26))+(COUNTIF('W3'!$A$7:$A$50,'ATHIS MONS'!A26))+(COUNTIF('ATHIS MONS'!$A$7:$A$50,'ATHIS MONS'!A26))+(COUNTIF('L HAY LES ROSES'!$A$7:$A$50,'ATHIS MONS'!A26))+(COUNTIF(RUNGIS!$A$7:$A$50,'ATHIS MONS'!A26))+(COUNTIF(SCEAUX!$A$7:$A$50,'ATHIS MONS'!A26))+(COUNTIF('INSTANCE C1'!$A$7:$A$50,'ATHIS MONS'!A26))+(COUNTIF('INSTANCE C2'!$A$7:$A$50,'ATHIS MONS'!A26))+(COUNTIF(INTERNES!$A$7:$A$50,'ATHIS MONS'!A26))+(COUNTIF('EN PANNE'!$A$7:$A$50,'ATHIS MONS'!A26))-C26</f>
        <v>0</v>
      </c>
      <c r="C26" s="23">
        <f>(COUNTIF('2S EXPRESS'!$G$7:$G$50,'ATHIS MONS'!A26))+(COUNTIF('2 ZT'!$G$7:$G$50,'ATHIS MONS'!A26))+(COUNTIF('GO TRANSPORT'!$G$7:$G$50,'ATHIS MONS'!A26))+(COUNTIF('ATHIS MONS'!$G$7:$G$50,'ATHIS MONS'!A26))+(COUNTIF('IB TRANSPORT'!$G$7:$G$50,'ATHIS MONS'!A26))+(COUNTIF(JSL!$G$7:$G$50,'ATHIS MONS'!A26))+(COUNTIF(KIFAITOUT!$G$7:$G$50,'ATHIS MONS'!A26))+(COUNTIF('LUXE DRIVE'!$G$7:$G$50,'ATHIS MONS'!A26))+(COUNTIF(SSN!$G$7:$G$50,'ATHIS MONS'!A26))+(COUNTIF('W3'!$G$7:$G$50,'ATHIS MONS'!A26))+(COUNTIF('ATHIS MONS'!$G$7:$G$50,'ATHIS MONS'!A26))+(COUNTIF('L HAY LES ROSES'!$G$7:$G$50,'ATHIS MONS'!A26))+(COUNTIF(RUNGIS!$G$7:$G$50,'ATHIS MONS'!A26))+(COUNTIF(SCEAUX!$G$7:$G$50,'ATHIS MONS'!A26))+(COUNTIF('INSTANCE C1'!$G$7:$G$50,'ATHIS MONS'!A26))+(COUNTIF('INSTANCE C2'!$G$7:$G$50,'ATHIS MONS'!A26))+(COUNTIF(INTERNES!$G$7:$G$50,'ATHIS MONS'!A26))+(COUNTIF('EN PANNE'!$G$7:$G$50,'ATHIS MONS'!A26))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EXPRESS'!$G$7:$G$50,'ATHIS MONS'!G26))+(COUNTIF('2 ZT'!$G$7:$G$50,'ATHIS MONS'!G26))+(COUNTIF('GO TRANSPORT'!$G$7:$G$50,'ATHIS MONS'!G26))+(COUNTIF('HMZ - KAIS'!$G$7:$G$50,'ATHIS MONS'!G26))+(COUNTIF('IB TRANSPORT'!$G$7:$G$50,'ATHIS MONS'!G26))+(COUNTIF(JSL!$G$7:$G$50,'ATHIS MONS'!G26))+(COUNTIF(KIFAITOUT!$G$7:$G$50,'ATHIS MONS'!G26))+(COUNTIF('LUXE DRIVE'!$G$7:$G$50,'ATHIS MONS'!G26))+(COUNTIF(SSN!$G$7:$G$50,'ATHIS MONS'!G26))+(COUNTIF('W3'!$G$7:$G$50,'ATHIS MONS'!G26))+(COUNTIF('ATHIS MONS'!$G$7:$G$50,'ATHIS MONS'!G26))+(COUNTIF('L HAY LES ROSES'!$G$7:$G$50,'ATHIS MONS'!G26))+(COUNTIF(RUNGIS!$G$7:$G$50,'ATHIS MONS'!G26))+(COUNTIF(SCEAUX!$G$7:$G$50,'ATHIS MONS'!G26))+(COUNTIF('INSTANCE C1'!$G$7:$G$50,'ATHIS MONS'!G26))+(COUNTIF('INSTANCE C2'!$G$7:$G$50,'ATHIS MONS'!G26))+(COUNTIF(INTERNES!$G$7:$G$50,'ATHIS MONS'!G26))+(COUNTIF('EN PANNE'!$G$7:$G$50,'ATHIS MONS'!G26))-I26</f>
        <v>0</v>
      </c>
      <c r="I26" s="23">
        <f>(COUNTIF('2S EXPRESS'!$A$7:$A$50,'ATHIS MONS'!G26))+(COUNTIF('2 ZT'!$A$7:$A$50,'ATHIS MONS'!G26))+(COUNTIF('GO TRANSPORT'!$A$7:$A$50,'ATHIS MONS'!G26))+(COUNTIF('HMZ - KAIS'!$A$7:$A$50,'ATHIS MONS'!G26))+(COUNTIF('IB TRANSPORT'!$A$7:$A$50,'ATHIS MONS'!G26))+(COUNTIF(JSL!$A$7:$A$50,'ATHIS MONS'!G26))+(COUNTIF(KIFAITOUT!$A$7:$A$50,'ATHIS MONS'!G26))+(COUNTIF('LUXE DRIVE'!$A$7:$A$50,'ATHIS MONS'!G26))+(COUNTIF(SSN!$A$7:$A$50,'ATHIS MONS'!G26))+(COUNTIF('W3'!$A$7:$A$50,'ATHIS MONS'!G26))+(COUNTIF('ATHIS MONS'!$A$7:$A$50,'ATHIS MONS'!G26))+(COUNTIF('L HAY LES ROSES'!$A$7:$A$50,'ATHIS MONS'!G26))+(COUNTIF(RUNGIS!$A$7:$A$50,'ATHIS MONS'!G26))+(COUNTIF(SCEAUX!$A$7:$A$50,'ATHIS MONS'!G26))+(COUNTIF('INSTANCE C1'!$A$7:$A$50,'ATHIS MONS'!G26))+(COUNTIF('INSTANCE C2'!$A$7:$A$50,'ATHIS MONS'!G26))+(COUNTIF(INTERNES!$A$7:$A$50,'ATHIS MONS'!G26))+(COUNTIF('EN PANNE'!$A$7:$A$50,'ATHIS MONS'!G26))</f>
        <v>0</v>
      </c>
      <c r="J26" s="28">
        <f t="shared" si="4"/>
        <v>0</v>
      </c>
      <c r="K26" s="2"/>
      <c r="L26" s="47"/>
      <c r="M26" s="9"/>
      <c r="N26" s="9"/>
      <c r="O26" s="9"/>
      <c r="P26" s="9"/>
      <c r="S26" s="60">
        <f t="shared" si="1"/>
        <v>0</v>
      </c>
      <c r="T26" s="67">
        <f t="shared" si="2"/>
        <v>0</v>
      </c>
    </row>
    <row r="27" spans="1:20" ht="24.95" customHeight="1" x14ac:dyDescent="0.2">
      <c r="A27" s="20"/>
      <c r="B27" s="23">
        <f>(COUNTIF('2S EXPRESS'!$A$7:$A$50,'ATHIS MONS'!A27))+(COUNTIF('2 ZT'!$A$7:$A$50,'ATHIS MONS'!A27))+(COUNTIF('GO TRANSPORT'!$A$7:$A$50,'ATHIS MONS'!A27))+(COUNTIF('HMZ - KAIS'!$A$7:$A$50,'ATHIS MONS'!A27))+(COUNTIF('IB TRANSPORT'!$A$7:$A$50,'ATHIS MONS'!A27))+(COUNTIF(JSL!$A$7:$A$50,'ATHIS MONS'!A27))+(COUNTIF(KIFAITOUT!$A$7:$A$50,'ATHIS MONS'!A27))+(COUNTIF('LUXE DRIVE'!$A$7:$A$50,'ATHIS MONS'!A27))+(COUNTIF(SSN!$A$7:$A$50,'ATHIS MONS'!A27))+(COUNTIF('W3'!$A$7:$A$50,'ATHIS MONS'!A27))+(COUNTIF('ATHIS MONS'!$A$7:$A$50,'ATHIS MONS'!A27))+(COUNTIF('L HAY LES ROSES'!$A$7:$A$50,'ATHIS MONS'!A27))+(COUNTIF(RUNGIS!$A$7:$A$50,'ATHIS MONS'!A27))+(COUNTIF(SCEAUX!$A$7:$A$50,'ATHIS MONS'!A27))+(COUNTIF('INSTANCE C1'!$A$7:$A$50,'ATHIS MONS'!A27))+(COUNTIF('INSTANCE C2'!$A$7:$A$50,'ATHIS MONS'!A27))+(COUNTIF(INTERNES!$A$7:$A$50,'ATHIS MONS'!A27))+(COUNTIF('EN PANNE'!$A$7:$A$50,'ATHIS MONS'!A27))-C27</f>
        <v>0</v>
      </c>
      <c r="C27" s="23">
        <f>(COUNTIF('2S EXPRESS'!$G$7:$G$50,'ATHIS MONS'!A27))+(COUNTIF('2 ZT'!$G$7:$G$50,'ATHIS MONS'!A27))+(COUNTIF('GO TRANSPORT'!$G$7:$G$50,'ATHIS MONS'!A27))+(COUNTIF('ATHIS MONS'!$G$7:$G$50,'ATHIS MONS'!A27))+(COUNTIF('IB TRANSPORT'!$G$7:$G$50,'ATHIS MONS'!A27))+(COUNTIF(JSL!$G$7:$G$50,'ATHIS MONS'!A27))+(COUNTIF(KIFAITOUT!$G$7:$G$50,'ATHIS MONS'!A27))+(COUNTIF('LUXE DRIVE'!$G$7:$G$50,'ATHIS MONS'!A27))+(COUNTIF(SSN!$G$7:$G$50,'ATHIS MONS'!A27))+(COUNTIF('W3'!$G$7:$G$50,'ATHIS MONS'!A27))+(COUNTIF('ATHIS MONS'!$G$7:$G$50,'ATHIS MONS'!A27))+(COUNTIF('L HAY LES ROSES'!$G$7:$G$50,'ATHIS MONS'!A27))+(COUNTIF(RUNGIS!$G$7:$G$50,'ATHIS MONS'!A27))+(COUNTIF(SCEAUX!$G$7:$G$50,'ATHIS MONS'!A27))+(COUNTIF('INSTANCE C1'!$G$7:$G$50,'ATHIS MONS'!A27))+(COUNTIF('INSTANCE C2'!$G$7:$G$50,'ATHIS MONS'!A27))+(COUNTIF(INTERNES!$G$7:$G$50,'ATHIS MONS'!A27))+(COUNTIF('EN PANNE'!$G$7:$G$50,'ATHIS MONS'!A27))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EXPRESS'!$G$7:$G$50,'ATHIS MONS'!G27))+(COUNTIF('2 ZT'!$G$7:$G$50,'ATHIS MONS'!G27))+(COUNTIF('GO TRANSPORT'!$G$7:$G$50,'ATHIS MONS'!G27))+(COUNTIF('HMZ - KAIS'!$G$7:$G$50,'ATHIS MONS'!G27))+(COUNTIF('IB TRANSPORT'!$G$7:$G$50,'ATHIS MONS'!G27))+(COUNTIF(JSL!$G$7:$G$50,'ATHIS MONS'!G27))+(COUNTIF(KIFAITOUT!$G$7:$G$50,'ATHIS MONS'!G27))+(COUNTIF('LUXE DRIVE'!$G$7:$G$50,'ATHIS MONS'!G27))+(COUNTIF(SSN!$G$7:$G$50,'ATHIS MONS'!G27))+(COUNTIF('W3'!$G$7:$G$50,'ATHIS MONS'!G27))+(COUNTIF('ATHIS MONS'!$G$7:$G$50,'ATHIS MONS'!G27))+(COUNTIF('L HAY LES ROSES'!$G$7:$G$50,'ATHIS MONS'!G27))+(COUNTIF(RUNGIS!$G$7:$G$50,'ATHIS MONS'!G27))+(COUNTIF(SCEAUX!$G$7:$G$50,'ATHIS MONS'!G27))+(COUNTIF('INSTANCE C1'!$G$7:$G$50,'ATHIS MONS'!G27))+(COUNTIF('INSTANCE C2'!$G$7:$G$50,'ATHIS MONS'!G27))+(COUNTIF(INTERNES!$G$7:$G$50,'ATHIS MONS'!G27))+(COUNTIF('EN PANNE'!$G$7:$G$50,'ATHIS MONS'!G27))-I27</f>
        <v>0</v>
      </c>
      <c r="I27" s="23">
        <f>(COUNTIF('2S EXPRESS'!$A$7:$A$50,'ATHIS MONS'!G27))+(COUNTIF('2 ZT'!$A$7:$A$50,'ATHIS MONS'!G27))+(COUNTIF('GO TRANSPORT'!$A$7:$A$50,'ATHIS MONS'!G27))+(COUNTIF('HMZ - KAIS'!$A$7:$A$50,'ATHIS MONS'!G27))+(COUNTIF('IB TRANSPORT'!$A$7:$A$50,'ATHIS MONS'!G27))+(COUNTIF(JSL!$A$7:$A$50,'ATHIS MONS'!G27))+(COUNTIF(KIFAITOUT!$A$7:$A$50,'ATHIS MONS'!G27))+(COUNTIF('LUXE DRIVE'!$A$7:$A$50,'ATHIS MONS'!G27))+(COUNTIF(SSN!$A$7:$A$50,'ATHIS MONS'!G27))+(COUNTIF('W3'!$A$7:$A$50,'ATHIS MONS'!G27))+(COUNTIF('ATHIS MONS'!$A$7:$A$50,'ATHIS MONS'!G27))+(COUNTIF('L HAY LES ROSES'!$A$7:$A$50,'ATHIS MONS'!G27))+(COUNTIF(RUNGIS!$A$7:$A$50,'ATHIS MONS'!G27))+(COUNTIF(SCEAUX!$A$7:$A$50,'ATHIS MONS'!G27))+(COUNTIF('INSTANCE C1'!$A$7:$A$50,'ATHIS MONS'!G27))+(COUNTIF('INSTANCE C2'!$A$7:$A$50,'ATHIS MONS'!G27))+(COUNTIF(INTERNES!$A$7:$A$50,'ATHIS MONS'!G27))+(COUNTIF('EN PANNE'!$A$7:$A$50,'ATHIS MONS'!G27))</f>
        <v>0</v>
      </c>
      <c r="J27" s="28">
        <f t="shared" si="4"/>
        <v>0</v>
      </c>
      <c r="K27" s="2"/>
      <c r="L27" s="47"/>
      <c r="M27" s="9"/>
      <c r="N27" s="9"/>
      <c r="O27" s="9"/>
      <c r="P27" s="9"/>
      <c r="S27" s="60">
        <f t="shared" si="1"/>
        <v>0</v>
      </c>
      <c r="T27" s="67">
        <f t="shared" si="2"/>
        <v>0</v>
      </c>
    </row>
    <row r="28" spans="1:20" ht="24.95" customHeight="1" x14ac:dyDescent="0.2">
      <c r="A28" s="20"/>
      <c r="B28" s="23">
        <f>(COUNTIF('2S EXPRESS'!$A$7:$A$50,'ATHIS MONS'!A28))+(COUNTIF('2 ZT'!$A$7:$A$50,'ATHIS MONS'!A28))+(COUNTIF('GO TRANSPORT'!$A$7:$A$50,'ATHIS MONS'!A28))+(COUNTIF('HMZ - KAIS'!$A$7:$A$50,'ATHIS MONS'!A28))+(COUNTIF('IB TRANSPORT'!$A$7:$A$50,'ATHIS MONS'!A28))+(COUNTIF(JSL!$A$7:$A$50,'ATHIS MONS'!A28))+(COUNTIF(KIFAITOUT!$A$7:$A$50,'ATHIS MONS'!A28))+(COUNTIF('LUXE DRIVE'!$A$7:$A$50,'ATHIS MONS'!A28))+(COUNTIF(SSN!$A$7:$A$50,'ATHIS MONS'!A28))+(COUNTIF('W3'!$A$7:$A$50,'ATHIS MONS'!A28))+(COUNTIF('ATHIS MONS'!$A$7:$A$50,'ATHIS MONS'!A28))+(COUNTIF('L HAY LES ROSES'!$A$7:$A$50,'ATHIS MONS'!A28))+(COUNTIF(RUNGIS!$A$7:$A$50,'ATHIS MONS'!A28))+(COUNTIF(SCEAUX!$A$7:$A$50,'ATHIS MONS'!A28))+(COUNTIF('INSTANCE C1'!$A$7:$A$50,'ATHIS MONS'!A28))+(COUNTIF('INSTANCE C2'!$A$7:$A$50,'ATHIS MONS'!A28))+(COUNTIF(INTERNES!$A$7:$A$50,'ATHIS MONS'!A28))+(COUNTIF('EN PANNE'!$A$7:$A$50,'ATHIS MONS'!A28))-C28</f>
        <v>0</v>
      </c>
      <c r="C28" s="23">
        <f>(COUNTIF('2S EXPRESS'!$G$7:$G$50,'ATHIS MONS'!A28))+(COUNTIF('2 ZT'!$G$7:$G$50,'ATHIS MONS'!A28))+(COUNTIF('GO TRANSPORT'!$G$7:$G$50,'ATHIS MONS'!A28))+(COUNTIF('ATHIS MONS'!$G$7:$G$50,'ATHIS MONS'!A28))+(COUNTIF('IB TRANSPORT'!$G$7:$G$50,'ATHIS MONS'!A28))+(COUNTIF(JSL!$G$7:$G$50,'ATHIS MONS'!A28))+(COUNTIF(KIFAITOUT!$G$7:$G$50,'ATHIS MONS'!A28))+(COUNTIF('LUXE DRIVE'!$G$7:$G$50,'ATHIS MONS'!A28))+(COUNTIF(SSN!$G$7:$G$50,'ATHIS MONS'!A28))+(COUNTIF('W3'!$G$7:$G$50,'ATHIS MONS'!A28))+(COUNTIF('ATHIS MONS'!$G$7:$G$50,'ATHIS MONS'!A28))+(COUNTIF('L HAY LES ROSES'!$G$7:$G$50,'ATHIS MONS'!A28))+(COUNTIF(RUNGIS!$G$7:$G$50,'ATHIS MONS'!A28))+(COUNTIF(SCEAUX!$G$7:$G$50,'ATHIS MONS'!A28))+(COUNTIF('INSTANCE C1'!$G$7:$G$50,'ATHIS MONS'!A28))+(COUNTIF('INSTANCE C2'!$G$7:$G$50,'ATHIS MONS'!A28))+(COUNTIF(INTERNES!$G$7:$G$50,'ATHIS MONS'!A28))+(COUNTIF('EN PANNE'!$G$7:$G$50,'ATHIS MONS'!A28))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EXPRESS'!$G$7:$G$50,'ATHIS MONS'!G28))+(COUNTIF('2 ZT'!$G$7:$G$50,'ATHIS MONS'!G28))+(COUNTIF('GO TRANSPORT'!$G$7:$G$50,'ATHIS MONS'!G28))+(COUNTIF('HMZ - KAIS'!$G$7:$G$50,'ATHIS MONS'!G28))+(COUNTIF('IB TRANSPORT'!$G$7:$G$50,'ATHIS MONS'!G28))+(COUNTIF(JSL!$G$7:$G$50,'ATHIS MONS'!G28))+(COUNTIF(KIFAITOUT!$G$7:$G$50,'ATHIS MONS'!G28))+(COUNTIF('LUXE DRIVE'!$G$7:$G$50,'ATHIS MONS'!G28))+(COUNTIF(SSN!$G$7:$G$50,'ATHIS MONS'!G28))+(COUNTIF('W3'!$G$7:$G$50,'ATHIS MONS'!G28))+(COUNTIF('ATHIS MONS'!$G$7:$G$50,'ATHIS MONS'!G28))+(COUNTIF('L HAY LES ROSES'!$G$7:$G$50,'ATHIS MONS'!G28))+(COUNTIF(RUNGIS!$G$7:$G$50,'ATHIS MONS'!G28))+(COUNTIF(SCEAUX!$G$7:$G$50,'ATHIS MONS'!G28))+(COUNTIF('INSTANCE C1'!$G$7:$G$50,'ATHIS MONS'!G28))+(COUNTIF('INSTANCE C2'!$G$7:$G$50,'ATHIS MONS'!G28))+(COUNTIF(INTERNES!$G$7:$G$50,'ATHIS MONS'!G28))+(COUNTIF('EN PANNE'!$G$7:$G$50,'ATHIS MONS'!G28))-I28</f>
        <v>0</v>
      </c>
      <c r="I28" s="23">
        <f>(COUNTIF('2S EXPRESS'!$A$7:$A$50,'ATHIS MONS'!G28))+(COUNTIF('2 ZT'!$A$7:$A$50,'ATHIS MONS'!G28))+(COUNTIF('GO TRANSPORT'!$A$7:$A$50,'ATHIS MONS'!G28))+(COUNTIF('HMZ - KAIS'!$A$7:$A$50,'ATHIS MONS'!G28))+(COUNTIF('IB TRANSPORT'!$A$7:$A$50,'ATHIS MONS'!G28))+(COUNTIF(JSL!$A$7:$A$50,'ATHIS MONS'!G28))+(COUNTIF(KIFAITOUT!$A$7:$A$50,'ATHIS MONS'!G28))+(COUNTIF('LUXE DRIVE'!$A$7:$A$50,'ATHIS MONS'!G28))+(COUNTIF(SSN!$A$7:$A$50,'ATHIS MONS'!G28))+(COUNTIF('W3'!$A$7:$A$50,'ATHIS MONS'!G28))+(COUNTIF('ATHIS MONS'!$A$7:$A$50,'ATHIS MONS'!G28))+(COUNTIF('L HAY LES ROSES'!$A$7:$A$50,'ATHIS MONS'!G28))+(COUNTIF(RUNGIS!$A$7:$A$50,'ATHIS MONS'!G28))+(COUNTIF(SCEAUX!$A$7:$A$50,'ATHIS MONS'!G28))+(COUNTIF('INSTANCE C1'!$A$7:$A$50,'ATHIS MONS'!G28))+(COUNTIF('INSTANCE C2'!$A$7:$A$50,'ATHIS MONS'!G28))+(COUNTIF(INTERNES!$A$7:$A$50,'ATHIS MONS'!G28))+(COUNTIF('EN PANNE'!$A$7:$A$50,'ATHIS MONS'!G28))</f>
        <v>0</v>
      </c>
      <c r="J28" s="28">
        <f t="shared" si="4"/>
        <v>0</v>
      </c>
      <c r="K28" s="2"/>
      <c r="L28" s="47"/>
      <c r="M28" s="9"/>
      <c r="N28" s="9"/>
      <c r="O28" s="9"/>
      <c r="P28" s="9"/>
      <c r="S28" s="60">
        <f t="shared" si="1"/>
        <v>0</v>
      </c>
      <c r="T28" s="67">
        <f t="shared" si="2"/>
        <v>0</v>
      </c>
    </row>
    <row r="29" spans="1:20" ht="24.95" customHeight="1" x14ac:dyDescent="0.2">
      <c r="A29" s="20"/>
      <c r="B29" s="23">
        <f>(COUNTIF('2S EXPRESS'!$A$7:$A$50,'ATHIS MONS'!A29))+(COUNTIF('2 ZT'!$A$7:$A$50,'ATHIS MONS'!A29))+(COUNTIF('GO TRANSPORT'!$A$7:$A$50,'ATHIS MONS'!A29))+(COUNTIF('HMZ - KAIS'!$A$7:$A$50,'ATHIS MONS'!A29))+(COUNTIF('IB TRANSPORT'!$A$7:$A$50,'ATHIS MONS'!A29))+(COUNTIF(JSL!$A$7:$A$50,'ATHIS MONS'!A29))+(COUNTIF(KIFAITOUT!$A$7:$A$50,'ATHIS MONS'!A29))+(COUNTIF('LUXE DRIVE'!$A$7:$A$50,'ATHIS MONS'!A29))+(COUNTIF(SSN!$A$7:$A$50,'ATHIS MONS'!A29))+(COUNTIF('W3'!$A$7:$A$50,'ATHIS MONS'!A29))+(COUNTIF('ATHIS MONS'!$A$7:$A$50,'ATHIS MONS'!A29))+(COUNTIF('L HAY LES ROSES'!$A$7:$A$50,'ATHIS MONS'!A29))+(COUNTIF(RUNGIS!$A$7:$A$50,'ATHIS MONS'!A29))+(COUNTIF(SCEAUX!$A$7:$A$50,'ATHIS MONS'!A29))+(COUNTIF('INSTANCE C1'!$A$7:$A$50,'ATHIS MONS'!A29))+(COUNTIF('INSTANCE C2'!$A$7:$A$50,'ATHIS MONS'!A29))+(COUNTIF(INTERNES!$A$7:$A$50,'ATHIS MONS'!A29))+(COUNTIF('EN PANNE'!$A$7:$A$50,'ATHIS MONS'!A29))-C29</f>
        <v>0</v>
      </c>
      <c r="C29" s="23">
        <f>(COUNTIF('2S EXPRESS'!$G$7:$G$50,'ATHIS MONS'!A29))+(COUNTIF('2 ZT'!$G$7:$G$50,'ATHIS MONS'!A29))+(COUNTIF('GO TRANSPORT'!$G$7:$G$50,'ATHIS MONS'!A29))+(COUNTIF('ATHIS MONS'!$G$7:$G$50,'ATHIS MONS'!A29))+(COUNTIF('IB TRANSPORT'!$G$7:$G$50,'ATHIS MONS'!A29))+(COUNTIF(JSL!$G$7:$G$50,'ATHIS MONS'!A29))+(COUNTIF(KIFAITOUT!$G$7:$G$50,'ATHIS MONS'!A29))+(COUNTIF('LUXE DRIVE'!$G$7:$G$50,'ATHIS MONS'!A29))+(COUNTIF(SSN!$G$7:$G$50,'ATHIS MONS'!A29))+(COUNTIF('W3'!$G$7:$G$50,'ATHIS MONS'!A29))+(COUNTIF('ATHIS MONS'!$G$7:$G$50,'ATHIS MONS'!A29))+(COUNTIF('L HAY LES ROSES'!$G$7:$G$50,'ATHIS MONS'!A29))+(COUNTIF(RUNGIS!$G$7:$G$50,'ATHIS MONS'!A29))+(COUNTIF(SCEAUX!$G$7:$G$50,'ATHIS MONS'!A29))+(COUNTIF('INSTANCE C1'!$G$7:$G$50,'ATHIS MONS'!A29))+(COUNTIF('INSTANCE C2'!$G$7:$G$50,'ATHIS MONS'!A29))+(COUNTIF(INTERNES!$G$7:$G$50,'ATHIS MONS'!A29))+(COUNTIF('EN PANNE'!$G$7:$G$50,'ATHIS MONS'!A29))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EXPRESS'!$G$7:$G$50,'ATHIS MONS'!G29))+(COUNTIF('2 ZT'!$G$7:$G$50,'ATHIS MONS'!G29))+(COUNTIF('GO TRANSPORT'!$G$7:$G$50,'ATHIS MONS'!G29))+(COUNTIF('HMZ - KAIS'!$G$7:$G$50,'ATHIS MONS'!G29))+(COUNTIF('IB TRANSPORT'!$G$7:$G$50,'ATHIS MONS'!G29))+(COUNTIF(JSL!$G$7:$G$50,'ATHIS MONS'!G29))+(COUNTIF(KIFAITOUT!$G$7:$G$50,'ATHIS MONS'!G29))+(COUNTIF('LUXE DRIVE'!$G$7:$G$50,'ATHIS MONS'!G29))+(COUNTIF(SSN!$G$7:$G$50,'ATHIS MONS'!G29))+(COUNTIF('W3'!$G$7:$G$50,'ATHIS MONS'!G29))+(COUNTIF('ATHIS MONS'!$G$7:$G$50,'ATHIS MONS'!G29))+(COUNTIF('L HAY LES ROSES'!$G$7:$G$50,'ATHIS MONS'!G29))+(COUNTIF(RUNGIS!$G$7:$G$50,'ATHIS MONS'!G29))+(COUNTIF(SCEAUX!$G$7:$G$50,'ATHIS MONS'!G29))+(COUNTIF('INSTANCE C1'!$G$7:$G$50,'ATHIS MONS'!G29))+(COUNTIF('INSTANCE C2'!$G$7:$G$50,'ATHIS MONS'!G29))+(COUNTIF(INTERNES!$G$7:$G$50,'ATHIS MONS'!G29))+(COUNTIF('EN PANNE'!$G$7:$G$50,'ATHIS MONS'!G29))-I29</f>
        <v>0</v>
      </c>
      <c r="I29" s="23">
        <f>(COUNTIF('2S EXPRESS'!$A$7:$A$50,'ATHIS MONS'!G29))+(COUNTIF('2 ZT'!$A$7:$A$50,'ATHIS MONS'!G29))+(COUNTIF('GO TRANSPORT'!$A$7:$A$50,'ATHIS MONS'!G29))+(COUNTIF('HMZ - KAIS'!$A$7:$A$50,'ATHIS MONS'!G29))+(COUNTIF('IB TRANSPORT'!$A$7:$A$50,'ATHIS MONS'!G29))+(COUNTIF(JSL!$A$7:$A$50,'ATHIS MONS'!G29))+(COUNTIF(KIFAITOUT!$A$7:$A$50,'ATHIS MONS'!G29))+(COUNTIF('LUXE DRIVE'!$A$7:$A$50,'ATHIS MONS'!G29))+(COUNTIF(SSN!$A$7:$A$50,'ATHIS MONS'!G29))+(COUNTIF('W3'!$A$7:$A$50,'ATHIS MONS'!G29))+(COUNTIF('ATHIS MONS'!$A$7:$A$50,'ATHIS MONS'!G29))+(COUNTIF('L HAY LES ROSES'!$A$7:$A$50,'ATHIS MONS'!G29))+(COUNTIF(RUNGIS!$A$7:$A$50,'ATHIS MONS'!G29))+(COUNTIF(SCEAUX!$A$7:$A$50,'ATHIS MONS'!G29))+(COUNTIF('INSTANCE C1'!$A$7:$A$50,'ATHIS MONS'!G29))+(COUNTIF('INSTANCE C2'!$A$7:$A$50,'ATHIS MONS'!G29))+(COUNTIF(INTERNES!$A$7:$A$50,'ATHIS MONS'!G29))+(COUNTIF('EN PANNE'!$A$7:$A$50,'ATHIS MONS'!G29))</f>
        <v>0</v>
      </c>
      <c r="J29" s="28">
        <f t="shared" si="4"/>
        <v>0</v>
      </c>
      <c r="K29" s="2"/>
      <c r="L29" s="47"/>
      <c r="M29" s="9"/>
      <c r="N29" s="9"/>
      <c r="O29" s="9"/>
      <c r="P29" s="9"/>
      <c r="S29" s="60">
        <f t="shared" si="1"/>
        <v>0</v>
      </c>
      <c r="T29" s="67">
        <f t="shared" si="2"/>
        <v>0</v>
      </c>
    </row>
    <row r="30" spans="1:20" ht="24.95" customHeight="1" x14ac:dyDescent="0.2">
      <c r="A30" s="20"/>
      <c r="B30" s="23">
        <f>(COUNTIF('2S EXPRESS'!$A$7:$A$50,'ATHIS MONS'!A30))+(COUNTIF('2 ZT'!$A$7:$A$50,'ATHIS MONS'!A30))+(COUNTIF('GO TRANSPORT'!$A$7:$A$50,'ATHIS MONS'!A30))+(COUNTIF('HMZ - KAIS'!$A$7:$A$50,'ATHIS MONS'!A30))+(COUNTIF('IB TRANSPORT'!$A$7:$A$50,'ATHIS MONS'!A30))+(COUNTIF(JSL!$A$7:$A$50,'ATHIS MONS'!A30))+(COUNTIF(KIFAITOUT!$A$7:$A$50,'ATHIS MONS'!A30))+(COUNTIF('LUXE DRIVE'!$A$7:$A$50,'ATHIS MONS'!A30))+(COUNTIF(SSN!$A$7:$A$50,'ATHIS MONS'!A30))+(COUNTIF('W3'!$A$7:$A$50,'ATHIS MONS'!A30))+(COUNTIF('ATHIS MONS'!$A$7:$A$50,'ATHIS MONS'!A30))+(COUNTIF('L HAY LES ROSES'!$A$7:$A$50,'ATHIS MONS'!A30))+(COUNTIF(RUNGIS!$A$7:$A$50,'ATHIS MONS'!A30))+(COUNTIF(SCEAUX!$A$7:$A$50,'ATHIS MONS'!A30))+(COUNTIF('INSTANCE C1'!$A$7:$A$50,'ATHIS MONS'!A30))+(COUNTIF('INSTANCE C2'!$A$7:$A$50,'ATHIS MONS'!A30))+(COUNTIF(INTERNES!$A$7:$A$50,'ATHIS MONS'!A30))+(COUNTIF('EN PANNE'!$A$7:$A$50,'ATHIS MONS'!A30))-C30</f>
        <v>0</v>
      </c>
      <c r="C30" s="23">
        <f>(COUNTIF('2S EXPRESS'!$G$7:$G$50,'ATHIS MONS'!A30))+(COUNTIF('2 ZT'!$G$7:$G$50,'ATHIS MONS'!A30))+(COUNTIF('GO TRANSPORT'!$G$7:$G$50,'ATHIS MONS'!A30))+(COUNTIF('ATHIS MONS'!$G$7:$G$50,'ATHIS MONS'!A30))+(COUNTIF('IB TRANSPORT'!$G$7:$G$50,'ATHIS MONS'!A30))+(COUNTIF(JSL!$G$7:$G$50,'ATHIS MONS'!A30))+(COUNTIF(KIFAITOUT!$G$7:$G$50,'ATHIS MONS'!A30))+(COUNTIF('LUXE DRIVE'!$G$7:$G$50,'ATHIS MONS'!A30))+(COUNTIF(SSN!$G$7:$G$50,'ATHIS MONS'!A30))+(COUNTIF('W3'!$G$7:$G$50,'ATHIS MONS'!A30))+(COUNTIF('ATHIS MONS'!$G$7:$G$50,'ATHIS MONS'!A30))+(COUNTIF('L HAY LES ROSES'!$G$7:$G$50,'ATHIS MONS'!A30))+(COUNTIF(RUNGIS!$G$7:$G$50,'ATHIS MONS'!A30))+(COUNTIF(SCEAUX!$G$7:$G$50,'ATHIS MONS'!A30))+(COUNTIF('INSTANCE C1'!$G$7:$G$50,'ATHIS MONS'!A30))+(COUNTIF('INSTANCE C2'!$G$7:$G$50,'ATHIS MONS'!A30))+(COUNTIF(INTERNES!$G$7:$G$50,'ATHIS MONS'!A30))+(COUNTIF('EN PANNE'!$G$7:$G$50,'ATHIS MONS'!A30))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EXPRESS'!$G$7:$G$50,'ATHIS MONS'!G30))+(COUNTIF('2 ZT'!$G$7:$G$50,'ATHIS MONS'!G30))+(COUNTIF('GO TRANSPORT'!$G$7:$G$50,'ATHIS MONS'!G30))+(COUNTIF('HMZ - KAIS'!$G$7:$G$50,'ATHIS MONS'!G30))+(COUNTIF('IB TRANSPORT'!$G$7:$G$50,'ATHIS MONS'!G30))+(COUNTIF(JSL!$G$7:$G$50,'ATHIS MONS'!G30))+(COUNTIF(KIFAITOUT!$G$7:$G$50,'ATHIS MONS'!G30))+(COUNTIF('LUXE DRIVE'!$G$7:$G$50,'ATHIS MONS'!G30))+(COUNTIF(SSN!$G$7:$G$50,'ATHIS MONS'!G30))+(COUNTIF('W3'!$G$7:$G$50,'ATHIS MONS'!G30))+(COUNTIF('ATHIS MONS'!$G$7:$G$50,'ATHIS MONS'!G30))+(COUNTIF('L HAY LES ROSES'!$G$7:$G$50,'ATHIS MONS'!G30))+(COUNTIF(RUNGIS!$G$7:$G$50,'ATHIS MONS'!G30))+(COUNTIF(SCEAUX!$G$7:$G$50,'ATHIS MONS'!G30))+(COUNTIF('INSTANCE C1'!$G$7:$G$50,'ATHIS MONS'!G30))+(COUNTIF('INSTANCE C2'!$G$7:$G$50,'ATHIS MONS'!G30))+(COUNTIF(INTERNES!$G$7:$G$50,'ATHIS MONS'!G30))+(COUNTIF('EN PANNE'!$G$7:$G$50,'ATHIS MONS'!G30))-I30</f>
        <v>0</v>
      </c>
      <c r="I30" s="23">
        <f>(COUNTIF('2S EXPRESS'!$A$7:$A$50,'ATHIS MONS'!G30))+(COUNTIF('2 ZT'!$A$7:$A$50,'ATHIS MONS'!G30))+(COUNTIF('GO TRANSPORT'!$A$7:$A$50,'ATHIS MONS'!G30))+(COUNTIF('HMZ - KAIS'!$A$7:$A$50,'ATHIS MONS'!G30))+(COUNTIF('IB TRANSPORT'!$A$7:$A$50,'ATHIS MONS'!G30))+(COUNTIF(JSL!$A$7:$A$50,'ATHIS MONS'!G30))+(COUNTIF(KIFAITOUT!$A$7:$A$50,'ATHIS MONS'!G30))+(COUNTIF('LUXE DRIVE'!$A$7:$A$50,'ATHIS MONS'!G30))+(COUNTIF(SSN!$A$7:$A$50,'ATHIS MONS'!G30))+(COUNTIF('W3'!$A$7:$A$50,'ATHIS MONS'!G30))+(COUNTIF('ATHIS MONS'!$A$7:$A$50,'ATHIS MONS'!G30))+(COUNTIF('L HAY LES ROSES'!$A$7:$A$50,'ATHIS MONS'!G30))+(COUNTIF(RUNGIS!$A$7:$A$50,'ATHIS MONS'!G30))+(COUNTIF(SCEAUX!$A$7:$A$50,'ATHIS MONS'!G30))+(COUNTIF('INSTANCE C1'!$A$7:$A$50,'ATHIS MONS'!G30))+(COUNTIF('INSTANCE C2'!$A$7:$A$50,'ATHIS MONS'!G30))+(COUNTIF(INTERNES!$A$7:$A$50,'ATHIS MONS'!G30))+(COUNTIF('EN PANNE'!$A$7:$A$50,'ATHIS MONS'!G30))</f>
        <v>0</v>
      </c>
      <c r="J30" s="28">
        <f t="shared" si="4"/>
        <v>0</v>
      </c>
      <c r="K30" s="2"/>
      <c r="L30" s="47"/>
      <c r="M30" s="9"/>
      <c r="N30" s="9"/>
      <c r="O30" s="9"/>
      <c r="P30" s="9"/>
      <c r="S30" s="60">
        <f t="shared" si="1"/>
        <v>0</v>
      </c>
      <c r="T30" s="67">
        <f t="shared" si="2"/>
        <v>0</v>
      </c>
    </row>
    <row r="31" spans="1:20" ht="24.95" customHeight="1" x14ac:dyDescent="0.2">
      <c r="A31" s="20"/>
      <c r="B31" s="23">
        <f>(COUNTIF('2S EXPRESS'!$A$7:$A$50,'ATHIS MONS'!A31))+(COUNTIF('2 ZT'!$A$7:$A$50,'ATHIS MONS'!A31))+(COUNTIF('GO TRANSPORT'!$A$7:$A$50,'ATHIS MONS'!A31))+(COUNTIF('HMZ - KAIS'!$A$7:$A$50,'ATHIS MONS'!A31))+(COUNTIF('IB TRANSPORT'!$A$7:$A$50,'ATHIS MONS'!A31))+(COUNTIF(JSL!$A$7:$A$50,'ATHIS MONS'!A31))+(COUNTIF(KIFAITOUT!$A$7:$A$50,'ATHIS MONS'!A31))+(COUNTIF('LUXE DRIVE'!$A$7:$A$50,'ATHIS MONS'!A31))+(COUNTIF(SSN!$A$7:$A$50,'ATHIS MONS'!A31))+(COUNTIF('W3'!$A$7:$A$50,'ATHIS MONS'!A31))+(COUNTIF('ATHIS MONS'!$A$7:$A$50,'ATHIS MONS'!A31))+(COUNTIF('L HAY LES ROSES'!$A$7:$A$50,'ATHIS MONS'!A31))+(COUNTIF(RUNGIS!$A$7:$A$50,'ATHIS MONS'!A31))+(COUNTIF(SCEAUX!$A$7:$A$50,'ATHIS MONS'!A31))+(COUNTIF('INSTANCE C1'!$A$7:$A$50,'ATHIS MONS'!A31))+(COUNTIF('INSTANCE C2'!$A$7:$A$50,'ATHIS MONS'!A31))+(COUNTIF(INTERNES!$A$7:$A$50,'ATHIS MONS'!A31))+(COUNTIF('EN PANNE'!$A$7:$A$50,'ATHIS MONS'!A31))-C31</f>
        <v>0</v>
      </c>
      <c r="C31" s="23">
        <f>(COUNTIF('2S EXPRESS'!$G$7:$G$50,'ATHIS MONS'!A31))+(COUNTIF('2 ZT'!$G$7:$G$50,'ATHIS MONS'!A31))+(COUNTIF('GO TRANSPORT'!$G$7:$G$50,'ATHIS MONS'!A31))+(COUNTIF('ATHIS MONS'!$G$7:$G$50,'ATHIS MONS'!A31))+(COUNTIF('IB TRANSPORT'!$G$7:$G$50,'ATHIS MONS'!A31))+(COUNTIF(JSL!$G$7:$G$50,'ATHIS MONS'!A31))+(COUNTIF(KIFAITOUT!$G$7:$G$50,'ATHIS MONS'!A31))+(COUNTIF('LUXE DRIVE'!$G$7:$G$50,'ATHIS MONS'!A31))+(COUNTIF(SSN!$G$7:$G$50,'ATHIS MONS'!A31))+(COUNTIF('W3'!$G$7:$G$50,'ATHIS MONS'!A31))+(COUNTIF('ATHIS MONS'!$G$7:$G$50,'ATHIS MONS'!A31))+(COUNTIF('L HAY LES ROSES'!$G$7:$G$50,'ATHIS MONS'!A31))+(COUNTIF(RUNGIS!$G$7:$G$50,'ATHIS MONS'!A31))+(COUNTIF(SCEAUX!$G$7:$G$50,'ATHIS MONS'!A31))+(COUNTIF('INSTANCE C1'!$G$7:$G$50,'ATHIS MONS'!A31))+(COUNTIF('INSTANCE C2'!$G$7:$G$50,'ATHIS MONS'!A31))+(COUNTIF(INTERNES!$G$7:$G$50,'ATHIS MONS'!A31))+(COUNTIF('EN PANNE'!$G$7:$G$50,'ATHIS MONS'!A31))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EXPRESS'!$G$7:$G$50,'ATHIS MONS'!G31))+(COUNTIF('2 ZT'!$G$7:$G$50,'ATHIS MONS'!G31))+(COUNTIF('GO TRANSPORT'!$G$7:$G$50,'ATHIS MONS'!G31))+(COUNTIF('HMZ - KAIS'!$G$7:$G$50,'ATHIS MONS'!G31))+(COUNTIF('IB TRANSPORT'!$G$7:$G$50,'ATHIS MONS'!G31))+(COUNTIF(JSL!$G$7:$G$50,'ATHIS MONS'!G31))+(COUNTIF(KIFAITOUT!$G$7:$G$50,'ATHIS MONS'!G31))+(COUNTIF('LUXE DRIVE'!$G$7:$G$50,'ATHIS MONS'!G31))+(COUNTIF(SSN!$G$7:$G$50,'ATHIS MONS'!G31))+(COUNTIF('W3'!$G$7:$G$50,'ATHIS MONS'!G31))+(COUNTIF('ATHIS MONS'!$G$7:$G$50,'ATHIS MONS'!G31))+(COUNTIF('L HAY LES ROSES'!$G$7:$G$50,'ATHIS MONS'!G31))+(COUNTIF(RUNGIS!$G$7:$G$50,'ATHIS MONS'!G31))+(COUNTIF(SCEAUX!$G$7:$G$50,'ATHIS MONS'!G31))+(COUNTIF('INSTANCE C1'!$G$7:$G$50,'ATHIS MONS'!G31))+(COUNTIF('INSTANCE C2'!$G$7:$G$50,'ATHIS MONS'!G31))+(COUNTIF(INTERNES!$G$7:$G$50,'ATHIS MONS'!G31))+(COUNTIF('EN PANNE'!$G$7:$G$50,'ATHIS MONS'!G31))-I31</f>
        <v>0</v>
      </c>
      <c r="I31" s="23">
        <f>(COUNTIF('2S EXPRESS'!$A$7:$A$50,'ATHIS MONS'!G31))+(COUNTIF('2 ZT'!$A$7:$A$50,'ATHIS MONS'!G31))+(COUNTIF('GO TRANSPORT'!$A$7:$A$50,'ATHIS MONS'!G31))+(COUNTIF('HMZ - KAIS'!$A$7:$A$50,'ATHIS MONS'!G31))+(COUNTIF('IB TRANSPORT'!$A$7:$A$50,'ATHIS MONS'!G31))+(COUNTIF(JSL!$A$7:$A$50,'ATHIS MONS'!G31))+(COUNTIF(KIFAITOUT!$A$7:$A$50,'ATHIS MONS'!G31))+(COUNTIF('LUXE DRIVE'!$A$7:$A$50,'ATHIS MONS'!G31))+(COUNTIF(SSN!$A$7:$A$50,'ATHIS MONS'!G31))+(COUNTIF('W3'!$A$7:$A$50,'ATHIS MONS'!G31))+(COUNTIF('ATHIS MONS'!$A$7:$A$50,'ATHIS MONS'!G31))+(COUNTIF('L HAY LES ROSES'!$A$7:$A$50,'ATHIS MONS'!G31))+(COUNTIF(RUNGIS!$A$7:$A$50,'ATHIS MONS'!G31))+(COUNTIF(SCEAUX!$A$7:$A$50,'ATHIS MONS'!G31))+(COUNTIF('INSTANCE C1'!$A$7:$A$50,'ATHIS MONS'!G31))+(COUNTIF('INSTANCE C2'!$A$7:$A$50,'ATHIS MONS'!G31))+(COUNTIF(INTERNES!$A$7:$A$50,'ATHIS MONS'!G31))+(COUNTIF('EN PANNE'!$A$7:$A$50,'ATHIS MONS'!G31))</f>
        <v>0</v>
      </c>
      <c r="J31" s="28">
        <f t="shared" si="4"/>
        <v>0</v>
      </c>
      <c r="K31" s="2"/>
      <c r="L31" s="47"/>
      <c r="M31" s="9"/>
      <c r="N31" s="9"/>
      <c r="O31" s="9"/>
      <c r="P31" s="9"/>
      <c r="S31" s="60">
        <f t="shared" si="1"/>
        <v>0</v>
      </c>
      <c r="T31" s="67">
        <f t="shared" si="2"/>
        <v>0</v>
      </c>
    </row>
    <row r="32" spans="1:20" ht="24.95" customHeight="1" x14ac:dyDescent="0.2">
      <c r="A32" s="20"/>
      <c r="B32" s="23">
        <f>(COUNTIF('2S EXPRESS'!$A$7:$A$50,'ATHIS MONS'!A32))+(COUNTIF('2 ZT'!$A$7:$A$50,'ATHIS MONS'!A32))+(COUNTIF('GO TRANSPORT'!$A$7:$A$50,'ATHIS MONS'!A32))+(COUNTIF('HMZ - KAIS'!$A$7:$A$50,'ATHIS MONS'!A32))+(COUNTIF('IB TRANSPORT'!$A$7:$A$50,'ATHIS MONS'!A32))+(COUNTIF(JSL!$A$7:$A$50,'ATHIS MONS'!A32))+(COUNTIF(KIFAITOUT!$A$7:$A$50,'ATHIS MONS'!A32))+(COUNTIF('LUXE DRIVE'!$A$7:$A$50,'ATHIS MONS'!A32))+(COUNTIF(SSN!$A$7:$A$50,'ATHIS MONS'!A32))+(COUNTIF('W3'!$A$7:$A$50,'ATHIS MONS'!A32))+(COUNTIF('ATHIS MONS'!$A$7:$A$50,'ATHIS MONS'!A32))+(COUNTIF('L HAY LES ROSES'!$A$7:$A$50,'ATHIS MONS'!A32))+(COUNTIF(RUNGIS!$A$7:$A$50,'ATHIS MONS'!A32))+(COUNTIF(SCEAUX!$A$7:$A$50,'ATHIS MONS'!A32))+(COUNTIF('INSTANCE C1'!$A$7:$A$50,'ATHIS MONS'!A32))+(COUNTIF('INSTANCE C2'!$A$7:$A$50,'ATHIS MONS'!A32))+(COUNTIF(INTERNES!$A$7:$A$50,'ATHIS MONS'!A32))+(COUNTIF('EN PANNE'!$A$7:$A$50,'ATHIS MONS'!A32))-C32</f>
        <v>0</v>
      </c>
      <c r="C32" s="23">
        <f>(COUNTIF('2S EXPRESS'!$G$7:$G$50,'ATHIS MONS'!A32))+(COUNTIF('2 ZT'!$G$7:$G$50,'ATHIS MONS'!A32))+(COUNTIF('GO TRANSPORT'!$G$7:$G$50,'ATHIS MONS'!A32))+(COUNTIF('ATHIS MONS'!$G$7:$G$50,'ATHIS MONS'!A32))+(COUNTIF('IB TRANSPORT'!$G$7:$G$50,'ATHIS MONS'!A32))+(COUNTIF(JSL!$G$7:$G$50,'ATHIS MONS'!A32))+(COUNTIF(KIFAITOUT!$G$7:$G$50,'ATHIS MONS'!A32))+(COUNTIF('LUXE DRIVE'!$G$7:$G$50,'ATHIS MONS'!A32))+(COUNTIF(SSN!$G$7:$G$50,'ATHIS MONS'!A32))+(COUNTIF('W3'!$G$7:$G$50,'ATHIS MONS'!A32))+(COUNTIF('ATHIS MONS'!$G$7:$G$50,'ATHIS MONS'!A32))+(COUNTIF('L HAY LES ROSES'!$G$7:$G$50,'ATHIS MONS'!A32))+(COUNTIF(RUNGIS!$G$7:$G$50,'ATHIS MONS'!A32))+(COUNTIF(SCEAUX!$G$7:$G$50,'ATHIS MONS'!A32))+(COUNTIF('INSTANCE C1'!$G$7:$G$50,'ATHIS MONS'!A32))+(COUNTIF('INSTANCE C2'!$G$7:$G$50,'ATHIS MONS'!A32))+(COUNTIF(INTERNES!$G$7:$G$50,'ATHIS MONS'!A32))+(COUNTIF('EN PANNE'!$G$7:$G$50,'ATHIS MONS'!A32))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EXPRESS'!$G$7:$G$50,'ATHIS MONS'!G32))+(COUNTIF('2 ZT'!$G$7:$G$50,'ATHIS MONS'!G32))+(COUNTIF('GO TRANSPORT'!$G$7:$G$50,'ATHIS MONS'!G32))+(COUNTIF('HMZ - KAIS'!$G$7:$G$50,'ATHIS MONS'!G32))+(COUNTIF('IB TRANSPORT'!$G$7:$G$50,'ATHIS MONS'!G32))+(COUNTIF(JSL!$G$7:$G$50,'ATHIS MONS'!G32))+(COUNTIF(KIFAITOUT!$G$7:$G$50,'ATHIS MONS'!G32))+(COUNTIF('LUXE DRIVE'!$G$7:$G$50,'ATHIS MONS'!G32))+(COUNTIF(SSN!$G$7:$G$50,'ATHIS MONS'!G32))+(COUNTIF('W3'!$G$7:$G$50,'ATHIS MONS'!G32))+(COUNTIF('ATHIS MONS'!$G$7:$G$50,'ATHIS MONS'!G32))+(COUNTIF('L HAY LES ROSES'!$G$7:$G$50,'ATHIS MONS'!G32))+(COUNTIF(RUNGIS!$G$7:$G$50,'ATHIS MONS'!G32))+(COUNTIF(SCEAUX!$G$7:$G$50,'ATHIS MONS'!G32))+(COUNTIF('INSTANCE C1'!$G$7:$G$50,'ATHIS MONS'!G32))+(COUNTIF('INSTANCE C2'!$G$7:$G$50,'ATHIS MONS'!G32))+(COUNTIF(INTERNES!$G$7:$G$50,'ATHIS MONS'!G32))+(COUNTIF('EN PANNE'!$G$7:$G$50,'ATHIS MONS'!G32))-I32</f>
        <v>0</v>
      </c>
      <c r="I32" s="23">
        <f>(COUNTIF('2S EXPRESS'!$A$7:$A$50,'ATHIS MONS'!G32))+(COUNTIF('2 ZT'!$A$7:$A$50,'ATHIS MONS'!G32))+(COUNTIF('GO TRANSPORT'!$A$7:$A$50,'ATHIS MONS'!G32))+(COUNTIF('HMZ - KAIS'!$A$7:$A$50,'ATHIS MONS'!G32))+(COUNTIF('IB TRANSPORT'!$A$7:$A$50,'ATHIS MONS'!G32))+(COUNTIF(JSL!$A$7:$A$50,'ATHIS MONS'!G32))+(COUNTIF(KIFAITOUT!$A$7:$A$50,'ATHIS MONS'!G32))+(COUNTIF('LUXE DRIVE'!$A$7:$A$50,'ATHIS MONS'!G32))+(COUNTIF(SSN!$A$7:$A$50,'ATHIS MONS'!G32))+(COUNTIF('W3'!$A$7:$A$50,'ATHIS MONS'!G32))+(COUNTIF('ATHIS MONS'!$A$7:$A$50,'ATHIS MONS'!G32))+(COUNTIF('L HAY LES ROSES'!$A$7:$A$50,'ATHIS MONS'!G32))+(COUNTIF(RUNGIS!$A$7:$A$50,'ATHIS MONS'!G32))+(COUNTIF(SCEAUX!$A$7:$A$50,'ATHIS MONS'!G32))+(COUNTIF('INSTANCE C1'!$A$7:$A$50,'ATHIS MONS'!G32))+(COUNTIF('INSTANCE C2'!$A$7:$A$50,'ATHIS MONS'!G32))+(COUNTIF(INTERNES!$A$7:$A$50,'ATHIS MONS'!G32))+(COUNTIF('EN PANNE'!$A$7:$A$50,'ATHIS MONS'!G32))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S32" s="60">
        <f t="shared" si="1"/>
        <v>0</v>
      </c>
      <c r="T32" s="67">
        <f t="shared" si="2"/>
        <v>0</v>
      </c>
    </row>
    <row r="33" spans="1:20" ht="24.95" customHeight="1" x14ac:dyDescent="0.2">
      <c r="A33" s="20"/>
      <c r="B33" s="23">
        <f>(COUNTIF('2S EXPRESS'!$A$7:$A$50,'ATHIS MONS'!A33))+(COUNTIF('2 ZT'!$A$7:$A$50,'ATHIS MONS'!A33))+(COUNTIF('GO TRANSPORT'!$A$7:$A$50,'ATHIS MONS'!A33))+(COUNTIF('HMZ - KAIS'!$A$7:$A$50,'ATHIS MONS'!A33))+(COUNTIF('IB TRANSPORT'!$A$7:$A$50,'ATHIS MONS'!A33))+(COUNTIF(JSL!$A$7:$A$50,'ATHIS MONS'!A33))+(COUNTIF(KIFAITOUT!$A$7:$A$50,'ATHIS MONS'!A33))+(COUNTIF('LUXE DRIVE'!$A$7:$A$50,'ATHIS MONS'!A33))+(COUNTIF(SSN!$A$7:$A$50,'ATHIS MONS'!A33))+(COUNTIF('W3'!$A$7:$A$50,'ATHIS MONS'!A33))+(COUNTIF('ATHIS MONS'!$A$7:$A$50,'ATHIS MONS'!A33))+(COUNTIF('L HAY LES ROSES'!$A$7:$A$50,'ATHIS MONS'!A33))+(COUNTIF(RUNGIS!$A$7:$A$50,'ATHIS MONS'!A33))+(COUNTIF(SCEAUX!$A$7:$A$50,'ATHIS MONS'!A33))+(COUNTIF('INSTANCE C1'!$A$7:$A$50,'ATHIS MONS'!A33))+(COUNTIF('INSTANCE C2'!$A$7:$A$50,'ATHIS MONS'!A33))+(COUNTIF(INTERNES!$A$7:$A$50,'ATHIS MONS'!A33))+(COUNTIF('EN PANNE'!$A$7:$A$50,'ATHIS MONS'!A33))-C33</f>
        <v>0</v>
      </c>
      <c r="C33" s="23">
        <f>(COUNTIF('2S EXPRESS'!$G$7:$G$50,'ATHIS MONS'!A33))+(COUNTIF('2 ZT'!$G$7:$G$50,'ATHIS MONS'!A33))+(COUNTIF('GO TRANSPORT'!$G$7:$G$50,'ATHIS MONS'!A33))+(COUNTIF('ATHIS MONS'!$G$7:$G$50,'ATHIS MONS'!A33))+(COUNTIF('IB TRANSPORT'!$G$7:$G$50,'ATHIS MONS'!A33))+(COUNTIF(JSL!$G$7:$G$50,'ATHIS MONS'!A33))+(COUNTIF(KIFAITOUT!$G$7:$G$50,'ATHIS MONS'!A33))+(COUNTIF('LUXE DRIVE'!$G$7:$G$50,'ATHIS MONS'!A33))+(COUNTIF(SSN!$G$7:$G$50,'ATHIS MONS'!A33))+(COUNTIF('W3'!$G$7:$G$50,'ATHIS MONS'!A33))+(COUNTIF('ATHIS MONS'!$G$7:$G$50,'ATHIS MONS'!A33))+(COUNTIF('L HAY LES ROSES'!$G$7:$G$50,'ATHIS MONS'!A33))+(COUNTIF(RUNGIS!$G$7:$G$50,'ATHIS MONS'!A33))+(COUNTIF(SCEAUX!$G$7:$G$50,'ATHIS MONS'!A33))+(COUNTIF('INSTANCE C1'!$G$7:$G$50,'ATHIS MONS'!A33))+(COUNTIF('INSTANCE C2'!$G$7:$G$50,'ATHIS MONS'!A33))+(COUNTIF(INTERNES!$G$7:$G$50,'ATHIS MONS'!A33))+(COUNTIF('EN PANNE'!$G$7:$G$50,'ATHIS MONS'!A33))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EXPRESS'!$G$7:$G$50,'ATHIS MONS'!G33))+(COUNTIF('2 ZT'!$G$7:$G$50,'ATHIS MONS'!G33))+(COUNTIF('GO TRANSPORT'!$G$7:$G$50,'ATHIS MONS'!G33))+(COUNTIF('HMZ - KAIS'!$G$7:$G$50,'ATHIS MONS'!G33))+(COUNTIF('IB TRANSPORT'!$G$7:$G$50,'ATHIS MONS'!G33))+(COUNTIF(JSL!$G$7:$G$50,'ATHIS MONS'!G33))+(COUNTIF(KIFAITOUT!$G$7:$G$50,'ATHIS MONS'!G33))+(COUNTIF('LUXE DRIVE'!$G$7:$G$50,'ATHIS MONS'!G33))+(COUNTIF(SSN!$G$7:$G$50,'ATHIS MONS'!G33))+(COUNTIF('W3'!$G$7:$G$50,'ATHIS MONS'!G33))+(COUNTIF('ATHIS MONS'!$G$7:$G$50,'ATHIS MONS'!G33))+(COUNTIF('L HAY LES ROSES'!$G$7:$G$50,'ATHIS MONS'!G33))+(COUNTIF(RUNGIS!$G$7:$G$50,'ATHIS MONS'!G33))+(COUNTIF(SCEAUX!$G$7:$G$50,'ATHIS MONS'!G33))+(COUNTIF('INSTANCE C1'!$G$7:$G$50,'ATHIS MONS'!G33))+(COUNTIF('INSTANCE C2'!$G$7:$G$50,'ATHIS MONS'!G33))+(COUNTIF(INTERNES!$G$7:$G$50,'ATHIS MONS'!G33))+(COUNTIF('EN PANNE'!$G$7:$G$50,'ATHIS MONS'!G33))-I33</f>
        <v>0</v>
      </c>
      <c r="I33" s="23">
        <f>(COUNTIF('2S EXPRESS'!$A$7:$A$50,'ATHIS MONS'!G33))+(COUNTIF('2 ZT'!$A$7:$A$50,'ATHIS MONS'!G33))+(COUNTIF('GO TRANSPORT'!$A$7:$A$50,'ATHIS MONS'!G33))+(COUNTIF('HMZ - KAIS'!$A$7:$A$50,'ATHIS MONS'!G33))+(COUNTIF('IB TRANSPORT'!$A$7:$A$50,'ATHIS MONS'!G33))+(COUNTIF(JSL!$A$7:$A$50,'ATHIS MONS'!G33))+(COUNTIF(KIFAITOUT!$A$7:$A$50,'ATHIS MONS'!G33))+(COUNTIF('LUXE DRIVE'!$A$7:$A$50,'ATHIS MONS'!G33))+(COUNTIF(SSN!$A$7:$A$50,'ATHIS MONS'!G33))+(COUNTIF('W3'!$A$7:$A$50,'ATHIS MONS'!G33))+(COUNTIF('ATHIS MONS'!$A$7:$A$50,'ATHIS MONS'!G33))+(COUNTIF('L HAY LES ROSES'!$A$7:$A$50,'ATHIS MONS'!G33))+(COUNTIF(RUNGIS!$A$7:$A$50,'ATHIS MONS'!G33))+(COUNTIF(SCEAUX!$A$7:$A$50,'ATHIS MONS'!G33))+(COUNTIF('INSTANCE C1'!$A$7:$A$50,'ATHIS MONS'!G33))+(COUNTIF('INSTANCE C2'!$A$7:$A$50,'ATHIS MONS'!G33))+(COUNTIF(INTERNES!$A$7:$A$50,'ATHIS MONS'!G33))+(COUNTIF('EN PANNE'!$A$7:$A$50,'ATHIS MONS'!G33))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S33" s="60">
        <f t="shared" si="1"/>
        <v>0</v>
      </c>
      <c r="T33" s="67">
        <f t="shared" si="2"/>
        <v>0</v>
      </c>
    </row>
    <row r="34" spans="1:20" ht="24.95" customHeight="1" x14ac:dyDescent="0.2">
      <c r="A34" s="20"/>
      <c r="B34" s="23">
        <f>(COUNTIF('2S EXPRESS'!$A$7:$A$50,'ATHIS MONS'!A34))+(COUNTIF('2 ZT'!$A$7:$A$50,'ATHIS MONS'!A34))+(COUNTIF('GO TRANSPORT'!$A$7:$A$50,'ATHIS MONS'!A34))+(COUNTIF('HMZ - KAIS'!$A$7:$A$50,'ATHIS MONS'!A34))+(COUNTIF('IB TRANSPORT'!$A$7:$A$50,'ATHIS MONS'!A34))+(COUNTIF(JSL!$A$7:$A$50,'ATHIS MONS'!A34))+(COUNTIF(KIFAITOUT!$A$7:$A$50,'ATHIS MONS'!A34))+(COUNTIF('LUXE DRIVE'!$A$7:$A$50,'ATHIS MONS'!A34))+(COUNTIF(SSN!$A$7:$A$50,'ATHIS MONS'!A34))+(COUNTIF('W3'!$A$7:$A$50,'ATHIS MONS'!A34))+(COUNTIF('ATHIS MONS'!$A$7:$A$50,'ATHIS MONS'!A34))+(COUNTIF('L HAY LES ROSES'!$A$7:$A$50,'ATHIS MONS'!A34))+(COUNTIF(RUNGIS!$A$7:$A$50,'ATHIS MONS'!A34))+(COUNTIF(SCEAUX!$A$7:$A$50,'ATHIS MONS'!A34))+(COUNTIF('INSTANCE C1'!$A$7:$A$50,'ATHIS MONS'!A34))+(COUNTIF('INSTANCE C2'!$A$7:$A$50,'ATHIS MONS'!A34))+(COUNTIF(INTERNES!$A$7:$A$50,'ATHIS MONS'!A34))+(COUNTIF('EN PANNE'!$A$7:$A$50,'ATHIS MONS'!A34))-C34</f>
        <v>0</v>
      </c>
      <c r="C34" s="23">
        <f>(COUNTIF('2S EXPRESS'!$G$7:$G$50,'ATHIS MONS'!A34))+(COUNTIF('2 ZT'!$G$7:$G$50,'ATHIS MONS'!A34))+(COUNTIF('GO TRANSPORT'!$G$7:$G$50,'ATHIS MONS'!A34))+(COUNTIF('ATHIS MONS'!$G$7:$G$50,'ATHIS MONS'!A34))+(COUNTIF('IB TRANSPORT'!$G$7:$G$50,'ATHIS MONS'!A34))+(COUNTIF(JSL!$G$7:$G$50,'ATHIS MONS'!A34))+(COUNTIF(KIFAITOUT!$G$7:$G$50,'ATHIS MONS'!A34))+(COUNTIF('LUXE DRIVE'!$G$7:$G$50,'ATHIS MONS'!A34))+(COUNTIF(SSN!$G$7:$G$50,'ATHIS MONS'!A34))+(COUNTIF('W3'!$G$7:$G$50,'ATHIS MONS'!A34))+(COUNTIF('ATHIS MONS'!$G$7:$G$50,'ATHIS MONS'!A34))+(COUNTIF('L HAY LES ROSES'!$G$7:$G$50,'ATHIS MONS'!A34))+(COUNTIF(RUNGIS!$G$7:$G$50,'ATHIS MONS'!A34))+(COUNTIF(SCEAUX!$G$7:$G$50,'ATHIS MONS'!A34))+(COUNTIF('INSTANCE C1'!$G$7:$G$50,'ATHIS MONS'!A34))+(COUNTIF('INSTANCE C2'!$G$7:$G$50,'ATHIS MONS'!A34))+(COUNTIF(INTERNES!$G$7:$G$50,'ATHIS MONS'!A34))+(COUNTIF('EN PANNE'!$G$7:$G$50,'ATHIS MONS'!A34))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EXPRESS'!$G$7:$G$50,'ATHIS MONS'!G34))+(COUNTIF('2 ZT'!$G$7:$G$50,'ATHIS MONS'!G34))+(COUNTIF('GO TRANSPORT'!$G$7:$G$50,'ATHIS MONS'!G34))+(COUNTIF('HMZ - KAIS'!$G$7:$G$50,'ATHIS MONS'!G34))+(COUNTIF('IB TRANSPORT'!$G$7:$G$50,'ATHIS MONS'!G34))+(COUNTIF(JSL!$G$7:$G$50,'ATHIS MONS'!G34))+(COUNTIF(KIFAITOUT!$G$7:$G$50,'ATHIS MONS'!G34))+(COUNTIF('LUXE DRIVE'!$G$7:$G$50,'ATHIS MONS'!G34))+(COUNTIF(SSN!$G$7:$G$50,'ATHIS MONS'!G34))+(COUNTIF('W3'!$G$7:$G$50,'ATHIS MONS'!G34))+(COUNTIF('ATHIS MONS'!$G$7:$G$50,'ATHIS MONS'!G34))+(COUNTIF('L HAY LES ROSES'!$G$7:$G$50,'ATHIS MONS'!G34))+(COUNTIF(RUNGIS!$G$7:$G$50,'ATHIS MONS'!G34))+(COUNTIF(SCEAUX!$G$7:$G$50,'ATHIS MONS'!G34))+(COUNTIF('INSTANCE C1'!$G$7:$G$50,'ATHIS MONS'!G34))+(COUNTIF('INSTANCE C2'!$G$7:$G$50,'ATHIS MONS'!G34))+(COUNTIF(INTERNES!$G$7:$G$50,'ATHIS MONS'!G34))+(COUNTIF('EN PANNE'!$G$7:$G$50,'ATHIS MONS'!G34))-I34</f>
        <v>0</v>
      </c>
      <c r="I34" s="23">
        <f>(COUNTIF('2S EXPRESS'!$A$7:$A$50,'ATHIS MONS'!G34))+(COUNTIF('2 ZT'!$A$7:$A$50,'ATHIS MONS'!G34))+(COUNTIF('GO TRANSPORT'!$A$7:$A$50,'ATHIS MONS'!G34))+(COUNTIF('HMZ - KAIS'!$A$7:$A$50,'ATHIS MONS'!G34))+(COUNTIF('IB TRANSPORT'!$A$7:$A$50,'ATHIS MONS'!G34))+(COUNTIF(JSL!$A$7:$A$50,'ATHIS MONS'!G34))+(COUNTIF(KIFAITOUT!$A$7:$A$50,'ATHIS MONS'!G34))+(COUNTIF('LUXE DRIVE'!$A$7:$A$50,'ATHIS MONS'!G34))+(COUNTIF(SSN!$A$7:$A$50,'ATHIS MONS'!G34))+(COUNTIF('W3'!$A$7:$A$50,'ATHIS MONS'!G34))+(COUNTIF('ATHIS MONS'!$A$7:$A$50,'ATHIS MONS'!G34))+(COUNTIF('L HAY LES ROSES'!$A$7:$A$50,'ATHIS MONS'!G34))+(COUNTIF(RUNGIS!$A$7:$A$50,'ATHIS MONS'!G34))+(COUNTIF(SCEAUX!$A$7:$A$50,'ATHIS MONS'!G34))+(COUNTIF('INSTANCE C1'!$A$7:$A$50,'ATHIS MONS'!G34))+(COUNTIF('INSTANCE C2'!$A$7:$A$50,'ATHIS MONS'!G34))+(COUNTIF(INTERNES!$A$7:$A$50,'ATHIS MONS'!G34))+(COUNTIF('EN PANNE'!$A$7:$A$50,'ATHIS MONS'!G34))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S34" s="60">
        <f t="shared" si="1"/>
        <v>0</v>
      </c>
      <c r="T34" s="67">
        <f t="shared" si="2"/>
        <v>0</v>
      </c>
    </row>
    <row r="35" spans="1:20" ht="24.95" customHeight="1" x14ac:dyDescent="0.2">
      <c r="A35" s="20"/>
      <c r="B35" s="23">
        <f>(COUNTIF('2S EXPRESS'!$A$7:$A$50,'ATHIS MONS'!A35))+(COUNTIF('2 ZT'!$A$7:$A$50,'ATHIS MONS'!A35))+(COUNTIF('GO TRANSPORT'!$A$7:$A$50,'ATHIS MONS'!A35))+(COUNTIF('HMZ - KAIS'!$A$7:$A$50,'ATHIS MONS'!A35))+(COUNTIF('IB TRANSPORT'!$A$7:$A$50,'ATHIS MONS'!A35))+(COUNTIF(JSL!$A$7:$A$50,'ATHIS MONS'!A35))+(COUNTIF(KIFAITOUT!$A$7:$A$50,'ATHIS MONS'!A35))+(COUNTIF('LUXE DRIVE'!$A$7:$A$50,'ATHIS MONS'!A35))+(COUNTIF(SSN!$A$7:$A$50,'ATHIS MONS'!A35))+(COUNTIF('W3'!$A$7:$A$50,'ATHIS MONS'!A35))+(COUNTIF('ATHIS MONS'!$A$7:$A$50,'ATHIS MONS'!A35))+(COUNTIF('L HAY LES ROSES'!$A$7:$A$50,'ATHIS MONS'!A35))+(COUNTIF(RUNGIS!$A$7:$A$50,'ATHIS MONS'!A35))+(COUNTIF(SCEAUX!$A$7:$A$50,'ATHIS MONS'!A35))+(COUNTIF('INSTANCE C1'!$A$7:$A$50,'ATHIS MONS'!A35))+(COUNTIF('INSTANCE C2'!$A$7:$A$50,'ATHIS MONS'!A35))+(COUNTIF(INTERNES!$A$7:$A$50,'ATHIS MONS'!A35))+(COUNTIF('EN PANNE'!$A$7:$A$50,'ATHIS MONS'!A35))-C35</f>
        <v>0</v>
      </c>
      <c r="C35" s="23">
        <f>(COUNTIF('2S EXPRESS'!$G$7:$G$50,'ATHIS MONS'!A35))+(COUNTIF('2 ZT'!$G$7:$G$50,'ATHIS MONS'!A35))+(COUNTIF('GO TRANSPORT'!$G$7:$G$50,'ATHIS MONS'!A35))+(COUNTIF('ATHIS MONS'!$G$7:$G$50,'ATHIS MONS'!A35))+(COUNTIF('IB TRANSPORT'!$G$7:$G$50,'ATHIS MONS'!A35))+(COUNTIF(JSL!$G$7:$G$50,'ATHIS MONS'!A35))+(COUNTIF(KIFAITOUT!$G$7:$G$50,'ATHIS MONS'!A35))+(COUNTIF('LUXE DRIVE'!$G$7:$G$50,'ATHIS MONS'!A35))+(COUNTIF(SSN!$G$7:$G$50,'ATHIS MONS'!A35))+(COUNTIF('W3'!$G$7:$G$50,'ATHIS MONS'!A35))+(COUNTIF('ATHIS MONS'!$G$7:$G$50,'ATHIS MONS'!A35))+(COUNTIF('L HAY LES ROSES'!$G$7:$G$50,'ATHIS MONS'!A35))+(COUNTIF(RUNGIS!$G$7:$G$50,'ATHIS MONS'!A35))+(COUNTIF(SCEAUX!$G$7:$G$50,'ATHIS MONS'!A35))+(COUNTIF('INSTANCE C1'!$G$7:$G$50,'ATHIS MONS'!A35))+(COUNTIF('INSTANCE C2'!$G$7:$G$50,'ATHIS MONS'!A35))+(COUNTIF(INTERNES!$G$7:$G$50,'ATHIS MONS'!A35))+(COUNTIF('EN PANNE'!$G$7:$G$50,'ATHIS MONS'!A35))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EXPRESS'!$G$7:$G$50,'ATHIS MONS'!G35))+(COUNTIF('2 ZT'!$G$7:$G$50,'ATHIS MONS'!G35))+(COUNTIF('GO TRANSPORT'!$G$7:$G$50,'ATHIS MONS'!G35))+(COUNTIF('HMZ - KAIS'!$G$7:$G$50,'ATHIS MONS'!G35))+(COUNTIF('IB TRANSPORT'!$G$7:$G$50,'ATHIS MONS'!G35))+(COUNTIF(JSL!$G$7:$G$50,'ATHIS MONS'!G35))+(COUNTIF(KIFAITOUT!$G$7:$G$50,'ATHIS MONS'!G35))+(COUNTIF('LUXE DRIVE'!$G$7:$G$50,'ATHIS MONS'!G35))+(COUNTIF(SSN!$G$7:$G$50,'ATHIS MONS'!G35))+(COUNTIF('W3'!$G$7:$G$50,'ATHIS MONS'!G35))+(COUNTIF('ATHIS MONS'!$G$7:$G$50,'ATHIS MONS'!G35))+(COUNTIF('L HAY LES ROSES'!$G$7:$G$50,'ATHIS MONS'!G35))+(COUNTIF(RUNGIS!$G$7:$G$50,'ATHIS MONS'!G35))+(COUNTIF(SCEAUX!$G$7:$G$50,'ATHIS MONS'!G35))+(COUNTIF('INSTANCE C1'!$G$7:$G$50,'ATHIS MONS'!G35))+(COUNTIF('INSTANCE C2'!$G$7:$G$50,'ATHIS MONS'!G35))+(COUNTIF(INTERNES!$G$7:$G$50,'ATHIS MONS'!G35))+(COUNTIF('EN PANNE'!$G$7:$G$50,'ATHIS MONS'!G35))-I35</f>
        <v>0</v>
      </c>
      <c r="I35" s="23">
        <f>(COUNTIF('2S EXPRESS'!$A$7:$A$50,'ATHIS MONS'!G35))+(COUNTIF('2 ZT'!$A$7:$A$50,'ATHIS MONS'!G35))+(COUNTIF('GO TRANSPORT'!$A$7:$A$50,'ATHIS MONS'!G35))+(COUNTIF('HMZ - KAIS'!$A$7:$A$50,'ATHIS MONS'!G35))+(COUNTIF('IB TRANSPORT'!$A$7:$A$50,'ATHIS MONS'!G35))+(COUNTIF(JSL!$A$7:$A$50,'ATHIS MONS'!G35))+(COUNTIF(KIFAITOUT!$A$7:$A$50,'ATHIS MONS'!G35))+(COUNTIF('LUXE DRIVE'!$A$7:$A$50,'ATHIS MONS'!G35))+(COUNTIF(SSN!$A$7:$A$50,'ATHIS MONS'!G35))+(COUNTIF('W3'!$A$7:$A$50,'ATHIS MONS'!G35))+(COUNTIF('ATHIS MONS'!$A$7:$A$50,'ATHIS MONS'!G35))+(COUNTIF('L HAY LES ROSES'!$A$7:$A$50,'ATHIS MONS'!G35))+(COUNTIF(RUNGIS!$A$7:$A$50,'ATHIS MONS'!G35))+(COUNTIF(SCEAUX!$A$7:$A$50,'ATHIS MONS'!G35))+(COUNTIF('INSTANCE C1'!$A$7:$A$50,'ATHIS MONS'!G35))+(COUNTIF('INSTANCE C2'!$A$7:$A$50,'ATHIS MONS'!G35))+(COUNTIF(INTERNES!$A$7:$A$50,'ATHIS MONS'!G35))+(COUNTIF('EN PANNE'!$A$7:$A$50,'ATHIS MONS'!G35))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S35" s="60">
        <f t="shared" si="1"/>
        <v>0</v>
      </c>
      <c r="T35" s="67">
        <f t="shared" si="2"/>
        <v>0</v>
      </c>
    </row>
    <row r="36" spans="1:20" ht="24.95" customHeight="1" x14ac:dyDescent="0.2">
      <c r="A36" s="20"/>
      <c r="B36" s="23">
        <f>(COUNTIF('2S EXPRESS'!$A$7:$A$50,'ATHIS MONS'!A36))+(COUNTIF('2 ZT'!$A$7:$A$50,'ATHIS MONS'!A36))+(COUNTIF('GO TRANSPORT'!$A$7:$A$50,'ATHIS MONS'!A36))+(COUNTIF('HMZ - KAIS'!$A$7:$A$50,'ATHIS MONS'!A36))+(COUNTIF('IB TRANSPORT'!$A$7:$A$50,'ATHIS MONS'!A36))+(COUNTIF(JSL!$A$7:$A$50,'ATHIS MONS'!A36))+(COUNTIF(KIFAITOUT!$A$7:$A$50,'ATHIS MONS'!A36))+(COUNTIF('LUXE DRIVE'!$A$7:$A$50,'ATHIS MONS'!A36))+(COUNTIF(SSN!$A$7:$A$50,'ATHIS MONS'!A36))+(COUNTIF('W3'!$A$7:$A$50,'ATHIS MONS'!A36))+(COUNTIF('ATHIS MONS'!$A$7:$A$50,'ATHIS MONS'!A36))+(COUNTIF('L HAY LES ROSES'!$A$7:$A$50,'ATHIS MONS'!A36))+(COUNTIF(RUNGIS!$A$7:$A$50,'ATHIS MONS'!A36))+(COUNTIF(SCEAUX!$A$7:$A$50,'ATHIS MONS'!A36))+(COUNTIF('INSTANCE C1'!$A$7:$A$50,'ATHIS MONS'!A36))+(COUNTIF('INSTANCE C2'!$A$7:$A$50,'ATHIS MONS'!A36))+(COUNTIF(INTERNES!$A$7:$A$50,'ATHIS MONS'!A36))+(COUNTIF('EN PANNE'!$A$7:$A$50,'ATHIS MONS'!A36))-C36</f>
        <v>0</v>
      </c>
      <c r="C36" s="23">
        <f>(COUNTIF('2S EXPRESS'!$G$7:$G$50,'ATHIS MONS'!A36))+(COUNTIF('2 ZT'!$G$7:$G$50,'ATHIS MONS'!A36))+(COUNTIF('GO TRANSPORT'!$G$7:$G$50,'ATHIS MONS'!A36))+(COUNTIF('ATHIS MONS'!$G$7:$G$50,'ATHIS MONS'!A36))+(COUNTIF('IB TRANSPORT'!$G$7:$G$50,'ATHIS MONS'!A36))+(COUNTIF(JSL!$G$7:$G$50,'ATHIS MONS'!A36))+(COUNTIF(KIFAITOUT!$G$7:$G$50,'ATHIS MONS'!A36))+(COUNTIF('LUXE DRIVE'!$G$7:$G$50,'ATHIS MONS'!A36))+(COUNTIF(SSN!$G$7:$G$50,'ATHIS MONS'!A36))+(COUNTIF('W3'!$G$7:$G$50,'ATHIS MONS'!A36))+(COUNTIF('ATHIS MONS'!$G$7:$G$50,'ATHIS MONS'!A36))+(COUNTIF('L HAY LES ROSES'!$G$7:$G$50,'ATHIS MONS'!A36))+(COUNTIF(RUNGIS!$G$7:$G$50,'ATHIS MONS'!A36))+(COUNTIF(SCEAUX!$G$7:$G$50,'ATHIS MONS'!A36))+(COUNTIF('INSTANCE C1'!$G$7:$G$50,'ATHIS MONS'!A36))+(COUNTIF('INSTANCE C2'!$G$7:$G$50,'ATHIS MONS'!A36))+(COUNTIF(INTERNES!$G$7:$G$50,'ATHIS MONS'!A36))+(COUNTIF('EN PANNE'!$G$7:$G$50,'ATHIS MONS'!A36))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EXPRESS'!$G$7:$G$50,'ATHIS MONS'!G36))+(COUNTIF('2 ZT'!$G$7:$G$50,'ATHIS MONS'!G36))+(COUNTIF('GO TRANSPORT'!$G$7:$G$50,'ATHIS MONS'!G36))+(COUNTIF('HMZ - KAIS'!$G$7:$G$50,'ATHIS MONS'!G36))+(COUNTIF('IB TRANSPORT'!$G$7:$G$50,'ATHIS MONS'!G36))+(COUNTIF(JSL!$G$7:$G$50,'ATHIS MONS'!G36))+(COUNTIF(KIFAITOUT!$G$7:$G$50,'ATHIS MONS'!G36))+(COUNTIF('LUXE DRIVE'!$G$7:$G$50,'ATHIS MONS'!G36))+(COUNTIF(SSN!$G$7:$G$50,'ATHIS MONS'!G36))+(COUNTIF('W3'!$G$7:$G$50,'ATHIS MONS'!G36))+(COUNTIF('ATHIS MONS'!$G$7:$G$50,'ATHIS MONS'!G36))+(COUNTIF('L HAY LES ROSES'!$G$7:$G$50,'ATHIS MONS'!G36))+(COUNTIF(RUNGIS!$G$7:$G$50,'ATHIS MONS'!G36))+(COUNTIF(SCEAUX!$G$7:$G$50,'ATHIS MONS'!G36))+(COUNTIF('INSTANCE C1'!$G$7:$G$50,'ATHIS MONS'!G36))+(COUNTIF('INSTANCE C2'!$G$7:$G$50,'ATHIS MONS'!G36))+(COUNTIF(INTERNES!$G$7:$G$50,'ATHIS MONS'!G36))+(COUNTIF('EN PANNE'!$G$7:$G$50,'ATHIS MONS'!G36))-I36</f>
        <v>0</v>
      </c>
      <c r="I36" s="23">
        <f>(COUNTIF('2S EXPRESS'!$A$7:$A$50,'ATHIS MONS'!G36))+(COUNTIF('2 ZT'!$A$7:$A$50,'ATHIS MONS'!G36))+(COUNTIF('GO TRANSPORT'!$A$7:$A$50,'ATHIS MONS'!G36))+(COUNTIF('HMZ - KAIS'!$A$7:$A$50,'ATHIS MONS'!G36))+(COUNTIF('IB TRANSPORT'!$A$7:$A$50,'ATHIS MONS'!G36))+(COUNTIF(JSL!$A$7:$A$50,'ATHIS MONS'!G36))+(COUNTIF(KIFAITOUT!$A$7:$A$50,'ATHIS MONS'!G36))+(COUNTIF('LUXE DRIVE'!$A$7:$A$50,'ATHIS MONS'!G36))+(COUNTIF(SSN!$A$7:$A$50,'ATHIS MONS'!G36))+(COUNTIF('W3'!$A$7:$A$50,'ATHIS MONS'!G36))+(COUNTIF('ATHIS MONS'!$A$7:$A$50,'ATHIS MONS'!G36))+(COUNTIF('L HAY LES ROSES'!$A$7:$A$50,'ATHIS MONS'!G36))+(COUNTIF(RUNGIS!$A$7:$A$50,'ATHIS MONS'!G36))+(COUNTIF(SCEAUX!$A$7:$A$50,'ATHIS MONS'!G36))+(COUNTIF('INSTANCE C1'!$A$7:$A$50,'ATHIS MONS'!G36))+(COUNTIF('INSTANCE C2'!$A$7:$A$50,'ATHIS MONS'!G36))+(COUNTIF(INTERNES!$A$7:$A$50,'ATHIS MONS'!G36))+(COUNTIF('EN PANNE'!$A$7:$A$50,'ATHIS MONS'!G36))</f>
        <v>0</v>
      </c>
      <c r="J36" s="28">
        <f t="shared" si="4"/>
        <v>0</v>
      </c>
      <c r="K36" s="2"/>
      <c r="L36" s="47"/>
      <c r="M36" s="9"/>
      <c r="N36" s="9"/>
      <c r="O36" s="9"/>
      <c r="P36" s="9"/>
      <c r="S36" s="60">
        <f t="shared" si="1"/>
        <v>0</v>
      </c>
      <c r="T36" s="67">
        <f t="shared" si="2"/>
        <v>0</v>
      </c>
    </row>
    <row r="37" spans="1:20" ht="24.95" customHeight="1" x14ac:dyDescent="0.2">
      <c r="A37" s="20"/>
      <c r="B37" s="23">
        <f>(COUNTIF('2S EXPRESS'!$A$7:$A$50,'ATHIS MONS'!A37))+(COUNTIF('2 ZT'!$A$7:$A$50,'ATHIS MONS'!A37))+(COUNTIF('GO TRANSPORT'!$A$7:$A$50,'ATHIS MONS'!A37))+(COUNTIF('HMZ - KAIS'!$A$7:$A$50,'ATHIS MONS'!A37))+(COUNTIF('IB TRANSPORT'!$A$7:$A$50,'ATHIS MONS'!A37))+(COUNTIF(JSL!$A$7:$A$50,'ATHIS MONS'!A37))+(COUNTIF(KIFAITOUT!$A$7:$A$50,'ATHIS MONS'!A37))+(COUNTIF('LUXE DRIVE'!$A$7:$A$50,'ATHIS MONS'!A37))+(COUNTIF(SSN!$A$7:$A$50,'ATHIS MONS'!A37))+(COUNTIF('W3'!$A$7:$A$50,'ATHIS MONS'!A37))+(COUNTIF('ATHIS MONS'!$A$7:$A$50,'ATHIS MONS'!A37))+(COUNTIF('L HAY LES ROSES'!$A$7:$A$50,'ATHIS MONS'!A37))+(COUNTIF(RUNGIS!$A$7:$A$50,'ATHIS MONS'!A37))+(COUNTIF(SCEAUX!$A$7:$A$50,'ATHIS MONS'!A37))+(COUNTIF('INSTANCE C1'!$A$7:$A$50,'ATHIS MONS'!A37))+(COUNTIF('INSTANCE C2'!$A$7:$A$50,'ATHIS MONS'!A37))+(COUNTIF(INTERNES!$A$7:$A$50,'ATHIS MONS'!A37))+(COUNTIF('EN PANNE'!$A$7:$A$50,'ATHIS MONS'!A37))-C37</f>
        <v>0</v>
      </c>
      <c r="C37" s="23">
        <f>(COUNTIF('2S EXPRESS'!$G$7:$G$50,'ATHIS MONS'!A37))+(COUNTIF('2 ZT'!$G$7:$G$50,'ATHIS MONS'!A37))+(COUNTIF('GO TRANSPORT'!$G$7:$G$50,'ATHIS MONS'!A37))+(COUNTIF('ATHIS MONS'!$G$7:$G$50,'ATHIS MONS'!A37))+(COUNTIF('IB TRANSPORT'!$G$7:$G$50,'ATHIS MONS'!A37))+(COUNTIF(JSL!$G$7:$G$50,'ATHIS MONS'!A37))+(COUNTIF(KIFAITOUT!$G$7:$G$50,'ATHIS MONS'!A37))+(COUNTIF('LUXE DRIVE'!$G$7:$G$50,'ATHIS MONS'!A37))+(COUNTIF(SSN!$G$7:$G$50,'ATHIS MONS'!A37))+(COUNTIF('W3'!$G$7:$G$50,'ATHIS MONS'!A37))+(COUNTIF('ATHIS MONS'!$G$7:$G$50,'ATHIS MONS'!A37))+(COUNTIF('L HAY LES ROSES'!$G$7:$G$50,'ATHIS MONS'!A37))+(COUNTIF(RUNGIS!$G$7:$G$50,'ATHIS MONS'!A37))+(COUNTIF(SCEAUX!$G$7:$G$50,'ATHIS MONS'!A37))+(COUNTIF('INSTANCE C1'!$G$7:$G$50,'ATHIS MONS'!A37))+(COUNTIF('INSTANCE C2'!$G$7:$G$50,'ATHIS MONS'!A37))+(COUNTIF(INTERNES!$G$7:$G$50,'ATHIS MONS'!A37))+(COUNTIF('EN PANNE'!$G$7:$G$50,'ATHIS MONS'!A37))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EXPRESS'!$G$7:$G$50,'ATHIS MONS'!G37))+(COUNTIF('2 ZT'!$G$7:$G$50,'ATHIS MONS'!G37))+(COUNTIF('GO TRANSPORT'!$G$7:$G$50,'ATHIS MONS'!G37))+(COUNTIF('HMZ - KAIS'!$G$7:$G$50,'ATHIS MONS'!G37))+(COUNTIF('IB TRANSPORT'!$G$7:$G$50,'ATHIS MONS'!G37))+(COUNTIF(JSL!$G$7:$G$50,'ATHIS MONS'!G37))+(COUNTIF(KIFAITOUT!$G$7:$G$50,'ATHIS MONS'!G37))+(COUNTIF('LUXE DRIVE'!$G$7:$G$50,'ATHIS MONS'!G37))+(COUNTIF(SSN!$G$7:$G$50,'ATHIS MONS'!G37))+(COUNTIF('W3'!$G$7:$G$50,'ATHIS MONS'!G37))+(COUNTIF('ATHIS MONS'!$G$7:$G$50,'ATHIS MONS'!G37))+(COUNTIF('L HAY LES ROSES'!$G$7:$G$50,'ATHIS MONS'!G37))+(COUNTIF(RUNGIS!$G$7:$G$50,'ATHIS MONS'!G37))+(COUNTIF(SCEAUX!$G$7:$G$50,'ATHIS MONS'!G37))+(COUNTIF('INSTANCE C1'!$G$7:$G$50,'ATHIS MONS'!G37))+(COUNTIF('INSTANCE C2'!$G$7:$G$50,'ATHIS MONS'!G37))+(COUNTIF(INTERNES!$G$7:$G$50,'ATHIS MONS'!G37))+(COUNTIF('EN PANNE'!$G$7:$G$50,'ATHIS MONS'!G37))-I37</f>
        <v>0</v>
      </c>
      <c r="I37" s="23">
        <f>(COUNTIF('2S EXPRESS'!$A$7:$A$50,'ATHIS MONS'!G37))+(COUNTIF('2 ZT'!$A$7:$A$50,'ATHIS MONS'!G37))+(COUNTIF('GO TRANSPORT'!$A$7:$A$50,'ATHIS MONS'!G37))+(COUNTIF('HMZ - KAIS'!$A$7:$A$50,'ATHIS MONS'!G37))+(COUNTIF('IB TRANSPORT'!$A$7:$A$50,'ATHIS MONS'!G37))+(COUNTIF(JSL!$A$7:$A$50,'ATHIS MONS'!G37))+(COUNTIF(KIFAITOUT!$A$7:$A$50,'ATHIS MONS'!G37))+(COUNTIF('LUXE DRIVE'!$A$7:$A$50,'ATHIS MONS'!G37))+(COUNTIF(SSN!$A$7:$A$50,'ATHIS MONS'!G37))+(COUNTIF('W3'!$A$7:$A$50,'ATHIS MONS'!G37))+(COUNTIF('ATHIS MONS'!$A$7:$A$50,'ATHIS MONS'!G37))+(COUNTIF('L HAY LES ROSES'!$A$7:$A$50,'ATHIS MONS'!G37))+(COUNTIF(RUNGIS!$A$7:$A$50,'ATHIS MONS'!G37))+(COUNTIF(SCEAUX!$A$7:$A$50,'ATHIS MONS'!G37))+(COUNTIF('INSTANCE C1'!$A$7:$A$50,'ATHIS MONS'!G37))+(COUNTIF('INSTANCE C2'!$A$7:$A$50,'ATHIS MONS'!G37))+(COUNTIF(INTERNES!$A$7:$A$50,'ATHIS MONS'!G37))+(COUNTIF('EN PANNE'!$A$7:$A$50,'ATHIS MONS'!G37))</f>
        <v>0</v>
      </c>
      <c r="J37" s="28">
        <f t="shared" si="4"/>
        <v>0</v>
      </c>
      <c r="K37" s="2"/>
      <c r="L37" s="47"/>
      <c r="M37" s="9"/>
      <c r="N37" s="9"/>
      <c r="O37" s="9"/>
      <c r="P37" s="9"/>
      <c r="S37" s="60">
        <f t="shared" si="1"/>
        <v>0</v>
      </c>
      <c r="T37" s="67">
        <f t="shared" si="2"/>
        <v>0</v>
      </c>
    </row>
    <row r="38" spans="1:20" ht="24.95" customHeight="1" x14ac:dyDescent="0.2">
      <c r="A38" s="20"/>
      <c r="B38" s="23">
        <f>(COUNTIF('2S EXPRESS'!$A$7:$A$50,'ATHIS MONS'!A38))+(COUNTIF('2 ZT'!$A$7:$A$50,'ATHIS MONS'!A38))+(COUNTIF('GO TRANSPORT'!$A$7:$A$50,'ATHIS MONS'!A38))+(COUNTIF('HMZ - KAIS'!$A$7:$A$50,'ATHIS MONS'!A38))+(COUNTIF('IB TRANSPORT'!$A$7:$A$50,'ATHIS MONS'!A38))+(COUNTIF(JSL!$A$7:$A$50,'ATHIS MONS'!A38))+(COUNTIF(KIFAITOUT!$A$7:$A$50,'ATHIS MONS'!A38))+(COUNTIF('LUXE DRIVE'!$A$7:$A$50,'ATHIS MONS'!A38))+(COUNTIF(SSN!$A$7:$A$50,'ATHIS MONS'!A38))+(COUNTIF('W3'!$A$7:$A$50,'ATHIS MONS'!A38))+(COUNTIF('ATHIS MONS'!$A$7:$A$50,'ATHIS MONS'!A38))+(COUNTIF('L HAY LES ROSES'!$A$7:$A$50,'ATHIS MONS'!A38))+(COUNTIF(RUNGIS!$A$7:$A$50,'ATHIS MONS'!A38))+(COUNTIF(SCEAUX!$A$7:$A$50,'ATHIS MONS'!A38))+(COUNTIF('INSTANCE C1'!$A$7:$A$50,'ATHIS MONS'!A38))+(COUNTIF('INSTANCE C2'!$A$7:$A$50,'ATHIS MONS'!A38))+(COUNTIF(INTERNES!$A$7:$A$50,'ATHIS MONS'!A38))+(COUNTIF('EN PANNE'!$A$7:$A$50,'ATHIS MONS'!A38))-C38</f>
        <v>0</v>
      </c>
      <c r="C38" s="23">
        <f>(COUNTIF('2S EXPRESS'!$G$7:$G$50,'ATHIS MONS'!A38))+(COUNTIF('2 ZT'!$G$7:$G$50,'ATHIS MONS'!A38))+(COUNTIF('GO TRANSPORT'!$G$7:$G$50,'ATHIS MONS'!A38))+(COUNTIF('ATHIS MONS'!$G$7:$G$50,'ATHIS MONS'!A38))+(COUNTIF('IB TRANSPORT'!$G$7:$G$50,'ATHIS MONS'!A38))+(COUNTIF(JSL!$G$7:$G$50,'ATHIS MONS'!A38))+(COUNTIF(KIFAITOUT!$G$7:$G$50,'ATHIS MONS'!A38))+(COUNTIF('LUXE DRIVE'!$G$7:$G$50,'ATHIS MONS'!A38))+(COUNTIF(SSN!$G$7:$G$50,'ATHIS MONS'!A38))+(COUNTIF('W3'!$G$7:$G$50,'ATHIS MONS'!A38))+(COUNTIF('ATHIS MONS'!$G$7:$G$50,'ATHIS MONS'!A38))+(COUNTIF('L HAY LES ROSES'!$G$7:$G$50,'ATHIS MONS'!A38))+(COUNTIF(RUNGIS!$G$7:$G$50,'ATHIS MONS'!A38))+(COUNTIF(SCEAUX!$G$7:$G$50,'ATHIS MONS'!A38))+(COUNTIF('INSTANCE C1'!$G$7:$G$50,'ATHIS MONS'!A38))+(COUNTIF('INSTANCE C2'!$G$7:$G$50,'ATHIS MONS'!A38))+(COUNTIF(INTERNES!$G$7:$G$50,'ATHIS MONS'!A38))+(COUNTIF('EN PANNE'!$G$7:$G$50,'ATHIS MONS'!A38))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EXPRESS'!$G$7:$G$50,'ATHIS MONS'!G38))+(COUNTIF('2 ZT'!$G$7:$G$50,'ATHIS MONS'!G38))+(COUNTIF('GO TRANSPORT'!$G$7:$G$50,'ATHIS MONS'!G38))+(COUNTIF('HMZ - KAIS'!$G$7:$G$50,'ATHIS MONS'!G38))+(COUNTIF('IB TRANSPORT'!$G$7:$G$50,'ATHIS MONS'!G38))+(COUNTIF(JSL!$G$7:$G$50,'ATHIS MONS'!G38))+(COUNTIF(KIFAITOUT!$G$7:$G$50,'ATHIS MONS'!G38))+(COUNTIF('LUXE DRIVE'!$G$7:$G$50,'ATHIS MONS'!G38))+(COUNTIF(SSN!$G$7:$G$50,'ATHIS MONS'!G38))+(COUNTIF('W3'!$G$7:$G$50,'ATHIS MONS'!G38))+(COUNTIF('ATHIS MONS'!$G$7:$G$50,'ATHIS MONS'!G38))+(COUNTIF('L HAY LES ROSES'!$G$7:$G$50,'ATHIS MONS'!G38))+(COUNTIF(RUNGIS!$G$7:$G$50,'ATHIS MONS'!G38))+(COUNTIF(SCEAUX!$G$7:$G$50,'ATHIS MONS'!G38))+(COUNTIF('INSTANCE C1'!$G$7:$G$50,'ATHIS MONS'!G38))+(COUNTIF('INSTANCE C2'!$G$7:$G$50,'ATHIS MONS'!G38))+(COUNTIF(INTERNES!$G$7:$G$50,'ATHIS MONS'!G38))+(COUNTIF('EN PANNE'!$G$7:$G$50,'ATHIS MONS'!G38))-I38</f>
        <v>0</v>
      </c>
      <c r="I38" s="23">
        <f>(COUNTIF('2S EXPRESS'!$A$7:$A$50,'ATHIS MONS'!G38))+(COUNTIF('2 ZT'!$A$7:$A$50,'ATHIS MONS'!G38))+(COUNTIF('GO TRANSPORT'!$A$7:$A$50,'ATHIS MONS'!G38))+(COUNTIF('HMZ - KAIS'!$A$7:$A$50,'ATHIS MONS'!G38))+(COUNTIF('IB TRANSPORT'!$A$7:$A$50,'ATHIS MONS'!G38))+(COUNTIF(JSL!$A$7:$A$50,'ATHIS MONS'!G38))+(COUNTIF(KIFAITOUT!$A$7:$A$50,'ATHIS MONS'!G38))+(COUNTIF('LUXE DRIVE'!$A$7:$A$50,'ATHIS MONS'!G38))+(COUNTIF(SSN!$A$7:$A$50,'ATHIS MONS'!G38))+(COUNTIF('W3'!$A$7:$A$50,'ATHIS MONS'!G38))+(COUNTIF('ATHIS MONS'!$A$7:$A$50,'ATHIS MONS'!G38))+(COUNTIF('L HAY LES ROSES'!$A$7:$A$50,'ATHIS MONS'!G38))+(COUNTIF(RUNGIS!$A$7:$A$50,'ATHIS MONS'!G38))+(COUNTIF(SCEAUX!$A$7:$A$50,'ATHIS MONS'!G38))+(COUNTIF('INSTANCE C1'!$A$7:$A$50,'ATHIS MONS'!G38))+(COUNTIF('INSTANCE C2'!$A$7:$A$50,'ATHIS MONS'!G38))+(COUNTIF(INTERNES!$A$7:$A$50,'ATHIS MONS'!G38))+(COUNTIF('EN PANNE'!$A$7:$A$50,'ATHIS MONS'!G38))</f>
        <v>0</v>
      </c>
      <c r="J38" s="28">
        <f t="shared" si="4"/>
        <v>0</v>
      </c>
      <c r="K38" s="2"/>
      <c r="L38" s="47"/>
      <c r="M38" s="9"/>
      <c r="N38" s="9"/>
      <c r="O38" s="9"/>
      <c r="P38" s="9"/>
      <c r="S38" s="60">
        <f t="shared" si="1"/>
        <v>0</v>
      </c>
      <c r="T38" s="67">
        <f t="shared" si="2"/>
        <v>0</v>
      </c>
    </row>
    <row r="39" spans="1:20" ht="24.95" customHeight="1" x14ac:dyDescent="0.2">
      <c r="A39" s="20"/>
      <c r="B39" s="23">
        <f>(COUNTIF('2S EXPRESS'!$A$7:$A$50,'ATHIS MONS'!A39))+(COUNTIF('2 ZT'!$A$7:$A$50,'ATHIS MONS'!A39))+(COUNTIF('GO TRANSPORT'!$A$7:$A$50,'ATHIS MONS'!A39))+(COUNTIF('HMZ - KAIS'!$A$7:$A$50,'ATHIS MONS'!A39))+(COUNTIF('IB TRANSPORT'!$A$7:$A$50,'ATHIS MONS'!A39))+(COUNTIF(JSL!$A$7:$A$50,'ATHIS MONS'!A39))+(COUNTIF(KIFAITOUT!$A$7:$A$50,'ATHIS MONS'!A39))+(COUNTIF('LUXE DRIVE'!$A$7:$A$50,'ATHIS MONS'!A39))+(COUNTIF(SSN!$A$7:$A$50,'ATHIS MONS'!A39))+(COUNTIF('W3'!$A$7:$A$50,'ATHIS MONS'!A39))+(COUNTIF('ATHIS MONS'!$A$7:$A$50,'ATHIS MONS'!A39))+(COUNTIF('L HAY LES ROSES'!$A$7:$A$50,'ATHIS MONS'!A39))+(COUNTIF(RUNGIS!$A$7:$A$50,'ATHIS MONS'!A39))+(COUNTIF(SCEAUX!$A$7:$A$50,'ATHIS MONS'!A39))+(COUNTIF('INSTANCE C1'!$A$7:$A$50,'ATHIS MONS'!A39))+(COUNTIF('INSTANCE C2'!$A$7:$A$50,'ATHIS MONS'!A39))+(COUNTIF(INTERNES!$A$7:$A$50,'ATHIS MONS'!A39))+(COUNTIF('EN PANNE'!$A$7:$A$50,'ATHIS MONS'!A39))-C39</f>
        <v>0</v>
      </c>
      <c r="C39" s="23">
        <f>(COUNTIF('2S EXPRESS'!$G$7:$G$50,'ATHIS MONS'!A39))+(COUNTIF('2 ZT'!$G$7:$G$50,'ATHIS MONS'!A39))+(COUNTIF('GO TRANSPORT'!$G$7:$G$50,'ATHIS MONS'!A39))+(COUNTIF('ATHIS MONS'!$G$7:$G$50,'ATHIS MONS'!A39))+(COUNTIF('IB TRANSPORT'!$G$7:$G$50,'ATHIS MONS'!A39))+(COUNTIF(JSL!$G$7:$G$50,'ATHIS MONS'!A39))+(COUNTIF(KIFAITOUT!$G$7:$G$50,'ATHIS MONS'!A39))+(COUNTIF('LUXE DRIVE'!$G$7:$G$50,'ATHIS MONS'!A39))+(COUNTIF(SSN!$G$7:$G$50,'ATHIS MONS'!A39))+(COUNTIF('W3'!$G$7:$G$50,'ATHIS MONS'!A39))+(COUNTIF('ATHIS MONS'!$G$7:$G$50,'ATHIS MONS'!A39))+(COUNTIF('L HAY LES ROSES'!$G$7:$G$50,'ATHIS MONS'!A39))+(COUNTIF(RUNGIS!$G$7:$G$50,'ATHIS MONS'!A39))+(COUNTIF(SCEAUX!$G$7:$G$50,'ATHIS MONS'!A39))+(COUNTIF('INSTANCE C1'!$G$7:$G$50,'ATHIS MONS'!A39))+(COUNTIF('INSTANCE C2'!$G$7:$G$50,'ATHIS MONS'!A39))+(COUNTIF(INTERNES!$G$7:$G$50,'ATHIS MONS'!A39))+(COUNTIF('EN PANNE'!$G$7:$G$50,'ATHIS MONS'!A39))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EXPRESS'!$G$7:$G$50,'ATHIS MONS'!G39))+(COUNTIF('2 ZT'!$G$7:$G$50,'ATHIS MONS'!G39))+(COUNTIF('GO TRANSPORT'!$G$7:$G$50,'ATHIS MONS'!G39))+(COUNTIF('HMZ - KAIS'!$G$7:$G$50,'ATHIS MONS'!G39))+(COUNTIF('IB TRANSPORT'!$G$7:$G$50,'ATHIS MONS'!G39))+(COUNTIF(JSL!$G$7:$G$50,'ATHIS MONS'!G39))+(COUNTIF(KIFAITOUT!$G$7:$G$50,'ATHIS MONS'!G39))+(COUNTIF('LUXE DRIVE'!$G$7:$G$50,'ATHIS MONS'!G39))+(COUNTIF(SSN!$G$7:$G$50,'ATHIS MONS'!G39))+(COUNTIF('W3'!$G$7:$G$50,'ATHIS MONS'!G39))+(COUNTIF('ATHIS MONS'!$G$7:$G$50,'ATHIS MONS'!G39))+(COUNTIF('L HAY LES ROSES'!$G$7:$G$50,'ATHIS MONS'!G39))+(COUNTIF(RUNGIS!$G$7:$G$50,'ATHIS MONS'!G39))+(COUNTIF(SCEAUX!$G$7:$G$50,'ATHIS MONS'!G39))+(COUNTIF('INSTANCE C1'!$G$7:$G$50,'ATHIS MONS'!G39))+(COUNTIF('INSTANCE C2'!$G$7:$G$50,'ATHIS MONS'!G39))+(COUNTIF(INTERNES!$G$7:$G$50,'ATHIS MONS'!G39))+(COUNTIF('EN PANNE'!$G$7:$G$50,'ATHIS MONS'!G39))-I39</f>
        <v>0</v>
      </c>
      <c r="I39" s="23">
        <f>(COUNTIF('2S EXPRESS'!$A$7:$A$50,'ATHIS MONS'!G39))+(COUNTIF('2 ZT'!$A$7:$A$50,'ATHIS MONS'!G39))+(COUNTIF('GO TRANSPORT'!$A$7:$A$50,'ATHIS MONS'!G39))+(COUNTIF('HMZ - KAIS'!$A$7:$A$50,'ATHIS MONS'!G39))+(COUNTIF('IB TRANSPORT'!$A$7:$A$50,'ATHIS MONS'!G39))+(COUNTIF(JSL!$A$7:$A$50,'ATHIS MONS'!G39))+(COUNTIF(KIFAITOUT!$A$7:$A$50,'ATHIS MONS'!G39))+(COUNTIF('LUXE DRIVE'!$A$7:$A$50,'ATHIS MONS'!G39))+(COUNTIF(SSN!$A$7:$A$50,'ATHIS MONS'!G39))+(COUNTIF('W3'!$A$7:$A$50,'ATHIS MONS'!G39))+(COUNTIF('ATHIS MONS'!$A$7:$A$50,'ATHIS MONS'!G39))+(COUNTIF('L HAY LES ROSES'!$A$7:$A$50,'ATHIS MONS'!G39))+(COUNTIF(RUNGIS!$A$7:$A$50,'ATHIS MONS'!G39))+(COUNTIF(SCEAUX!$A$7:$A$50,'ATHIS MONS'!G39))+(COUNTIF('INSTANCE C1'!$A$7:$A$50,'ATHIS MONS'!G39))+(COUNTIF('INSTANCE C2'!$A$7:$A$50,'ATHIS MONS'!G39))+(COUNTIF(INTERNES!$A$7:$A$50,'ATHIS MONS'!G39))+(COUNTIF('EN PANNE'!$A$7:$A$50,'ATHIS MONS'!G39))</f>
        <v>0</v>
      </c>
      <c r="J39" s="28">
        <f t="shared" si="4"/>
        <v>0</v>
      </c>
      <c r="K39" s="2"/>
      <c r="L39" s="47"/>
      <c r="M39" s="9"/>
      <c r="N39" s="9"/>
      <c r="O39" s="9"/>
      <c r="P39" s="9"/>
      <c r="S39" s="60">
        <f t="shared" si="1"/>
        <v>0</v>
      </c>
      <c r="T39" s="67">
        <f t="shared" si="2"/>
        <v>0</v>
      </c>
    </row>
    <row r="40" spans="1:20" ht="24.95" customHeight="1" x14ac:dyDescent="0.2">
      <c r="A40" s="20"/>
      <c r="B40" s="23">
        <f>(COUNTIF('2S EXPRESS'!$A$7:$A$50,'ATHIS MONS'!A40))+(COUNTIF('2 ZT'!$A$7:$A$50,'ATHIS MONS'!A40))+(COUNTIF('GO TRANSPORT'!$A$7:$A$50,'ATHIS MONS'!A40))+(COUNTIF('HMZ - KAIS'!$A$7:$A$50,'ATHIS MONS'!A40))+(COUNTIF('IB TRANSPORT'!$A$7:$A$50,'ATHIS MONS'!A40))+(COUNTIF(JSL!$A$7:$A$50,'ATHIS MONS'!A40))+(COUNTIF(KIFAITOUT!$A$7:$A$50,'ATHIS MONS'!A40))+(COUNTIF('LUXE DRIVE'!$A$7:$A$50,'ATHIS MONS'!A40))+(COUNTIF(SSN!$A$7:$A$50,'ATHIS MONS'!A40))+(COUNTIF('W3'!$A$7:$A$50,'ATHIS MONS'!A40))+(COUNTIF('ATHIS MONS'!$A$7:$A$50,'ATHIS MONS'!A40))+(COUNTIF('L HAY LES ROSES'!$A$7:$A$50,'ATHIS MONS'!A40))+(COUNTIF(RUNGIS!$A$7:$A$50,'ATHIS MONS'!A40))+(COUNTIF(SCEAUX!$A$7:$A$50,'ATHIS MONS'!A40))+(COUNTIF('INSTANCE C1'!$A$7:$A$50,'ATHIS MONS'!A40))+(COUNTIF('INSTANCE C2'!$A$7:$A$50,'ATHIS MONS'!A40))+(COUNTIF(INTERNES!$A$7:$A$50,'ATHIS MONS'!A40))+(COUNTIF('EN PANNE'!$A$7:$A$50,'ATHIS MONS'!A40))-C40</f>
        <v>0</v>
      </c>
      <c r="C40" s="23">
        <f>(COUNTIF('2S EXPRESS'!$G$7:$G$50,'ATHIS MONS'!A40))+(COUNTIF('2 ZT'!$G$7:$G$50,'ATHIS MONS'!A40))+(COUNTIF('GO TRANSPORT'!$G$7:$G$50,'ATHIS MONS'!A40))+(COUNTIF('ATHIS MONS'!$G$7:$G$50,'ATHIS MONS'!A40))+(COUNTIF('IB TRANSPORT'!$G$7:$G$50,'ATHIS MONS'!A40))+(COUNTIF(JSL!$G$7:$G$50,'ATHIS MONS'!A40))+(COUNTIF(KIFAITOUT!$G$7:$G$50,'ATHIS MONS'!A40))+(COUNTIF('LUXE DRIVE'!$G$7:$G$50,'ATHIS MONS'!A40))+(COUNTIF(SSN!$G$7:$G$50,'ATHIS MONS'!A40))+(COUNTIF('W3'!$G$7:$G$50,'ATHIS MONS'!A40))+(COUNTIF('ATHIS MONS'!$G$7:$G$50,'ATHIS MONS'!A40))+(COUNTIF('L HAY LES ROSES'!$G$7:$G$50,'ATHIS MONS'!A40))+(COUNTIF(RUNGIS!$G$7:$G$50,'ATHIS MONS'!A40))+(COUNTIF(SCEAUX!$G$7:$G$50,'ATHIS MONS'!A40))+(COUNTIF('INSTANCE C1'!$G$7:$G$50,'ATHIS MONS'!A40))+(COUNTIF('INSTANCE C2'!$G$7:$G$50,'ATHIS MONS'!A40))+(COUNTIF(INTERNES!$G$7:$G$50,'ATHIS MONS'!A40))+(COUNTIF('EN PANNE'!$G$7:$G$50,'ATHIS MONS'!A40))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EXPRESS'!$G$7:$G$50,'ATHIS MONS'!G40))+(COUNTIF('2 ZT'!$G$7:$G$50,'ATHIS MONS'!G40))+(COUNTIF('GO TRANSPORT'!$G$7:$G$50,'ATHIS MONS'!G40))+(COUNTIF('HMZ - KAIS'!$G$7:$G$50,'ATHIS MONS'!G40))+(COUNTIF('IB TRANSPORT'!$G$7:$G$50,'ATHIS MONS'!G40))+(COUNTIF(JSL!$G$7:$G$50,'ATHIS MONS'!G40))+(COUNTIF(KIFAITOUT!$G$7:$G$50,'ATHIS MONS'!G40))+(COUNTIF('LUXE DRIVE'!$G$7:$G$50,'ATHIS MONS'!G40))+(COUNTIF(SSN!$G$7:$G$50,'ATHIS MONS'!G40))+(COUNTIF('W3'!$G$7:$G$50,'ATHIS MONS'!G40))+(COUNTIF('ATHIS MONS'!$G$7:$G$50,'ATHIS MONS'!G40))+(COUNTIF('L HAY LES ROSES'!$G$7:$G$50,'ATHIS MONS'!G40))+(COUNTIF(RUNGIS!$G$7:$G$50,'ATHIS MONS'!G40))+(COUNTIF(SCEAUX!$G$7:$G$50,'ATHIS MONS'!G40))+(COUNTIF('INSTANCE C1'!$G$7:$G$50,'ATHIS MONS'!G40))+(COUNTIF('INSTANCE C2'!$G$7:$G$50,'ATHIS MONS'!G40))+(COUNTIF(INTERNES!$G$7:$G$50,'ATHIS MONS'!G40))+(COUNTIF('EN PANNE'!$G$7:$G$50,'ATHIS MONS'!G40))-I40</f>
        <v>0</v>
      </c>
      <c r="I40" s="23">
        <f>(COUNTIF('2S EXPRESS'!$A$7:$A$50,'ATHIS MONS'!G40))+(COUNTIF('2 ZT'!$A$7:$A$50,'ATHIS MONS'!G40))+(COUNTIF('GO TRANSPORT'!$A$7:$A$50,'ATHIS MONS'!G40))+(COUNTIF('HMZ - KAIS'!$A$7:$A$50,'ATHIS MONS'!G40))+(COUNTIF('IB TRANSPORT'!$A$7:$A$50,'ATHIS MONS'!G40))+(COUNTIF(JSL!$A$7:$A$50,'ATHIS MONS'!G40))+(COUNTIF(KIFAITOUT!$A$7:$A$50,'ATHIS MONS'!G40))+(COUNTIF('LUXE DRIVE'!$A$7:$A$50,'ATHIS MONS'!G40))+(COUNTIF(SSN!$A$7:$A$50,'ATHIS MONS'!G40))+(COUNTIF('W3'!$A$7:$A$50,'ATHIS MONS'!G40))+(COUNTIF('ATHIS MONS'!$A$7:$A$50,'ATHIS MONS'!G40))+(COUNTIF('L HAY LES ROSES'!$A$7:$A$50,'ATHIS MONS'!G40))+(COUNTIF(RUNGIS!$A$7:$A$50,'ATHIS MONS'!G40))+(COUNTIF(SCEAUX!$A$7:$A$50,'ATHIS MONS'!G40))+(COUNTIF('INSTANCE C1'!$A$7:$A$50,'ATHIS MONS'!G40))+(COUNTIF('INSTANCE C2'!$A$7:$A$50,'ATHIS MONS'!G40))+(COUNTIF(INTERNES!$A$7:$A$50,'ATHIS MONS'!G40))+(COUNTIF('EN PANNE'!$A$7:$A$50,'ATHIS MONS'!G40))</f>
        <v>0</v>
      </c>
      <c r="J40" s="28">
        <f t="shared" si="4"/>
        <v>0</v>
      </c>
      <c r="K40" s="2"/>
      <c r="L40" s="47"/>
      <c r="M40" s="9"/>
      <c r="N40" s="9"/>
      <c r="O40" s="9"/>
      <c r="P40" s="9"/>
      <c r="S40" s="60">
        <f t="shared" si="1"/>
        <v>0</v>
      </c>
      <c r="T40" s="67">
        <f t="shared" si="2"/>
        <v>0</v>
      </c>
    </row>
    <row r="41" spans="1:20" ht="24.95" customHeight="1" x14ac:dyDescent="0.2">
      <c r="A41" s="20"/>
      <c r="B41" s="23">
        <f>(COUNTIF('2S EXPRESS'!$A$7:$A$50,'ATHIS MONS'!A41))+(COUNTIF('2 ZT'!$A$7:$A$50,'ATHIS MONS'!A41))+(COUNTIF('GO TRANSPORT'!$A$7:$A$50,'ATHIS MONS'!A41))+(COUNTIF('HMZ - KAIS'!$A$7:$A$50,'ATHIS MONS'!A41))+(COUNTIF('IB TRANSPORT'!$A$7:$A$50,'ATHIS MONS'!A41))+(COUNTIF(JSL!$A$7:$A$50,'ATHIS MONS'!A41))+(COUNTIF(KIFAITOUT!$A$7:$A$50,'ATHIS MONS'!A41))+(COUNTIF('LUXE DRIVE'!$A$7:$A$50,'ATHIS MONS'!A41))+(COUNTIF(SSN!$A$7:$A$50,'ATHIS MONS'!A41))+(COUNTIF('W3'!$A$7:$A$50,'ATHIS MONS'!A41))+(COUNTIF('ATHIS MONS'!$A$7:$A$50,'ATHIS MONS'!A41))+(COUNTIF('L HAY LES ROSES'!$A$7:$A$50,'ATHIS MONS'!A41))+(COUNTIF(RUNGIS!$A$7:$A$50,'ATHIS MONS'!A41))+(COUNTIF(SCEAUX!$A$7:$A$50,'ATHIS MONS'!A41))+(COUNTIF('INSTANCE C1'!$A$7:$A$50,'ATHIS MONS'!A41))+(COUNTIF('INSTANCE C2'!$A$7:$A$50,'ATHIS MONS'!A41))+(COUNTIF(INTERNES!$A$7:$A$50,'ATHIS MONS'!A41))+(COUNTIF('EN PANNE'!$A$7:$A$50,'ATHIS MONS'!A41))-C41</f>
        <v>0</v>
      </c>
      <c r="C41" s="23">
        <f>(COUNTIF('2S EXPRESS'!$G$7:$G$50,'ATHIS MONS'!A41))+(COUNTIF('2 ZT'!$G$7:$G$50,'ATHIS MONS'!A41))+(COUNTIF('GO TRANSPORT'!$G$7:$G$50,'ATHIS MONS'!A41))+(COUNTIF('ATHIS MONS'!$G$7:$G$50,'ATHIS MONS'!A41))+(COUNTIF('IB TRANSPORT'!$G$7:$G$50,'ATHIS MONS'!A41))+(COUNTIF(JSL!$G$7:$G$50,'ATHIS MONS'!A41))+(COUNTIF(KIFAITOUT!$G$7:$G$50,'ATHIS MONS'!A41))+(COUNTIF('LUXE DRIVE'!$G$7:$G$50,'ATHIS MONS'!A41))+(COUNTIF(SSN!$G$7:$G$50,'ATHIS MONS'!A41))+(COUNTIF('W3'!$G$7:$G$50,'ATHIS MONS'!A41))+(COUNTIF('ATHIS MONS'!$G$7:$G$50,'ATHIS MONS'!A41))+(COUNTIF('L HAY LES ROSES'!$G$7:$G$50,'ATHIS MONS'!A41))+(COUNTIF(RUNGIS!$G$7:$G$50,'ATHIS MONS'!A41))+(COUNTIF(SCEAUX!$G$7:$G$50,'ATHIS MONS'!A41))+(COUNTIF('INSTANCE C1'!$G$7:$G$50,'ATHIS MONS'!A41))+(COUNTIF('INSTANCE C2'!$G$7:$G$50,'ATHIS MONS'!A41))+(COUNTIF(INTERNES!$G$7:$G$50,'ATHIS MONS'!A41))+(COUNTIF('EN PANNE'!$G$7:$G$50,'ATHIS MONS'!A41))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EXPRESS'!$G$7:$G$50,'ATHIS MONS'!G41))+(COUNTIF('2 ZT'!$G$7:$G$50,'ATHIS MONS'!G41))+(COUNTIF('GO TRANSPORT'!$G$7:$G$50,'ATHIS MONS'!G41))+(COUNTIF('HMZ - KAIS'!$G$7:$G$50,'ATHIS MONS'!G41))+(COUNTIF('IB TRANSPORT'!$G$7:$G$50,'ATHIS MONS'!G41))+(COUNTIF(JSL!$G$7:$G$50,'ATHIS MONS'!G41))+(COUNTIF(KIFAITOUT!$G$7:$G$50,'ATHIS MONS'!G41))+(COUNTIF('LUXE DRIVE'!$G$7:$G$50,'ATHIS MONS'!G41))+(COUNTIF(SSN!$G$7:$G$50,'ATHIS MONS'!G41))+(COUNTIF('W3'!$G$7:$G$50,'ATHIS MONS'!G41))+(COUNTIF('ATHIS MONS'!$G$7:$G$50,'ATHIS MONS'!G41))+(COUNTIF('L HAY LES ROSES'!$G$7:$G$50,'ATHIS MONS'!G41))+(COUNTIF(RUNGIS!$G$7:$G$50,'ATHIS MONS'!G41))+(COUNTIF(SCEAUX!$G$7:$G$50,'ATHIS MONS'!G41))+(COUNTIF('INSTANCE C1'!$G$7:$G$50,'ATHIS MONS'!G41))+(COUNTIF('INSTANCE C2'!$G$7:$G$50,'ATHIS MONS'!G41))+(COUNTIF(INTERNES!$G$7:$G$50,'ATHIS MONS'!G41))+(COUNTIF('EN PANNE'!$G$7:$G$50,'ATHIS MONS'!G41))-I41</f>
        <v>0</v>
      </c>
      <c r="I41" s="23">
        <f>(COUNTIF('2S EXPRESS'!$A$7:$A$50,'ATHIS MONS'!G41))+(COUNTIF('2 ZT'!$A$7:$A$50,'ATHIS MONS'!G41))+(COUNTIF('GO TRANSPORT'!$A$7:$A$50,'ATHIS MONS'!G41))+(COUNTIF('HMZ - KAIS'!$A$7:$A$50,'ATHIS MONS'!G41))+(COUNTIF('IB TRANSPORT'!$A$7:$A$50,'ATHIS MONS'!G41))+(COUNTIF(JSL!$A$7:$A$50,'ATHIS MONS'!G41))+(COUNTIF(KIFAITOUT!$A$7:$A$50,'ATHIS MONS'!G41))+(COUNTIF('LUXE DRIVE'!$A$7:$A$50,'ATHIS MONS'!G41))+(COUNTIF(SSN!$A$7:$A$50,'ATHIS MONS'!G41))+(COUNTIF('W3'!$A$7:$A$50,'ATHIS MONS'!G41))+(COUNTIF('ATHIS MONS'!$A$7:$A$50,'ATHIS MONS'!G41))+(COUNTIF('L HAY LES ROSES'!$A$7:$A$50,'ATHIS MONS'!G41))+(COUNTIF(RUNGIS!$A$7:$A$50,'ATHIS MONS'!G41))+(COUNTIF(SCEAUX!$A$7:$A$50,'ATHIS MONS'!G41))+(COUNTIF('INSTANCE C1'!$A$7:$A$50,'ATHIS MONS'!G41))+(COUNTIF('INSTANCE C2'!$A$7:$A$50,'ATHIS MONS'!G41))+(COUNTIF(INTERNES!$A$7:$A$50,'ATHIS MONS'!G41))+(COUNTIF('EN PANNE'!$A$7:$A$50,'ATHIS MONS'!G41))</f>
        <v>0</v>
      </c>
      <c r="J41" s="28">
        <f t="shared" si="4"/>
        <v>0</v>
      </c>
      <c r="K41" s="2"/>
      <c r="L41" s="47"/>
      <c r="M41" s="9"/>
      <c r="N41" s="9"/>
      <c r="O41" s="9"/>
      <c r="P41" s="9"/>
      <c r="S41" s="60">
        <f t="shared" si="1"/>
        <v>0</v>
      </c>
      <c r="T41" s="67">
        <f t="shared" si="2"/>
        <v>0</v>
      </c>
    </row>
    <row r="42" spans="1:20" ht="24.95" customHeight="1" x14ac:dyDescent="0.2">
      <c r="A42" s="20"/>
      <c r="B42" s="23">
        <f>(COUNTIF('2S EXPRESS'!$A$7:$A$50,'ATHIS MONS'!A42))+(COUNTIF('2 ZT'!$A$7:$A$50,'ATHIS MONS'!A42))+(COUNTIF('GO TRANSPORT'!$A$7:$A$50,'ATHIS MONS'!A42))+(COUNTIF('HMZ - KAIS'!$A$7:$A$50,'ATHIS MONS'!A42))+(COUNTIF('IB TRANSPORT'!$A$7:$A$50,'ATHIS MONS'!A42))+(COUNTIF(JSL!$A$7:$A$50,'ATHIS MONS'!A42))+(COUNTIF(KIFAITOUT!$A$7:$A$50,'ATHIS MONS'!A42))+(COUNTIF('LUXE DRIVE'!$A$7:$A$50,'ATHIS MONS'!A42))+(COUNTIF(SSN!$A$7:$A$50,'ATHIS MONS'!A42))+(COUNTIF('W3'!$A$7:$A$50,'ATHIS MONS'!A42))+(COUNTIF('ATHIS MONS'!$A$7:$A$50,'ATHIS MONS'!A42))+(COUNTIF('L HAY LES ROSES'!$A$7:$A$50,'ATHIS MONS'!A42))+(COUNTIF(RUNGIS!$A$7:$A$50,'ATHIS MONS'!A42))+(COUNTIF(SCEAUX!$A$7:$A$50,'ATHIS MONS'!A42))+(COUNTIF('INSTANCE C1'!$A$7:$A$50,'ATHIS MONS'!A42))+(COUNTIF('INSTANCE C2'!$A$7:$A$50,'ATHIS MONS'!A42))+(COUNTIF(INTERNES!$A$7:$A$50,'ATHIS MONS'!A42))+(COUNTIF('EN PANNE'!$A$7:$A$50,'ATHIS MONS'!A42))-C42</f>
        <v>0</v>
      </c>
      <c r="C42" s="23">
        <f>(COUNTIF('2S EXPRESS'!$G$7:$G$50,'ATHIS MONS'!A42))+(COUNTIF('2 ZT'!$G$7:$G$50,'ATHIS MONS'!A42))+(COUNTIF('GO TRANSPORT'!$G$7:$G$50,'ATHIS MONS'!A42))+(COUNTIF('ATHIS MONS'!$G$7:$G$50,'ATHIS MONS'!A42))+(COUNTIF('IB TRANSPORT'!$G$7:$G$50,'ATHIS MONS'!A42))+(COUNTIF(JSL!$G$7:$G$50,'ATHIS MONS'!A42))+(COUNTIF(KIFAITOUT!$G$7:$G$50,'ATHIS MONS'!A42))+(COUNTIF('LUXE DRIVE'!$G$7:$G$50,'ATHIS MONS'!A42))+(COUNTIF(SSN!$G$7:$G$50,'ATHIS MONS'!A42))+(COUNTIF('W3'!$G$7:$G$50,'ATHIS MONS'!A42))+(COUNTIF('ATHIS MONS'!$G$7:$G$50,'ATHIS MONS'!A42))+(COUNTIF('L HAY LES ROSES'!$G$7:$G$50,'ATHIS MONS'!A42))+(COUNTIF(RUNGIS!$G$7:$G$50,'ATHIS MONS'!A42))+(COUNTIF(SCEAUX!$G$7:$G$50,'ATHIS MONS'!A42))+(COUNTIF('INSTANCE C1'!$G$7:$G$50,'ATHIS MONS'!A42))+(COUNTIF('INSTANCE C2'!$G$7:$G$50,'ATHIS MONS'!A42))+(COUNTIF(INTERNES!$G$7:$G$50,'ATHIS MONS'!A42))+(COUNTIF('EN PANNE'!$G$7:$G$50,'ATHIS MONS'!A42))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EXPRESS'!$G$7:$G$50,'ATHIS MONS'!G42))+(COUNTIF('2 ZT'!$G$7:$G$50,'ATHIS MONS'!G42))+(COUNTIF('GO TRANSPORT'!$G$7:$G$50,'ATHIS MONS'!G42))+(COUNTIF('HMZ - KAIS'!$G$7:$G$50,'ATHIS MONS'!G42))+(COUNTIF('IB TRANSPORT'!$G$7:$G$50,'ATHIS MONS'!G42))+(COUNTIF(JSL!$G$7:$G$50,'ATHIS MONS'!G42))+(COUNTIF(KIFAITOUT!$G$7:$G$50,'ATHIS MONS'!G42))+(COUNTIF('LUXE DRIVE'!$G$7:$G$50,'ATHIS MONS'!G42))+(COUNTIF(SSN!$G$7:$G$50,'ATHIS MONS'!G42))+(COUNTIF('W3'!$G$7:$G$50,'ATHIS MONS'!G42))+(COUNTIF('ATHIS MONS'!$G$7:$G$50,'ATHIS MONS'!G42))+(COUNTIF('L HAY LES ROSES'!$G$7:$G$50,'ATHIS MONS'!G42))+(COUNTIF(RUNGIS!$G$7:$G$50,'ATHIS MONS'!G42))+(COUNTIF(SCEAUX!$G$7:$G$50,'ATHIS MONS'!G42))+(COUNTIF('INSTANCE C1'!$G$7:$G$50,'ATHIS MONS'!G42))+(COUNTIF('INSTANCE C2'!$G$7:$G$50,'ATHIS MONS'!G42))+(COUNTIF(INTERNES!$G$7:$G$50,'ATHIS MONS'!G42))+(COUNTIF('EN PANNE'!$G$7:$G$50,'ATHIS MONS'!G42))-I42</f>
        <v>0</v>
      </c>
      <c r="I42" s="23">
        <f>(COUNTIF('2S EXPRESS'!$A$7:$A$50,'ATHIS MONS'!G42))+(COUNTIF('2 ZT'!$A$7:$A$50,'ATHIS MONS'!G42))+(COUNTIF('GO TRANSPORT'!$A$7:$A$50,'ATHIS MONS'!G42))+(COUNTIF('HMZ - KAIS'!$A$7:$A$50,'ATHIS MONS'!G42))+(COUNTIF('IB TRANSPORT'!$A$7:$A$50,'ATHIS MONS'!G42))+(COUNTIF(JSL!$A$7:$A$50,'ATHIS MONS'!G42))+(COUNTIF(KIFAITOUT!$A$7:$A$50,'ATHIS MONS'!G42))+(COUNTIF('LUXE DRIVE'!$A$7:$A$50,'ATHIS MONS'!G42))+(COUNTIF(SSN!$A$7:$A$50,'ATHIS MONS'!G42))+(COUNTIF('W3'!$A$7:$A$50,'ATHIS MONS'!G42))+(COUNTIF('ATHIS MONS'!$A$7:$A$50,'ATHIS MONS'!G42))+(COUNTIF('L HAY LES ROSES'!$A$7:$A$50,'ATHIS MONS'!G42))+(COUNTIF(RUNGIS!$A$7:$A$50,'ATHIS MONS'!G42))+(COUNTIF(SCEAUX!$A$7:$A$50,'ATHIS MONS'!G42))+(COUNTIF('INSTANCE C1'!$A$7:$A$50,'ATHIS MONS'!G42))+(COUNTIF('INSTANCE C2'!$A$7:$A$50,'ATHIS MONS'!G42))+(COUNTIF(INTERNES!$A$7:$A$50,'ATHIS MONS'!G42))+(COUNTIF('EN PANNE'!$A$7:$A$50,'ATHIS MONS'!G42))</f>
        <v>0</v>
      </c>
      <c r="J42" s="28">
        <f t="shared" si="4"/>
        <v>0</v>
      </c>
      <c r="K42" s="2"/>
      <c r="L42" s="47"/>
      <c r="M42" s="9"/>
      <c r="N42" s="9"/>
      <c r="O42" s="9"/>
      <c r="P42" s="9"/>
      <c r="S42" s="60">
        <f t="shared" si="1"/>
        <v>0</v>
      </c>
      <c r="T42" s="67">
        <f t="shared" si="2"/>
        <v>0</v>
      </c>
    </row>
    <row r="43" spans="1:20" ht="24.95" customHeight="1" x14ac:dyDescent="0.2">
      <c r="A43" s="20"/>
      <c r="B43" s="23">
        <f>(COUNTIF('2S EXPRESS'!$A$7:$A$50,'ATHIS MONS'!A43))+(COUNTIF('2 ZT'!$A$7:$A$50,'ATHIS MONS'!A43))+(COUNTIF('GO TRANSPORT'!$A$7:$A$50,'ATHIS MONS'!A43))+(COUNTIF('HMZ - KAIS'!$A$7:$A$50,'ATHIS MONS'!A43))+(COUNTIF('IB TRANSPORT'!$A$7:$A$50,'ATHIS MONS'!A43))+(COUNTIF(JSL!$A$7:$A$50,'ATHIS MONS'!A43))+(COUNTIF(KIFAITOUT!$A$7:$A$50,'ATHIS MONS'!A43))+(COUNTIF('LUXE DRIVE'!$A$7:$A$50,'ATHIS MONS'!A43))+(COUNTIF(SSN!$A$7:$A$50,'ATHIS MONS'!A43))+(COUNTIF('W3'!$A$7:$A$50,'ATHIS MONS'!A43))+(COUNTIF('ATHIS MONS'!$A$7:$A$50,'ATHIS MONS'!A43))+(COUNTIF('L HAY LES ROSES'!$A$7:$A$50,'ATHIS MONS'!A43))+(COUNTIF(RUNGIS!$A$7:$A$50,'ATHIS MONS'!A43))+(COUNTIF(SCEAUX!$A$7:$A$50,'ATHIS MONS'!A43))+(COUNTIF('INSTANCE C1'!$A$7:$A$50,'ATHIS MONS'!A43))+(COUNTIF('INSTANCE C2'!$A$7:$A$50,'ATHIS MONS'!A43))+(COUNTIF(INTERNES!$A$7:$A$50,'ATHIS MONS'!A43))+(COUNTIF('EN PANNE'!$A$7:$A$50,'ATHIS MONS'!A43))-C43</f>
        <v>0</v>
      </c>
      <c r="C43" s="23">
        <f>(COUNTIF('2S EXPRESS'!$G$7:$G$50,'ATHIS MONS'!A43))+(COUNTIF('2 ZT'!$G$7:$G$50,'ATHIS MONS'!A43))+(COUNTIF('GO TRANSPORT'!$G$7:$G$50,'ATHIS MONS'!A43))+(COUNTIF('ATHIS MONS'!$G$7:$G$50,'ATHIS MONS'!A43))+(COUNTIF('IB TRANSPORT'!$G$7:$G$50,'ATHIS MONS'!A43))+(COUNTIF(JSL!$G$7:$G$50,'ATHIS MONS'!A43))+(COUNTIF(KIFAITOUT!$G$7:$G$50,'ATHIS MONS'!A43))+(COUNTIF('LUXE DRIVE'!$G$7:$G$50,'ATHIS MONS'!A43))+(COUNTIF(SSN!$G$7:$G$50,'ATHIS MONS'!A43))+(COUNTIF('W3'!$G$7:$G$50,'ATHIS MONS'!A43))+(COUNTIF('ATHIS MONS'!$G$7:$G$50,'ATHIS MONS'!A43))+(COUNTIF('L HAY LES ROSES'!$G$7:$G$50,'ATHIS MONS'!A43))+(COUNTIF(RUNGIS!$G$7:$G$50,'ATHIS MONS'!A43))+(COUNTIF(SCEAUX!$G$7:$G$50,'ATHIS MONS'!A43))+(COUNTIF('INSTANCE C1'!$G$7:$G$50,'ATHIS MONS'!A43))+(COUNTIF('INSTANCE C2'!$G$7:$G$50,'ATHIS MONS'!A43))+(COUNTIF(INTERNES!$G$7:$G$50,'ATHIS MONS'!A43))+(COUNTIF('EN PANNE'!$G$7:$G$50,'ATHIS MONS'!A43))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EXPRESS'!$G$7:$G$50,'ATHIS MONS'!G43))+(COUNTIF('2 ZT'!$G$7:$G$50,'ATHIS MONS'!G43))+(COUNTIF('GO TRANSPORT'!$G$7:$G$50,'ATHIS MONS'!G43))+(COUNTIF('HMZ - KAIS'!$G$7:$G$50,'ATHIS MONS'!G43))+(COUNTIF('IB TRANSPORT'!$G$7:$G$50,'ATHIS MONS'!G43))+(COUNTIF(JSL!$G$7:$G$50,'ATHIS MONS'!G43))+(COUNTIF(KIFAITOUT!$G$7:$G$50,'ATHIS MONS'!G43))+(COUNTIF('LUXE DRIVE'!$G$7:$G$50,'ATHIS MONS'!G43))+(COUNTIF(SSN!$G$7:$G$50,'ATHIS MONS'!G43))+(COUNTIF('W3'!$G$7:$G$50,'ATHIS MONS'!G43))+(COUNTIF('ATHIS MONS'!$G$7:$G$50,'ATHIS MONS'!G43))+(COUNTIF('L HAY LES ROSES'!$G$7:$G$50,'ATHIS MONS'!G43))+(COUNTIF(RUNGIS!$G$7:$G$50,'ATHIS MONS'!G43))+(COUNTIF(SCEAUX!$G$7:$G$50,'ATHIS MONS'!G43))+(COUNTIF('INSTANCE C1'!$G$7:$G$50,'ATHIS MONS'!G43))+(COUNTIF('INSTANCE C2'!$G$7:$G$50,'ATHIS MONS'!G43))+(COUNTIF(INTERNES!$G$7:$G$50,'ATHIS MONS'!G43))+(COUNTIF('EN PANNE'!$G$7:$G$50,'ATHIS MONS'!G43))-I43</f>
        <v>0</v>
      </c>
      <c r="I43" s="23">
        <f>(COUNTIF('2S EXPRESS'!$A$7:$A$50,'ATHIS MONS'!G43))+(COUNTIF('2 ZT'!$A$7:$A$50,'ATHIS MONS'!G43))+(COUNTIF('GO TRANSPORT'!$A$7:$A$50,'ATHIS MONS'!G43))+(COUNTIF('HMZ - KAIS'!$A$7:$A$50,'ATHIS MONS'!G43))+(COUNTIF('IB TRANSPORT'!$A$7:$A$50,'ATHIS MONS'!G43))+(COUNTIF(JSL!$A$7:$A$50,'ATHIS MONS'!G43))+(COUNTIF(KIFAITOUT!$A$7:$A$50,'ATHIS MONS'!G43))+(COUNTIF('LUXE DRIVE'!$A$7:$A$50,'ATHIS MONS'!G43))+(COUNTIF(SSN!$A$7:$A$50,'ATHIS MONS'!G43))+(COUNTIF('W3'!$A$7:$A$50,'ATHIS MONS'!G43))+(COUNTIF('ATHIS MONS'!$A$7:$A$50,'ATHIS MONS'!G43))+(COUNTIF('L HAY LES ROSES'!$A$7:$A$50,'ATHIS MONS'!G43))+(COUNTIF(RUNGIS!$A$7:$A$50,'ATHIS MONS'!G43))+(COUNTIF(SCEAUX!$A$7:$A$50,'ATHIS MONS'!G43))+(COUNTIF('INSTANCE C1'!$A$7:$A$50,'ATHIS MONS'!G43))+(COUNTIF('INSTANCE C2'!$A$7:$A$50,'ATHIS MONS'!G43))+(COUNTIF(INTERNES!$A$7:$A$50,'ATHIS MONS'!G43))+(COUNTIF('EN PANNE'!$A$7:$A$50,'ATHIS MONS'!G43))</f>
        <v>0</v>
      </c>
      <c r="J43" s="28">
        <f t="shared" si="4"/>
        <v>0</v>
      </c>
      <c r="K43" s="2"/>
      <c r="L43" s="47"/>
      <c r="M43" s="9"/>
      <c r="N43" s="9"/>
      <c r="O43" s="9"/>
      <c r="P43" s="9"/>
      <c r="S43" s="60">
        <f t="shared" si="1"/>
        <v>0</v>
      </c>
      <c r="T43" s="67">
        <f t="shared" si="2"/>
        <v>0</v>
      </c>
    </row>
    <row r="44" spans="1:20" ht="24.95" customHeight="1" x14ac:dyDescent="0.2">
      <c r="A44" s="20"/>
      <c r="B44" s="23">
        <f>(COUNTIF('2S EXPRESS'!$A$7:$A$50,'ATHIS MONS'!A44))+(COUNTIF('2 ZT'!$A$7:$A$50,'ATHIS MONS'!A44))+(COUNTIF('GO TRANSPORT'!$A$7:$A$50,'ATHIS MONS'!A44))+(COUNTIF('HMZ - KAIS'!$A$7:$A$50,'ATHIS MONS'!A44))+(COUNTIF('IB TRANSPORT'!$A$7:$A$50,'ATHIS MONS'!A44))+(COUNTIF(JSL!$A$7:$A$50,'ATHIS MONS'!A44))+(COUNTIF(KIFAITOUT!$A$7:$A$50,'ATHIS MONS'!A44))+(COUNTIF('LUXE DRIVE'!$A$7:$A$50,'ATHIS MONS'!A44))+(COUNTIF(SSN!$A$7:$A$50,'ATHIS MONS'!A44))+(COUNTIF('W3'!$A$7:$A$50,'ATHIS MONS'!A44))+(COUNTIF('ATHIS MONS'!$A$7:$A$50,'ATHIS MONS'!A44))+(COUNTIF('L HAY LES ROSES'!$A$7:$A$50,'ATHIS MONS'!A44))+(COUNTIF(RUNGIS!$A$7:$A$50,'ATHIS MONS'!A44))+(COUNTIF(SCEAUX!$A$7:$A$50,'ATHIS MONS'!A44))+(COUNTIF('INSTANCE C1'!$A$7:$A$50,'ATHIS MONS'!A44))+(COUNTIF('INSTANCE C2'!$A$7:$A$50,'ATHIS MONS'!A44))+(COUNTIF(INTERNES!$A$7:$A$50,'ATHIS MONS'!A44))+(COUNTIF('EN PANNE'!$A$7:$A$50,'ATHIS MONS'!A44))-C44</f>
        <v>0</v>
      </c>
      <c r="C44" s="23">
        <f>(COUNTIF('2S EXPRESS'!$G$7:$G$50,'ATHIS MONS'!A44))+(COUNTIF('2 ZT'!$G$7:$G$50,'ATHIS MONS'!A44))+(COUNTIF('GO TRANSPORT'!$G$7:$G$50,'ATHIS MONS'!A44))+(COUNTIF('ATHIS MONS'!$G$7:$G$50,'ATHIS MONS'!A44))+(COUNTIF('IB TRANSPORT'!$G$7:$G$50,'ATHIS MONS'!A44))+(COUNTIF(JSL!$G$7:$G$50,'ATHIS MONS'!A44))+(COUNTIF(KIFAITOUT!$G$7:$G$50,'ATHIS MONS'!A44))+(COUNTIF('LUXE DRIVE'!$G$7:$G$50,'ATHIS MONS'!A44))+(COUNTIF(SSN!$G$7:$G$50,'ATHIS MONS'!A44))+(COUNTIF('W3'!$G$7:$G$50,'ATHIS MONS'!A44))+(COUNTIF('ATHIS MONS'!$G$7:$G$50,'ATHIS MONS'!A44))+(COUNTIF('L HAY LES ROSES'!$G$7:$G$50,'ATHIS MONS'!A44))+(COUNTIF(RUNGIS!$G$7:$G$50,'ATHIS MONS'!A44))+(COUNTIF(SCEAUX!$G$7:$G$50,'ATHIS MONS'!A44))+(COUNTIF('INSTANCE C1'!$G$7:$G$50,'ATHIS MONS'!A44))+(COUNTIF('INSTANCE C2'!$G$7:$G$50,'ATHIS MONS'!A44))+(COUNTIF(INTERNES!$G$7:$G$50,'ATHIS MONS'!A44))+(COUNTIF('EN PANNE'!$G$7:$G$50,'ATHIS MONS'!A44))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EXPRESS'!$G$7:$G$50,'ATHIS MONS'!G44))+(COUNTIF('2 ZT'!$G$7:$G$50,'ATHIS MONS'!G44))+(COUNTIF('GO TRANSPORT'!$G$7:$G$50,'ATHIS MONS'!G44))+(COUNTIF('HMZ - KAIS'!$G$7:$G$50,'ATHIS MONS'!G44))+(COUNTIF('IB TRANSPORT'!$G$7:$G$50,'ATHIS MONS'!G44))+(COUNTIF(JSL!$G$7:$G$50,'ATHIS MONS'!G44))+(COUNTIF(KIFAITOUT!$G$7:$G$50,'ATHIS MONS'!G44))+(COUNTIF('LUXE DRIVE'!$G$7:$G$50,'ATHIS MONS'!G44))+(COUNTIF(SSN!$G$7:$G$50,'ATHIS MONS'!G44))+(COUNTIF('W3'!$G$7:$G$50,'ATHIS MONS'!G44))+(COUNTIF('ATHIS MONS'!$G$7:$G$50,'ATHIS MONS'!G44))+(COUNTIF('L HAY LES ROSES'!$G$7:$G$50,'ATHIS MONS'!G44))+(COUNTIF(RUNGIS!$G$7:$G$50,'ATHIS MONS'!G44))+(COUNTIF(SCEAUX!$G$7:$G$50,'ATHIS MONS'!G44))+(COUNTIF('INSTANCE C1'!$G$7:$G$50,'ATHIS MONS'!G44))+(COUNTIF('INSTANCE C2'!$G$7:$G$50,'ATHIS MONS'!G44))+(COUNTIF(INTERNES!$G$7:$G$50,'ATHIS MONS'!G44))+(COUNTIF('EN PANNE'!$G$7:$G$50,'ATHIS MONS'!G44))-I44</f>
        <v>0</v>
      </c>
      <c r="I44" s="23">
        <f>(COUNTIF('2S EXPRESS'!$A$7:$A$50,'ATHIS MONS'!G44))+(COUNTIF('2 ZT'!$A$7:$A$50,'ATHIS MONS'!G44))+(COUNTIF('GO TRANSPORT'!$A$7:$A$50,'ATHIS MONS'!G44))+(COUNTIF('HMZ - KAIS'!$A$7:$A$50,'ATHIS MONS'!G44))+(COUNTIF('IB TRANSPORT'!$A$7:$A$50,'ATHIS MONS'!G44))+(COUNTIF(JSL!$A$7:$A$50,'ATHIS MONS'!G44))+(COUNTIF(KIFAITOUT!$A$7:$A$50,'ATHIS MONS'!G44))+(COUNTIF('LUXE DRIVE'!$A$7:$A$50,'ATHIS MONS'!G44))+(COUNTIF(SSN!$A$7:$A$50,'ATHIS MONS'!G44))+(COUNTIF('W3'!$A$7:$A$50,'ATHIS MONS'!G44))+(COUNTIF('ATHIS MONS'!$A$7:$A$50,'ATHIS MONS'!G44))+(COUNTIF('L HAY LES ROSES'!$A$7:$A$50,'ATHIS MONS'!G44))+(COUNTIF(RUNGIS!$A$7:$A$50,'ATHIS MONS'!G44))+(COUNTIF(SCEAUX!$A$7:$A$50,'ATHIS MONS'!G44))+(COUNTIF('INSTANCE C1'!$A$7:$A$50,'ATHIS MONS'!G44))+(COUNTIF('INSTANCE C2'!$A$7:$A$50,'ATHIS MONS'!G44))+(COUNTIF(INTERNES!$A$7:$A$50,'ATHIS MONS'!G44))+(COUNTIF('EN PANNE'!$A$7:$A$50,'ATHIS MONS'!G44))</f>
        <v>0</v>
      </c>
      <c r="J44" s="28">
        <f t="shared" si="4"/>
        <v>0</v>
      </c>
      <c r="K44" s="2"/>
      <c r="L44" s="47"/>
      <c r="M44" s="9"/>
      <c r="N44" s="9"/>
      <c r="O44" s="9"/>
      <c r="P44" s="9"/>
      <c r="S44" s="60">
        <f t="shared" si="1"/>
        <v>0</v>
      </c>
      <c r="T44" s="67">
        <f t="shared" si="2"/>
        <v>0</v>
      </c>
    </row>
    <row r="45" spans="1:20" ht="24.95" customHeight="1" x14ac:dyDescent="0.2">
      <c r="A45" s="20"/>
      <c r="B45" s="23">
        <f>(COUNTIF('2S EXPRESS'!$A$7:$A$50,'ATHIS MONS'!A45))+(COUNTIF('2 ZT'!$A$7:$A$50,'ATHIS MONS'!A45))+(COUNTIF('GO TRANSPORT'!$A$7:$A$50,'ATHIS MONS'!A45))+(COUNTIF('HMZ - KAIS'!$A$7:$A$50,'ATHIS MONS'!A45))+(COUNTIF('IB TRANSPORT'!$A$7:$A$50,'ATHIS MONS'!A45))+(COUNTIF(JSL!$A$7:$A$50,'ATHIS MONS'!A45))+(COUNTIF(KIFAITOUT!$A$7:$A$50,'ATHIS MONS'!A45))+(COUNTIF('LUXE DRIVE'!$A$7:$A$50,'ATHIS MONS'!A45))+(COUNTIF(SSN!$A$7:$A$50,'ATHIS MONS'!A45))+(COUNTIF('W3'!$A$7:$A$50,'ATHIS MONS'!A45))+(COUNTIF('ATHIS MONS'!$A$7:$A$50,'ATHIS MONS'!A45))+(COUNTIF('L HAY LES ROSES'!$A$7:$A$50,'ATHIS MONS'!A45))+(COUNTIF(RUNGIS!$A$7:$A$50,'ATHIS MONS'!A45))+(COUNTIF(SCEAUX!$A$7:$A$50,'ATHIS MONS'!A45))+(COUNTIF('INSTANCE C1'!$A$7:$A$50,'ATHIS MONS'!A45))+(COUNTIF('INSTANCE C2'!$A$7:$A$50,'ATHIS MONS'!A45))+(COUNTIF(INTERNES!$A$7:$A$50,'ATHIS MONS'!A45))+(COUNTIF('EN PANNE'!$A$7:$A$50,'ATHIS MONS'!A45))-C45</f>
        <v>0</v>
      </c>
      <c r="C45" s="23">
        <f>(COUNTIF('2S EXPRESS'!$G$7:$G$50,'ATHIS MONS'!A45))+(COUNTIF('2 ZT'!$G$7:$G$50,'ATHIS MONS'!A45))+(COUNTIF('GO TRANSPORT'!$G$7:$G$50,'ATHIS MONS'!A45))+(COUNTIF('ATHIS MONS'!$G$7:$G$50,'ATHIS MONS'!A45))+(COUNTIF('IB TRANSPORT'!$G$7:$G$50,'ATHIS MONS'!A45))+(COUNTIF(JSL!$G$7:$G$50,'ATHIS MONS'!A45))+(COUNTIF(KIFAITOUT!$G$7:$G$50,'ATHIS MONS'!A45))+(COUNTIF('LUXE DRIVE'!$G$7:$G$50,'ATHIS MONS'!A45))+(COUNTIF(SSN!$G$7:$G$50,'ATHIS MONS'!A45))+(COUNTIF('W3'!$G$7:$G$50,'ATHIS MONS'!A45))+(COUNTIF('ATHIS MONS'!$G$7:$G$50,'ATHIS MONS'!A45))+(COUNTIF('L HAY LES ROSES'!$G$7:$G$50,'ATHIS MONS'!A45))+(COUNTIF(RUNGIS!$G$7:$G$50,'ATHIS MONS'!A45))+(COUNTIF(SCEAUX!$G$7:$G$50,'ATHIS MONS'!A45))+(COUNTIF('INSTANCE C1'!$G$7:$G$50,'ATHIS MONS'!A45))+(COUNTIF('INSTANCE C2'!$G$7:$G$50,'ATHIS MONS'!A45))+(COUNTIF(INTERNES!$G$7:$G$50,'ATHIS MONS'!A45))+(COUNTIF('EN PANNE'!$G$7:$G$50,'ATHIS MONS'!A45))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EXPRESS'!$G$7:$G$50,'ATHIS MONS'!G45))+(COUNTIF('2 ZT'!$G$7:$G$50,'ATHIS MONS'!G45))+(COUNTIF('GO TRANSPORT'!$G$7:$G$50,'ATHIS MONS'!G45))+(COUNTIF('HMZ - KAIS'!$G$7:$G$50,'ATHIS MONS'!G45))+(COUNTIF('IB TRANSPORT'!$G$7:$G$50,'ATHIS MONS'!G45))+(COUNTIF(JSL!$G$7:$G$50,'ATHIS MONS'!G45))+(COUNTIF(KIFAITOUT!$G$7:$G$50,'ATHIS MONS'!G45))+(COUNTIF('LUXE DRIVE'!$G$7:$G$50,'ATHIS MONS'!G45))+(COUNTIF(SSN!$G$7:$G$50,'ATHIS MONS'!G45))+(COUNTIF('W3'!$G$7:$G$50,'ATHIS MONS'!G45))+(COUNTIF('ATHIS MONS'!$G$7:$G$50,'ATHIS MONS'!G45))+(COUNTIF('L HAY LES ROSES'!$G$7:$G$50,'ATHIS MONS'!G45))+(COUNTIF(RUNGIS!$G$7:$G$50,'ATHIS MONS'!G45))+(COUNTIF(SCEAUX!$G$7:$G$50,'ATHIS MONS'!G45))+(COUNTIF('INSTANCE C1'!$G$7:$G$50,'ATHIS MONS'!G45))+(COUNTIF('INSTANCE C2'!$G$7:$G$50,'ATHIS MONS'!G45))+(COUNTIF(INTERNES!$G$7:$G$50,'ATHIS MONS'!G45))+(COUNTIF('EN PANNE'!$G$7:$G$50,'ATHIS MONS'!G45))-I45</f>
        <v>0</v>
      </c>
      <c r="I45" s="23">
        <f>(COUNTIF('2S EXPRESS'!$A$7:$A$50,'ATHIS MONS'!G45))+(COUNTIF('2 ZT'!$A$7:$A$50,'ATHIS MONS'!G45))+(COUNTIF('GO TRANSPORT'!$A$7:$A$50,'ATHIS MONS'!G45))+(COUNTIF('HMZ - KAIS'!$A$7:$A$50,'ATHIS MONS'!G45))+(COUNTIF('IB TRANSPORT'!$A$7:$A$50,'ATHIS MONS'!G45))+(COUNTIF(JSL!$A$7:$A$50,'ATHIS MONS'!G45))+(COUNTIF(KIFAITOUT!$A$7:$A$50,'ATHIS MONS'!G45))+(COUNTIF('LUXE DRIVE'!$A$7:$A$50,'ATHIS MONS'!G45))+(COUNTIF(SSN!$A$7:$A$50,'ATHIS MONS'!G45))+(COUNTIF('W3'!$A$7:$A$50,'ATHIS MONS'!G45))+(COUNTIF('ATHIS MONS'!$A$7:$A$50,'ATHIS MONS'!G45))+(COUNTIF('L HAY LES ROSES'!$A$7:$A$50,'ATHIS MONS'!G45))+(COUNTIF(RUNGIS!$A$7:$A$50,'ATHIS MONS'!G45))+(COUNTIF(SCEAUX!$A$7:$A$50,'ATHIS MONS'!G45))+(COUNTIF('INSTANCE C1'!$A$7:$A$50,'ATHIS MONS'!G45))+(COUNTIF('INSTANCE C2'!$A$7:$A$50,'ATHIS MONS'!G45))+(COUNTIF(INTERNES!$A$7:$A$50,'ATHIS MONS'!G45))+(COUNTIF('EN PANNE'!$A$7:$A$50,'ATHIS MONS'!G45))</f>
        <v>0</v>
      </c>
      <c r="J45" s="28">
        <f t="shared" si="4"/>
        <v>0</v>
      </c>
      <c r="K45" s="2"/>
      <c r="L45" s="47"/>
      <c r="M45" s="9"/>
      <c r="N45" s="9"/>
      <c r="O45" s="9"/>
      <c r="P45" s="9"/>
      <c r="S45" s="60">
        <f t="shared" si="1"/>
        <v>0</v>
      </c>
      <c r="T45" s="67">
        <f t="shared" si="2"/>
        <v>0</v>
      </c>
    </row>
    <row r="46" spans="1:20" ht="24.95" customHeight="1" x14ac:dyDescent="0.2">
      <c r="A46" s="20"/>
      <c r="B46" s="23">
        <f>(COUNTIF('2S EXPRESS'!$A$7:$A$50,'ATHIS MONS'!A46))+(COUNTIF('2 ZT'!$A$7:$A$50,'ATHIS MONS'!A46))+(COUNTIF('GO TRANSPORT'!$A$7:$A$50,'ATHIS MONS'!A46))+(COUNTIF('HMZ - KAIS'!$A$7:$A$50,'ATHIS MONS'!A46))+(COUNTIF('IB TRANSPORT'!$A$7:$A$50,'ATHIS MONS'!A46))+(COUNTIF(JSL!$A$7:$A$50,'ATHIS MONS'!A46))+(COUNTIF(KIFAITOUT!$A$7:$A$50,'ATHIS MONS'!A46))+(COUNTIF('LUXE DRIVE'!$A$7:$A$50,'ATHIS MONS'!A46))+(COUNTIF(SSN!$A$7:$A$50,'ATHIS MONS'!A46))+(COUNTIF('W3'!$A$7:$A$50,'ATHIS MONS'!A46))+(COUNTIF('ATHIS MONS'!$A$7:$A$50,'ATHIS MONS'!A46))+(COUNTIF('L HAY LES ROSES'!$A$7:$A$50,'ATHIS MONS'!A46))+(COUNTIF(RUNGIS!$A$7:$A$50,'ATHIS MONS'!A46))+(COUNTIF(SCEAUX!$A$7:$A$50,'ATHIS MONS'!A46))+(COUNTIF('INSTANCE C1'!$A$7:$A$50,'ATHIS MONS'!A46))+(COUNTIF('INSTANCE C2'!$A$7:$A$50,'ATHIS MONS'!A46))+(COUNTIF(INTERNES!$A$7:$A$50,'ATHIS MONS'!A46))+(COUNTIF('EN PANNE'!$A$7:$A$50,'ATHIS MONS'!A46))-C46</f>
        <v>0</v>
      </c>
      <c r="C46" s="23">
        <f>(COUNTIF('2S EXPRESS'!$G$7:$G$50,'ATHIS MONS'!A46))+(COUNTIF('2 ZT'!$G$7:$G$50,'ATHIS MONS'!A46))+(COUNTIF('GO TRANSPORT'!$G$7:$G$50,'ATHIS MONS'!A46))+(COUNTIF('ATHIS MONS'!$G$7:$G$50,'ATHIS MONS'!A46))+(COUNTIF('IB TRANSPORT'!$G$7:$G$50,'ATHIS MONS'!A46))+(COUNTIF(JSL!$G$7:$G$50,'ATHIS MONS'!A46))+(COUNTIF(KIFAITOUT!$G$7:$G$50,'ATHIS MONS'!A46))+(COUNTIF('LUXE DRIVE'!$G$7:$G$50,'ATHIS MONS'!A46))+(COUNTIF(SSN!$G$7:$G$50,'ATHIS MONS'!A46))+(COUNTIF('W3'!$G$7:$G$50,'ATHIS MONS'!A46))+(COUNTIF('ATHIS MONS'!$G$7:$G$50,'ATHIS MONS'!A46))+(COUNTIF('L HAY LES ROSES'!$G$7:$G$50,'ATHIS MONS'!A46))+(COUNTIF(RUNGIS!$G$7:$G$50,'ATHIS MONS'!A46))+(COUNTIF(SCEAUX!$G$7:$G$50,'ATHIS MONS'!A46))+(COUNTIF('INSTANCE C1'!$G$7:$G$50,'ATHIS MONS'!A46))+(COUNTIF('INSTANCE C2'!$G$7:$G$50,'ATHIS MONS'!A46))+(COUNTIF(INTERNES!$G$7:$G$50,'ATHIS MONS'!A46))+(COUNTIF('EN PANNE'!$G$7:$G$50,'ATHIS MONS'!A46))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EXPRESS'!$G$7:$G$50,'ATHIS MONS'!G46))+(COUNTIF('2 ZT'!$G$7:$G$50,'ATHIS MONS'!G46))+(COUNTIF('GO TRANSPORT'!$G$7:$G$50,'ATHIS MONS'!G46))+(COUNTIF('HMZ - KAIS'!$G$7:$G$50,'ATHIS MONS'!G46))+(COUNTIF('IB TRANSPORT'!$G$7:$G$50,'ATHIS MONS'!G46))+(COUNTIF(JSL!$G$7:$G$50,'ATHIS MONS'!G46))+(COUNTIF(KIFAITOUT!$G$7:$G$50,'ATHIS MONS'!G46))+(COUNTIF('LUXE DRIVE'!$G$7:$G$50,'ATHIS MONS'!G46))+(COUNTIF(SSN!$G$7:$G$50,'ATHIS MONS'!G46))+(COUNTIF('W3'!$G$7:$G$50,'ATHIS MONS'!G46))+(COUNTIF('ATHIS MONS'!$G$7:$G$50,'ATHIS MONS'!G46))+(COUNTIF('L HAY LES ROSES'!$G$7:$G$50,'ATHIS MONS'!G46))+(COUNTIF(RUNGIS!$G$7:$G$50,'ATHIS MONS'!G46))+(COUNTIF(SCEAUX!$G$7:$G$50,'ATHIS MONS'!G46))+(COUNTIF('INSTANCE C1'!$G$7:$G$50,'ATHIS MONS'!G46))+(COUNTIF('INSTANCE C2'!$G$7:$G$50,'ATHIS MONS'!G46))+(COUNTIF(INTERNES!$G$7:$G$50,'ATHIS MONS'!G46))+(COUNTIF('EN PANNE'!$G$7:$G$50,'ATHIS MONS'!G46))-I46</f>
        <v>0</v>
      </c>
      <c r="I46" s="23">
        <f>(COUNTIF('2S EXPRESS'!$A$7:$A$50,'ATHIS MONS'!G46))+(COUNTIF('2 ZT'!$A$7:$A$50,'ATHIS MONS'!G46))+(COUNTIF('GO TRANSPORT'!$A$7:$A$50,'ATHIS MONS'!G46))+(COUNTIF('HMZ - KAIS'!$A$7:$A$50,'ATHIS MONS'!G46))+(COUNTIF('IB TRANSPORT'!$A$7:$A$50,'ATHIS MONS'!G46))+(COUNTIF(JSL!$A$7:$A$50,'ATHIS MONS'!G46))+(COUNTIF(KIFAITOUT!$A$7:$A$50,'ATHIS MONS'!G46))+(COUNTIF('LUXE DRIVE'!$A$7:$A$50,'ATHIS MONS'!G46))+(COUNTIF(SSN!$A$7:$A$50,'ATHIS MONS'!G46))+(COUNTIF('W3'!$A$7:$A$50,'ATHIS MONS'!G46))+(COUNTIF('ATHIS MONS'!$A$7:$A$50,'ATHIS MONS'!G46))+(COUNTIF('L HAY LES ROSES'!$A$7:$A$50,'ATHIS MONS'!G46))+(COUNTIF(RUNGIS!$A$7:$A$50,'ATHIS MONS'!G46))+(COUNTIF(SCEAUX!$A$7:$A$50,'ATHIS MONS'!G46))+(COUNTIF('INSTANCE C1'!$A$7:$A$50,'ATHIS MONS'!G46))+(COUNTIF('INSTANCE C2'!$A$7:$A$50,'ATHIS MONS'!G46))+(COUNTIF(INTERNES!$A$7:$A$50,'ATHIS MONS'!G46))+(COUNTIF('EN PANNE'!$A$7:$A$50,'ATHIS MONS'!G46))</f>
        <v>0</v>
      </c>
      <c r="J46" s="28">
        <f t="shared" si="4"/>
        <v>0</v>
      </c>
      <c r="K46" s="2"/>
      <c r="L46" s="47"/>
      <c r="M46" s="9"/>
      <c r="N46" s="9"/>
      <c r="O46" s="9"/>
      <c r="P46" s="9"/>
      <c r="S46" s="60">
        <f t="shared" si="1"/>
        <v>0</v>
      </c>
      <c r="T46" s="67">
        <f t="shared" si="2"/>
        <v>0</v>
      </c>
    </row>
    <row r="47" spans="1:20" ht="24.95" customHeight="1" x14ac:dyDescent="0.2">
      <c r="A47" s="20"/>
      <c r="B47" s="23">
        <f>(COUNTIF('2S EXPRESS'!$A$7:$A$50,'ATHIS MONS'!A47))+(COUNTIF('2 ZT'!$A$7:$A$50,'ATHIS MONS'!A47))+(COUNTIF('GO TRANSPORT'!$A$7:$A$50,'ATHIS MONS'!A47))+(COUNTIF('HMZ - KAIS'!$A$7:$A$50,'ATHIS MONS'!A47))+(COUNTIF('IB TRANSPORT'!$A$7:$A$50,'ATHIS MONS'!A47))+(COUNTIF(JSL!$A$7:$A$50,'ATHIS MONS'!A47))+(COUNTIF(KIFAITOUT!$A$7:$A$50,'ATHIS MONS'!A47))+(COUNTIF('LUXE DRIVE'!$A$7:$A$50,'ATHIS MONS'!A47))+(COUNTIF(SSN!$A$7:$A$50,'ATHIS MONS'!A47))+(COUNTIF('W3'!$A$7:$A$50,'ATHIS MONS'!A47))+(COUNTIF('ATHIS MONS'!$A$7:$A$50,'ATHIS MONS'!A47))+(COUNTIF('L HAY LES ROSES'!$A$7:$A$50,'ATHIS MONS'!A47))+(COUNTIF(RUNGIS!$A$7:$A$50,'ATHIS MONS'!A47))+(COUNTIF(SCEAUX!$A$7:$A$50,'ATHIS MONS'!A47))+(COUNTIF('INSTANCE C1'!$A$7:$A$50,'ATHIS MONS'!A47))+(COUNTIF('INSTANCE C2'!$A$7:$A$50,'ATHIS MONS'!A47))+(COUNTIF(INTERNES!$A$7:$A$50,'ATHIS MONS'!A47))+(COUNTIF('EN PANNE'!$A$7:$A$50,'ATHIS MONS'!A47))-C47</f>
        <v>0</v>
      </c>
      <c r="C47" s="23">
        <f>(COUNTIF('2S EXPRESS'!$G$7:$G$50,'ATHIS MONS'!A47))+(COUNTIF('2 ZT'!$G$7:$G$50,'ATHIS MONS'!A47))+(COUNTIF('GO TRANSPORT'!$G$7:$G$50,'ATHIS MONS'!A47))+(COUNTIF('ATHIS MONS'!$G$7:$G$50,'ATHIS MONS'!A47))+(COUNTIF('IB TRANSPORT'!$G$7:$G$50,'ATHIS MONS'!A47))+(COUNTIF(JSL!$G$7:$G$50,'ATHIS MONS'!A47))+(COUNTIF(KIFAITOUT!$G$7:$G$50,'ATHIS MONS'!A47))+(COUNTIF('LUXE DRIVE'!$G$7:$G$50,'ATHIS MONS'!A47))+(COUNTIF(SSN!$G$7:$G$50,'ATHIS MONS'!A47))+(COUNTIF('W3'!$G$7:$G$50,'ATHIS MONS'!A47))+(COUNTIF('ATHIS MONS'!$G$7:$G$50,'ATHIS MONS'!A47))+(COUNTIF('L HAY LES ROSES'!$G$7:$G$50,'ATHIS MONS'!A47))+(COUNTIF(RUNGIS!$G$7:$G$50,'ATHIS MONS'!A47))+(COUNTIF(SCEAUX!$G$7:$G$50,'ATHIS MONS'!A47))+(COUNTIF('INSTANCE C1'!$G$7:$G$50,'ATHIS MONS'!A47))+(COUNTIF('INSTANCE C2'!$G$7:$G$50,'ATHIS MONS'!A47))+(COUNTIF(INTERNES!$G$7:$G$50,'ATHIS MONS'!A47))+(COUNTIF('EN PANNE'!$G$7:$G$50,'ATHIS MONS'!A47))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EXPRESS'!$G$7:$G$50,'ATHIS MONS'!G47))+(COUNTIF('2 ZT'!$G$7:$G$50,'ATHIS MONS'!G47))+(COUNTIF('GO TRANSPORT'!$G$7:$G$50,'ATHIS MONS'!G47))+(COUNTIF('HMZ - KAIS'!$G$7:$G$50,'ATHIS MONS'!G47))+(COUNTIF('IB TRANSPORT'!$G$7:$G$50,'ATHIS MONS'!G47))+(COUNTIF(JSL!$G$7:$G$50,'ATHIS MONS'!G47))+(COUNTIF(KIFAITOUT!$G$7:$G$50,'ATHIS MONS'!G47))+(COUNTIF('LUXE DRIVE'!$G$7:$G$50,'ATHIS MONS'!G47))+(COUNTIF(SSN!$G$7:$G$50,'ATHIS MONS'!G47))+(COUNTIF('W3'!$G$7:$G$50,'ATHIS MONS'!G47))+(COUNTIF('ATHIS MONS'!$G$7:$G$50,'ATHIS MONS'!G47))+(COUNTIF('L HAY LES ROSES'!$G$7:$G$50,'ATHIS MONS'!G47))+(COUNTIF(RUNGIS!$G$7:$G$50,'ATHIS MONS'!G47))+(COUNTIF(SCEAUX!$G$7:$G$50,'ATHIS MONS'!G47))+(COUNTIF('INSTANCE C1'!$G$7:$G$50,'ATHIS MONS'!G47))+(COUNTIF('INSTANCE C2'!$G$7:$G$50,'ATHIS MONS'!G47))+(COUNTIF(INTERNES!$G$7:$G$50,'ATHIS MONS'!G47))+(COUNTIF('EN PANNE'!$G$7:$G$50,'ATHIS MONS'!G47))-I47</f>
        <v>0</v>
      </c>
      <c r="I47" s="23">
        <f>(COUNTIF('2S EXPRESS'!$A$7:$A$50,'ATHIS MONS'!G47))+(COUNTIF('2 ZT'!$A$7:$A$50,'ATHIS MONS'!G47))+(COUNTIF('GO TRANSPORT'!$A$7:$A$50,'ATHIS MONS'!G47))+(COUNTIF('HMZ - KAIS'!$A$7:$A$50,'ATHIS MONS'!G47))+(COUNTIF('IB TRANSPORT'!$A$7:$A$50,'ATHIS MONS'!G47))+(COUNTIF(JSL!$A$7:$A$50,'ATHIS MONS'!G47))+(COUNTIF(KIFAITOUT!$A$7:$A$50,'ATHIS MONS'!G47))+(COUNTIF('LUXE DRIVE'!$A$7:$A$50,'ATHIS MONS'!G47))+(COUNTIF(SSN!$A$7:$A$50,'ATHIS MONS'!G47))+(COUNTIF('W3'!$A$7:$A$50,'ATHIS MONS'!G47))+(COUNTIF('ATHIS MONS'!$A$7:$A$50,'ATHIS MONS'!G47))+(COUNTIF('L HAY LES ROSES'!$A$7:$A$50,'ATHIS MONS'!G47))+(COUNTIF(RUNGIS!$A$7:$A$50,'ATHIS MONS'!G47))+(COUNTIF(SCEAUX!$A$7:$A$50,'ATHIS MONS'!G47))+(COUNTIF('INSTANCE C1'!$A$7:$A$50,'ATHIS MONS'!G47))+(COUNTIF('INSTANCE C2'!$A$7:$A$50,'ATHIS MONS'!G47))+(COUNTIF(INTERNES!$A$7:$A$50,'ATHIS MONS'!G47))+(COUNTIF('EN PANNE'!$A$7:$A$50,'ATHIS MONS'!G47))</f>
        <v>0</v>
      </c>
      <c r="J47" s="28">
        <f t="shared" si="4"/>
        <v>0</v>
      </c>
      <c r="K47" s="2"/>
      <c r="L47" s="47"/>
      <c r="M47" s="9"/>
      <c r="N47" s="9"/>
      <c r="O47" s="9"/>
      <c r="P47" s="9"/>
      <c r="S47" s="60">
        <f t="shared" si="1"/>
        <v>0</v>
      </c>
      <c r="T47" s="67">
        <f t="shared" si="2"/>
        <v>0</v>
      </c>
    </row>
    <row r="48" spans="1:20" ht="24.95" customHeight="1" x14ac:dyDescent="0.2">
      <c r="A48" s="20"/>
      <c r="B48" s="23">
        <f>(COUNTIF('2S EXPRESS'!$A$7:$A$50,'ATHIS MONS'!A48))+(COUNTIF('2 ZT'!$A$7:$A$50,'ATHIS MONS'!A48))+(COUNTIF('GO TRANSPORT'!$A$7:$A$50,'ATHIS MONS'!A48))+(COUNTIF('HMZ - KAIS'!$A$7:$A$50,'ATHIS MONS'!A48))+(COUNTIF('IB TRANSPORT'!$A$7:$A$50,'ATHIS MONS'!A48))+(COUNTIF(JSL!$A$7:$A$50,'ATHIS MONS'!A48))+(COUNTIF(KIFAITOUT!$A$7:$A$50,'ATHIS MONS'!A48))+(COUNTIF('LUXE DRIVE'!$A$7:$A$50,'ATHIS MONS'!A48))+(COUNTIF(SSN!$A$7:$A$50,'ATHIS MONS'!A48))+(COUNTIF('W3'!$A$7:$A$50,'ATHIS MONS'!A48))+(COUNTIF('ATHIS MONS'!$A$7:$A$50,'ATHIS MONS'!A48))+(COUNTIF('L HAY LES ROSES'!$A$7:$A$50,'ATHIS MONS'!A48))+(COUNTIF(RUNGIS!$A$7:$A$50,'ATHIS MONS'!A48))+(COUNTIF(SCEAUX!$A$7:$A$50,'ATHIS MONS'!A48))+(COUNTIF('INSTANCE C1'!$A$7:$A$50,'ATHIS MONS'!A48))+(COUNTIF('INSTANCE C2'!$A$7:$A$50,'ATHIS MONS'!A48))+(COUNTIF(INTERNES!$A$7:$A$50,'ATHIS MONS'!A48))+(COUNTIF('EN PANNE'!$A$7:$A$50,'ATHIS MONS'!A48))-C48</f>
        <v>0</v>
      </c>
      <c r="C48" s="23">
        <f>(COUNTIF('2S EXPRESS'!$G$7:$G$50,'ATHIS MONS'!A48))+(COUNTIF('2 ZT'!$G$7:$G$50,'ATHIS MONS'!A48))+(COUNTIF('GO TRANSPORT'!$G$7:$G$50,'ATHIS MONS'!A48))+(COUNTIF('ATHIS MONS'!$G$7:$G$50,'ATHIS MONS'!A48))+(COUNTIF('IB TRANSPORT'!$G$7:$G$50,'ATHIS MONS'!A48))+(COUNTIF(JSL!$G$7:$G$50,'ATHIS MONS'!A48))+(COUNTIF(KIFAITOUT!$G$7:$G$50,'ATHIS MONS'!A48))+(COUNTIF('LUXE DRIVE'!$G$7:$G$50,'ATHIS MONS'!A48))+(COUNTIF(SSN!$G$7:$G$50,'ATHIS MONS'!A48))+(COUNTIF('W3'!$G$7:$G$50,'ATHIS MONS'!A48))+(COUNTIF('ATHIS MONS'!$G$7:$G$50,'ATHIS MONS'!A48))+(COUNTIF('L HAY LES ROSES'!$G$7:$G$50,'ATHIS MONS'!A48))+(COUNTIF(RUNGIS!$G$7:$G$50,'ATHIS MONS'!A48))+(COUNTIF(SCEAUX!$G$7:$G$50,'ATHIS MONS'!A48))+(COUNTIF('INSTANCE C1'!$G$7:$G$50,'ATHIS MONS'!A48))+(COUNTIF('INSTANCE C2'!$G$7:$G$50,'ATHIS MONS'!A48))+(COUNTIF(INTERNES!$G$7:$G$50,'ATHIS MONS'!A48))+(COUNTIF('EN PANNE'!$G$7:$G$50,'ATHIS MONS'!A48))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EXPRESS'!$G$7:$G$50,'ATHIS MONS'!G48))+(COUNTIF('2 ZT'!$G$7:$G$50,'ATHIS MONS'!G48))+(COUNTIF('GO TRANSPORT'!$G$7:$G$50,'ATHIS MONS'!G48))+(COUNTIF('HMZ - KAIS'!$G$7:$G$50,'ATHIS MONS'!G48))+(COUNTIF('IB TRANSPORT'!$G$7:$G$50,'ATHIS MONS'!G48))+(COUNTIF(JSL!$G$7:$G$50,'ATHIS MONS'!G48))+(COUNTIF(KIFAITOUT!$G$7:$G$50,'ATHIS MONS'!G48))+(COUNTIF('LUXE DRIVE'!$G$7:$G$50,'ATHIS MONS'!G48))+(COUNTIF(SSN!$G$7:$G$50,'ATHIS MONS'!G48))+(COUNTIF('W3'!$G$7:$G$50,'ATHIS MONS'!G48))+(COUNTIF('ATHIS MONS'!$G$7:$G$50,'ATHIS MONS'!G48))+(COUNTIF('L HAY LES ROSES'!$G$7:$G$50,'ATHIS MONS'!G48))+(COUNTIF(RUNGIS!$G$7:$G$50,'ATHIS MONS'!G48))+(COUNTIF(SCEAUX!$G$7:$G$50,'ATHIS MONS'!G48))+(COUNTIF('INSTANCE C1'!$G$7:$G$50,'ATHIS MONS'!G48))+(COUNTIF('INSTANCE C2'!$G$7:$G$50,'ATHIS MONS'!G48))+(COUNTIF(INTERNES!$G$7:$G$50,'ATHIS MONS'!G48))+(COUNTIF('EN PANNE'!$G$7:$G$50,'ATHIS MONS'!G48))-I48</f>
        <v>0</v>
      </c>
      <c r="I48" s="23">
        <f>(COUNTIF('2S EXPRESS'!$A$7:$A$50,'ATHIS MONS'!G48))+(COUNTIF('2 ZT'!$A$7:$A$50,'ATHIS MONS'!G48))+(COUNTIF('GO TRANSPORT'!$A$7:$A$50,'ATHIS MONS'!G48))+(COUNTIF('HMZ - KAIS'!$A$7:$A$50,'ATHIS MONS'!G48))+(COUNTIF('IB TRANSPORT'!$A$7:$A$50,'ATHIS MONS'!G48))+(COUNTIF(JSL!$A$7:$A$50,'ATHIS MONS'!G48))+(COUNTIF(KIFAITOUT!$A$7:$A$50,'ATHIS MONS'!G48))+(COUNTIF('LUXE DRIVE'!$A$7:$A$50,'ATHIS MONS'!G48))+(COUNTIF(SSN!$A$7:$A$50,'ATHIS MONS'!G48))+(COUNTIF('W3'!$A$7:$A$50,'ATHIS MONS'!G48))+(COUNTIF('ATHIS MONS'!$A$7:$A$50,'ATHIS MONS'!G48))+(COUNTIF('L HAY LES ROSES'!$A$7:$A$50,'ATHIS MONS'!G48))+(COUNTIF(RUNGIS!$A$7:$A$50,'ATHIS MONS'!G48))+(COUNTIF(SCEAUX!$A$7:$A$50,'ATHIS MONS'!G48))+(COUNTIF('INSTANCE C1'!$A$7:$A$50,'ATHIS MONS'!G48))+(COUNTIF('INSTANCE C2'!$A$7:$A$50,'ATHIS MONS'!G48))+(COUNTIF(INTERNES!$A$7:$A$50,'ATHIS MONS'!G48))+(COUNTIF('EN PANNE'!$A$7:$A$50,'ATHIS MONS'!G48))</f>
        <v>0</v>
      </c>
      <c r="J48" s="28">
        <f t="shared" si="4"/>
        <v>0</v>
      </c>
      <c r="K48" s="2"/>
      <c r="L48" s="47"/>
      <c r="M48" s="9"/>
      <c r="N48" s="9"/>
      <c r="O48" s="9"/>
      <c r="P48" s="9"/>
      <c r="S48" s="60">
        <f t="shared" si="1"/>
        <v>0</v>
      </c>
      <c r="T48" s="67">
        <f t="shared" si="2"/>
        <v>0</v>
      </c>
    </row>
    <row r="49" spans="1:26" ht="24.95" customHeight="1" x14ac:dyDescent="0.2">
      <c r="A49" s="20"/>
      <c r="B49" s="23">
        <f>(COUNTIF('2S EXPRESS'!$A$7:$A$50,'ATHIS MONS'!A49))+(COUNTIF('2 ZT'!$A$7:$A$50,'ATHIS MONS'!A49))+(COUNTIF('GO TRANSPORT'!$A$7:$A$50,'ATHIS MONS'!A49))+(COUNTIF('HMZ - KAIS'!$A$7:$A$50,'ATHIS MONS'!A49))+(COUNTIF('IB TRANSPORT'!$A$7:$A$50,'ATHIS MONS'!A49))+(COUNTIF(JSL!$A$7:$A$50,'ATHIS MONS'!A49))+(COUNTIF(KIFAITOUT!$A$7:$A$50,'ATHIS MONS'!A49))+(COUNTIF('LUXE DRIVE'!$A$7:$A$50,'ATHIS MONS'!A49))+(COUNTIF(SSN!$A$7:$A$50,'ATHIS MONS'!A49))+(COUNTIF('W3'!$A$7:$A$50,'ATHIS MONS'!A49))+(COUNTIF('ATHIS MONS'!$A$7:$A$50,'ATHIS MONS'!A49))+(COUNTIF('L HAY LES ROSES'!$A$7:$A$50,'ATHIS MONS'!A49))+(COUNTIF(RUNGIS!$A$7:$A$50,'ATHIS MONS'!A49))+(COUNTIF(SCEAUX!$A$7:$A$50,'ATHIS MONS'!A49))+(COUNTIF('INSTANCE C1'!$A$7:$A$50,'ATHIS MONS'!A49))+(COUNTIF('INSTANCE C2'!$A$7:$A$50,'ATHIS MONS'!A49))+(COUNTIF(INTERNES!$A$7:$A$50,'ATHIS MONS'!A49))+(COUNTIF('EN PANNE'!$A$7:$A$50,'ATHIS MONS'!A49))-C49</f>
        <v>0</v>
      </c>
      <c r="C49" s="23">
        <f>(COUNTIF('2S EXPRESS'!$G$7:$G$50,'ATHIS MONS'!A49))+(COUNTIF('2 ZT'!$G$7:$G$50,'ATHIS MONS'!A49))+(COUNTIF('GO TRANSPORT'!$G$7:$G$50,'ATHIS MONS'!A49))+(COUNTIF('ATHIS MONS'!$G$7:$G$50,'ATHIS MONS'!A49))+(COUNTIF('IB TRANSPORT'!$G$7:$G$50,'ATHIS MONS'!A49))+(COUNTIF(JSL!$G$7:$G$50,'ATHIS MONS'!A49))+(COUNTIF(KIFAITOUT!$G$7:$G$50,'ATHIS MONS'!A49))+(COUNTIF('LUXE DRIVE'!$G$7:$G$50,'ATHIS MONS'!A49))+(COUNTIF(SSN!$G$7:$G$50,'ATHIS MONS'!A49))+(COUNTIF('W3'!$G$7:$G$50,'ATHIS MONS'!A49))+(COUNTIF('ATHIS MONS'!$G$7:$G$50,'ATHIS MONS'!A49))+(COUNTIF('L HAY LES ROSES'!$G$7:$G$50,'ATHIS MONS'!A49))+(COUNTIF(RUNGIS!$G$7:$G$50,'ATHIS MONS'!A49))+(COUNTIF(SCEAUX!$G$7:$G$50,'ATHIS MONS'!A49))+(COUNTIF('INSTANCE C1'!$G$7:$G$50,'ATHIS MONS'!A49))+(COUNTIF('INSTANCE C2'!$G$7:$G$50,'ATHIS MONS'!A49))+(COUNTIF(INTERNES!$G$7:$G$50,'ATHIS MONS'!A49))+(COUNTIF('EN PANNE'!$G$7:$G$50,'ATHIS MONS'!A49))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EXPRESS'!$G$7:$G$50,'ATHIS MONS'!G49))+(COUNTIF('2 ZT'!$G$7:$G$50,'ATHIS MONS'!G49))+(COUNTIF('GO TRANSPORT'!$G$7:$G$50,'ATHIS MONS'!G49))+(COUNTIF('HMZ - KAIS'!$G$7:$G$50,'ATHIS MONS'!G49))+(COUNTIF('IB TRANSPORT'!$G$7:$G$50,'ATHIS MONS'!G49))+(COUNTIF(JSL!$G$7:$G$50,'ATHIS MONS'!G49))+(COUNTIF(KIFAITOUT!$G$7:$G$50,'ATHIS MONS'!G49))+(COUNTIF('LUXE DRIVE'!$G$7:$G$50,'ATHIS MONS'!G49))+(COUNTIF(SSN!$G$7:$G$50,'ATHIS MONS'!G49))+(COUNTIF('W3'!$G$7:$G$50,'ATHIS MONS'!G49))+(COUNTIF('ATHIS MONS'!$G$7:$G$50,'ATHIS MONS'!G49))+(COUNTIF('L HAY LES ROSES'!$G$7:$G$50,'ATHIS MONS'!G49))+(COUNTIF(RUNGIS!$G$7:$G$50,'ATHIS MONS'!G49))+(COUNTIF(SCEAUX!$G$7:$G$50,'ATHIS MONS'!G49))+(COUNTIF('INSTANCE C1'!$G$7:$G$50,'ATHIS MONS'!G49))+(COUNTIF('INSTANCE C2'!$G$7:$G$50,'ATHIS MONS'!G49))+(COUNTIF(INTERNES!$G$7:$G$50,'ATHIS MONS'!G49))+(COUNTIF('EN PANNE'!$G$7:$G$50,'ATHIS MONS'!G49))-I49</f>
        <v>0</v>
      </c>
      <c r="I49" s="23">
        <f>(COUNTIF('2S EXPRESS'!$A$7:$A$50,'ATHIS MONS'!G49))+(COUNTIF('2 ZT'!$A$7:$A$50,'ATHIS MONS'!G49))+(COUNTIF('GO TRANSPORT'!$A$7:$A$50,'ATHIS MONS'!G49))+(COUNTIF('HMZ - KAIS'!$A$7:$A$50,'ATHIS MONS'!G49))+(COUNTIF('IB TRANSPORT'!$A$7:$A$50,'ATHIS MONS'!G49))+(COUNTIF(JSL!$A$7:$A$50,'ATHIS MONS'!G49))+(COUNTIF(KIFAITOUT!$A$7:$A$50,'ATHIS MONS'!G49))+(COUNTIF('LUXE DRIVE'!$A$7:$A$50,'ATHIS MONS'!G49))+(COUNTIF(SSN!$A$7:$A$50,'ATHIS MONS'!G49))+(COUNTIF('W3'!$A$7:$A$50,'ATHIS MONS'!G49))+(COUNTIF('ATHIS MONS'!$A$7:$A$50,'ATHIS MONS'!G49))+(COUNTIF('L HAY LES ROSES'!$A$7:$A$50,'ATHIS MONS'!G49))+(COUNTIF(RUNGIS!$A$7:$A$50,'ATHIS MONS'!G49))+(COUNTIF(SCEAUX!$A$7:$A$50,'ATHIS MONS'!G49))+(COUNTIF('INSTANCE C1'!$A$7:$A$50,'ATHIS MONS'!G49))+(COUNTIF('INSTANCE C2'!$A$7:$A$50,'ATHIS MONS'!G49))+(COUNTIF(INTERNES!$A$7:$A$50,'ATHIS MONS'!G49))+(COUNTIF('EN PANNE'!$A$7:$A$50,'ATHIS MONS'!G49))</f>
        <v>0</v>
      </c>
      <c r="J49" s="28">
        <f t="shared" si="4"/>
        <v>0</v>
      </c>
      <c r="K49" s="2"/>
      <c r="L49" s="47"/>
      <c r="M49" s="9"/>
      <c r="N49" s="9"/>
      <c r="O49" s="9"/>
      <c r="P49" s="9"/>
      <c r="S49" s="60">
        <f t="shared" si="1"/>
        <v>0</v>
      </c>
      <c r="T49" s="67">
        <f t="shared" si="2"/>
        <v>0</v>
      </c>
    </row>
    <row r="50" spans="1:26" ht="24.95" customHeight="1" thickBot="1" x14ac:dyDescent="0.25">
      <c r="A50" s="21"/>
      <c r="B50" s="25">
        <f>(COUNTIF('2S EXPRESS'!$A$7:$A$50,'ATHIS MONS'!A50))+(COUNTIF('2 ZT'!$A$7:$A$50,'ATHIS MONS'!A50))+(COUNTIF('GO TRANSPORT'!$A$7:$A$50,'ATHIS MONS'!A50))+(COUNTIF('HMZ - KAIS'!$A$7:$A$50,'ATHIS MONS'!A50))+(COUNTIF('IB TRANSPORT'!$A$7:$A$50,'ATHIS MONS'!A50))+(COUNTIF(JSL!$A$7:$A$50,'ATHIS MONS'!A50))+(COUNTIF(KIFAITOUT!$A$7:$A$50,'ATHIS MONS'!A50))+(COUNTIF('LUXE DRIVE'!$A$7:$A$50,'ATHIS MONS'!A50))+(COUNTIF(SSN!$A$7:$A$50,'ATHIS MONS'!A50))+(COUNTIF('W3'!$A$7:$A$50,'ATHIS MONS'!A50))+(COUNTIF('ATHIS MONS'!$A$7:$A$50,'ATHIS MONS'!A50))+(COUNTIF('L HAY LES ROSES'!$A$7:$A$50,'ATHIS MONS'!A50))+(COUNTIF(RUNGIS!$A$7:$A$50,'ATHIS MONS'!A50))+(COUNTIF(SCEAUX!$A$7:$A$50,'ATHIS MONS'!A50))+(COUNTIF('INSTANCE C1'!$A$7:$A$50,'ATHIS MONS'!A50))+(COUNTIF('INSTANCE C2'!$A$7:$A$50,'ATHIS MONS'!A50))+(COUNTIF(INTERNES!$A$7:$A$50,'ATHIS MONS'!A50))+(COUNTIF('EN PANNE'!$A$7:$A$50,'ATHIS MONS'!A50))-C50</f>
        <v>0</v>
      </c>
      <c r="C50" s="23">
        <f>(COUNTIF('2S EXPRESS'!$G$7:$G$50,'HMZ - KAIS'!A50))+(COUNTIF('2 ZT'!$G$7:$G$50,'HMZ - KAIS'!A50))+(COUNTIF('GO TRANSPORT'!$G$7:$G$50,'HMZ - KAIS'!A50))+(COUNTIF('HMZ - KAIS'!$G$7:$G$50,'HMZ - KAIS'!A50))+(COUNTIF('IB TRANSPORT'!$G$7:$G$50,'HMZ - KAIS'!A50))+(COUNTIF(JSL!$G$7:$G$50,'HMZ - KAIS'!A50))+(COUNTIF(KIFAITOUT!$G$7:$G$50,'HMZ - KAIS'!A50))+(COUNTIF('LUXE DRIVE'!$G$7:$G$50,'HMZ - KAIS'!A50))+(COUNTIF(SSN!$G$7:$G$50,'HMZ - KAIS'!A50))+(COUNTIF('W3'!$G$7:$G$50,'HMZ - KAIS'!A50))+(COUNTIF('ATHIS MONS'!$G$7:$G$50,'HMZ - KAIS'!A50))+(COUNTIF('L HAY LES ROSES'!$G$7:$G$50,'HMZ - KAIS'!A50))+(COUNTIF(RUNGIS!$G$7:$G$50,'HMZ - KAIS'!A50))+(COUNTIF(SCEAUX!$G$7:$G$50,'HMZ - KAIS'!A50))+(COUNTIF('INSTANCE C1'!$G$7:$G$50,'HMZ - KAIS'!A50))+(COUNTIF('INSTANCE C2'!$G$7:$G$50,'HMZ - KAIS'!A50))+(COUNTIF(INTERNES!$G$7:$G$50,'HMZ - KAIS'!A50))+(COUNTIF('EN PANNE'!$G$7:$G$50,'HMZ - KAIS'!A50))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EXPRESS'!$G$7:$G$50,'ATHIS MONS'!G50))+(COUNTIF('2 ZT'!$G$7:$G$50,'ATHIS MONS'!G50))+(COUNTIF('GO TRANSPORT'!$G$7:$G$50,'ATHIS MONS'!G50))+(COUNTIF('HMZ - KAIS'!$G$7:$G$50,'ATHIS MONS'!G50))+(COUNTIF('IB TRANSPORT'!$G$7:$G$50,'ATHIS MONS'!G50))+(COUNTIF(JSL!$G$7:$G$50,'ATHIS MONS'!G50))+(COUNTIF(KIFAITOUT!$G$7:$G$50,'ATHIS MONS'!G50))+(COUNTIF('LUXE DRIVE'!$G$7:$G$50,'ATHIS MONS'!G50))+(COUNTIF(SSN!$G$7:$G$50,'ATHIS MONS'!G50))+(COUNTIF('W3'!$G$7:$G$50,'ATHIS MONS'!G50))+(COUNTIF('ATHIS MONS'!$G$7:$G$50,'ATHIS MONS'!G50))+(COUNTIF('L HAY LES ROSES'!$G$7:$G$50,'ATHIS MONS'!G50))+(COUNTIF(RUNGIS!$G$7:$G$50,'ATHIS MONS'!G50))+(COUNTIF(SCEAUX!$G$7:$G$50,'ATHIS MONS'!G50))+(COUNTIF('INSTANCE C1'!$G$7:$G$50,'ATHIS MONS'!G50))+(COUNTIF('INSTANCE C2'!$G$7:$G$50,'ATHIS MONS'!G50))+(COUNTIF(INTERNES!$G$7:$G$50,'ATHIS MONS'!G50))+(COUNTIF('EN PANNE'!$G$7:$G$50,'ATHIS MONS'!G50))-I50</f>
        <v>0</v>
      </c>
      <c r="I50" s="25">
        <f>(COUNTIF('2S EXPRESS'!$A$7:$A$50,'ATHIS MONS'!G50))+(COUNTIF('2 ZT'!$A$7:$A$50,'ATHIS MONS'!G50))+(COUNTIF('GO TRANSPORT'!$A$7:$A$50,'ATHIS MONS'!G50))+(COUNTIF('HMZ - KAIS'!$A$7:$A$50,'ATHIS MONS'!G50))+(COUNTIF('IB TRANSPORT'!$A$7:$A$50,'ATHIS MONS'!G50))+(COUNTIF(JSL!$A$7:$A$50,'ATHIS MONS'!G50))+(COUNTIF(KIFAITOUT!$A$7:$A$50,'ATHIS MONS'!G50))+(COUNTIF('LUXE DRIVE'!$A$7:$A$50,'ATHIS MONS'!G50))+(COUNTIF(SSN!$A$7:$A$50,'ATHIS MONS'!G50))+(COUNTIF('W3'!$A$7:$A$50,'ATHIS MONS'!G50))+(COUNTIF('ATHIS MONS'!$A$7:$A$50,'ATHIS MONS'!G50))+(COUNTIF('L HAY LES ROSES'!$A$7:$A$50,'ATHIS MONS'!G50))+(COUNTIF(RUNGIS!$A$7:$A$50,'ATHIS MONS'!G50))+(COUNTIF(SCEAUX!$A$7:$A$50,'ATHIS MONS'!G50))+(COUNTIF('INSTANCE C1'!$A$7:$A$50,'ATHIS MONS'!G50))+(COUNTIF('INSTANCE C2'!$A$7:$A$50,'ATHIS MONS'!G50))+(COUNTIF(INTERNES!$A$7:$A$50,'ATHIS MONS'!G50))+(COUNTIF('EN PANNE'!$A$7:$A$50,'ATHIS MONS'!G50))</f>
        <v>0</v>
      </c>
      <c r="J50" s="29">
        <f t="shared" si="4"/>
        <v>0</v>
      </c>
      <c r="K50" s="3"/>
      <c r="L50" s="47"/>
      <c r="M50" s="9"/>
      <c r="N50" s="9"/>
      <c r="O50" s="9"/>
      <c r="P50" s="9"/>
      <c r="S50" s="60">
        <f t="shared" si="1"/>
        <v>0</v>
      </c>
      <c r="T50" s="67">
        <f t="shared" si="2"/>
        <v>0</v>
      </c>
    </row>
    <row r="51" spans="1:26" x14ac:dyDescent="0.2">
      <c r="A51" s="9"/>
      <c r="B51" s="9"/>
      <c r="C51" s="9"/>
      <c r="D51" s="9"/>
      <c r="E51" s="9"/>
      <c r="F51" s="9"/>
      <c r="G51" s="9"/>
      <c r="H51" s="9"/>
      <c r="J51" s="9"/>
      <c r="K51" s="9"/>
      <c r="L51" s="9"/>
      <c r="M51" s="9"/>
      <c r="N51" s="9"/>
      <c r="O51" s="9"/>
      <c r="P51" s="9"/>
    </row>
    <row r="52" spans="1:26" x14ac:dyDescent="0.2">
      <c r="A52" s="9"/>
      <c r="B52" s="9"/>
      <c r="C52" s="9"/>
      <c r="D52" s="9"/>
      <c r="E52" s="9"/>
      <c r="F52" s="9"/>
      <c r="G52" s="9"/>
      <c r="H52" s="9"/>
      <c r="J52" s="9"/>
      <c r="K52" s="9"/>
      <c r="L52" s="9"/>
      <c r="M52" s="9"/>
      <c r="N52" s="9"/>
      <c r="O52" s="9"/>
      <c r="P52" s="9"/>
    </row>
    <row r="53" spans="1:26" s="9" customFormat="1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  <c r="R53" s="56"/>
      <c r="S53" s="56"/>
      <c r="T53" s="56"/>
      <c r="U53" s="56"/>
      <c r="V53" s="56"/>
      <c r="W53" s="56"/>
      <c r="X53" s="56"/>
      <c r="Y53" s="56"/>
      <c r="Z53" s="56"/>
    </row>
  </sheetData>
  <mergeCells count="13">
    <mergeCell ref="M12:P12"/>
    <mergeCell ref="B2:E3"/>
    <mergeCell ref="G2:K3"/>
    <mergeCell ref="A4:E4"/>
    <mergeCell ref="G4:K4"/>
    <mergeCell ref="G5:G6"/>
    <mergeCell ref="K5:K6"/>
    <mergeCell ref="M8:P8"/>
    <mergeCell ref="M9:P9"/>
    <mergeCell ref="M11:P11"/>
    <mergeCell ref="E5:E6"/>
    <mergeCell ref="F5:F6"/>
    <mergeCell ref="A5:A6"/>
  </mergeCells>
  <conditionalFormatting sqref="F7:F50">
    <cfRule type="cellIs" dxfId="81" priority="10" operator="equal">
      <formula>1</formula>
    </cfRule>
  </conditionalFormatting>
  <conditionalFormatting sqref="A7:A50">
    <cfRule type="duplicateValues" dxfId="80" priority="8"/>
  </conditionalFormatting>
  <conditionalFormatting sqref="L7:L50">
    <cfRule type="cellIs" dxfId="79" priority="7" operator="greaterThan">
      <formula>0</formula>
    </cfRule>
  </conditionalFormatting>
  <conditionalFormatting sqref="D7">
    <cfRule type="cellIs" dxfId="78" priority="6" operator="greaterThan">
      <formula>0</formula>
    </cfRule>
  </conditionalFormatting>
  <conditionalFormatting sqref="D8:D50">
    <cfRule type="cellIs" dxfId="77" priority="5" operator="greaterThan">
      <formula>0</formula>
    </cfRule>
  </conditionalFormatting>
  <conditionalFormatting sqref="G7:G50">
    <cfRule type="duplicateValues" dxfId="76" priority="4"/>
  </conditionalFormatting>
  <conditionalFormatting sqref="J7">
    <cfRule type="cellIs" dxfId="75" priority="3" operator="greaterThan">
      <formula>0</formula>
    </cfRule>
  </conditionalFormatting>
  <conditionalFormatting sqref="J8:J50">
    <cfRule type="cellIs" dxfId="74" priority="2" operator="greaterThan">
      <formula>0</formula>
    </cfRule>
  </conditionalFormatting>
  <conditionalFormatting sqref="S7:S50">
    <cfRule type="cellIs" dxfId="73" priority="1" operator="greaterThan">
      <formula>0</formula>
    </cfRule>
  </conditionalFormatting>
  <dataValidations count="1">
    <dataValidation type="list" allowBlank="1" showInputMessage="1" showErrorMessage="1" sqref="K7:K50 E7:E50" xr:uid="{FCA6A38A-2760-4C32-8DBC-04C7986F358C}">
      <formula1>$Q$9:$Q$17</formula1>
    </dataValidation>
  </dataValidations>
  <pageMargins left="0.25" right="0.25" top="0.75" bottom="0.75" header="0.3" footer="0.3"/>
  <pageSetup paperSize="9" scale="84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6476A21C-9E90-4266-8129-00F8D239C557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70E5C-C60B-49C0-8F54-47331D2380DB}">
  <sheetPr codeName="Feuil13">
    <tabColor rgb="FF92D050"/>
    <pageSetUpPr fitToPage="1"/>
  </sheetPr>
  <dimension ref="A1:Z53"/>
  <sheetViews>
    <sheetView showGridLines="0" zoomScaleNormal="100" workbookViewId="0">
      <selection activeCell="X19" sqref="X19"/>
    </sheetView>
  </sheetViews>
  <sheetFormatPr baseColWidth="10" defaultColWidth="11.42578125" defaultRowHeight="12.75" x14ac:dyDescent="0.2"/>
  <cols>
    <col min="1" max="1" width="25.7109375" style="9" customWidth="1"/>
    <col min="2" max="3" width="10.7109375" style="9" hidden="1" customWidth="1"/>
    <col min="4" max="4" width="7.7109375" style="9" customWidth="1"/>
    <col min="5" max="5" width="50.7109375" style="9" customWidth="1"/>
    <col min="6" max="6" width="13.7109375" style="9" customWidth="1"/>
    <col min="7" max="7" width="25.7109375" style="9" customWidth="1"/>
    <col min="8" max="9" width="10.7109375" style="9" hidden="1" customWidth="1"/>
    <col min="10" max="10" width="7.7109375" style="9" customWidth="1"/>
    <col min="11" max="11" width="50.7109375" style="9" customWidth="1"/>
    <col min="12" max="16" width="7.7109375" style="9" customWidth="1"/>
    <col min="17" max="17" width="22.7109375" style="9" hidden="1" customWidth="1"/>
    <col min="18" max="18" width="18.7109375" style="56" hidden="1" customWidth="1"/>
    <col min="19" max="20" width="11.42578125" style="56" hidden="1" customWidth="1"/>
    <col min="21" max="21" width="11.42578125" style="56" customWidth="1"/>
    <col min="22" max="26" width="11.42578125" style="56"/>
    <col min="27" max="16384" width="11.42578125" style="9"/>
  </cols>
  <sheetData>
    <row r="1" spans="1:26" ht="13.5" thickBot="1" x14ac:dyDescent="0.25">
      <c r="A1" s="33"/>
      <c r="B1" s="35"/>
      <c r="C1" s="35"/>
      <c r="D1" s="35"/>
      <c r="E1" s="10"/>
      <c r="F1" s="34"/>
      <c r="I1" s="10"/>
    </row>
    <row r="2" spans="1:26" s="39" customFormat="1" ht="24.95" customHeight="1" x14ac:dyDescent="0.2">
      <c r="A2" s="36"/>
      <c r="B2" s="194" t="s">
        <v>44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1"/>
      <c r="S2" s="71"/>
      <c r="T2" s="71"/>
      <c r="U2" s="71"/>
      <c r="V2" s="71"/>
      <c r="W2" s="71"/>
      <c r="X2" s="71"/>
      <c r="Y2" s="71"/>
      <c r="Z2" s="71"/>
    </row>
    <row r="3" spans="1:26" s="39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1"/>
      <c r="S3" s="71"/>
      <c r="T3" s="71"/>
      <c r="U3" s="71"/>
      <c r="V3" s="71"/>
      <c r="W3" s="71"/>
      <c r="X3" s="71"/>
      <c r="Y3" s="71"/>
      <c r="Z3" s="71"/>
    </row>
    <row r="4" spans="1:26" s="39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1"/>
      <c r="T4" s="71"/>
      <c r="U4" s="71"/>
      <c r="V4" s="71"/>
      <c r="W4" s="71"/>
      <c r="X4" s="71"/>
      <c r="Y4" s="71"/>
      <c r="Z4" s="71"/>
    </row>
    <row r="5" spans="1:26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</row>
    <row r="6" spans="1:26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</row>
    <row r="7" spans="1:26" ht="24.95" customHeight="1" thickBot="1" x14ac:dyDescent="0.25">
      <c r="A7" s="19"/>
      <c r="B7" s="22">
        <f>(COUNTIF('2S EXPRESS'!$A$7:$A$50,'L HAY LES ROSES'!A7))+(COUNTIF('2 ZT'!$A$7:$A$50,'L HAY LES ROSES'!A7))+(COUNTIF('GO TRANSPORT'!$A$7:$A$50,'L HAY LES ROSES'!A7))+(COUNTIF('HMZ - KAIS'!$A$7:$A$50,'L HAY LES ROSES'!A7))+(COUNTIF('IB TRANSPORT'!$A$7:$A$50,'L HAY LES ROSES'!A7))+(COUNTIF(JSL!$A$7:$A$50,'L HAY LES ROSES'!A7))+(COUNTIF(KIFAITOUT!$A$7:$A$50,'L HAY LES ROSES'!A7))+(COUNTIF('LUXE DRIVE'!$A$7:$A$50,'L HAY LES ROSES'!A7))+(COUNTIF(SSN!$A$7:$A$50,'L HAY LES ROSES'!A7))+(COUNTIF('W3'!$A$7:$A$50,'L HAY LES ROSES'!A7))+(COUNTIF('ATHIS MONS'!$A$7:$A$50,'L HAY LES ROSES'!A7))+(COUNTIF('L HAY LES ROSES'!$A$7:$A$50,'L HAY LES ROSES'!A7))+(COUNTIF(RUNGIS!$A$7:$A$50,'L HAY LES ROSES'!A7))+(COUNTIF(SCEAUX!$A$7:$A$50,'L HAY LES ROSES'!A7))+(COUNTIF('INSTANCE C1'!$A$7:$A$50,'L HAY LES ROSES'!A7))+(COUNTIF('INSTANCE C2'!$A$7:$A$50,'L HAY LES ROSES'!A7))+(COUNTIF(INTERNES!$A$7:$A$50,'L HAY LES ROSES'!A7))+(COUNTIF('EN PANNE'!$A$7:$A$50,'L HAY LES ROSES'!A7))-C7</f>
        <v>0</v>
      </c>
      <c r="C7" s="23">
        <f>(COUNTIF('2S EXPRESS'!$G$7:$G$50,'L HAY LES ROSES'!A7))+(COUNTIF('2 ZT'!$G$7:$G$50,'L HAY LES ROSES'!A7))+(COUNTIF('GO TRANSPORT'!$G$7:$G$50,'L HAY LES ROSES'!A7))+(COUNTIF('L HAY LES ROSES'!$G$7:$G$50,'L HAY LES ROSES'!A7))+(COUNTIF('IB TRANSPORT'!$G$7:$G$50,'L HAY LES ROSES'!A7))+(COUNTIF(JSL!$G$7:$G$50,'L HAY LES ROSES'!A7))+(COUNTIF(KIFAITOUT!$G$7:$G$50,'L HAY LES ROSES'!A7))+(COUNTIF('LUXE DRIVE'!$G$7:$G$50,'L HAY LES ROSES'!A7))+(COUNTIF(SSN!$G$7:$G$50,'L HAY LES ROSES'!A7))+(COUNTIF('W3'!$G$7:$G$50,'L HAY LES ROSES'!A7))+(COUNTIF('ATHIS MONS'!$G$7:$G$50,'L HAY LES ROSES'!A7))+(COUNTIF('L HAY LES ROSES'!$G$7:$G$50,'L HAY LES ROSES'!A7))+(COUNTIF(RUNGIS!$G$7:$G$50,'L HAY LES ROSES'!A7))+(COUNTIF(SCEAUX!$G$7:$G$50,'L HAY LES ROSES'!A7))+(COUNTIF('INSTANCE C1'!$G$7:$G$50,'L HAY LES ROSES'!A7))+(COUNTIF('INSTANCE C2'!$G$7:$G$50,'L HAY LES ROSES'!A7))+(COUNTIF(INTERNES!$G$7:$G$50,'L HAY LES ROSES'!A7))+(COUNTIF('EN PANNE'!$G$7:$G$50,'L HAY LES ROSES'!A7))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EXPRESS'!$G$7:$G$50,'L HAY LES ROSES'!G7))+(COUNTIF('2 ZT'!$G$7:$G$50,'L HAY LES ROSES'!G7))+(COUNTIF('GO TRANSPORT'!$G$7:$G$50,'L HAY LES ROSES'!G7))+(COUNTIF('HMZ - KAIS'!$G$7:$G$50,'L HAY LES ROSES'!G7))+(COUNTIF('IB TRANSPORT'!$G$7:$G$50,'L HAY LES ROSES'!G7))+(COUNTIF(JSL!$G$7:$G$50,'L HAY LES ROSES'!G7))+(COUNTIF(KIFAITOUT!$G$7:$G$50,'L HAY LES ROSES'!G7))+(COUNTIF('LUXE DRIVE'!$G$7:$G$50,'L HAY LES ROSES'!G7))+(COUNTIF(SSN!$G$7:$G$50,'L HAY LES ROSES'!G7))+(COUNTIF('W3'!$G$7:$G$50,'L HAY LES ROSES'!G7))+(COUNTIF('ATHIS MONS'!$G$7:$G$50,'L HAY LES ROSES'!G7))+(COUNTIF('L HAY LES ROSES'!$G$7:$G$50,'L HAY LES ROSES'!G7))+(COUNTIF(RUNGIS!$G$7:$G$50,'L HAY LES ROSES'!G7))+(COUNTIF(SCEAUX!$G$7:$G$50,'L HAY LES ROSES'!G7))+(COUNTIF('INSTANCE C1'!$G$7:$G$50,'L HAY LES ROSES'!G7))+(COUNTIF('INSTANCE C2'!$G$7:$G$50,'L HAY LES ROSES'!G7))+(COUNTIF(INTERNES!$G$7:$G$50,'L HAY LES ROSES'!G7))+(COUNTIF('EN PANNE'!$G$7:$G$50,'L HAY LES ROSES'!G7))-I7</f>
        <v>0</v>
      </c>
      <c r="I7" s="22">
        <f>(COUNTIF('2S EXPRESS'!$A$7:$A$50,'L HAY LES ROSES'!G7))+(COUNTIF('2 ZT'!$A$7:$A$50,'L HAY LES ROSES'!G7))+(COUNTIF('GO TRANSPORT'!$A$7:$A$50,'L HAY LES ROSES'!G7))+(COUNTIF('HMZ - KAIS'!$A$7:$A$50,'L HAY LES ROSES'!G7))+(COUNTIF('IB TRANSPORT'!$A$7:$A$50,'L HAY LES ROSES'!G7))+(COUNTIF(JSL!$A$7:$A$50,'L HAY LES ROSES'!G7))+(COUNTIF(KIFAITOUT!$A$7:$A$50,'L HAY LES ROSES'!G7))+(COUNTIF('LUXE DRIVE'!$A$7:$A$50,'L HAY LES ROSES'!G7))+(COUNTIF(SSN!$A$7:$A$50,'L HAY LES ROSES'!G7))+(COUNTIF('W3'!$A$7:$A$50,'L HAY LES ROSES'!G7))+(COUNTIF('ATHIS MONS'!$A$7:$A$50,'L HAY LES ROSES'!G7))+(COUNTIF('L HAY LES ROSES'!$A$7:$A$50,'L HAY LES ROSES'!G7))+(COUNTIF(RUNGIS!$A$7:$A$50,'L HAY LES ROSES'!G7))+(COUNTIF(SCEAUX!$A$7:$A$50,'L HAY LES ROSES'!G7))+(COUNTIF('INSTANCE C1'!$A$7:$A$50,'L HAY LES ROSES'!G7))+(COUNTIF('INSTANCE C2'!$A$7:$A$50,'L HAY LES ROSES'!G7))+(COUNTIF(INTERNES!$A$7:$A$50,'L HAY LES ROSES'!G7))+(COUNTIF('EN PANNE'!$A$7:$A$50,'L HAY LES ROSES'!G7))</f>
        <v>0</v>
      </c>
      <c r="J7" s="27">
        <f>IF(H7&gt;=2,1,0)</f>
        <v>0</v>
      </c>
      <c r="K7" s="1"/>
      <c r="L7" s="47"/>
      <c r="M7" s="48"/>
      <c r="O7" s="48"/>
      <c r="P7" s="48"/>
      <c r="Q7" s="48"/>
      <c r="R7" s="50"/>
      <c r="S7" s="60">
        <f t="shared" ref="S7:S50" si="1">COUNTIF($G$7:$G$50,$A7)</f>
        <v>0</v>
      </c>
      <c r="T7" s="67">
        <f t="shared" ref="T7:T50" si="2">IF($S7=1,"",$A7)</f>
        <v>0</v>
      </c>
    </row>
    <row r="8" spans="1:26" ht="24.95" customHeight="1" thickBot="1" x14ac:dyDescent="0.25">
      <c r="A8" s="20"/>
      <c r="B8" s="23">
        <f>(COUNTIF('2S EXPRESS'!$A$7:$A$50,'L HAY LES ROSES'!A8))+(COUNTIF('2 ZT'!$A$7:$A$50,'L HAY LES ROSES'!A8))+(COUNTIF('GO TRANSPORT'!$A$7:$A$50,'L HAY LES ROSES'!A8))+(COUNTIF('HMZ - KAIS'!$A$7:$A$50,'L HAY LES ROSES'!A8))+(COUNTIF('IB TRANSPORT'!$A$7:$A$50,'L HAY LES ROSES'!A8))+(COUNTIF(JSL!$A$7:$A$50,'L HAY LES ROSES'!A8))+(COUNTIF(KIFAITOUT!$A$7:$A$50,'L HAY LES ROSES'!A8))+(COUNTIF('LUXE DRIVE'!$A$7:$A$50,'L HAY LES ROSES'!A8))+(COUNTIF(SSN!$A$7:$A$50,'L HAY LES ROSES'!A8))+(COUNTIF('W3'!$A$7:$A$50,'L HAY LES ROSES'!A8))+(COUNTIF('ATHIS MONS'!$A$7:$A$50,'L HAY LES ROSES'!A8))+(COUNTIF('L HAY LES ROSES'!$A$7:$A$50,'L HAY LES ROSES'!A8))+(COUNTIF(RUNGIS!$A$7:$A$50,'L HAY LES ROSES'!A8))+(COUNTIF(SCEAUX!$A$7:$A$50,'L HAY LES ROSES'!A8))+(COUNTIF('INSTANCE C1'!$A$7:$A$50,'L HAY LES ROSES'!A8))+(COUNTIF('INSTANCE C2'!$A$7:$A$50,'L HAY LES ROSES'!A8))+(COUNTIF(INTERNES!$A$7:$A$50,'L HAY LES ROSES'!A8))+(COUNTIF('EN PANNE'!$A$7:$A$50,'L HAY LES ROSES'!A8))-C8</f>
        <v>0</v>
      </c>
      <c r="C8" s="23">
        <f>(COUNTIF('2S EXPRESS'!$G$7:$G$50,'L HAY LES ROSES'!A8))+(COUNTIF('2 ZT'!$G$7:$G$50,'L HAY LES ROSES'!A8))+(COUNTIF('GO TRANSPORT'!$G$7:$G$50,'L HAY LES ROSES'!A8))+(COUNTIF('L HAY LES ROSES'!$G$7:$G$50,'L HAY LES ROSES'!A8))+(COUNTIF('IB TRANSPORT'!$G$7:$G$50,'L HAY LES ROSES'!A8))+(COUNTIF(JSL!$G$7:$G$50,'L HAY LES ROSES'!A8))+(COUNTIF(KIFAITOUT!$G$7:$G$50,'L HAY LES ROSES'!A8))+(COUNTIF('LUXE DRIVE'!$G$7:$G$50,'L HAY LES ROSES'!A8))+(COUNTIF(SSN!$G$7:$G$50,'L HAY LES ROSES'!A8))+(COUNTIF('W3'!$G$7:$G$50,'L HAY LES ROSES'!A8))+(COUNTIF('ATHIS MONS'!$G$7:$G$50,'L HAY LES ROSES'!A8))+(COUNTIF('L HAY LES ROSES'!$G$7:$G$50,'L HAY LES ROSES'!A8))+(COUNTIF(RUNGIS!$G$7:$G$50,'L HAY LES ROSES'!A8))+(COUNTIF(SCEAUX!$G$7:$G$50,'L HAY LES ROSES'!A8))+(COUNTIF('INSTANCE C1'!$G$7:$G$50,'L HAY LES ROSES'!A8))+(COUNTIF('INSTANCE C2'!$G$7:$G$50,'L HAY LES ROSES'!A8))+(COUNTIF(INTERNES!$G$7:$G$50,'L HAY LES ROSES'!A8))+(COUNTIF('EN PANNE'!$G$7:$G$50,'L HAY LES ROSES'!A8))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EXPRESS'!$G$7:$G$50,'L HAY LES ROSES'!G8))+(COUNTIF('2 ZT'!$G$7:$G$50,'L HAY LES ROSES'!G8))+(COUNTIF('GO TRANSPORT'!$G$7:$G$50,'L HAY LES ROSES'!G8))+(COUNTIF('HMZ - KAIS'!$G$7:$G$50,'L HAY LES ROSES'!G8))+(COUNTIF('IB TRANSPORT'!$G$7:$G$50,'L HAY LES ROSES'!G8))+(COUNTIF(JSL!$G$7:$G$50,'L HAY LES ROSES'!G8))+(COUNTIF(KIFAITOUT!$G$7:$G$50,'L HAY LES ROSES'!G8))+(COUNTIF('LUXE DRIVE'!$G$7:$G$50,'L HAY LES ROSES'!G8))+(COUNTIF(SSN!$G$7:$G$50,'L HAY LES ROSES'!G8))+(COUNTIF('W3'!$G$7:$G$50,'L HAY LES ROSES'!G8))+(COUNTIF('ATHIS MONS'!$G$7:$G$50,'L HAY LES ROSES'!G8))+(COUNTIF('L HAY LES ROSES'!$G$7:$G$50,'L HAY LES ROSES'!G8))+(COUNTIF(RUNGIS!$G$7:$G$50,'L HAY LES ROSES'!G8))+(COUNTIF(SCEAUX!$G$7:$G$50,'L HAY LES ROSES'!G8))+(COUNTIF('INSTANCE C1'!$G$7:$G$50,'L HAY LES ROSES'!G8))+(COUNTIF('INSTANCE C2'!$G$7:$G$50,'L HAY LES ROSES'!G8))+(COUNTIF(INTERNES!$G$7:$G$50,'L HAY LES ROSES'!G8))+(COUNTIF('EN PANNE'!$G$7:$G$50,'L HAY LES ROSES'!G8))-I8</f>
        <v>0</v>
      </c>
      <c r="I8" s="23">
        <f>(COUNTIF('2S EXPRESS'!$A$7:$A$50,'L HAY LES ROSES'!G8))+(COUNTIF('2 ZT'!$A$7:$A$50,'L HAY LES ROSES'!G8))+(COUNTIF('GO TRANSPORT'!$A$7:$A$50,'L HAY LES ROSES'!G8))+(COUNTIF('HMZ - KAIS'!$A$7:$A$50,'L HAY LES ROSES'!G8))+(COUNTIF('IB TRANSPORT'!$A$7:$A$50,'L HAY LES ROSES'!G8))+(COUNTIF(JSL!$A$7:$A$50,'L HAY LES ROSES'!G8))+(COUNTIF(KIFAITOUT!$A$7:$A$50,'L HAY LES ROSES'!G8))+(COUNTIF('LUXE DRIVE'!$A$7:$A$50,'L HAY LES ROSES'!G8))+(COUNTIF(SSN!$A$7:$A$50,'L HAY LES ROSES'!G8))+(COUNTIF('W3'!$A$7:$A$50,'L HAY LES ROSES'!G8))+(COUNTIF('ATHIS MONS'!$A$7:$A$50,'L HAY LES ROSES'!G8))+(COUNTIF('L HAY LES ROSES'!$A$7:$A$50,'L HAY LES ROSES'!G8))+(COUNTIF(RUNGIS!$A$7:$A$50,'L HAY LES ROSES'!G8))+(COUNTIF(SCEAUX!$A$7:$A$50,'L HAY LES ROSES'!G8))+(COUNTIF('INSTANCE C1'!$A$7:$A$50,'L HAY LES ROSES'!G8))+(COUNTIF('INSTANCE C2'!$A$7:$A$50,'L HAY LES ROSES'!G8))+(COUNTIF(INTERNES!$A$7:$A$50,'L HAY LES ROSES'!G8))+(COUNTIF('EN PANNE'!$A$7:$A$50,'L HAY LES ROSES'!G8))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50"/>
      <c r="S8" s="60">
        <f t="shared" si="1"/>
        <v>0</v>
      </c>
      <c r="T8" s="67">
        <f t="shared" si="2"/>
        <v>0</v>
      </c>
    </row>
    <row r="9" spans="1:26" ht="24.95" customHeight="1" thickBot="1" x14ac:dyDescent="0.25">
      <c r="A9" s="20"/>
      <c r="B9" s="23">
        <f>(COUNTIF('2S EXPRESS'!$A$7:$A$50,'L HAY LES ROSES'!A9))+(COUNTIF('2 ZT'!$A$7:$A$50,'L HAY LES ROSES'!A9))+(COUNTIF('GO TRANSPORT'!$A$7:$A$50,'L HAY LES ROSES'!A9))+(COUNTIF('HMZ - KAIS'!$A$7:$A$50,'L HAY LES ROSES'!A9))+(COUNTIF('IB TRANSPORT'!$A$7:$A$50,'L HAY LES ROSES'!A9))+(COUNTIF(JSL!$A$7:$A$50,'L HAY LES ROSES'!A9))+(COUNTIF(KIFAITOUT!$A$7:$A$50,'L HAY LES ROSES'!A9))+(COUNTIF('LUXE DRIVE'!$A$7:$A$50,'L HAY LES ROSES'!A9))+(COUNTIF(SSN!$A$7:$A$50,'L HAY LES ROSES'!A9))+(COUNTIF('W3'!$A$7:$A$50,'L HAY LES ROSES'!A9))+(COUNTIF('ATHIS MONS'!$A$7:$A$50,'L HAY LES ROSES'!A9))+(COUNTIF('L HAY LES ROSES'!$A$7:$A$50,'L HAY LES ROSES'!A9))+(COUNTIF(RUNGIS!$A$7:$A$50,'L HAY LES ROSES'!A9))+(COUNTIF(SCEAUX!$A$7:$A$50,'L HAY LES ROSES'!A9))+(COUNTIF('INSTANCE C1'!$A$7:$A$50,'L HAY LES ROSES'!A9))+(COUNTIF('INSTANCE C2'!$A$7:$A$50,'L HAY LES ROSES'!A9))+(COUNTIF(INTERNES!$A$7:$A$50,'L HAY LES ROSES'!A9))+(COUNTIF('EN PANNE'!$A$7:$A$50,'L HAY LES ROSES'!A9))-C9</f>
        <v>0</v>
      </c>
      <c r="C9" s="23">
        <f>(COUNTIF('2S EXPRESS'!$G$7:$G$50,'L HAY LES ROSES'!A9))+(COUNTIF('2 ZT'!$G$7:$G$50,'L HAY LES ROSES'!A9))+(COUNTIF('GO TRANSPORT'!$G$7:$G$50,'L HAY LES ROSES'!A9))+(COUNTIF('L HAY LES ROSES'!$G$7:$G$50,'L HAY LES ROSES'!A9))+(COUNTIF('IB TRANSPORT'!$G$7:$G$50,'L HAY LES ROSES'!A9))+(COUNTIF(JSL!$G$7:$G$50,'L HAY LES ROSES'!A9))+(COUNTIF(KIFAITOUT!$G$7:$G$50,'L HAY LES ROSES'!A9))+(COUNTIF('LUXE DRIVE'!$G$7:$G$50,'L HAY LES ROSES'!A9))+(COUNTIF(SSN!$G$7:$G$50,'L HAY LES ROSES'!A9))+(COUNTIF('W3'!$G$7:$G$50,'L HAY LES ROSES'!A9))+(COUNTIF('ATHIS MONS'!$G$7:$G$50,'L HAY LES ROSES'!A9))+(COUNTIF('L HAY LES ROSES'!$G$7:$G$50,'L HAY LES ROSES'!A9))+(COUNTIF(RUNGIS!$G$7:$G$50,'L HAY LES ROSES'!A9))+(COUNTIF(SCEAUX!$G$7:$G$50,'L HAY LES ROSES'!A9))+(COUNTIF('INSTANCE C1'!$G$7:$G$50,'L HAY LES ROSES'!A9))+(COUNTIF('INSTANCE C2'!$G$7:$G$50,'L HAY LES ROSES'!A9))+(COUNTIF(INTERNES!$G$7:$G$50,'L HAY LES ROSES'!A9))+(COUNTIF('EN PANNE'!$G$7:$G$50,'L HAY LES ROSES'!A9))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EXPRESS'!$G$7:$G$50,'L HAY LES ROSES'!G9))+(COUNTIF('2 ZT'!$G$7:$G$50,'L HAY LES ROSES'!G9))+(COUNTIF('GO TRANSPORT'!$G$7:$G$50,'L HAY LES ROSES'!G9))+(COUNTIF('HMZ - KAIS'!$G$7:$G$50,'L HAY LES ROSES'!G9))+(COUNTIF('IB TRANSPORT'!$G$7:$G$50,'L HAY LES ROSES'!G9))+(COUNTIF(JSL!$G$7:$G$50,'L HAY LES ROSES'!G9))+(COUNTIF(KIFAITOUT!$G$7:$G$50,'L HAY LES ROSES'!G9))+(COUNTIF('LUXE DRIVE'!$G$7:$G$50,'L HAY LES ROSES'!G9))+(COUNTIF(SSN!$G$7:$G$50,'L HAY LES ROSES'!G9))+(COUNTIF('W3'!$G$7:$G$50,'L HAY LES ROSES'!G9))+(COUNTIF('ATHIS MONS'!$G$7:$G$50,'L HAY LES ROSES'!G9))+(COUNTIF('L HAY LES ROSES'!$G$7:$G$50,'L HAY LES ROSES'!G9))+(COUNTIF(RUNGIS!$G$7:$G$50,'L HAY LES ROSES'!G9))+(COUNTIF(SCEAUX!$G$7:$G$50,'L HAY LES ROSES'!G9))+(COUNTIF('INSTANCE C1'!$G$7:$G$50,'L HAY LES ROSES'!G9))+(COUNTIF('INSTANCE C2'!$G$7:$G$50,'L HAY LES ROSES'!G9))+(COUNTIF(INTERNES!$G$7:$G$50,'L HAY LES ROSES'!G9))+(COUNTIF('EN PANNE'!$G$7:$G$50,'L HAY LES ROSES'!G9))-I9</f>
        <v>0</v>
      </c>
      <c r="I9" s="23">
        <f>(COUNTIF('2S EXPRESS'!$A$7:$A$50,'L HAY LES ROSES'!G9))+(COUNTIF('2 ZT'!$A$7:$A$50,'L HAY LES ROSES'!G9))+(COUNTIF('GO TRANSPORT'!$A$7:$A$50,'L HAY LES ROSES'!G9))+(COUNTIF('HMZ - KAIS'!$A$7:$A$50,'L HAY LES ROSES'!G9))+(COUNTIF('IB TRANSPORT'!$A$7:$A$50,'L HAY LES ROSES'!G9))+(COUNTIF(JSL!$A$7:$A$50,'L HAY LES ROSES'!G9))+(COUNTIF(KIFAITOUT!$A$7:$A$50,'L HAY LES ROSES'!G9))+(COUNTIF('LUXE DRIVE'!$A$7:$A$50,'L HAY LES ROSES'!G9))+(COUNTIF(SSN!$A$7:$A$50,'L HAY LES ROSES'!G9))+(COUNTIF('W3'!$A$7:$A$50,'L HAY LES ROSES'!G9))+(COUNTIF('ATHIS MONS'!$A$7:$A$50,'L HAY LES ROSES'!G9))+(COUNTIF('L HAY LES ROSES'!$A$7:$A$50,'L HAY LES ROSES'!G9))+(COUNTIF(RUNGIS!$A$7:$A$50,'L HAY LES ROSES'!G9))+(COUNTIF(SCEAUX!$A$7:$A$50,'L HAY LES ROSES'!G9))+(COUNTIF('INSTANCE C1'!$A$7:$A$50,'L HAY LES ROSES'!G9))+(COUNTIF('INSTANCE C2'!$A$7:$A$50,'L HAY LES ROSES'!G9))+(COUNTIF(INTERNES!$A$7:$A$50,'L HAY LES ROSES'!G9))+(COUNTIF('EN PANNE'!$A$7:$A$50,'L HAY LES ROSES'!G9))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50"/>
      <c r="S9" s="60">
        <f t="shared" si="1"/>
        <v>0</v>
      </c>
      <c r="T9" s="67">
        <f t="shared" si="2"/>
        <v>0</v>
      </c>
    </row>
    <row r="10" spans="1:26" ht="24.95" customHeight="1" thickBot="1" x14ac:dyDescent="0.25">
      <c r="A10" s="20"/>
      <c r="B10" s="23">
        <f>(COUNTIF('2S EXPRESS'!$A$7:$A$50,'L HAY LES ROSES'!A10))+(COUNTIF('2 ZT'!$A$7:$A$50,'L HAY LES ROSES'!A10))+(COUNTIF('GO TRANSPORT'!$A$7:$A$50,'L HAY LES ROSES'!A10))+(COUNTIF('HMZ - KAIS'!$A$7:$A$50,'L HAY LES ROSES'!A10))+(COUNTIF('IB TRANSPORT'!$A$7:$A$50,'L HAY LES ROSES'!A10))+(COUNTIF(JSL!$A$7:$A$50,'L HAY LES ROSES'!A10))+(COUNTIF(KIFAITOUT!$A$7:$A$50,'L HAY LES ROSES'!A10))+(COUNTIF('LUXE DRIVE'!$A$7:$A$50,'L HAY LES ROSES'!A10))+(COUNTIF(SSN!$A$7:$A$50,'L HAY LES ROSES'!A10))+(COUNTIF('W3'!$A$7:$A$50,'L HAY LES ROSES'!A10))+(COUNTIF('ATHIS MONS'!$A$7:$A$50,'L HAY LES ROSES'!A10))+(COUNTIF('L HAY LES ROSES'!$A$7:$A$50,'L HAY LES ROSES'!A10))+(COUNTIF(RUNGIS!$A$7:$A$50,'L HAY LES ROSES'!A10))+(COUNTIF(SCEAUX!$A$7:$A$50,'L HAY LES ROSES'!A10))+(COUNTIF('INSTANCE C1'!$A$7:$A$50,'L HAY LES ROSES'!A10))+(COUNTIF('INSTANCE C2'!$A$7:$A$50,'L HAY LES ROSES'!A10))+(COUNTIF(INTERNES!$A$7:$A$50,'L HAY LES ROSES'!A10))+(COUNTIF('EN PANNE'!$A$7:$A$50,'L HAY LES ROSES'!A10))-C10</f>
        <v>0</v>
      </c>
      <c r="C10" s="23">
        <f>(COUNTIF('2S EXPRESS'!$G$7:$G$50,'L HAY LES ROSES'!A10))+(COUNTIF('2 ZT'!$G$7:$G$50,'L HAY LES ROSES'!A10))+(COUNTIF('GO TRANSPORT'!$G$7:$G$50,'L HAY LES ROSES'!A10))+(COUNTIF('L HAY LES ROSES'!$G$7:$G$50,'L HAY LES ROSES'!A10))+(COUNTIF('IB TRANSPORT'!$G$7:$G$50,'L HAY LES ROSES'!A10))+(COUNTIF(JSL!$G$7:$G$50,'L HAY LES ROSES'!A10))+(COUNTIF(KIFAITOUT!$G$7:$G$50,'L HAY LES ROSES'!A10))+(COUNTIF('LUXE DRIVE'!$G$7:$G$50,'L HAY LES ROSES'!A10))+(COUNTIF(SSN!$G$7:$G$50,'L HAY LES ROSES'!A10))+(COUNTIF('W3'!$G$7:$G$50,'L HAY LES ROSES'!A10))+(COUNTIF('ATHIS MONS'!$G$7:$G$50,'L HAY LES ROSES'!A10))+(COUNTIF('L HAY LES ROSES'!$G$7:$G$50,'L HAY LES ROSES'!A10))+(COUNTIF(RUNGIS!$G$7:$G$50,'L HAY LES ROSES'!A10))+(COUNTIF(SCEAUX!$G$7:$G$50,'L HAY LES ROSES'!A10))+(COUNTIF('INSTANCE C1'!$G$7:$G$50,'L HAY LES ROSES'!A10))+(COUNTIF('INSTANCE C2'!$G$7:$G$50,'L HAY LES ROSES'!A10))+(COUNTIF(INTERNES!$G$7:$G$50,'L HAY LES ROSES'!A10))+(COUNTIF('EN PANNE'!$G$7:$G$50,'L HAY LES ROSES'!A10))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EXPRESS'!$G$7:$G$50,'L HAY LES ROSES'!G10))+(COUNTIF('2 ZT'!$G$7:$G$50,'L HAY LES ROSES'!G10))+(COUNTIF('GO TRANSPORT'!$G$7:$G$50,'L HAY LES ROSES'!G10))+(COUNTIF('HMZ - KAIS'!$G$7:$G$50,'L HAY LES ROSES'!G10))+(COUNTIF('IB TRANSPORT'!$G$7:$G$50,'L HAY LES ROSES'!G10))+(COUNTIF(JSL!$G$7:$G$50,'L HAY LES ROSES'!G10))+(COUNTIF(KIFAITOUT!$G$7:$G$50,'L HAY LES ROSES'!G10))+(COUNTIF('LUXE DRIVE'!$G$7:$G$50,'L HAY LES ROSES'!G10))+(COUNTIF(SSN!$G$7:$G$50,'L HAY LES ROSES'!G10))+(COUNTIF('W3'!$G$7:$G$50,'L HAY LES ROSES'!G10))+(COUNTIF('ATHIS MONS'!$G$7:$G$50,'L HAY LES ROSES'!G10))+(COUNTIF('L HAY LES ROSES'!$G$7:$G$50,'L HAY LES ROSES'!G10))+(COUNTIF(RUNGIS!$G$7:$G$50,'L HAY LES ROSES'!G10))+(COUNTIF(SCEAUX!$G$7:$G$50,'L HAY LES ROSES'!G10))+(COUNTIF('INSTANCE C1'!$G$7:$G$50,'L HAY LES ROSES'!G10))+(COUNTIF('INSTANCE C2'!$G$7:$G$50,'L HAY LES ROSES'!G10))+(COUNTIF(INTERNES!$G$7:$G$50,'L HAY LES ROSES'!G10))+(COUNTIF('EN PANNE'!$G$7:$G$50,'L HAY LES ROSES'!G10))-I10</f>
        <v>0</v>
      </c>
      <c r="I10" s="23">
        <f>(COUNTIF('2S EXPRESS'!$A$7:$A$50,'L HAY LES ROSES'!G10))+(COUNTIF('2 ZT'!$A$7:$A$50,'L HAY LES ROSES'!G10))+(COUNTIF('GO TRANSPORT'!$A$7:$A$50,'L HAY LES ROSES'!G10))+(COUNTIF('HMZ - KAIS'!$A$7:$A$50,'L HAY LES ROSES'!G10))+(COUNTIF('IB TRANSPORT'!$A$7:$A$50,'L HAY LES ROSES'!G10))+(COUNTIF(JSL!$A$7:$A$50,'L HAY LES ROSES'!G10))+(COUNTIF(KIFAITOUT!$A$7:$A$50,'L HAY LES ROSES'!G10))+(COUNTIF('LUXE DRIVE'!$A$7:$A$50,'L HAY LES ROSES'!G10))+(COUNTIF(SSN!$A$7:$A$50,'L HAY LES ROSES'!G10))+(COUNTIF('W3'!$A$7:$A$50,'L HAY LES ROSES'!G10))+(COUNTIF('ATHIS MONS'!$A$7:$A$50,'L HAY LES ROSES'!G10))+(COUNTIF('L HAY LES ROSES'!$A$7:$A$50,'L HAY LES ROSES'!G10))+(COUNTIF(RUNGIS!$A$7:$A$50,'L HAY LES ROSES'!G10))+(COUNTIF(SCEAUX!$A$7:$A$50,'L HAY LES ROSES'!G10))+(COUNTIF('INSTANCE C1'!$A$7:$A$50,'L HAY LES ROSES'!G10))+(COUNTIF('INSTANCE C2'!$A$7:$A$50,'L HAY LES ROSES'!G10))+(COUNTIF(INTERNES!$A$7:$A$50,'L HAY LES ROSES'!G10))+(COUNTIF('EN PANNE'!$A$7:$A$50,'L HAY LES ROSES'!G10))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R10" s="50"/>
      <c r="S10" s="60">
        <f t="shared" si="1"/>
        <v>0</v>
      </c>
      <c r="T10" s="67">
        <f t="shared" si="2"/>
        <v>0</v>
      </c>
    </row>
    <row r="11" spans="1:26" ht="24.95" customHeight="1" thickBot="1" x14ac:dyDescent="0.25">
      <c r="A11" s="20"/>
      <c r="B11" s="23">
        <f>(COUNTIF('2S EXPRESS'!$A$7:$A$50,'L HAY LES ROSES'!A11))+(COUNTIF('2 ZT'!$A$7:$A$50,'L HAY LES ROSES'!A11))+(COUNTIF('GO TRANSPORT'!$A$7:$A$50,'L HAY LES ROSES'!A11))+(COUNTIF('HMZ - KAIS'!$A$7:$A$50,'L HAY LES ROSES'!A11))+(COUNTIF('IB TRANSPORT'!$A$7:$A$50,'L HAY LES ROSES'!A11))+(COUNTIF(JSL!$A$7:$A$50,'L HAY LES ROSES'!A11))+(COUNTIF(KIFAITOUT!$A$7:$A$50,'L HAY LES ROSES'!A11))+(COUNTIF('LUXE DRIVE'!$A$7:$A$50,'L HAY LES ROSES'!A11))+(COUNTIF(SSN!$A$7:$A$50,'L HAY LES ROSES'!A11))+(COUNTIF('W3'!$A$7:$A$50,'L HAY LES ROSES'!A11))+(COUNTIF('ATHIS MONS'!$A$7:$A$50,'L HAY LES ROSES'!A11))+(COUNTIF('L HAY LES ROSES'!$A$7:$A$50,'L HAY LES ROSES'!A11))+(COUNTIF(RUNGIS!$A$7:$A$50,'L HAY LES ROSES'!A11))+(COUNTIF(SCEAUX!$A$7:$A$50,'L HAY LES ROSES'!A11))+(COUNTIF('INSTANCE C1'!$A$7:$A$50,'L HAY LES ROSES'!A11))+(COUNTIF('INSTANCE C2'!$A$7:$A$50,'L HAY LES ROSES'!A11))+(COUNTIF(INTERNES!$A$7:$A$50,'L HAY LES ROSES'!A11))+(COUNTIF('EN PANNE'!$A$7:$A$50,'L HAY LES ROSES'!A11))-C11</f>
        <v>0</v>
      </c>
      <c r="C11" s="23">
        <f>(COUNTIF('2S EXPRESS'!$G$7:$G$50,'L HAY LES ROSES'!A11))+(COUNTIF('2 ZT'!$G$7:$G$50,'L HAY LES ROSES'!A11))+(COUNTIF('GO TRANSPORT'!$G$7:$G$50,'L HAY LES ROSES'!A11))+(COUNTIF('L HAY LES ROSES'!$G$7:$G$50,'L HAY LES ROSES'!A11))+(COUNTIF('IB TRANSPORT'!$G$7:$G$50,'L HAY LES ROSES'!A11))+(COUNTIF(JSL!$G$7:$G$50,'L HAY LES ROSES'!A11))+(COUNTIF(KIFAITOUT!$G$7:$G$50,'L HAY LES ROSES'!A11))+(COUNTIF('LUXE DRIVE'!$G$7:$G$50,'L HAY LES ROSES'!A11))+(COUNTIF(SSN!$G$7:$G$50,'L HAY LES ROSES'!A11))+(COUNTIF('W3'!$G$7:$G$50,'L HAY LES ROSES'!A11))+(COUNTIF('ATHIS MONS'!$G$7:$G$50,'L HAY LES ROSES'!A11))+(COUNTIF('L HAY LES ROSES'!$G$7:$G$50,'L HAY LES ROSES'!A11))+(COUNTIF(RUNGIS!$G$7:$G$50,'L HAY LES ROSES'!A11))+(COUNTIF(SCEAUX!$G$7:$G$50,'L HAY LES ROSES'!A11))+(COUNTIF('INSTANCE C1'!$G$7:$G$50,'L HAY LES ROSES'!A11))+(COUNTIF('INSTANCE C2'!$G$7:$G$50,'L HAY LES ROSES'!A11))+(COUNTIF(INTERNES!$G$7:$G$50,'L HAY LES ROSES'!A11))+(COUNTIF('EN PANNE'!$G$7:$G$50,'L HAY LES ROSES'!A11))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EXPRESS'!$G$7:$G$50,'L HAY LES ROSES'!G11))+(COUNTIF('2 ZT'!$G$7:$G$50,'L HAY LES ROSES'!G11))+(COUNTIF('GO TRANSPORT'!$G$7:$G$50,'L HAY LES ROSES'!G11))+(COUNTIF('HMZ - KAIS'!$G$7:$G$50,'L HAY LES ROSES'!G11))+(COUNTIF('IB TRANSPORT'!$G$7:$G$50,'L HAY LES ROSES'!G11))+(COUNTIF(JSL!$G$7:$G$50,'L HAY LES ROSES'!G11))+(COUNTIF(KIFAITOUT!$G$7:$G$50,'L HAY LES ROSES'!G11))+(COUNTIF('LUXE DRIVE'!$G$7:$G$50,'L HAY LES ROSES'!G11))+(COUNTIF(SSN!$G$7:$G$50,'L HAY LES ROSES'!G11))+(COUNTIF('W3'!$G$7:$G$50,'L HAY LES ROSES'!G11))+(COUNTIF('ATHIS MONS'!$G$7:$G$50,'L HAY LES ROSES'!G11))+(COUNTIF('L HAY LES ROSES'!$G$7:$G$50,'L HAY LES ROSES'!G11))+(COUNTIF(RUNGIS!$G$7:$G$50,'L HAY LES ROSES'!G11))+(COUNTIF(SCEAUX!$G$7:$G$50,'L HAY LES ROSES'!G11))+(COUNTIF('INSTANCE C1'!$G$7:$G$50,'L HAY LES ROSES'!G11))+(COUNTIF('INSTANCE C2'!$G$7:$G$50,'L HAY LES ROSES'!G11))+(COUNTIF(INTERNES!$G$7:$G$50,'L HAY LES ROSES'!G11))+(COUNTIF('EN PANNE'!$G$7:$G$50,'L HAY LES ROSES'!G11))-I11</f>
        <v>0</v>
      </c>
      <c r="I11" s="23">
        <f>(COUNTIF('2S EXPRESS'!$A$7:$A$50,'L HAY LES ROSES'!G11))+(COUNTIF('2 ZT'!$A$7:$A$50,'L HAY LES ROSES'!G11))+(COUNTIF('GO TRANSPORT'!$A$7:$A$50,'L HAY LES ROSES'!G11))+(COUNTIF('HMZ - KAIS'!$A$7:$A$50,'L HAY LES ROSES'!G11))+(COUNTIF('IB TRANSPORT'!$A$7:$A$50,'L HAY LES ROSES'!G11))+(COUNTIF(JSL!$A$7:$A$50,'L HAY LES ROSES'!G11))+(COUNTIF(KIFAITOUT!$A$7:$A$50,'L HAY LES ROSES'!G11))+(COUNTIF('LUXE DRIVE'!$A$7:$A$50,'L HAY LES ROSES'!G11))+(COUNTIF(SSN!$A$7:$A$50,'L HAY LES ROSES'!G11))+(COUNTIF('W3'!$A$7:$A$50,'L HAY LES ROSES'!G11))+(COUNTIF('ATHIS MONS'!$A$7:$A$50,'L HAY LES ROSES'!G11))+(COUNTIF('L HAY LES ROSES'!$A$7:$A$50,'L HAY LES ROSES'!G11))+(COUNTIF(RUNGIS!$A$7:$A$50,'L HAY LES ROSES'!G11))+(COUNTIF(SCEAUX!$A$7:$A$50,'L HAY LES ROSES'!G11))+(COUNTIF('INSTANCE C1'!$A$7:$A$50,'L HAY LES ROSES'!G11))+(COUNTIF('INSTANCE C2'!$A$7:$A$50,'L HAY LES ROSES'!G11))+(COUNTIF(INTERNES!$A$7:$A$50,'L HAY LES ROSES'!G11))+(COUNTIF('EN PANNE'!$A$7:$A$50,'L HAY LES ROSES'!G11))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R11" s="50"/>
      <c r="S11" s="60">
        <f t="shared" si="1"/>
        <v>0</v>
      </c>
      <c r="T11" s="67">
        <f t="shared" si="2"/>
        <v>0</v>
      </c>
    </row>
    <row r="12" spans="1:26" ht="24.95" customHeight="1" thickBot="1" x14ac:dyDescent="0.25">
      <c r="A12" s="20"/>
      <c r="B12" s="23">
        <f>(COUNTIF('2S EXPRESS'!$A$7:$A$50,'L HAY LES ROSES'!A12))+(COUNTIF('2 ZT'!$A$7:$A$50,'L HAY LES ROSES'!A12))+(COUNTIF('GO TRANSPORT'!$A$7:$A$50,'L HAY LES ROSES'!A12))+(COUNTIF('HMZ - KAIS'!$A$7:$A$50,'L HAY LES ROSES'!A12))+(COUNTIF('IB TRANSPORT'!$A$7:$A$50,'L HAY LES ROSES'!A12))+(COUNTIF(JSL!$A$7:$A$50,'L HAY LES ROSES'!A12))+(COUNTIF(KIFAITOUT!$A$7:$A$50,'L HAY LES ROSES'!A12))+(COUNTIF('LUXE DRIVE'!$A$7:$A$50,'L HAY LES ROSES'!A12))+(COUNTIF(SSN!$A$7:$A$50,'L HAY LES ROSES'!A12))+(COUNTIF('W3'!$A$7:$A$50,'L HAY LES ROSES'!A12))+(COUNTIF('ATHIS MONS'!$A$7:$A$50,'L HAY LES ROSES'!A12))+(COUNTIF('L HAY LES ROSES'!$A$7:$A$50,'L HAY LES ROSES'!A12))+(COUNTIF(RUNGIS!$A$7:$A$50,'L HAY LES ROSES'!A12))+(COUNTIF(SCEAUX!$A$7:$A$50,'L HAY LES ROSES'!A12))+(COUNTIF('INSTANCE C1'!$A$7:$A$50,'L HAY LES ROSES'!A12))+(COUNTIF('INSTANCE C2'!$A$7:$A$50,'L HAY LES ROSES'!A12))+(COUNTIF(INTERNES!$A$7:$A$50,'L HAY LES ROSES'!A12))+(COUNTIF('EN PANNE'!$A$7:$A$50,'L HAY LES ROSES'!A12))-C12</f>
        <v>0</v>
      </c>
      <c r="C12" s="23">
        <f>(COUNTIF('2S EXPRESS'!$G$7:$G$50,'L HAY LES ROSES'!A12))+(COUNTIF('2 ZT'!$G$7:$G$50,'L HAY LES ROSES'!A12))+(COUNTIF('GO TRANSPORT'!$G$7:$G$50,'L HAY LES ROSES'!A12))+(COUNTIF('L HAY LES ROSES'!$G$7:$G$50,'L HAY LES ROSES'!A12))+(COUNTIF('IB TRANSPORT'!$G$7:$G$50,'L HAY LES ROSES'!A12))+(COUNTIF(JSL!$G$7:$G$50,'L HAY LES ROSES'!A12))+(COUNTIF(KIFAITOUT!$G$7:$G$50,'L HAY LES ROSES'!A12))+(COUNTIF('LUXE DRIVE'!$G$7:$G$50,'L HAY LES ROSES'!A12))+(COUNTIF(SSN!$G$7:$G$50,'L HAY LES ROSES'!A12))+(COUNTIF('W3'!$G$7:$G$50,'L HAY LES ROSES'!A12))+(COUNTIF('ATHIS MONS'!$G$7:$G$50,'L HAY LES ROSES'!A12))+(COUNTIF('L HAY LES ROSES'!$G$7:$G$50,'L HAY LES ROSES'!A12))+(COUNTIF(RUNGIS!$G$7:$G$50,'L HAY LES ROSES'!A12))+(COUNTIF(SCEAUX!$G$7:$G$50,'L HAY LES ROSES'!A12))+(COUNTIF('INSTANCE C1'!$G$7:$G$50,'L HAY LES ROSES'!A12))+(COUNTIF('INSTANCE C2'!$G$7:$G$50,'L HAY LES ROSES'!A12))+(COUNTIF(INTERNES!$G$7:$G$50,'L HAY LES ROSES'!A12))+(COUNTIF('EN PANNE'!$G$7:$G$50,'L HAY LES ROSES'!A12))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EXPRESS'!$G$7:$G$50,'L HAY LES ROSES'!G12))+(COUNTIF('2 ZT'!$G$7:$G$50,'L HAY LES ROSES'!G12))+(COUNTIF('GO TRANSPORT'!$G$7:$G$50,'L HAY LES ROSES'!G12))+(COUNTIF('HMZ - KAIS'!$G$7:$G$50,'L HAY LES ROSES'!G12))+(COUNTIF('IB TRANSPORT'!$G$7:$G$50,'L HAY LES ROSES'!G12))+(COUNTIF(JSL!$G$7:$G$50,'L HAY LES ROSES'!G12))+(COUNTIF(KIFAITOUT!$G$7:$G$50,'L HAY LES ROSES'!G12))+(COUNTIF('LUXE DRIVE'!$G$7:$G$50,'L HAY LES ROSES'!G12))+(COUNTIF(SSN!$G$7:$G$50,'L HAY LES ROSES'!G12))+(COUNTIF('W3'!$G$7:$G$50,'L HAY LES ROSES'!G12))+(COUNTIF('ATHIS MONS'!$G$7:$G$50,'L HAY LES ROSES'!G12))+(COUNTIF('L HAY LES ROSES'!$G$7:$G$50,'L HAY LES ROSES'!G12))+(COUNTIF(RUNGIS!$G$7:$G$50,'L HAY LES ROSES'!G12))+(COUNTIF(SCEAUX!$G$7:$G$50,'L HAY LES ROSES'!G12))+(COUNTIF('INSTANCE C1'!$G$7:$G$50,'L HAY LES ROSES'!G12))+(COUNTIF('INSTANCE C2'!$G$7:$G$50,'L HAY LES ROSES'!G12))+(COUNTIF(INTERNES!$G$7:$G$50,'L HAY LES ROSES'!G12))+(COUNTIF('EN PANNE'!$G$7:$G$50,'L HAY LES ROSES'!G12))-I12</f>
        <v>0</v>
      </c>
      <c r="I12" s="23">
        <f>(COUNTIF('2S EXPRESS'!$A$7:$A$50,'L HAY LES ROSES'!G12))+(COUNTIF('2 ZT'!$A$7:$A$50,'L HAY LES ROSES'!G12))+(COUNTIF('GO TRANSPORT'!$A$7:$A$50,'L HAY LES ROSES'!G12))+(COUNTIF('HMZ - KAIS'!$A$7:$A$50,'L HAY LES ROSES'!G12))+(COUNTIF('IB TRANSPORT'!$A$7:$A$50,'L HAY LES ROSES'!G12))+(COUNTIF(JSL!$A$7:$A$50,'L HAY LES ROSES'!G12))+(COUNTIF(KIFAITOUT!$A$7:$A$50,'L HAY LES ROSES'!G12))+(COUNTIF('LUXE DRIVE'!$A$7:$A$50,'L HAY LES ROSES'!G12))+(COUNTIF(SSN!$A$7:$A$50,'L HAY LES ROSES'!G12))+(COUNTIF('W3'!$A$7:$A$50,'L HAY LES ROSES'!G12))+(COUNTIF('ATHIS MONS'!$A$7:$A$50,'L HAY LES ROSES'!G12))+(COUNTIF('L HAY LES ROSES'!$A$7:$A$50,'L HAY LES ROSES'!G12))+(COUNTIF(RUNGIS!$A$7:$A$50,'L HAY LES ROSES'!G12))+(COUNTIF(SCEAUX!$A$7:$A$50,'L HAY LES ROSES'!G12))+(COUNTIF('INSTANCE C1'!$A$7:$A$50,'L HAY LES ROSES'!G12))+(COUNTIF('INSTANCE C2'!$A$7:$A$50,'L HAY LES ROSES'!G12))+(COUNTIF(INTERNES!$A$7:$A$50,'L HAY LES ROSES'!G12))+(COUNTIF('EN PANNE'!$A$7:$A$50,'L HAY LES ROSES'!G12))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R12" s="50"/>
      <c r="S12" s="60">
        <f t="shared" si="1"/>
        <v>0</v>
      </c>
      <c r="T12" s="67">
        <f t="shared" si="2"/>
        <v>0</v>
      </c>
    </row>
    <row r="13" spans="1:26" ht="24.95" customHeight="1" x14ac:dyDescent="0.2">
      <c r="A13" s="20"/>
      <c r="B13" s="23">
        <f>(COUNTIF('2S EXPRESS'!$A$7:$A$50,'L HAY LES ROSES'!A13))+(COUNTIF('2 ZT'!$A$7:$A$50,'L HAY LES ROSES'!A13))+(COUNTIF('GO TRANSPORT'!$A$7:$A$50,'L HAY LES ROSES'!A13))+(COUNTIF('HMZ - KAIS'!$A$7:$A$50,'L HAY LES ROSES'!A13))+(COUNTIF('IB TRANSPORT'!$A$7:$A$50,'L HAY LES ROSES'!A13))+(COUNTIF(JSL!$A$7:$A$50,'L HAY LES ROSES'!A13))+(COUNTIF(KIFAITOUT!$A$7:$A$50,'L HAY LES ROSES'!A13))+(COUNTIF('LUXE DRIVE'!$A$7:$A$50,'L HAY LES ROSES'!A13))+(COUNTIF(SSN!$A$7:$A$50,'L HAY LES ROSES'!A13))+(COUNTIF('W3'!$A$7:$A$50,'L HAY LES ROSES'!A13))+(COUNTIF('ATHIS MONS'!$A$7:$A$50,'L HAY LES ROSES'!A13))+(COUNTIF('L HAY LES ROSES'!$A$7:$A$50,'L HAY LES ROSES'!A13))+(COUNTIF(RUNGIS!$A$7:$A$50,'L HAY LES ROSES'!A13))+(COUNTIF(SCEAUX!$A$7:$A$50,'L HAY LES ROSES'!A13))+(COUNTIF('INSTANCE C1'!$A$7:$A$50,'L HAY LES ROSES'!A13))+(COUNTIF('INSTANCE C2'!$A$7:$A$50,'L HAY LES ROSES'!A13))+(COUNTIF(INTERNES!$A$7:$A$50,'L HAY LES ROSES'!A13))+(COUNTIF('EN PANNE'!$A$7:$A$50,'L HAY LES ROSES'!A13))-C13</f>
        <v>0</v>
      </c>
      <c r="C13" s="23">
        <f>(COUNTIF('2S EXPRESS'!$G$7:$G$50,'L HAY LES ROSES'!A13))+(COUNTIF('2 ZT'!$G$7:$G$50,'L HAY LES ROSES'!A13))+(COUNTIF('GO TRANSPORT'!$G$7:$G$50,'L HAY LES ROSES'!A13))+(COUNTIF('L HAY LES ROSES'!$G$7:$G$50,'L HAY LES ROSES'!A13))+(COUNTIF('IB TRANSPORT'!$G$7:$G$50,'L HAY LES ROSES'!A13))+(COUNTIF(JSL!$G$7:$G$50,'L HAY LES ROSES'!A13))+(COUNTIF(KIFAITOUT!$G$7:$G$50,'L HAY LES ROSES'!A13))+(COUNTIF('LUXE DRIVE'!$G$7:$G$50,'L HAY LES ROSES'!A13))+(COUNTIF(SSN!$G$7:$G$50,'L HAY LES ROSES'!A13))+(COUNTIF('W3'!$G$7:$G$50,'L HAY LES ROSES'!A13))+(COUNTIF('ATHIS MONS'!$G$7:$G$50,'L HAY LES ROSES'!A13))+(COUNTIF('L HAY LES ROSES'!$G$7:$G$50,'L HAY LES ROSES'!A13))+(COUNTIF(RUNGIS!$G$7:$G$50,'L HAY LES ROSES'!A13))+(COUNTIF(SCEAUX!$G$7:$G$50,'L HAY LES ROSES'!A13))+(COUNTIF('INSTANCE C1'!$G$7:$G$50,'L HAY LES ROSES'!A13))+(COUNTIF('INSTANCE C2'!$G$7:$G$50,'L HAY LES ROSES'!A13))+(COUNTIF(INTERNES!$G$7:$G$50,'L HAY LES ROSES'!A13))+(COUNTIF('EN PANNE'!$G$7:$G$50,'L HAY LES ROSES'!A13))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EXPRESS'!$G$7:$G$50,'L HAY LES ROSES'!G13))+(COUNTIF('2 ZT'!$G$7:$G$50,'L HAY LES ROSES'!G13))+(COUNTIF('GO TRANSPORT'!$G$7:$G$50,'L HAY LES ROSES'!G13))+(COUNTIF('HMZ - KAIS'!$G$7:$G$50,'L HAY LES ROSES'!G13))+(COUNTIF('IB TRANSPORT'!$G$7:$G$50,'L HAY LES ROSES'!G13))+(COUNTIF(JSL!$G$7:$G$50,'L HAY LES ROSES'!G13))+(COUNTIF(KIFAITOUT!$G$7:$G$50,'L HAY LES ROSES'!G13))+(COUNTIF('LUXE DRIVE'!$G$7:$G$50,'L HAY LES ROSES'!G13))+(COUNTIF(SSN!$G$7:$G$50,'L HAY LES ROSES'!G13))+(COUNTIF('W3'!$G$7:$G$50,'L HAY LES ROSES'!G13))+(COUNTIF('ATHIS MONS'!$G$7:$G$50,'L HAY LES ROSES'!G13))+(COUNTIF('L HAY LES ROSES'!$G$7:$G$50,'L HAY LES ROSES'!G13))+(COUNTIF(RUNGIS!$G$7:$G$50,'L HAY LES ROSES'!G13))+(COUNTIF(SCEAUX!$G$7:$G$50,'L HAY LES ROSES'!G13))+(COUNTIF('INSTANCE C1'!$G$7:$G$50,'L HAY LES ROSES'!G13))+(COUNTIF('INSTANCE C2'!$G$7:$G$50,'L HAY LES ROSES'!G13))+(COUNTIF(INTERNES!$G$7:$G$50,'L HAY LES ROSES'!G13))+(COUNTIF('EN PANNE'!$G$7:$G$50,'L HAY LES ROSES'!G13))-I13</f>
        <v>0</v>
      </c>
      <c r="I13" s="23">
        <f>(COUNTIF('2S EXPRESS'!$A$7:$A$50,'L HAY LES ROSES'!G13))+(COUNTIF('2 ZT'!$A$7:$A$50,'L HAY LES ROSES'!G13))+(COUNTIF('GO TRANSPORT'!$A$7:$A$50,'L HAY LES ROSES'!G13))+(COUNTIF('HMZ - KAIS'!$A$7:$A$50,'L HAY LES ROSES'!G13))+(COUNTIF('IB TRANSPORT'!$A$7:$A$50,'L HAY LES ROSES'!G13))+(COUNTIF(JSL!$A$7:$A$50,'L HAY LES ROSES'!G13))+(COUNTIF(KIFAITOUT!$A$7:$A$50,'L HAY LES ROSES'!G13))+(COUNTIF('LUXE DRIVE'!$A$7:$A$50,'L HAY LES ROSES'!G13))+(COUNTIF(SSN!$A$7:$A$50,'L HAY LES ROSES'!G13))+(COUNTIF('W3'!$A$7:$A$50,'L HAY LES ROSES'!G13))+(COUNTIF('ATHIS MONS'!$A$7:$A$50,'L HAY LES ROSES'!G13))+(COUNTIF('L HAY LES ROSES'!$A$7:$A$50,'L HAY LES ROSES'!G13))+(COUNTIF(RUNGIS!$A$7:$A$50,'L HAY LES ROSES'!G13))+(COUNTIF(SCEAUX!$A$7:$A$50,'L HAY LES ROSES'!G13))+(COUNTIF('INSTANCE C1'!$A$7:$A$50,'L HAY LES ROSES'!G13))+(COUNTIF('INSTANCE C2'!$A$7:$A$50,'L HAY LES ROSES'!G13))+(COUNTIF(INTERNES!$A$7:$A$50,'L HAY LES ROSES'!G13))+(COUNTIF('EN PANNE'!$A$7:$A$50,'L HAY LES ROSES'!G13))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S13" s="60">
        <f t="shared" si="1"/>
        <v>0</v>
      </c>
      <c r="T13" s="67">
        <f t="shared" si="2"/>
        <v>0</v>
      </c>
    </row>
    <row r="14" spans="1:26" ht="24.95" customHeight="1" x14ac:dyDescent="0.2">
      <c r="A14" s="20"/>
      <c r="B14" s="23">
        <f>(COUNTIF('2S EXPRESS'!$A$7:$A$50,'L HAY LES ROSES'!A14))+(COUNTIF('2 ZT'!$A$7:$A$50,'L HAY LES ROSES'!A14))+(COUNTIF('GO TRANSPORT'!$A$7:$A$50,'L HAY LES ROSES'!A14))+(COUNTIF('HMZ - KAIS'!$A$7:$A$50,'L HAY LES ROSES'!A14))+(COUNTIF('IB TRANSPORT'!$A$7:$A$50,'L HAY LES ROSES'!A14))+(COUNTIF(JSL!$A$7:$A$50,'L HAY LES ROSES'!A14))+(COUNTIF(KIFAITOUT!$A$7:$A$50,'L HAY LES ROSES'!A14))+(COUNTIF('LUXE DRIVE'!$A$7:$A$50,'L HAY LES ROSES'!A14))+(COUNTIF(SSN!$A$7:$A$50,'L HAY LES ROSES'!A14))+(COUNTIF('W3'!$A$7:$A$50,'L HAY LES ROSES'!A14))+(COUNTIF('ATHIS MONS'!$A$7:$A$50,'L HAY LES ROSES'!A14))+(COUNTIF('L HAY LES ROSES'!$A$7:$A$50,'L HAY LES ROSES'!A14))+(COUNTIF(RUNGIS!$A$7:$A$50,'L HAY LES ROSES'!A14))+(COUNTIF(SCEAUX!$A$7:$A$50,'L HAY LES ROSES'!A14))+(COUNTIF('INSTANCE C1'!$A$7:$A$50,'L HAY LES ROSES'!A14))+(COUNTIF('INSTANCE C2'!$A$7:$A$50,'L HAY LES ROSES'!A14))+(COUNTIF(INTERNES!$A$7:$A$50,'L HAY LES ROSES'!A14))+(COUNTIF('EN PANNE'!$A$7:$A$50,'L HAY LES ROSES'!A14))-C14</f>
        <v>0</v>
      </c>
      <c r="C14" s="23">
        <f>(COUNTIF('2S EXPRESS'!$G$7:$G$50,'L HAY LES ROSES'!A14))+(COUNTIF('2 ZT'!$G$7:$G$50,'L HAY LES ROSES'!A14))+(COUNTIF('GO TRANSPORT'!$G$7:$G$50,'L HAY LES ROSES'!A14))+(COUNTIF('L HAY LES ROSES'!$G$7:$G$50,'L HAY LES ROSES'!A14))+(COUNTIF('IB TRANSPORT'!$G$7:$G$50,'L HAY LES ROSES'!A14))+(COUNTIF(JSL!$G$7:$G$50,'L HAY LES ROSES'!A14))+(COUNTIF(KIFAITOUT!$G$7:$G$50,'L HAY LES ROSES'!A14))+(COUNTIF('LUXE DRIVE'!$G$7:$G$50,'L HAY LES ROSES'!A14))+(COUNTIF(SSN!$G$7:$G$50,'L HAY LES ROSES'!A14))+(COUNTIF('W3'!$G$7:$G$50,'L HAY LES ROSES'!A14))+(COUNTIF('ATHIS MONS'!$G$7:$G$50,'L HAY LES ROSES'!A14))+(COUNTIF('L HAY LES ROSES'!$G$7:$G$50,'L HAY LES ROSES'!A14))+(COUNTIF(RUNGIS!$G$7:$G$50,'L HAY LES ROSES'!A14))+(COUNTIF(SCEAUX!$G$7:$G$50,'L HAY LES ROSES'!A14))+(COUNTIF('INSTANCE C1'!$G$7:$G$50,'L HAY LES ROSES'!A14))+(COUNTIF('INSTANCE C2'!$G$7:$G$50,'L HAY LES ROSES'!A14))+(COUNTIF(INTERNES!$G$7:$G$50,'L HAY LES ROSES'!A14))+(COUNTIF('EN PANNE'!$G$7:$G$50,'L HAY LES ROSES'!A14))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EXPRESS'!$G$7:$G$50,'L HAY LES ROSES'!G14))+(COUNTIF('2 ZT'!$G$7:$G$50,'L HAY LES ROSES'!G14))+(COUNTIF('GO TRANSPORT'!$G$7:$G$50,'L HAY LES ROSES'!G14))+(COUNTIF('HMZ - KAIS'!$G$7:$G$50,'L HAY LES ROSES'!G14))+(COUNTIF('IB TRANSPORT'!$G$7:$G$50,'L HAY LES ROSES'!G14))+(COUNTIF(JSL!$G$7:$G$50,'L HAY LES ROSES'!G14))+(COUNTIF(KIFAITOUT!$G$7:$G$50,'L HAY LES ROSES'!G14))+(COUNTIF('LUXE DRIVE'!$G$7:$G$50,'L HAY LES ROSES'!G14))+(COUNTIF(SSN!$G$7:$G$50,'L HAY LES ROSES'!G14))+(COUNTIF('W3'!$G$7:$G$50,'L HAY LES ROSES'!G14))+(COUNTIF('ATHIS MONS'!$G$7:$G$50,'L HAY LES ROSES'!G14))+(COUNTIF('L HAY LES ROSES'!$G$7:$G$50,'L HAY LES ROSES'!G14))+(COUNTIF(RUNGIS!$G$7:$G$50,'L HAY LES ROSES'!G14))+(COUNTIF(SCEAUX!$G$7:$G$50,'L HAY LES ROSES'!G14))+(COUNTIF('INSTANCE C1'!$G$7:$G$50,'L HAY LES ROSES'!G14))+(COUNTIF('INSTANCE C2'!$G$7:$G$50,'L HAY LES ROSES'!G14))+(COUNTIF(INTERNES!$G$7:$G$50,'L HAY LES ROSES'!G14))+(COUNTIF('EN PANNE'!$G$7:$G$50,'L HAY LES ROSES'!G14))-I14</f>
        <v>0</v>
      </c>
      <c r="I14" s="23">
        <f>(COUNTIF('2S EXPRESS'!$A$7:$A$50,'L HAY LES ROSES'!G14))+(COUNTIF('2 ZT'!$A$7:$A$50,'L HAY LES ROSES'!G14))+(COUNTIF('GO TRANSPORT'!$A$7:$A$50,'L HAY LES ROSES'!G14))+(COUNTIF('HMZ - KAIS'!$A$7:$A$50,'L HAY LES ROSES'!G14))+(COUNTIF('IB TRANSPORT'!$A$7:$A$50,'L HAY LES ROSES'!G14))+(COUNTIF(JSL!$A$7:$A$50,'L HAY LES ROSES'!G14))+(COUNTIF(KIFAITOUT!$A$7:$A$50,'L HAY LES ROSES'!G14))+(COUNTIF('LUXE DRIVE'!$A$7:$A$50,'L HAY LES ROSES'!G14))+(COUNTIF(SSN!$A$7:$A$50,'L HAY LES ROSES'!G14))+(COUNTIF('W3'!$A$7:$A$50,'L HAY LES ROSES'!G14))+(COUNTIF('ATHIS MONS'!$A$7:$A$50,'L HAY LES ROSES'!G14))+(COUNTIF('L HAY LES ROSES'!$A$7:$A$50,'L HAY LES ROSES'!G14))+(COUNTIF(RUNGIS!$A$7:$A$50,'L HAY LES ROSES'!G14))+(COUNTIF(SCEAUX!$A$7:$A$50,'L HAY LES ROSES'!G14))+(COUNTIF('INSTANCE C1'!$A$7:$A$50,'L HAY LES ROSES'!G14))+(COUNTIF('INSTANCE C2'!$A$7:$A$50,'L HAY LES ROSES'!G14))+(COUNTIF(INTERNES!$A$7:$A$50,'L HAY LES ROSES'!G14))+(COUNTIF('EN PANNE'!$A$7:$A$50,'L HAY LES ROSES'!G14))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S14" s="60">
        <f t="shared" si="1"/>
        <v>0</v>
      </c>
      <c r="T14" s="67">
        <f t="shared" si="2"/>
        <v>0</v>
      </c>
    </row>
    <row r="15" spans="1:26" ht="24.95" customHeight="1" x14ac:dyDescent="0.2">
      <c r="A15" s="20"/>
      <c r="B15" s="23">
        <f>(COUNTIF('2S EXPRESS'!$A$7:$A$50,'L HAY LES ROSES'!A15))+(COUNTIF('2 ZT'!$A$7:$A$50,'L HAY LES ROSES'!A15))+(COUNTIF('GO TRANSPORT'!$A$7:$A$50,'L HAY LES ROSES'!A15))+(COUNTIF('HMZ - KAIS'!$A$7:$A$50,'L HAY LES ROSES'!A15))+(COUNTIF('IB TRANSPORT'!$A$7:$A$50,'L HAY LES ROSES'!A15))+(COUNTIF(JSL!$A$7:$A$50,'L HAY LES ROSES'!A15))+(COUNTIF(KIFAITOUT!$A$7:$A$50,'L HAY LES ROSES'!A15))+(COUNTIF('LUXE DRIVE'!$A$7:$A$50,'L HAY LES ROSES'!A15))+(COUNTIF(SSN!$A$7:$A$50,'L HAY LES ROSES'!A15))+(COUNTIF('W3'!$A$7:$A$50,'L HAY LES ROSES'!A15))+(COUNTIF('ATHIS MONS'!$A$7:$A$50,'L HAY LES ROSES'!A15))+(COUNTIF('L HAY LES ROSES'!$A$7:$A$50,'L HAY LES ROSES'!A15))+(COUNTIF(RUNGIS!$A$7:$A$50,'L HAY LES ROSES'!A15))+(COUNTIF(SCEAUX!$A$7:$A$50,'L HAY LES ROSES'!A15))+(COUNTIF('INSTANCE C1'!$A$7:$A$50,'L HAY LES ROSES'!A15))+(COUNTIF('INSTANCE C2'!$A$7:$A$50,'L HAY LES ROSES'!A15))+(COUNTIF(INTERNES!$A$7:$A$50,'L HAY LES ROSES'!A15))+(COUNTIF('EN PANNE'!$A$7:$A$50,'L HAY LES ROSES'!A15))-C15</f>
        <v>0</v>
      </c>
      <c r="C15" s="23">
        <f>(COUNTIF('2S EXPRESS'!$G$7:$G$50,'L HAY LES ROSES'!A15))+(COUNTIF('2 ZT'!$G$7:$G$50,'L HAY LES ROSES'!A15))+(COUNTIF('GO TRANSPORT'!$G$7:$G$50,'L HAY LES ROSES'!A15))+(COUNTIF('L HAY LES ROSES'!$G$7:$G$50,'L HAY LES ROSES'!A15))+(COUNTIF('IB TRANSPORT'!$G$7:$G$50,'L HAY LES ROSES'!A15))+(COUNTIF(JSL!$G$7:$G$50,'L HAY LES ROSES'!A15))+(COUNTIF(KIFAITOUT!$G$7:$G$50,'L HAY LES ROSES'!A15))+(COUNTIF('LUXE DRIVE'!$G$7:$G$50,'L HAY LES ROSES'!A15))+(COUNTIF(SSN!$G$7:$G$50,'L HAY LES ROSES'!A15))+(COUNTIF('W3'!$G$7:$G$50,'L HAY LES ROSES'!A15))+(COUNTIF('ATHIS MONS'!$G$7:$G$50,'L HAY LES ROSES'!A15))+(COUNTIF('L HAY LES ROSES'!$G$7:$G$50,'L HAY LES ROSES'!A15))+(COUNTIF(RUNGIS!$G$7:$G$50,'L HAY LES ROSES'!A15))+(COUNTIF(SCEAUX!$G$7:$G$50,'L HAY LES ROSES'!A15))+(COUNTIF('INSTANCE C1'!$G$7:$G$50,'L HAY LES ROSES'!A15))+(COUNTIF('INSTANCE C2'!$G$7:$G$50,'L HAY LES ROSES'!A15))+(COUNTIF(INTERNES!$G$7:$G$50,'L HAY LES ROSES'!A15))+(COUNTIF('EN PANNE'!$G$7:$G$50,'L HAY LES ROSES'!A15))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EXPRESS'!$G$7:$G$50,'L HAY LES ROSES'!G15))+(COUNTIF('2 ZT'!$G$7:$G$50,'L HAY LES ROSES'!G15))+(COUNTIF('GO TRANSPORT'!$G$7:$G$50,'L HAY LES ROSES'!G15))+(COUNTIF('HMZ - KAIS'!$G$7:$G$50,'L HAY LES ROSES'!G15))+(COUNTIF('IB TRANSPORT'!$G$7:$G$50,'L HAY LES ROSES'!G15))+(COUNTIF(JSL!$G$7:$G$50,'L HAY LES ROSES'!G15))+(COUNTIF(KIFAITOUT!$G$7:$G$50,'L HAY LES ROSES'!G15))+(COUNTIF('LUXE DRIVE'!$G$7:$G$50,'L HAY LES ROSES'!G15))+(COUNTIF(SSN!$G$7:$G$50,'L HAY LES ROSES'!G15))+(COUNTIF('W3'!$G$7:$G$50,'L HAY LES ROSES'!G15))+(COUNTIF('ATHIS MONS'!$G$7:$G$50,'L HAY LES ROSES'!G15))+(COUNTIF('L HAY LES ROSES'!$G$7:$G$50,'L HAY LES ROSES'!G15))+(COUNTIF(RUNGIS!$G$7:$G$50,'L HAY LES ROSES'!G15))+(COUNTIF(SCEAUX!$G$7:$G$50,'L HAY LES ROSES'!G15))+(COUNTIF('INSTANCE C1'!$G$7:$G$50,'L HAY LES ROSES'!G15))+(COUNTIF('INSTANCE C2'!$G$7:$G$50,'L HAY LES ROSES'!G15))+(COUNTIF(INTERNES!$G$7:$G$50,'L HAY LES ROSES'!G15))+(COUNTIF('EN PANNE'!$G$7:$G$50,'L HAY LES ROSES'!G15))-I15</f>
        <v>0</v>
      </c>
      <c r="I15" s="23">
        <f>(COUNTIF('2S EXPRESS'!$A$7:$A$50,'L HAY LES ROSES'!G15))+(COUNTIF('2 ZT'!$A$7:$A$50,'L HAY LES ROSES'!G15))+(COUNTIF('GO TRANSPORT'!$A$7:$A$50,'L HAY LES ROSES'!G15))+(COUNTIF('HMZ - KAIS'!$A$7:$A$50,'L HAY LES ROSES'!G15))+(COUNTIF('IB TRANSPORT'!$A$7:$A$50,'L HAY LES ROSES'!G15))+(COUNTIF(JSL!$A$7:$A$50,'L HAY LES ROSES'!G15))+(COUNTIF(KIFAITOUT!$A$7:$A$50,'L HAY LES ROSES'!G15))+(COUNTIF('LUXE DRIVE'!$A$7:$A$50,'L HAY LES ROSES'!G15))+(COUNTIF(SSN!$A$7:$A$50,'L HAY LES ROSES'!G15))+(COUNTIF('W3'!$A$7:$A$50,'L HAY LES ROSES'!G15))+(COUNTIF('ATHIS MONS'!$A$7:$A$50,'L HAY LES ROSES'!G15))+(COUNTIF('L HAY LES ROSES'!$A$7:$A$50,'L HAY LES ROSES'!G15))+(COUNTIF(RUNGIS!$A$7:$A$50,'L HAY LES ROSES'!G15))+(COUNTIF(SCEAUX!$A$7:$A$50,'L HAY LES ROSES'!G15))+(COUNTIF('INSTANCE C1'!$A$7:$A$50,'L HAY LES ROSES'!G15))+(COUNTIF('INSTANCE C2'!$A$7:$A$50,'L HAY LES ROSES'!G15))+(COUNTIF(INTERNES!$A$7:$A$50,'L HAY LES ROSES'!G15))+(COUNTIF('EN PANNE'!$A$7:$A$50,'L HAY LES ROSES'!G15))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S15" s="60">
        <f t="shared" si="1"/>
        <v>0</v>
      </c>
      <c r="T15" s="67">
        <f t="shared" si="2"/>
        <v>0</v>
      </c>
    </row>
    <row r="16" spans="1:26" ht="24.95" customHeight="1" x14ac:dyDescent="0.2">
      <c r="A16" s="20"/>
      <c r="B16" s="23">
        <f>(COUNTIF('2S EXPRESS'!$A$7:$A$50,'L HAY LES ROSES'!A16))+(COUNTIF('2 ZT'!$A$7:$A$50,'L HAY LES ROSES'!A16))+(COUNTIF('GO TRANSPORT'!$A$7:$A$50,'L HAY LES ROSES'!A16))+(COUNTIF('HMZ - KAIS'!$A$7:$A$50,'L HAY LES ROSES'!A16))+(COUNTIF('IB TRANSPORT'!$A$7:$A$50,'L HAY LES ROSES'!A16))+(COUNTIF(JSL!$A$7:$A$50,'L HAY LES ROSES'!A16))+(COUNTIF(KIFAITOUT!$A$7:$A$50,'L HAY LES ROSES'!A16))+(COUNTIF('LUXE DRIVE'!$A$7:$A$50,'L HAY LES ROSES'!A16))+(COUNTIF(SSN!$A$7:$A$50,'L HAY LES ROSES'!A16))+(COUNTIF('W3'!$A$7:$A$50,'L HAY LES ROSES'!A16))+(COUNTIF('ATHIS MONS'!$A$7:$A$50,'L HAY LES ROSES'!A16))+(COUNTIF('L HAY LES ROSES'!$A$7:$A$50,'L HAY LES ROSES'!A16))+(COUNTIF(RUNGIS!$A$7:$A$50,'L HAY LES ROSES'!A16))+(COUNTIF(SCEAUX!$A$7:$A$50,'L HAY LES ROSES'!A16))+(COUNTIF('INSTANCE C1'!$A$7:$A$50,'L HAY LES ROSES'!A16))+(COUNTIF('INSTANCE C2'!$A$7:$A$50,'L HAY LES ROSES'!A16))+(COUNTIF(INTERNES!$A$7:$A$50,'L HAY LES ROSES'!A16))+(COUNTIF('EN PANNE'!$A$7:$A$50,'L HAY LES ROSES'!A16))-C16</f>
        <v>0</v>
      </c>
      <c r="C16" s="23">
        <f>(COUNTIF('2S EXPRESS'!$G$7:$G$50,'L HAY LES ROSES'!A16))+(COUNTIF('2 ZT'!$G$7:$G$50,'L HAY LES ROSES'!A16))+(COUNTIF('GO TRANSPORT'!$G$7:$G$50,'L HAY LES ROSES'!A16))+(COUNTIF('L HAY LES ROSES'!$G$7:$G$50,'L HAY LES ROSES'!A16))+(COUNTIF('IB TRANSPORT'!$G$7:$G$50,'L HAY LES ROSES'!A16))+(COUNTIF(JSL!$G$7:$G$50,'L HAY LES ROSES'!A16))+(COUNTIF(KIFAITOUT!$G$7:$G$50,'L HAY LES ROSES'!A16))+(COUNTIF('LUXE DRIVE'!$G$7:$G$50,'L HAY LES ROSES'!A16))+(COUNTIF(SSN!$G$7:$G$50,'L HAY LES ROSES'!A16))+(COUNTIF('W3'!$G$7:$G$50,'L HAY LES ROSES'!A16))+(COUNTIF('ATHIS MONS'!$G$7:$G$50,'L HAY LES ROSES'!A16))+(COUNTIF('L HAY LES ROSES'!$G$7:$G$50,'L HAY LES ROSES'!A16))+(COUNTIF(RUNGIS!$G$7:$G$50,'L HAY LES ROSES'!A16))+(COUNTIF(SCEAUX!$G$7:$G$50,'L HAY LES ROSES'!A16))+(COUNTIF('INSTANCE C1'!$G$7:$G$50,'L HAY LES ROSES'!A16))+(COUNTIF('INSTANCE C2'!$G$7:$G$50,'L HAY LES ROSES'!A16))+(COUNTIF(INTERNES!$G$7:$G$50,'L HAY LES ROSES'!A16))+(COUNTIF('EN PANNE'!$G$7:$G$50,'L HAY LES ROSES'!A16))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EXPRESS'!$G$7:$G$50,'L HAY LES ROSES'!G16))+(COUNTIF('2 ZT'!$G$7:$G$50,'L HAY LES ROSES'!G16))+(COUNTIF('GO TRANSPORT'!$G$7:$G$50,'L HAY LES ROSES'!G16))+(COUNTIF('HMZ - KAIS'!$G$7:$G$50,'L HAY LES ROSES'!G16))+(COUNTIF('IB TRANSPORT'!$G$7:$G$50,'L HAY LES ROSES'!G16))+(COUNTIF(JSL!$G$7:$G$50,'L HAY LES ROSES'!G16))+(COUNTIF(KIFAITOUT!$G$7:$G$50,'L HAY LES ROSES'!G16))+(COUNTIF('LUXE DRIVE'!$G$7:$G$50,'L HAY LES ROSES'!G16))+(COUNTIF(SSN!$G$7:$G$50,'L HAY LES ROSES'!G16))+(COUNTIF('W3'!$G$7:$G$50,'L HAY LES ROSES'!G16))+(COUNTIF('ATHIS MONS'!$G$7:$G$50,'L HAY LES ROSES'!G16))+(COUNTIF('L HAY LES ROSES'!$G$7:$G$50,'L HAY LES ROSES'!G16))+(COUNTIF(RUNGIS!$G$7:$G$50,'L HAY LES ROSES'!G16))+(COUNTIF(SCEAUX!$G$7:$G$50,'L HAY LES ROSES'!G16))+(COUNTIF('INSTANCE C1'!$G$7:$G$50,'L HAY LES ROSES'!G16))+(COUNTIF('INSTANCE C2'!$G$7:$G$50,'L HAY LES ROSES'!G16))+(COUNTIF(INTERNES!$G$7:$G$50,'L HAY LES ROSES'!G16))+(COUNTIF('EN PANNE'!$G$7:$G$50,'L HAY LES ROSES'!G16))-I16</f>
        <v>0</v>
      </c>
      <c r="I16" s="23">
        <f>(COUNTIF('2S EXPRESS'!$A$7:$A$50,'L HAY LES ROSES'!G16))+(COUNTIF('2 ZT'!$A$7:$A$50,'L HAY LES ROSES'!G16))+(COUNTIF('GO TRANSPORT'!$A$7:$A$50,'L HAY LES ROSES'!G16))+(COUNTIF('HMZ - KAIS'!$A$7:$A$50,'L HAY LES ROSES'!G16))+(COUNTIF('IB TRANSPORT'!$A$7:$A$50,'L HAY LES ROSES'!G16))+(COUNTIF(JSL!$A$7:$A$50,'L HAY LES ROSES'!G16))+(COUNTIF(KIFAITOUT!$A$7:$A$50,'L HAY LES ROSES'!G16))+(COUNTIF('LUXE DRIVE'!$A$7:$A$50,'L HAY LES ROSES'!G16))+(COUNTIF(SSN!$A$7:$A$50,'L HAY LES ROSES'!G16))+(COUNTIF('W3'!$A$7:$A$50,'L HAY LES ROSES'!G16))+(COUNTIF('ATHIS MONS'!$A$7:$A$50,'L HAY LES ROSES'!G16))+(COUNTIF('L HAY LES ROSES'!$A$7:$A$50,'L HAY LES ROSES'!G16))+(COUNTIF(RUNGIS!$A$7:$A$50,'L HAY LES ROSES'!G16))+(COUNTIF(SCEAUX!$A$7:$A$50,'L HAY LES ROSES'!G16))+(COUNTIF('INSTANCE C1'!$A$7:$A$50,'L HAY LES ROSES'!G16))+(COUNTIF('INSTANCE C2'!$A$7:$A$50,'L HAY LES ROSES'!G16))+(COUNTIF(INTERNES!$A$7:$A$50,'L HAY LES ROSES'!G16))+(COUNTIF('EN PANNE'!$A$7:$A$50,'L HAY LES ROSES'!G16))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S16" s="60">
        <f t="shared" si="1"/>
        <v>0</v>
      </c>
      <c r="T16" s="67">
        <f t="shared" si="2"/>
        <v>0</v>
      </c>
    </row>
    <row r="17" spans="1:20" ht="24.95" customHeight="1" x14ac:dyDescent="0.2">
      <c r="A17" s="20"/>
      <c r="B17" s="23">
        <f>(COUNTIF('2S EXPRESS'!$A$7:$A$50,'L HAY LES ROSES'!A17))+(COUNTIF('2 ZT'!$A$7:$A$50,'L HAY LES ROSES'!A17))+(COUNTIF('GO TRANSPORT'!$A$7:$A$50,'L HAY LES ROSES'!A17))+(COUNTIF('HMZ - KAIS'!$A$7:$A$50,'L HAY LES ROSES'!A17))+(COUNTIF('IB TRANSPORT'!$A$7:$A$50,'L HAY LES ROSES'!A17))+(COUNTIF(JSL!$A$7:$A$50,'L HAY LES ROSES'!A17))+(COUNTIF(KIFAITOUT!$A$7:$A$50,'L HAY LES ROSES'!A17))+(COUNTIF('LUXE DRIVE'!$A$7:$A$50,'L HAY LES ROSES'!A17))+(COUNTIF(SSN!$A$7:$A$50,'L HAY LES ROSES'!A17))+(COUNTIF('W3'!$A$7:$A$50,'L HAY LES ROSES'!A17))+(COUNTIF('ATHIS MONS'!$A$7:$A$50,'L HAY LES ROSES'!A17))+(COUNTIF('L HAY LES ROSES'!$A$7:$A$50,'L HAY LES ROSES'!A17))+(COUNTIF(RUNGIS!$A$7:$A$50,'L HAY LES ROSES'!A17))+(COUNTIF(SCEAUX!$A$7:$A$50,'L HAY LES ROSES'!A17))+(COUNTIF('INSTANCE C1'!$A$7:$A$50,'L HAY LES ROSES'!A17))+(COUNTIF('INSTANCE C2'!$A$7:$A$50,'L HAY LES ROSES'!A17))+(COUNTIF(INTERNES!$A$7:$A$50,'L HAY LES ROSES'!A17))+(COUNTIF('EN PANNE'!$A$7:$A$50,'L HAY LES ROSES'!A17))-C17</f>
        <v>0</v>
      </c>
      <c r="C17" s="23">
        <f>(COUNTIF('2S EXPRESS'!$G$7:$G$50,'L HAY LES ROSES'!A17))+(COUNTIF('2 ZT'!$G$7:$G$50,'L HAY LES ROSES'!A17))+(COUNTIF('GO TRANSPORT'!$G$7:$G$50,'L HAY LES ROSES'!A17))+(COUNTIF('L HAY LES ROSES'!$G$7:$G$50,'L HAY LES ROSES'!A17))+(COUNTIF('IB TRANSPORT'!$G$7:$G$50,'L HAY LES ROSES'!A17))+(COUNTIF(JSL!$G$7:$G$50,'L HAY LES ROSES'!A17))+(COUNTIF(KIFAITOUT!$G$7:$G$50,'L HAY LES ROSES'!A17))+(COUNTIF('LUXE DRIVE'!$G$7:$G$50,'L HAY LES ROSES'!A17))+(COUNTIF(SSN!$G$7:$G$50,'L HAY LES ROSES'!A17))+(COUNTIF('W3'!$G$7:$G$50,'L HAY LES ROSES'!A17))+(COUNTIF('ATHIS MONS'!$G$7:$G$50,'L HAY LES ROSES'!A17))+(COUNTIF('L HAY LES ROSES'!$G$7:$G$50,'L HAY LES ROSES'!A17))+(COUNTIF(RUNGIS!$G$7:$G$50,'L HAY LES ROSES'!A17))+(COUNTIF(SCEAUX!$G$7:$G$50,'L HAY LES ROSES'!A17))+(COUNTIF('INSTANCE C1'!$G$7:$G$50,'L HAY LES ROSES'!A17))+(COUNTIF('INSTANCE C2'!$G$7:$G$50,'L HAY LES ROSES'!A17))+(COUNTIF(INTERNES!$G$7:$G$50,'L HAY LES ROSES'!A17))+(COUNTIF('EN PANNE'!$G$7:$G$50,'L HAY LES ROSES'!A17))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EXPRESS'!$G$7:$G$50,'L HAY LES ROSES'!G17))+(COUNTIF('2 ZT'!$G$7:$G$50,'L HAY LES ROSES'!G17))+(COUNTIF('GO TRANSPORT'!$G$7:$G$50,'L HAY LES ROSES'!G17))+(COUNTIF('HMZ - KAIS'!$G$7:$G$50,'L HAY LES ROSES'!G17))+(COUNTIF('IB TRANSPORT'!$G$7:$G$50,'L HAY LES ROSES'!G17))+(COUNTIF(JSL!$G$7:$G$50,'L HAY LES ROSES'!G17))+(COUNTIF(KIFAITOUT!$G$7:$G$50,'L HAY LES ROSES'!G17))+(COUNTIF('LUXE DRIVE'!$G$7:$G$50,'L HAY LES ROSES'!G17))+(COUNTIF(SSN!$G$7:$G$50,'L HAY LES ROSES'!G17))+(COUNTIF('W3'!$G$7:$G$50,'L HAY LES ROSES'!G17))+(COUNTIF('ATHIS MONS'!$G$7:$G$50,'L HAY LES ROSES'!G17))+(COUNTIF('L HAY LES ROSES'!$G$7:$G$50,'L HAY LES ROSES'!G17))+(COUNTIF(RUNGIS!$G$7:$G$50,'L HAY LES ROSES'!G17))+(COUNTIF(SCEAUX!$G$7:$G$50,'L HAY LES ROSES'!G17))+(COUNTIF('INSTANCE C1'!$G$7:$G$50,'L HAY LES ROSES'!G17))+(COUNTIF('INSTANCE C2'!$G$7:$G$50,'L HAY LES ROSES'!G17))+(COUNTIF(INTERNES!$G$7:$G$50,'L HAY LES ROSES'!G17))+(COUNTIF('EN PANNE'!$G$7:$G$50,'L HAY LES ROSES'!G17))-I17</f>
        <v>0</v>
      </c>
      <c r="I17" s="23">
        <f>(COUNTIF('2S EXPRESS'!$A$7:$A$50,'L HAY LES ROSES'!G17))+(COUNTIF('2 ZT'!$A$7:$A$50,'L HAY LES ROSES'!G17))+(COUNTIF('GO TRANSPORT'!$A$7:$A$50,'L HAY LES ROSES'!G17))+(COUNTIF('HMZ - KAIS'!$A$7:$A$50,'L HAY LES ROSES'!G17))+(COUNTIF('IB TRANSPORT'!$A$7:$A$50,'L HAY LES ROSES'!G17))+(COUNTIF(JSL!$A$7:$A$50,'L HAY LES ROSES'!G17))+(COUNTIF(KIFAITOUT!$A$7:$A$50,'L HAY LES ROSES'!G17))+(COUNTIF('LUXE DRIVE'!$A$7:$A$50,'L HAY LES ROSES'!G17))+(COUNTIF(SSN!$A$7:$A$50,'L HAY LES ROSES'!G17))+(COUNTIF('W3'!$A$7:$A$50,'L HAY LES ROSES'!G17))+(COUNTIF('ATHIS MONS'!$A$7:$A$50,'L HAY LES ROSES'!G17))+(COUNTIF('L HAY LES ROSES'!$A$7:$A$50,'L HAY LES ROSES'!G17))+(COUNTIF(RUNGIS!$A$7:$A$50,'L HAY LES ROSES'!G17))+(COUNTIF(SCEAUX!$A$7:$A$50,'L HAY LES ROSES'!G17))+(COUNTIF('INSTANCE C1'!$A$7:$A$50,'L HAY LES ROSES'!G17))+(COUNTIF('INSTANCE C2'!$A$7:$A$50,'L HAY LES ROSES'!G17))+(COUNTIF(INTERNES!$A$7:$A$50,'L HAY LES ROSES'!G17))+(COUNTIF('EN PANNE'!$A$7:$A$50,'L HAY LES ROSES'!G17))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S17" s="60">
        <f t="shared" si="1"/>
        <v>0</v>
      </c>
      <c r="T17" s="67">
        <f t="shared" si="2"/>
        <v>0</v>
      </c>
    </row>
    <row r="18" spans="1:20" ht="24.95" customHeight="1" x14ac:dyDescent="0.2">
      <c r="A18" s="20"/>
      <c r="B18" s="23">
        <f>(COUNTIF('2S EXPRESS'!$A$7:$A$50,'L HAY LES ROSES'!A18))+(COUNTIF('2 ZT'!$A$7:$A$50,'L HAY LES ROSES'!A18))+(COUNTIF('GO TRANSPORT'!$A$7:$A$50,'L HAY LES ROSES'!A18))+(COUNTIF('HMZ - KAIS'!$A$7:$A$50,'L HAY LES ROSES'!A18))+(COUNTIF('IB TRANSPORT'!$A$7:$A$50,'L HAY LES ROSES'!A18))+(COUNTIF(JSL!$A$7:$A$50,'L HAY LES ROSES'!A18))+(COUNTIF(KIFAITOUT!$A$7:$A$50,'L HAY LES ROSES'!A18))+(COUNTIF('LUXE DRIVE'!$A$7:$A$50,'L HAY LES ROSES'!A18))+(COUNTIF(SSN!$A$7:$A$50,'L HAY LES ROSES'!A18))+(COUNTIF('W3'!$A$7:$A$50,'L HAY LES ROSES'!A18))+(COUNTIF('ATHIS MONS'!$A$7:$A$50,'L HAY LES ROSES'!A18))+(COUNTIF('L HAY LES ROSES'!$A$7:$A$50,'L HAY LES ROSES'!A18))+(COUNTIF(RUNGIS!$A$7:$A$50,'L HAY LES ROSES'!A18))+(COUNTIF(SCEAUX!$A$7:$A$50,'L HAY LES ROSES'!A18))+(COUNTIF('INSTANCE C1'!$A$7:$A$50,'L HAY LES ROSES'!A18))+(COUNTIF('INSTANCE C2'!$A$7:$A$50,'L HAY LES ROSES'!A18))+(COUNTIF(INTERNES!$A$7:$A$50,'L HAY LES ROSES'!A18))+(COUNTIF('EN PANNE'!$A$7:$A$50,'L HAY LES ROSES'!A18))-C18</f>
        <v>0</v>
      </c>
      <c r="C18" s="23">
        <f>(COUNTIF('2S EXPRESS'!$G$7:$G$50,'L HAY LES ROSES'!A18))+(COUNTIF('2 ZT'!$G$7:$G$50,'L HAY LES ROSES'!A18))+(COUNTIF('GO TRANSPORT'!$G$7:$G$50,'L HAY LES ROSES'!A18))+(COUNTIF('L HAY LES ROSES'!$G$7:$G$50,'L HAY LES ROSES'!A18))+(COUNTIF('IB TRANSPORT'!$G$7:$G$50,'L HAY LES ROSES'!A18))+(COUNTIF(JSL!$G$7:$G$50,'L HAY LES ROSES'!A18))+(COUNTIF(KIFAITOUT!$G$7:$G$50,'L HAY LES ROSES'!A18))+(COUNTIF('LUXE DRIVE'!$G$7:$G$50,'L HAY LES ROSES'!A18))+(COUNTIF(SSN!$G$7:$G$50,'L HAY LES ROSES'!A18))+(COUNTIF('W3'!$G$7:$G$50,'L HAY LES ROSES'!A18))+(COUNTIF('ATHIS MONS'!$G$7:$G$50,'L HAY LES ROSES'!A18))+(COUNTIF('L HAY LES ROSES'!$G$7:$G$50,'L HAY LES ROSES'!A18))+(COUNTIF(RUNGIS!$G$7:$G$50,'L HAY LES ROSES'!A18))+(COUNTIF(SCEAUX!$G$7:$G$50,'L HAY LES ROSES'!A18))+(COUNTIF('INSTANCE C1'!$G$7:$G$50,'L HAY LES ROSES'!A18))+(COUNTIF('INSTANCE C2'!$G$7:$G$50,'L HAY LES ROSES'!A18))+(COUNTIF(INTERNES!$G$7:$G$50,'L HAY LES ROSES'!A18))+(COUNTIF('EN PANNE'!$G$7:$G$50,'L HAY LES ROSES'!A18))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EXPRESS'!$G$7:$G$50,'L HAY LES ROSES'!G18))+(COUNTIF('2 ZT'!$G$7:$G$50,'L HAY LES ROSES'!G18))+(COUNTIF('GO TRANSPORT'!$G$7:$G$50,'L HAY LES ROSES'!G18))+(COUNTIF('HMZ - KAIS'!$G$7:$G$50,'L HAY LES ROSES'!G18))+(COUNTIF('IB TRANSPORT'!$G$7:$G$50,'L HAY LES ROSES'!G18))+(COUNTIF(JSL!$G$7:$G$50,'L HAY LES ROSES'!G18))+(COUNTIF(KIFAITOUT!$G$7:$G$50,'L HAY LES ROSES'!G18))+(COUNTIF('LUXE DRIVE'!$G$7:$G$50,'L HAY LES ROSES'!G18))+(COUNTIF(SSN!$G$7:$G$50,'L HAY LES ROSES'!G18))+(COUNTIF('W3'!$G$7:$G$50,'L HAY LES ROSES'!G18))+(COUNTIF('ATHIS MONS'!$G$7:$G$50,'L HAY LES ROSES'!G18))+(COUNTIF('L HAY LES ROSES'!$G$7:$G$50,'L HAY LES ROSES'!G18))+(COUNTIF(RUNGIS!$G$7:$G$50,'L HAY LES ROSES'!G18))+(COUNTIF(SCEAUX!$G$7:$G$50,'L HAY LES ROSES'!G18))+(COUNTIF('INSTANCE C1'!$G$7:$G$50,'L HAY LES ROSES'!G18))+(COUNTIF('INSTANCE C2'!$G$7:$G$50,'L HAY LES ROSES'!G18))+(COUNTIF(INTERNES!$G$7:$G$50,'L HAY LES ROSES'!G18))+(COUNTIF('EN PANNE'!$G$7:$G$50,'L HAY LES ROSES'!G18))-I18</f>
        <v>0</v>
      </c>
      <c r="I18" s="23">
        <f>(COUNTIF('2S EXPRESS'!$A$7:$A$50,'L HAY LES ROSES'!G18))+(COUNTIF('2 ZT'!$A$7:$A$50,'L HAY LES ROSES'!G18))+(COUNTIF('GO TRANSPORT'!$A$7:$A$50,'L HAY LES ROSES'!G18))+(COUNTIF('HMZ - KAIS'!$A$7:$A$50,'L HAY LES ROSES'!G18))+(COUNTIF('IB TRANSPORT'!$A$7:$A$50,'L HAY LES ROSES'!G18))+(COUNTIF(JSL!$A$7:$A$50,'L HAY LES ROSES'!G18))+(COUNTIF(KIFAITOUT!$A$7:$A$50,'L HAY LES ROSES'!G18))+(COUNTIF('LUXE DRIVE'!$A$7:$A$50,'L HAY LES ROSES'!G18))+(COUNTIF(SSN!$A$7:$A$50,'L HAY LES ROSES'!G18))+(COUNTIF('W3'!$A$7:$A$50,'L HAY LES ROSES'!G18))+(COUNTIF('ATHIS MONS'!$A$7:$A$50,'L HAY LES ROSES'!G18))+(COUNTIF('L HAY LES ROSES'!$A$7:$A$50,'L HAY LES ROSES'!G18))+(COUNTIF(RUNGIS!$A$7:$A$50,'L HAY LES ROSES'!G18))+(COUNTIF(SCEAUX!$A$7:$A$50,'L HAY LES ROSES'!G18))+(COUNTIF('INSTANCE C1'!$A$7:$A$50,'L HAY LES ROSES'!G18))+(COUNTIF('INSTANCE C2'!$A$7:$A$50,'L HAY LES ROSES'!G18))+(COUNTIF(INTERNES!$A$7:$A$50,'L HAY LES ROSES'!G18))+(COUNTIF('EN PANNE'!$A$7:$A$50,'L HAY LES ROSES'!G18))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S18" s="60">
        <f t="shared" si="1"/>
        <v>0</v>
      </c>
      <c r="T18" s="67">
        <f t="shared" si="2"/>
        <v>0</v>
      </c>
    </row>
    <row r="19" spans="1:20" ht="24.95" customHeight="1" x14ac:dyDescent="0.2">
      <c r="A19" s="20"/>
      <c r="B19" s="23">
        <f>(COUNTIF('2S EXPRESS'!$A$7:$A$50,'L HAY LES ROSES'!A19))+(COUNTIF('2 ZT'!$A$7:$A$50,'L HAY LES ROSES'!A19))+(COUNTIF('GO TRANSPORT'!$A$7:$A$50,'L HAY LES ROSES'!A19))+(COUNTIF('HMZ - KAIS'!$A$7:$A$50,'L HAY LES ROSES'!A19))+(COUNTIF('IB TRANSPORT'!$A$7:$A$50,'L HAY LES ROSES'!A19))+(COUNTIF(JSL!$A$7:$A$50,'L HAY LES ROSES'!A19))+(COUNTIF(KIFAITOUT!$A$7:$A$50,'L HAY LES ROSES'!A19))+(COUNTIF('LUXE DRIVE'!$A$7:$A$50,'L HAY LES ROSES'!A19))+(COUNTIF(SSN!$A$7:$A$50,'L HAY LES ROSES'!A19))+(COUNTIF('W3'!$A$7:$A$50,'L HAY LES ROSES'!A19))+(COUNTIF('ATHIS MONS'!$A$7:$A$50,'L HAY LES ROSES'!A19))+(COUNTIF('L HAY LES ROSES'!$A$7:$A$50,'L HAY LES ROSES'!A19))+(COUNTIF(RUNGIS!$A$7:$A$50,'L HAY LES ROSES'!A19))+(COUNTIF(SCEAUX!$A$7:$A$50,'L HAY LES ROSES'!A19))+(COUNTIF('INSTANCE C1'!$A$7:$A$50,'L HAY LES ROSES'!A19))+(COUNTIF('INSTANCE C2'!$A$7:$A$50,'L HAY LES ROSES'!A19))+(COUNTIF(INTERNES!$A$7:$A$50,'L HAY LES ROSES'!A19))+(COUNTIF('EN PANNE'!$A$7:$A$50,'L HAY LES ROSES'!A19))-C19</f>
        <v>0</v>
      </c>
      <c r="C19" s="23">
        <f>(COUNTIF('2S EXPRESS'!$G$7:$G$50,'L HAY LES ROSES'!A19))+(COUNTIF('2 ZT'!$G$7:$G$50,'L HAY LES ROSES'!A19))+(COUNTIF('GO TRANSPORT'!$G$7:$G$50,'L HAY LES ROSES'!A19))+(COUNTIF('L HAY LES ROSES'!$G$7:$G$50,'L HAY LES ROSES'!A19))+(COUNTIF('IB TRANSPORT'!$G$7:$G$50,'L HAY LES ROSES'!A19))+(COUNTIF(JSL!$G$7:$G$50,'L HAY LES ROSES'!A19))+(COUNTIF(KIFAITOUT!$G$7:$G$50,'L HAY LES ROSES'!A19))+(COUNTIF('LUXE DRIVE'!$G$7:$G$50,'L HAY LES ROSES'!A19))+(COUNTIF(SSN!$G$7:$G$50,'L HAY LES ROSES'!A19))+(COUNTIF('W3'!$G$7:$G$50,'L HAY LES ROSES'!A19))+(COUNTIF('ATHIS MONS'!$G$7:$G$50,'L HAY LES ROSES'!A19))+(COUNTIF('L HAY LES ROSES'!$G$7:$G$50,'L HAY LES ROSES'!A19))+(COUNTIF(RUNGIS!$G$7:$G$50,'L HAY LES ROSES'!A19))+(COUNTIF(SCEAUX!$G$7:$G$50,'L HAY LES ROSES'!A19))+(COUNTIF('INSTANCE C1'!$G$7:$G$50,'L HAY LES ROSES'!A19))+(COUNTIF('INSTANCE C2'!$G$7:$G$50,'L HAY LES ROSES'!A19))+(COUNTIF(INTERNES!$G$7:$G$50,'L HAY LES ROSES'!A19))+(COUNTIF('EN PANNE'!$G$7:$G$50,'L HAY LES ROSES'!A19))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EXPRESS'!$G$7:$G$50,'L HAY LES ROSES'!G19))+(COUNTIF('2 ZT'!$G$7:$G$50,'L HAY LES ROSES'!G19))+(COUNTIF('GO TRANSPORT'!$G$7:$G$50,'L HAY LES ROSES'!G19))+(COUNTIF('HMZ - KAIS'!$G$7:$G$50,'L HAY LES ROSES'!G19))+(COUNTIF('IB TRANSPORT'!$G$7:$G$50,'L HAY LES ROSES'!G19))+(COUNTIF(JSL!$G$7:$G$50,'L HAY LES ROSES'!G19))+(COUNTIF(KIFAITOUT!$G$7:$G$50,'L HAY LES ROSES'!G19))+(COUNTIF('LUXE DRIVE'!$G$7:$G$50,'L HAY LES ROSES'!G19))+(COUNTIF(SSN!$G$7:$G$50,'L HAY LES ROSES'!G19))+(COUNTIF('W3'!$G$7:$G$50,'L HAY LES ROSES'!G19))+(COUNTIF('ATHIS MONS'!$G$7:$G$50,'L HAY LES ROSES'!G19))+(COUNTIF('L HAY LES ROSES'!$G$7:$G$50,'L HAY LES ROSES'!G19))+(COUNTIF(RUNGIS!$G$7:$G$50,'L HAY LES ROSES'!G19))+(COUNTIF(SCEAUX!$G$7:$G$50,'L HAY LES ROSES'!G19))+(COUNTIF('INSTANCE C1'!$G$7:$G$50,'L HAY LES ROSES'!G19))+(COUNTIF('INSTANCE C2'!$G$7:$G$50,'L HAY LES ROSES'!G19))+(COUNTIF(INTERNES!$G$7:$G$50,'L HAY LES ROSES'!G19))+(COUNTIF('EN PANNE'!$G$7:$G$50,'L HAY LES ROSES'!G19))-I19</f>
        <v>0</v>
      </c>
      <c r="I19" s="23">
        <f>(COUNTIF('2S EXPRESS'!$A$7:$A$50,'L HAY LES ROSES'!G19))+(COUNTIF('2 ZT'!$A$7:$A$50,'L HAY LES ROSES'!G19))+(COUNTIF('GO TRANSPORT'!$A$7:$A$50,'L HAY LES ROSES'!G19))+(COUNTIF('HMZ - KAIS'!$A$7:$A$50,'L HAY LES ROSES'!G19))+(COUNTIF('IB TRANSPORT'!$A$7:$A$50,'L HAY LES ROSES'!G19))+(COUNTIF(JSL!$A$7:$A$50,'L HAY LES ROSES'!G19))+(COUNTIF(KIFAITOUT!$A$7:$A$50,'L HAY LES ROSES'!G19))+(COUNTIF('LUXE DRIVE'!$A$7:$A$50,'L HAY LES ROSES'!G19))+(COUNTIF(SSN!$A$7:$A$50,'L HAY LES ROSES'!G19))+(COUNTIF('W3'!$A$7:$A$50,'L HAY LES ROSES'!G19))+(COUNTIF('ATHIS MONS'!$A$7:$A$50,'L HAY LES ROSES'!G19))+(COUNTIF('L HAY LES ROSES'!$A$7:$A$50,'L HAY LES ROSES'!G19))+(COUNTIF(RUNGIS!$A$7:$A$50,'L HAY LES ROSES'!G19))+(COUNTIF(SCEAUX!$A$7:$A$50,'L HAY LES ROSES'!G19))+(COUNTIF('INSTANCE C1'!$A$7:$A$50,'L HAY LES ROSES'!G19))+(COUNTIF('INSTANCE C2'!$A$7:$A$50,'L HAY LES ROSES'!G19))+(COUNTIF(INTERNES!$A$7:$A$50,'L HAY LES ROSES'!G19))+(COUNTIF('EN PANNE'!$A$7:$A$50,'L HAY LES ROSES'!G19))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S19" s="60">
        <f t="shared" si="1"/>
        <v>0</v>
      </c>
      <c r="T19" s="67">
        <f t="shared" si="2"/>
        <v>0</v>
      </c>
    </row>
    <row r="20" spans="1:20" ht="24.95" customHeight="1" x14ac:dyDescent="0.2">
      <c r="A20" s="20"/>
      <c r="B20" s="23">
        <f>(COUNTIF('2S EXPRESS'!$A$7:$A$50,'L HAY LES ROSES'!A20))+(COUNTIF('2 ZT'!$A$7:$A$50,'L HAY LES ROSES'!A20))+(COUNTIF('GO TRANSPORT'!$A$7:$A$50,'L HAY LES ROSES'!A20))+(COUNTIF('HMZ - KAIS'!$A$7:$A$50,'L HAY LES ROSES'!A20))+(COUNTIF('IB TRANSPORT'!$A$7:$A$50,'L HAY LES ROSES'!A20))+(COUNTIF(JSL!$A$7:$A$50,'L HAY LES ROSES'!A20))+(COUNTIF(KIFAITOUT!$A$7:$A$50,'L HAY LES ROSES'!A20))+(COUNTIF('LUXE DRIVE'!$A$7:$A$50,'L HAY LES ROSES'!A20))+(COUNTIF(SSN!$A$7:$A$50,'L HAY LES ROSES'!A20))+(COUNTIF('W3'!$A$7:$A$50,'L HAY LES ROSES'!A20))+(COUNTIF('ATHIS MONS'!$A$7:$A$50,'L HAY LES ROSES'!A20))+(COUNTIF('L HAY LES ROSES'!$A$7:$A$50,'L HAY LES ROSES'!A20))+(COUNTIF(RUNGIS!$A$7:$A$50,'L HAY LES ROSES'!A20))+(COUNTIF(SCEAUX!$A$7:$A$50,'L HAY LES ROSES'!A20))+(COUNTIF('INSTANCE C1'!$A$7:$A$50,'L HAY LES ROSES'!A20))+(COUNTIF('INSTANCE C2'!$A$7:$A$50,'L HAY LES ROSES'!A20))+(COUNTIF(INTERNES!$A$7:$A$50,'L HAY LES ROSES'!A20))+(COUNTIF('EN PANNE'!$A$7:$A$50,'L HAY LES ROSES'!A20))-C20</f>
        <v>0</v>
      </c>
      <c r="C20" s="23">
        <f>(COUNTIF('2S EXPRESS'!$G$7:$G$50,'L HAY LES ROSES'!A20))+(COUNTIF('2 ZT'!$G$7:$G$50,'L HAY LES ROSES'!A20))+(COUNTIF('GO TRANSPORT'!$G$7:$G$50,'L HAY LES ROSES'!A20))+(COUNTIF('L HAY LES ROSES'!$G$7:$G$50,'L HAY LES ROSES'!A20))+(COUNTIF('IB TRANSPORT'!$G$7:$G$50,'L HAY LES ROSES'!A20))+(COUNTIF(JSL!$G$7:$G$50,'L HAY LES ROSES'!A20))+(COUNTIF(KIFAITOUT!$G$7:$G$50,'L HAY LES ROSES'!A20))+(COUNTIF('LUXE DRIVE'!$G$7:$G$50,'L HAY LES ROSES'!A20))+(COUNTIF(SSN!$G$7:$G$50,'L HAY LES ROSES'!A20))+(COUNTIF('W3'!$G$7:$G$50,'L HAY LES ROSES'!A20))+(COUNTIF('ATHIS MONS'!$G$7:$G$50,'L HAY LES ROSES'!A20))+(COUNTIF('L HAY LES ROSES'!$G$7:$G$50,'L HAY LES ROSES'!A20))+(COUNTIF(RUNGIS!$G$7:$G$50,'L HAY LES ROSES'!A20))+(COUNTIF(SCEAUX!$G$7:$G$50,'L HAY LES ROSES'!A20))+(COUNTIF('INSTANCE C1'!$G$7:$G$50,'L HAY LES ROSES'!A20))+(COUNTIF('INSTANCE C2'!$G$7:$G$50,'L HAY LES ROSES'!A20))+(COUNTIF(INTERNES!$G$7:$G$50,'L HAY LES ROSES'!A20))+(COUNTIF('EN PANNE'!$G$7:$G$50,'L HAY LES ROSES'!A20))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EXPRESS'!$G$7:$G$50,'L HAY LES ROSES'!G20))+(COUNTIF('2 ZT'!$G$7:$G$50,'L HAY LES ROSES'!G20))+(COUNTIF('GO TRANSPORT'!$G$7:$G$50,'L HAY LES ROSES'!G20))+(COUNTIF('HMZ - KAIS'!$G$7:$G$50,'L HAY LES ROSES'!G20))+(COUNTIF('IB TRANSPORT'!$G$7:$G$50,'L HAY LES ROSES'!G20))+(COUNTIF(JSL!$G$7:$G$50,'L HAY LES ROSES'!G20))+(COUNTIF(KIFAITOUT!$G$7:$G$50,'L HAY LES ROSES'!G20))+(COUNTIF('LUXE DRIVE'!$G$7:$G$50,'L HAY LES ROSES'!G20))+(COUNTIF(SSN!$G$7:$G$50,'L HAY LES ROSES'!G20))+(COUNTIF('W3'!$G$7:$G$50,'L HAY LES ROSES'!G20))+(COUNTIF('ATHIS MONS'!$G$7:$G$50,'L HAY LES ROSES'!G20))+(COUNTIF('L HAY LES ROSES'!$G$7:$G$50,'L HAY LES ROSES'!G20))+(COUNTIF(RUNGIS!$G$7:$G$50,'L HAY LES ROSES'!G20))+(COUNTIF(SCEAUX!$G$7:$G$50,'L HAY LES ROSES'!G20))+(COUNTIF('INSTANCE C1'!$G$7:$G$50,'L HAY LES ROSES'!G20))+(COUNTIF('INSTANCE C2'!$G$7:$G$50,'L HAY LES ROSES'!G20))+(COUNTIF(INTERNES!$G$7:$G$50,'L HAY LES ROSES'!G20))+(COUNTIF('EN PANNE'!$G$7:$G$50,'L HAY LES ROSES'!G20))-I20</f>
        <v>0</v>
      </c>
      <c r="I20" s="23">
        <f>(COUNTIF('2S EXPRESS'!$A$7:$A$50,'L HAY LES ROSES'!G20))+(COUNTIF('2 ZT'!$A$7:$A$50,'L HAY LES ROSES'!G20))+(COUNTIF('GO TRANSPORT'!$A$7:$A$50,'L HAY LES ROSES'!G20))+(COUNTIF('HMZ - KAIS'!$A$7:$A$50,'L HAY LES ROSES'!G20))+(COUNTIF('IB TRANSPORT'!$A$7:$A$50,'L HAY LES ROSES'!G20))+(COUNTIF(JSL!$A$7:$A$50,'L HAY LES ROSES'!G20))+(COUNTIF(KIFAITOUT!$A$7:$A$50,'L HAY LES ROSES'!G20))+(COUNTIF('LUXE DRIVE'!$A$7:$A$50,'L HAY LES ROSES'!G20))+(COUNTIF(SSN!$A$7:$A$50,'L HAY LES ROSES'!G20))+(COUNTIF('W3'!$A$7:$A$50,'L HAY LES ROSES'!G20))+(COUNTIF('ATHIS MONS'!$A$7:$A$50,'L HAY LES ROSES'!G20))+(COUNTIF('L HAY LES ROSES'!$A$7:$A$50,'L HAY LES ROSES'!G20))+(COUNTIF(RUNGIS!$A$7:$A$50,'L HAY LES ROSES'!G20))+(COUNTIF(SCEAUX!$A$7:$A$50,'L HAY LES ROSES'!G20))+(COUNTIF('INSTANCE C1'!$A$7:$A$50,'L HAY LES ROSES'!G20))+(COUNTIF('INSTANCE C2'!$A$7:$A$50,'L HAY LES ROSES'!G20))+(COUNTIF(INTERNES!$A$7:$A$50,'L HAY LES ROSES'!G20))+(COUNTIF('EN PANNE'!$A$7:$A$50,'L HAY LES ROSES'!G20))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S20" s="60">
        <f t="shared" si="1"/>
        <v>0</v>
      </c>
      <c r="T20" s="67">
        <f t="shared" si="2"/>
        <v>0</v>
      </c>
    </row>
    <row r="21" spans="1:20" ht="24.95" customHeight="1" x14ac:dyDescent="0.2">
      <c r="A21" s="20"/>
      <c r="B21" s="23">
        <f>(COUNTIF('2S EXPRESS'!$A$7:$A$50,'L HAY LES ROSES'!A21))+(COUNTIF('2 ZT'!$A$7:$A$50,'L HAY LES ROSES'!A21))+(COUNTIF('GO TRANSPORT'!$A$7:$A$50,'L HAY LES ROSES'!A21))+(COUNTIF('HMZ - KAIS'!$A$7:$A$50,'L HAY LES ROSES'!A21))+(COUNTIF('IB TRANSPORT'!$A$7:$A$50,'L HAY LES ROSES'!A21))+(COUNTIF(JSL!$A$7:$A$50,'L HAY LES ROSES'!A21))+(COUNTIF(KIFAITOUT!$A$7:$A$50,'L HAY LES ROSES'!A21))+(COUNTIF('LUXE DRIVE'!$A$7:$A$50,'L HAY LES ROSES'!A21))+(COUNTIF(SSN!$A$7:$A$50,'L HAY LES ROSES'!A21))+(COUNTIF('W3'!$A$7:$A$50,'L HAY LES ROSES'!A21))+(COUNTIF('ATHIS MONS'!$A$7:$A$50,'L HAY LES ROSES'!A21))+(COUNTIF('L HAY LES ROSES'!$A$7:$A$50,'L HAY LES ROSES'!A21))+(COUNTIF(RUNGIS!$A$7:$A$50,'L HAY LES ROSES'!A21))+(COUNTIF(SCEAUX!$A$7:$A$50,'L HAY LES ROSES'!A21))+(COUNTIF('INSTANCE C1'!$A$7:$A$50,'L HAY LES ROSES'!A21))+(COUNTIF('INSTANCE C2'!$A$7:$A$50,'L HAY LES ROSES'!A21))+(COUNTIF(INTERNES!$A$7:$A$50,'L HAY LES ROSES'!A21))+(COUNTIF('EN PANNE'!$A$7:$A$50,'L HAY LES ROSES'!A21))-C21</f>
        <v>0</v>
      </c>
      <c r="C21" s="23">
        <f>(COUNTIF('2S EXPRESS'!$G$7:$G$50,'L HAY LES ROSES'!A21))+(COUNTIF('2 ZT'!$G$7:$G$50,'L HAY LES ROSES'!A21))+(COUNTIF('GO TRANSPORT'!$G$7:$G$50,'L HAY LES ROSES'!A21))+(COUNTIF('L HAY LES ROSES'!$G$7:$G$50,'L HAY LES ROSES'!A21))+(COUNTIF('IB TRANSPORT'!$G$7:$G$50,'L HAY LES ROSES'!A21))+(COUNTIF(JSL!$G$7:$G$50,'L HAY LES ROSES'!A21))+(COUNTIF(KIFAITOUT!$G$7:$G$50,'L HAY LES ROSES'!A21))+(COUNTIF('LUXE DRIVE'!$G$7:$G$50,'L HAY LES ROSES'!A21))+(COUNTIF(SSN!$G$7:$G$50,'L HAY LES ROSES'!A21))+(COUNTIF('W3'!$G$7:$G$50,'L HAY LES ROSES'!A21))+(COUNTIF('ATHIS MONS'!$G$7:$G$50,'L HAY LES ROSES'!A21))+(COUNTIF('L HAY LES ROSES'!$G$7:$G$50,'L HAY LES ROSES'!A21))+(COUNTIF(RUNGIS!$G$7:$G$50,'L HAY LES ROSES'!A21))+(COUNTIF(SCEAUX!$G$7:$G$50,'L HAY LES ROSES'!A21))+(COUNTIF('INSTANCE C1'!$G$7:$G$50,'L HAY LES ROSES'!A21))+(COUNTIF('INSTANCE C2'!$G$7:$G$50,'L HAY LES ROSES'!A21))+(COUNTIF(INTERNES!$G$7:$G$50,'L HAY LES ROSES'!A21))+(COUNTIF('EN PANNE'!$G$7:$G$50,'L HAY LES ROSES'!A21))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EXPRESS'!$G$7:$G$50,'L HAY LES ROSES'!G21))+(COUNTIF('2 ZT'!$G$7:$G$50,'L HAY LES ROSES'!G21))+(COUNTIF('GO TRANSPORT'!$G$7:$G$50,'L HAY LES ROSES'!G21))+(COUNTIF('HMZ - KAIS'!$G$7:$G$50,'L HAY LES ROSES'!G21))+(COUNTIF('IB TRANSPORT'!$G$7:$G$50,'L HAY LES ROSES'!G21))+(COUNTIF(JSL!$G$7:$G$50,'L HAY LES ROSES'!G21))+(COUNTIF(KIFAITOUT!$G$7:$G$50,'L HAY LES ROSES'!G21))+(COUNTIF('LUXE DRIVE'!$G$7:$G$50,'L HAY LES ROSES'!G21))+(COUNTIF(SSN!$G$7:$G$50,'L HAY LES ROSES'!G21))+(COUNTIF('W3'!$G$7:$G$50,'L HAY LES ROSES'!G21))+(COUNTIF('ATHIS MONS'!$G$7:$G$50,'L HAY LES ROSES'!G21))+(COUNTIF('L HAY LES ROSES'!$G$7:$G$50,'L HAY LES ROSES'!G21))+(COUNTIF(RUNGIS!$G$7:$G$50,'L HAY LES ROSES'!G21))+(COUNTIF(SCEAUX!$G$7:$G$50,'L HAY LES ROSES'!G21))+(COUNTIF('INSTANCE C1'!$G$7:$G$50,'L HAY LES ROSES'!G21))+(COUNTIF('INSTANCE C2'!$G$7:$G$50,'L HAY LES ROSES'!G21))+(COUNTIF(INTERNES!$G$7:$G$50,'L HAY LES ROSES'!G21))+(COUNTIF('EN PANNE'!$G$7:$G$50,'L HAY LES ROSES'!G21))-I21</f>
        <v>0</v>
      </c>
      <c r="I21" s="23">
        <f>(COUNTIF('2S EXPRESS'!$A$7:$A$50,'L HAY LES ROSES'!G21))+(COUNTIF('2 ZT'!$A$7:$A$50,'L HAY LES ROSES'!G21))+(COUNTIF('GO TRANSPORT'!$A$7:$A$50,'L HAY LES ROSES'!G21))+(COUNTIF('HMZ - KAIS'!$A$7:$A$50,'L HAY LES ROSES'!G21))+(COUNTIF('IB TRANSPORT'!$A$7:$A$50,'L HAY LES ROSES'!G21))+(COUNTIF(JSL!$A$7:$A$50,'L HAY LES ROSES'!G21))+(COUNTIF(KIFAITOUT!$A$7:$A$50,'L HAY LES ROSES'!G21))+(COUNTIF('LUXE DRIVE'!$A$7:$A$50,'L HAY LES ROSES'!G21))+(COUNTIF(SSN!$A$7:$A$50,'L HAY LES ROSES'!G21))+(COUNTIF('W3'!$A$7:$A$50,'L HAY LES ROSES'!G21))+(COUNTIF('ATHIS MONS'!$A$7:$A$50,'L HAY LES ROSES'!G21))+(COUNTIF('L HAY LES ROSES'!$A$7:$A$50,'L HAY LES ROSES'!G21))+(COUNTIF(RUNGIS!$A$7:$A$50,'L HAY LES ROSES'!G21))+(COUNTIF(SCEAUX!$A$7:$A$50,'L HAY LES ROSES'!G21))+(COUNTIF('INSTANCE C1'!$A$7:$A$50,'L HAY LES ROSES'!G21))+(COUNTIF('INSTANCE C2'!$A$7:$A$50,'L HAY LES ROSES'!G21))+(COUNTIF(INTERNES!$A$7:$A$50,'L HAY LES ROSES'!G21))+(COUNTIF('EN PANNE'!$A$7:$A$50,'L HAY LES ROSES'!G21))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S21" s="60">
        <f t="shared" si="1"/>
        <v>0</v>
      </c>
      <c r="T21" s="67">
        <f t="shared" si="2"/>
        <v>0</v>
      </c>
    </row>
    <row r="22" spans="1:20" ht="24.95" customHeight="1" x14ac:dyDescent="0.2">
      <c r="A22" s="20"/>
      <c r="B22" s="23">
        <f>(COUNTIF('2S EXPRESS'!$A$7:$A$50,'L HAY LES ROSES'!A22))+(COUNTIF('2 ZT'!$A$7:$A$50,'L HAY LES ROSES'!A22))+(COUNTIF('GO TRANSPORT'!$A$7:$A$50,'L HAY LES ROSES'!A22))+(COUNTIF('HMZ - KAIS'!$A$7:$A$50,'L HAY LES ROSES'!A22))+(COUNTIF('IB TRANSPORT'!$A$7:$A$50,'L HAY LES ROSES'!A22))+(COUNTIF(JSL!$A$7:$A$50,'L HAY LES ROSES'!A22))+(COUNTIF(KIFAITOUT!$A$7:$A$50,'L HAY LES ROSES'!A22))+(COUNTIF('LUXE DRIVE'!$A$7:$A$50,'L HAY LES ROSES'!A22))+(COUNTIF(SSN!$A$7:$A$50,'L HAY LES ROSES'!A22))+(COUNTIF('W3'!$A$7:$A$50,'L HAY LES ROSES'!A22))+(COUNTIF('ATHIS MONS'!$A$7:$A$50,'L HAY LES ROSES'!A22))+(COUNTIF('L HAY LES ROSES'!$A$7:$A$50,'L HAY LES ROSES'!A22))+(COUNTIF(RUNGIS!$A$7:$A$50,'L HAY LES ROSES'!A22))+(COUNTIF(SCEAUX!$A$7:$A$50,'L HAY LES ROSES'!A22))+(COUNTIF('INSTANCE C1'!$A$7:$A$50,'L HAY LES ROSES'!A22))+(COUNTIF('INSTANCE C2'!$A$7:$A$50,'L HAY LES ROSES'!A22))+(COUNTIF(INTERNES!$A$7:$A$50,'L HAY LES ROSES'!A22))+(COUNTIF('EN PANNE'!$A$7:$A$50,'L HAY LES ROSES'!A22))-C22</f>
        <v>0</v>
      </c>
      <c r="C22" s="23">
        <f>(COUNTIF('2S EXPRESS'!$G$7:$G$50,'L HAY LES ROSES'!A22))+(COUNTIF('2 ZT'!$G$7:$G$50,'L HAY LES ROSES'!A22))+(COUNTIF('GO TRANSPORT'!$G$7:$G$50,'L HAY LES ROSES'!A22))+(COUNTIF('L HAY LES ROSES'!$G$7:$G$50,'L HAY LES ROSES'!A22))+(COUNTIF('IB TRANSPORT'!$G$7:$G$50,'L HAY LES ROSES'!A22))+(COUNTIF(JSL!$G$7:$G$50,'L HAY LES ROSES'!A22))+(COUNTIF(KIFAITOUT!$G$7:$G$50,'L HAY LES ROSES'!A22))+(COUNTIF('LUXE DRIVE'!$G$7:$G$50,'L HAY LES ROSES'!A22))+(COUNTIF(SSN!$G$7:$G$50,'L HAY LES ROSES'!A22))+(COUNTIF('W3'!$G$7:$G$50,'L HAY LES ROSES'!A22))+(COUNTIF('ATHIS MONS'!$G$7:$G$50,'L HAY LES ROSES'!A22))+(COUNTIF('L HAY LES ROSES'!$G$7:$G$50,'L HAY LES ROSES'!A22))+(COUNTIF(RUNGIS!$G$7:$G$50,'L HAY LES ROSES'!A22))+(COUNTIF(SCEAUX!$G$7:$G$50,'L HAY LES ROSES'!A22))+(COUNTIF('INSTANCE C1'!$G$7:$G$50,'L HAY LES ROSES'!A22))+(COUNTIF('INSTANCE C2'!$G$7:$G$50,'L HAY LES ROSES'!A22))+(COUNTIF(INTERNES!$G$7:$G$50,'L HAY LES ROSES'!A22))+(COUNTIF('EN PANNE'!$G$7:$G$50,'L HAY LES ROSES'!A22))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EXPRESS'!$G$7:$G$50,'L HAY LES ROSES'!G22))+(COUNTIF('2 ZT'!$G$7:$G$50,'L HAY LES ROSES'!G22))+(COUNTIF('GO TRANSPORT'!$G$7:$G$50,'L HAY LES ROSES'!G22))+(COUNTIF('HMZ - KAIS'!$G$7:$G$50,'L HAY LES ROSES'!G22))+(COUNTIF('IB TRANSPORT'!$G$7:$G$50,'L HAY LES ROSES'!G22))+(COUNTIF(JSL!$G$7:$G$50,'L HAY LES ROSES'!G22))+(COUNTIF(KIFAITOUT!$G$7:$G$50,'L HAY LES ROSES'!G22))+(COUNTIF('LUXE DRIVE'!$G$7:$G$50,'L HAY LES ROSES'!G22))+(COUNTIF(SSN!$G$7:$G$50,'L HAY LES ROSES'!G22))+(COUNTIF('W3'!$G$7:$G$50,'L HAY LES ROSES'!G22))+(COUNTIF('ATHIS MONS'!$G$7:$G$50,'L HAY LES ROSES'!G22))+(COUNTIF('L HAY LES ROSES'!$G$7:$G$50,'L HAY LES ROSES'!G22))+(COUNTIF(RUNGIS!$G$7:$G$50,'L HAY LES ROSES'!G22))+(COUNTIF(SCEAUX!$G$7:$G$50,'L HAY LES ROSES'!G22))+(COUNTIF('INSTANCE C1'!$G$7:$G$50,'L HAY LES ROSES'!G22))+(COUNTIF('INSTANCE C2'!$G$7:$G$50,'L HAY LES ROSES'!G22))+(COUNTIF(INTERNES!$G$7:$G$50,'L HAY LES ROSES'!G22))+(COUNTIF('EN PANNE'!$G$7:$G$50,'L HAY LES ROSES'!G22))-I22</f>
        <v>0</v>
      </c>
      <c r="I22" s="23">
        <f>(COUNTIF('2S EXPRESS'!$A$7:$A$50,'L HAY LES ROSES'!G22))+(COUNTIF('2 ZT'!$A$7:$A$50,'L HAY LES ROSES'!G22))+(COUNTIF('GO TRANSPORT'!$A$7:$A$50,'L HAY LES ROSES'!G22))+(COUNTIF('HMZ - KAIS'!$A$7:$A$50,'L HAY LES ROSES'!G22))+(COUNTIF('IB TRANSPORT'!$A$7:$A$50,'L HAY LES ROSES'!G22))+(COUNTIF(JSL!$A$7:$A$50,'L HAY LES ROSES'!G22))+(COUNTIF(KIFAITOUT!$A$7:$A$50,'L HAY LES ROSES'!G22))+(COUNTIF('LUXE DRIVE'!$A$7:$A$50,'L HAY LES ROSES'!G22))+(COUNTIF(SSN!$A$7:$A$50,'L HAY LES ROSES'!G22))+(COUNTIF('W3'!$A$7:$A$50,'L HAY LES ROSES'!G22))+(COUNTIF('ATHIS MONS'!$A$7:$A$50,'L HAY LES ROSES'!G22))+(COUNTIF('L HAY LES ROSES'!$A$7:$A$50,'L HAY LES ROSES'!G22))+(COUNTIF(RUNGIS!$A$7:$A$50,'L HAY LES ROSES'!G22))+(COUNTIF(SCEAUX!$A$7:$A$50,'L HAY LES ROSES'!G22))+(COUNTIF('INSTANCE C1'!$A$7:$A$50,'L HAY LES ROSES'!G22))+(COUNTIF('INSTANCE C2'!$A$7:$A$50,'L HAY LES ROSES'!G22))+(COUNTIF(INTERNES!$A$7:$A$50,'L HAY LES ROSES'!G22))+(COUNTIF('EN PANNE'!$A$7:$A$50,'L HAY LES ROSES'!G22))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S22" s="60">
        <f t="shared" si="1"/>
        <v>0</v>
      </c>
      <c r="T22" s="67">
        <f t="shared" si="2"/>
        <v>0</v>
      </c>
    </row>
    <row r="23" spans="1:20" ht="24.95" customHeight="1" x14ac:dyDescent="0.2">
      <c r="A23" s="20"/>
      <c r="B23" s="23">
        <f>(COUNTIF('2S EXPRESS'!$A$7:$A$50,'L HAY LES ROSES'!A23))+(COUNTIF('2 ZT'!$A$7:$A$50,'L HAY LES ROSES'!A23))+(COUNTIF('GO TRANSPORT'!$A$7:$A$50,'L HAY LES ROSES'!A23))+(COUNTIF('HMZ - KAIS'!$A$7:$A$50,'L HAY LES ROSES'!A23))+(COUNTIF('IB TRANSPORT'!$A$7:$A$50,'L HAY LES ROSES'!A23))+(COUNTIF(JSL!$A$7:$A$50,'L HAY LES ROSES'!A23))+(COUNTIF(KIFAITOUT!$A$7:$A$50,'L HAY LES ROSES'!A23))+(COUNTIF('LUXE DRIVE'!$A$7:$A$50,'L HAY LES ROSES'!A23))+(COUNTIF(SSN!$A$7:$A$50,'L HAY LES ROSES'!A23))+(COUNTIF('W3'!$A$7:$A$50,'L HAY LES ROSES'!A23))+(COUNTIF('ATHIS MONS'!$A$7:$A$50,'L HAY LES ROSES'!A23))+(COUNTIF('L HAY LES ROSES'!$A$7:$A$50,'L HAY LES ROSES'!A23))+(COUNTIF(RUNGIS!$A$7:$A$50,'L HAY LES ROSES'!A23))+(COUNTIF(SCEAUX!$A$7:$A$50,'L HAY LES ROSES'!A23))+(COUNTIF('INSTANCE C1'!$A$7:$A$50,'L HAY LES ROSES'!A23))+(COUNTIF('INSTANCE C2'!$A$7:$A$50,'L HAY LES ROSES'!A23))+(COUNTIF(INTERNES!$A$7:$A$50,'L HAY LES ROSES'!A23))+(COUNTIF('EN PANNE'!$A$7:$A$50,'L HAY LES ROSES'!A23))-C23</f>
        <v>0</v>
      </c>
      <c r="C23" s="23">
        <f>(COUNTIF('2S EXPRESS'!$G$7:$G$50,'L HAY LES ROSES'!A23))+(COUNTIF('2 ZT'!$G$7:$G$50,'L HAY LES ROSES'!A23))+(COUNTIF('GO TRANSPORT'!$G$7:$G$50,'L HAY LES ROSES'!A23))+(COUNTIF('L HAY LES ROSES'!$G$7:$G$50,'L HAY LES ROSES'!A23))+(COUNTIF('IB TRANSPORT'!$G$7:$G$50,'L HAY LES ROSES'!A23))+(COUNTIF(JSL!$G$7:$G$50,'L HAY LES ROSES'!A23))+(COUNTIF(KIFAITOUT!$G$7:$G$50,'L HAY LES ROSES'!A23))+(COUNTIF('LUXE DRIVE'!$G$7:$G$50,'L HAY LES ROSES'!A23))+(COUNTIF(SSN!$G$7:$G$50,'L HAY LES ROSES'!A23))+(COUNTIF('W3'!$G$7:$G$50,'L HAY LES ROSES'!A23))+(COUNTIF('ATHIS MONS'!$G$7:$G$50,'L HAY LES ROSES'!A23))+(COUNTIF('L HAY LES ROSES'!$G$7:$G$50,'L HAY LES ROSES'!A23))+(COUNTIF(RUNGIS!$G$7:$G$50,'L HAY LES ROSES'!A23))+(COUNTIF(SCEAUX!$G$7:$G$50,'L HAY LES ROSES'!A23))+(COUNTIF('INSTANCE C1'!$G$7:$G$50,'L HAY LES ROSES'!A23))+(COUNTIF('INSTANCE C2'!$G$7:$G$50,'L HAY LES ROSES'!A23))+(COUNTIF(INTERNES!$G$7:$G$50,'L HAY LES ROSES'!A23))+(COUNTIF('EN PANNE'!$G$7:$G$50,'L HAY LES ROSES'!A23))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EXPRESS'!$G$7:$G$50,'L HAY LES ROSES'!G23))+(COUNTIF('2 ZT'!$G$7:$G$50,'L HAY LES ROSES'!G23))+(COUNTIF('GO TRANSPORT'!$G$7:$G$50,'L HAY LES ROSES'!G23))+(COUNTIF('HMZ - KAIS'!$G$7:$G$50,'L HAY LES ROSES'!G23))+(COUNTIF('IB TRANSPORT'!$G$7:$G$50,'L HAY LES ROSES'!G23))+(COUNTIF(JSL!$G$7:$G$50,'L HAY LES ROSES'!G23))+(COUNTIF(KIFAITOUT!$G$7:$G$50,'L HAY LES ROSES'!G23))+(COUNTIF('LUXE DRIVE'!$G$7:$G$50,'L HAY LES ROSES'!G23))+(COUNTIF(SSN!$G$7:$G$50,'L HAY LES ROSES'!G23))+(COUNTIF('W3'!$G$7:$G$50,'L HAY LES ROSES'!G23))+(COUNTIF('ATHIS MONS'!$G$7:$G$50,'L HAY LES ROSES'!G23))+(COUNTIF('L HAY LES ROSES'!$G$7:$G$50,'L HAY LES ROSES'!G23))+(COUNTIF(RUNGIS!$G$7:$G$50,'L HAY LES ROSES'!G23))+(COUNTIF(SCEAUX!$G$7:$G$50,'L HAY LES ROSES'!G23))+(COUNTIF('INSTANCE C1'!$G$7:$G$50,'L HAY LES ROSES'!G23))+(COUNTIF('INSTANCE C2'!$G$7:$G$50,'L HAY LES ROSES'!G23))+(COUNTIF(INTERNES!$G$7:$G$50,'L HAY LES ROSES'!G23))+(COUNTIF('EN PANNE'!$G$7:$G$50,'L HAY LES ROSES'!G23))-I23</f>
        <v>0</v>
      </c>
      <c r="I23" s="23">
        <f>(COUNTIF('2S EXPRESS'!$A$7:$A$50,'L HAY LES ROSES'!G23))+(COUNTIF('2 ZT'!$A$7:$A$50,'L HAY LES ROSES'!G23))+(COUNTIF('GO TRANSPORT'!$A$7:$A$50,'L HAY LES ROSES'!G23))+(COUNTIF('HMZ - KAIS'!$A$7:$A$50,'L HAY LES ROSES'!G23))+(COUNTIF('IB TRANSPORT'!$A$7:$A$50,'L HAY LES ROSES'!G23))+(COUNTIF(JSL!$A$7:$A$50,'L HAY LES ROSES'!G23))+(COUNTIF(KIFAITOUT!$A$7:$A$50,'L HAY LES ROSES'!G23))+(COUNTIF('LUXE DRIVE'!$A$7:$A$50,'L HAY LES ROSES'!G23))+(COUNTIF(SSN!$A$7:$A$50,'L HAY LES ROSES'!G23))+(COUNTIF('W3'!$A$7:$A$50,'L HAY LES ROSES'!G23))+(COUNTIF('ATHIS MONS'!$A$7:$A$50,'L HAY LES ROSES'!G23))+(COUNTIF('L HAY LES ROSES'!$A$7:$A$50,'L HAY LES ROSES'!G23))+(COUNTIF(RUNGIS!$A$7:$A$50,'L HAY LES ROSES'!G23))+(COUNTIF(SCEAUX!$A$7:$A$50,'L HAY LES ROSES'!G23))+(COUNTIF('INSTANCE C1'!$A$7:$A$50,'L HAY LES ROSES'!G23))+(COUNTIF('INSTANCE C2'!$A$7:$A$50,'L HAY LES ROSES'!G23))+(COUNTIF(INTERNES!$A$7:$A$50,'L HAY LES ROSES'!G23))+(COUNTIF('EN PANNE'!$A$7:$A$50,'L HAY LES ROSES'!G23))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S23" s="60">
        <f t="shared" si="1"/>
        <v>0</v>
      </c>
      <c r="T23" s="67">
        <f t="shared" si="2"/>
        <v>0</v>
      </c>
    </row>
    <row r="24" spans="1:20" ht="24.95" customHeight="1" x14ac:dyDescent="0.2">
      <c r="A24" s="20"/>
      <c r="B24" s="23">
        <f>(COUNTIF('2S EXPRESS'!$A$7:$A$50,'L HAY LES ROSES'!A24))+(COUNTIF('2 ZT'!$A$7:$A$50,'L HAY LES ROSES'!A24))+(COUNTIF('GO TRANSPORT'!$A$7:$A$50,'L HAY LES ROSES'!A24))+(COUNTIF('HMZ - KAIS'!$A$7:$A$50,'L HAY LES ROSES'!A24))+(COUNTIF('IB TRANSPORT'!$A$7:$A$50,'L HAY LES ROSES'!A24))+(COUNTIF(JSL!$A$7:$A$50,'L HAY LES ROSES'!A24))+(COUNTIF(KIFAITOUT!$A$7:$A$50,'L HAY LES ROSES'!A24))+(COUNTIF('LUXE DRIVE'!$A$7:$A$50,'L HAY LES ROSES'!A24))+(COUNTIF(SSN!$A$7:$A$50,'L HAY LES ROSES'!A24))+(COUNTIF('W3'!$A$7:$A$50,'L HAY LES ROSES'!A24))+(COUNTIF('ATHIS MONS'!$A$7:$A$50,'L HAY LES ROSES'!A24))+(COUNTIF('L HAY LES ROSES'!$A$7:$A$50,'L HAY LES ROSES'!A24))+(COUNTIF(RUNGIS!$A$7:$A$50,'L HAY LES ROSES'!A24))+(COUNTIF(SCEAUX!$A$7:$A$50,'L HAY LES ROSES'!A24))+(COUNTIF('INSTANCE C1'!$A$7:$A$50,'L HAY LES ROSES'!A24))+(COUNTIF('INSTANCE C2'!$A$7:$A$50,'L HAY LES ROSES'!A24))+(COUNTIF(INTERNES!$A$7:$A$50,'L HAY LES ROSES'!A24))+(COUNTIF('EN PANNE'!$A$7:$A$50,'L HAY LES ROSES'!A24))-C24</f>
        <v>0</v>
      </c>
      <c r="C24" s="23">
        <f>(COUNTIF('2S EXPRESS'!$G$7:$G$50,'L HAY LES ROSES'!A24))+(COUNTIF('2 ZT'!$G$7:$G$50,'L HAY LES ROSES'!A24))+(COUNTIF('GO TRANSPORT'!$G$7:$G$50,'L HAY LES ROSES'!A24))+(COUNTIF('L HAY LES ROSES'!$G$7:$G$50,'L HAY LES ROSES'!A24))+(COUNTIF('IB TRANSPORT'!$G$7:$G$50,'L HAY LES ROSES'!A24))+(COUNTIF(JSL!$G$7:$G$50,'L HAY LES ROSES'!A24))+(COUNTIF(KIFAITOUT!$G$7:$G$50,'L HAY LES ROSES'!A24))+(COUNTIF('LUXE DRIVE'!$G$7:$G$50,'L HAY LES ROSES'!A24))+(COUNTIF(SSN!$G$7:$G$50,'L HAY LES ROSES'!A24))+(COUNTIF('W3'!$G$7:$G$50,'L HAY LES ROSES'!A24))+(COUNTIF('ATHIS MONS'!$G$7:$G$50,'L HAY LES ROSES'!A24))+(COUNTIF('L HAY LES ROSES'!$G$7:$G$50,'L HAY LES ROSES'!A24))+(COUNTIF(RUNGIS!$G$7:$G$50,'L HAY LES ROSES'!A24))+(COUNTIF(SCEAUX!$G$7:$G$50,'L HAY LES ROSES'!A24))+(COUNTIF('INSTANCE C1'!$G$7:$G$50,'L HAY LES ROSES'!A24))+(COUNTIF('INSTANCE C2'!$G$7:$G$50,'L HAY LES ROSES'!A24))+(COUNTIF(INTERNES!$G$7:$G$50,'L HAY LES ROSES'!A24))+(COUNTIF('EN PANNE'!$G$7:$G$50,'L HAY LES ROSES'!A24))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EXPRESS'!$G$7:$G$50,'L HAY LES ROSES'!G24))+(COUNTIF('2 ZT'!$G$7:$G$50,'L HAY LES ROSES'!G24))+(COUNTIF('GO TRANSPORT'!$G$7:$G$50,'L HAY LES ROSES'!G24))+(COUNTIF('HMZ - KAIS'!$G$7:$G$50,'L HAY LES ROSES'!G24))+(COUNTIF('IB TRANSPORT'!$G$7:$G$50,'L HAY LES ROSES'!G24))+(COUNTIF(JSL!$G$7:$G$50,'L HAY LES ROSES'!G24))+(COUNTIF(KIFAITOUT!$G$7:$G$50,'L HAY LES ROSES'!G24))+(COUNTIF('LUXE DRIVE'!$G$7:$G$50,'L HAY LES ROSES'!G24))+(COUNTIF(SSN!$G$7:$G$50,'L HAY LES ROSES'!G24))+(COUNTIF('W3'!$G$7:$G$50,'L HAY LES ROSES'!G24))+(COUNTIF('ATHIS MONS'!$G$7:$G$50,'L HAY LES ROSES'!G24))+(COUNTIF('L HAY LES ROSES'!$G$7:$G$50,'L HAY LES ROSES'!G24))+(COUNTIF(RUNGIS!$G$7:$G$50,'L HAY LES ROSES'!G24))+(COUNTIF(SCEAUX!$G$7:$G$50,'L HAY LES ROSES'!G24))+(COUNTIF('INSTANCE C1'!$G$7:$G$50,'L HAY LES ROSES'!G24))+(COUNTIF('INSTANCE C2'!$G$7:$G$50,'L HAY LES ROSES'!G24))+(COUNTIF(INTERNES!$G$7:$G$50,'L HAY LES ROSES'!G24))+(COUNTIF('EN PANNE'!$G$7:$G$50,'L HAY LES ROSES'!G24))-I24</f>
        <v>0</v>
      </c>
      <c r="I24" s="23">
        <f>(COUNTIF('2S EXPRESS'!$A$7:$A$50,'L HAY LES ROSES'!G24))+(COUNTIF('2 ZT'!$A$7:$A$50,'L HAY LES ROSES'!G24))+(COUNTIF('GO TRANSPORT'!$A$7:$A$50,'L HAY LES ROSES'!G24))+(COUNTIF('HMZ - KAIS'!$A$7:$A$50,'L HAY LES ROSES'!G24))+(COUNTIF('IB TRANSPORT'!$A$7:$A$50,'L HAY LES ROSES'!G24))+(COUNTIF(JSL!$A$7:$A$50,'L HAY LES ROSES'!G24))+(COUNTIF(KIFAITOUT!$A$7:$A$50,'L HAY LES ROSES'!G24))+(COUNTIF('LUXE DRIVE'!$A$7:$A$50,'L HAY LES ROSES'!G24))+(COUNTIF(SSN!$A$7:$A$50,'L HAY LES ROSES'!G24))+(COUNTIF('W3'!$A$7:$A$50,'L HAY LES ROSES'!G24))+(COUNTIF('ATHIS MONS'!$A$7:$A$50,'L HAY LES ROSES'!G24))+(COUNTIF('L HAY LES ROSES'!$A$7:$A$50,'L HAY LES ROSES'!G24))+(COUNTIF(RUNGIS!$A$7:$A$50,'L HAY LES ROSES'!G24))+(COUNTIF(SCEAUX!$A$7:$A$50,'L HAY LES ROSES'!G24))+(COUNTIF('INSTANCE C1'!$A$7:$A$50,'L HAY LES ROSES'!G24))+(COUNTIF('INSTANCE C2'!$A$7:$A$50,'L HAY LES ROSES'!G24))+(COUNTIF(INTERNES!$A$7:$A$50,'L HAY LES ROSES'!G24))+(COUNTIF('EN PANNE'!$A$7:$A$50,'L HAY LES ROSES'!G24))</f>
        <v>0</v>
      </c>
      <c r="J24" s="28">
        <f t="shared" si="4"/>
        <v>0</v>
      </c>
      <c r="K24" s="2"/>
      <c r="L24" s="47"/>
      <c r="S24" s="60">
        <f t="shared" si="1"/>
        <v>0</v>
      </c>
      <c r="T24" s="67">
        <f t="shared" si="2"/>
        <v>0</v>
      </c>
    </row>
    <row r="25" spans="1:20" ht="24.95" customHeight="1" x14ac:dyDescent="0.2">
      <c r="A25" s="20"/>
      <c r="B25" s="23">
        <f>(COUNTIF('2S EXPRESS'!$A$7:$A$50,'L HAY LES ROSES'!A25))+(COUNTIF('2 ZT'!$A$7:$A$50,'L HAY LES ROSES'!A25))+(COUNTIF('GO TRANSPORT'!$A$7:$A$50,'L HAY LES ROSES'!A25))+(COUNTIF('HMZ - KAIS'!$A$7:$A$50,'L HAY LES ROSES'!A25))+(COUNTIF('IB TRANSPORT'!$A$7:$A$50,'L HAY LES ROSES'!A25))+(COUNTIF(JSL!$A$7:$A$50,'L HAY LES ROSES'!A25))+(COUNTIF(KIFAITOUT!$A$7:$A$50,'L HAY LES ROSES'!A25))+(COUNTIF('LUXE DRIVE'!$A$7:$A$50,'L HAY LES ROSES'!A25))+(COUNTIF(SSN!$A$7:$A$50,'L HAY LES ROSES'!A25))+(COUNTIF('W3'!$A$7:$A$50,'L HAY LES ROSES'!A25))+(COUNTIF('ATHIS MONS'!$A$7:$A$50,'L HAY LES ROSES'!A25))+(COUNTIF('L HAY LES ROSES'!$A$7:$A$50,'L HAY LES ROSES'!A25))+(COUNTIF(RUNGIS!$A$7:$A$50,'L HAY LES ROSES'!A25))+(COUNTIF(SCEAUX!$A$7:$A$50,'L HAY LES ROSES'!A25))+(COUNTIF('INSTANCE C1'!$A$7:$A$50,'L HAY LES ROSES'!A25))+(COUNTIF('INSTANCE C2'!$A$7:$A$50,'L HAY LES ROSES'!A25))+(COUNTIF(INTERNES!$A$7:$A$50,'L HAY LES ROSES'!A25))+(COUNTIF('EN PANNE'!$A$7:$A$50,'L HAY LES ROSES'!A25))-C25</f>
        <v>0</v>
      </c>
      <c r="C25" s="23">
        <f>(COUNTIF('2S EXPRESS'!$G$7:$G$50,'L HAY LES ROSES'!A25))+(COUNTIF('2 ZT'!$G$7:$G$50,'L HAY LES ROSES'!A25))+(COUNTIF('GO TRANSPORT'!$G$7:$G$50,'L HAY LES ROSES'!A25))+(COUNTIF('L HAY LES ROSES'!$G$7:$G$50,'L HAY LES ROSES'!A25))+(COUNTIF('IB TRANSPORT'!$G$7:$G$50,'L HAY LES ROSES'!A25))+(COUNTIF(JSL!$G$7:$G$50,'L HAY LES ROSES'!A25))+(COUNTIF(KIFAITOUT!$G$7:$G$50,'L HAY LES ROSES'!A25))+(COUNTIF('LUXE DRIVE'!$G$7:$G$50,'L HAY LES ROSES'!A25))+(COUNTIF(SSN!$G$7:$G$50,'L HAY LES ROSES'!A25))+(COUNTIF('W3'!$G$7:$G$50,'L HAY LES ROSES'!A25))+(COUNTIF('ATHIS MONS'!$G$7:$G$50,'L HAY LES ROSES'!A25))+(COUNTIF('L HAY LES ROSES'!$G$7:$G$50,'L HAY LES ROSES'!A25))+(COUNTIF(RUNGIS!$G$7:$G$50,'L HAY LES ROSES'!A25))+(COUNTIF(SCEAUX!$G$7:$G$50,'L HAY LES ROSES'!A25))+(COUNTIF('INSTANCE C1'!$G$7:$G$50,'L HAY LES ROSES'!A25))+(COUNTIF('INSTANCE C2'!$G$7:$G$50,'L HAY LES ROSES'!A25))+(COUNTIF(INTERNES!$G$7:$G$50,'L HAY LES ROSES'!A25))+(COUNTIF('EN PANNE'!$G$7:$G$50,'L HAY LES ROSES'!A25))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EXPRESS'!$G$7:$G$50,'L HAY LES ROSES'!G25))+(COUNTIF('2 ZT'!$G$7:$G$50,'L HAY LES ROSES'!G25))+(COUNTIF('GO TRANSPORT'!$G$7:$G$50,'L HAY LES ROSES'!G25))+(COUNTIF('HMZ - KAIS'!$G$7:$G$50,'L HAY LES ROSES'!G25))+(COUNTIF('IB TRANSPORT'!$G$7:$G$50,'L HAY LES ROSES'!G25))+(COUNTIF(JSL!$G$7:$G$50,'L HAY LES ROSES'!G25))+(COUNTIF(KIFAITOUT!$G$7:$G$50,'L HAY LES ROSES'!G25))+(COUNTIF('LUXE DRIVE'!$G$7:$G$50,'L HAY LES ROSES'!G25))+(COUNTIF(SSN!$G$7:$G$50,'L HAY LES ROSES'!G25))+(COUNTIF('W3'!$G$7:$G$50,'L HAY LES ROSES'!G25))+(COUNTIF('ATHIS MONS'!$G$7:$G$50,'L HAY LES ROSES'!G25))+(COUNTIF('L HAY LES ROSES'!$G$7:$G$50,'L HAY LES ROSES'!G25))+(COUNTIF(RUNGIS!$G$7:$G$50,'L HAY LES ROSES'!G25))+(COUNTIF(SCEAUX!$G$7:$G$50,'L HAY LES ROSES'!G25))+(COUNTIF('INSTANCE C1'!$G$7:$G$50,'L HAY LES ROSES'!G25))+(COUNTIF('INSTANCE C2'!$G$7:$G$50,'L HAY LES ROSES'!G25))+(COUNTIF(INTERNES!$G$7:$G$50,'L HAY LES ROSES'!G25))+(COUNTIF('EN PANNE'!$G$7:$G$50,'L HAY LES ROSES'!G25))-I25</f>
        <v>0</v>
      </c>
      <c r="I25" s="23">
        <f>(COUNTIF('2S EXPRESS'!$A$7:$A$50,'L HAY LES ROSES'!G25))+(COUNTIF('2 ZT'!$A$7:$A$50,'L HAY LES ROSES'!G25))+(COUNTIF('GO TRANSPORT'!$A$7:$A$50,'L HAY LES ROSES'!G25))+(COUNTIF('HMZ - KAIS'!$A$7:$A$50,'L HAY LES ROSES'!G25))+(COUNTIF('IB TRANSPORT'!$A$7:$A$50,'L HAY LES ROSES'!G25))+(COUNTIF(JSL!$A$7:$A$50,'L HAY LES ROSES'!G25))+(COUNTIF(KIFAITOUT!$A$7:$A$50,'L HAY LES ROSES'!G25))+(COUNTIF('LUXE DRIVE'!$A$7:$A$50,'L HAY LES ROSES'!G25))+(COUNTIF(SSN!$A$7:$A$50,'L HAY LES ROSES'!G25))+(COUNTIF('W3'!$A$7:$A$50,'L HAY LES ROSES'!G25))+(COUNTIF('ATHIS MONS'!$A$7:$A$50,'L HAY LES ROSES'!G25))+(COUNTIF('L HAY LES ROSES'!$A$7:$A$50,'L HAY LES ROSES'!G25))+(COUNTIF(RUNGIS!$A$7:$A$50,'L HAY LES ROSES'!G25))+(COUNTIF(SCEAUX!$A$7:$A$50,'L HAY LES ROSES'!G25))+(COUNTIF('INSTANCE C1'!$A$7:$A$50,'L HAY LES ROSES'!G25))+(COUNTIF('INSTANCE C2'!$A$7:$A$50,'L HAY LES ROSES'!G25))+(COUNTIF(INTERNES!$A$7:$A$50,'L HAY LES ROSES'!G25))+(COUNTIF('EN PANNE'!$A$7:$A$50,'L HAY LES ROSES'!G25))</f>
        <v>0</v>
      </c>
      <c r="J25" s="28">
        <f t="shared" si="4"/>
        <v>0</v>
      </c>
      <c r="K25" s="2"/>
      <c r="L25" s="47"/>
      <c r="S25" s="60">
        <f t="shared" si="1"/>
        <v>0</v>
      </c>
      <c r="T25" s="67">
        <f t="shared" si="2"/>
        <v>0</v>
      </c>
    </row>
    <row r="26" spans="1:20" ht="24.95" customHeight="1" x14ac:dyDescent="0.2">
      <c r="A26" s="20"/>
      <c r="B26" s="23">
        <f>(COUNTIF('2S EXPRESS'!$A$7:$A$50,'L HAY LES ROSES'!A26))+(COUNTIF('2 ZT'!$A$7:$A$50,'L HAY LES ROSES'!A26))+(COUNTIF('GO TRANSPORT'!$A$7:$A$50,'L HAY LES ROSES'!A26))+(COUNTIF('HMZ - KAIS'!$A$7:$A$50,'L HAY LES ROSES'!A26))+(COUNTIF('IB TRANSPORT'!$A$7:$A$50,'L HAY LES ROSES'!A26))+(COUNTIF(JSL!$A$7:$A$50,'L HAY LES ROSES'!A26))+(COUNTIF(KIFAITOUT!$A$7:$A$50,'L HAY LES ROSES'!A26))+(COUNTIF('LUXE DRIVE'!$A$7:$A$50,'L HAY LES ROSES'!A26))+(COUNTIF(SSN!$A$7:$A$50,'L HAY LES ROSES'!A26))+(COUNTIF('W3'!$A$7:$A$50,'L HAY LES ROSES'!A26))+(COUNTIF('ATHIS MONS'!$A$7:$A$50,'L HAY LES ROSES'!A26))+(COUNTIF('L HAY LES ROSES'!$A$7:$A$50,'L HAY LES ROSES'!A26))+(COUNTIF(RUNGIS!$A$7:$A$50,'L HAY LES ROSES'!A26))+(COUNTIF(SCEAUX!$A$7:$A$50,'L HAY LES ROSES'!A26))+(COUNTIF('INSTANCE C1'!$A$7:$A$50,'L HAY LES ROSES'!A26))+(COUNTIF('INSTANCE C2'!$A$7:$A$50,'L HAY LES ROSES'!A26))+(COUNTIF(INTERNES!$A$7:$A$50,'L HAY LES ROSES'!A26))+(COUNTIF('EN PANNE'!$A$7:$A$50,'L HAY LES ROSES'!A26))-C26</f>
        <v>0</v>
      </c>
      <c r="C26" s="23">
        <f>(COUNTIF('2S EXPRESS'!$G$7:$G$50,'L HAY LES ROSES'!A26))+(COUNTIF('2 ZT'!$G$7:$G$50,'L HAY LES ROSES'!A26))+(COUNTIF('GO TRANSPORT'!$G$7:$G$50,'L HAY LES ROSES'!A26))+(COUNTIF('L HAY LES ROSES'!$G$7:$G$50,'L HAY LES ROSES'!A26))+(COUNTIF('IB TRANSPORT'!$G$7:$G$50,'L HAY LES ROSES'!A26))+(COUNTIF(JSL!$G$7:$G$50,'L HAY LES ROSES'!A26))+(COUNTIF(KIFAITOUT!$G$7:$G$50,'L HAY LES ROSES'!A26))+(COUNTIF('LUXE DRIVE'!$G$7:$G$50,'L HAY LES ROSES'!A26))+(COUNTIF(SSN!$G$7:$G$50,'L HAY LES ROSES'!A26))+(COUNTIF('W3'!$G$7:$G$50,'L HAY LES ROSES'!A26))+(COUNTIF('ATHIS MONS'!$G$7:$G$50,'L HAY LES ROSES'!A26))+(COUNTIF('L HAY LES ROSES'!$G$7:$G$50,'L HAY LES ROSES'!A26))+(COUNTIF(RUNGIS!$G$7:$G$50,'L HAY LES ROSES'!A26))+(COUNTIF(SCEAUX!$G$7:$G$50,'L HAY LES ROSES'!A26))+(COUNTIF('INSTANCE C1'!$G$7:$G$50,'L HAY LES ROSES'!A26))+(COUNTIF('INSTANCE C2'!$G$7:$G$50,'L HAY LES ROSES'!A26))+(COUNTIF(INTERNES!$G$7:$G$50,'L HAY LES ROSES'!A26))+(COUNTIF('EN PANNE'!$G$7:$G$50,'L HAY LES ROSES'!A26))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EXPRESS'!$G$7:$G$50,'L HAY LES ROSES'!G26))+(COUNTIF('2 ZT'!$G$7:$G$50,'L HAY LES ROSES'!G26))+(COUNTIF('GO TRANSPORT'!$G$7:$G$50,'L HAY LES ROSES'!G26))+(COUNTIF('HMZ - KAIS'!$G$7:$G$50,'L HAY LES ROSES'!G26))+(COUNTIF('IB TRANSPORT'!$G$7:$G$50,'L HAY LES ROSES'!G26))+(COUNTIF(JSL!$G$7:$G$50,'L HAY LES ROSES'!G26))+(COUNTIF(KIFAITOUT!$G$7:$G$50,'L HAY LES ROSES'!G26))+(COUNTIF('LUXE DRIVE'!$G$7:$G$50,'L HAY LES ROSES'!G26))+(COUNTIF(SSN!$G$7:$G$50,'L HAY LES ROSES'!G26))+(COUNTIF('W3'!$G$7:$G$50,'L HAY LES ROSES'!G26))+(COUNTIF('ATHIS MONS'!$G$7:$G$50,'L HAY LES ROSES'!G26))+(COUNTIF('L HAY LES ROSES'!$G$7:$G$50,'L HAY LES ROSES'!G26))+(COUNTIF(RUNGIS!$G$7:$G$50,'L HAY LES ROSES'!G26))+(COUNTIF(SCEAUX!$G$7:$G$50,'L HAY LES ROSES'!G26))+(COUNTIF('INSTANCE C1'!$G$7:$G$50,'L HAY LES ROSES'!G26))+(COUNTIF('INSTANCE C2'!$G$7:$G$50,'L HAY LES ROSES'!G26))+(COUNTIF(INTERNES!$G$7:$G$50,'L HAY LES ROSES'!G26))+(COUNTIF('EN PANNE'!$G$7:$G$50,'L HAY LES ROSES'!G26))-I26</f>
        <v>0</v>
      </c>
      <c r="I26" s="23">
        <f>(COUNTIF('2S EXPRESS'!$A$7:$A$50,'L HAY LES ROSES'!G26))+(COUNTIF('2 ZT'!$A$7:$A$50,'L HAY LES ROSES'!G26))+(COUNTIF('GO TRANSPORT'!$A$7:$A$50,'L HAY LES ROSES'!G26))+(COUNTIF('HMZ - KAIS'!$A$7:$A$50,'L HAY LES ROSES'!G26))+(COUNTIF('IB TRANSPORT'!$A$7:$A$50,'L HAY LES ROSES'!G26))+(COUNTIF(JSL!$A$7:$A$50,'L HAY LES ROSES'!G26))+(COUNTIF(KIFAITOUT!$A$7:$A$50,'L HAY LES ROSES'!G26))+(COUNTIF('LUXE DRIVE'!$A$7:$A$50,'L HAY LES ROSES'!G26))+(COUNTIF(SSN!$A$7:$A$50,'L HAY LES ROSES'!G26))+(COUNTIF('W3'!$A$7:$A$50,'L HAY LES ROSES'!G26))+(COUNTIF('ATHIS MONS'!$A$7:$A$50,'L HAY LES ROSES'!G26))+(COUNTIF('L HAY LES ROSES'!$A$7:$A$50,'L HAY LES ROSES'!G26))+(COUNTIF(RUNGIS!$A$7:$A$50,'L HAY LES ROSES'!G26))+(COUNTIF(SCEAUX!$A$7:$A$50,'L HAY LES ROSES'!G26))+(COUNTIF('INSTANCE C1'!$A$7:$A$50,'L HAY LES ROSES'!G26))+(COUNTIF('INSTANCE C2'!$A$7:$A$50,'L HAY LES ROSES'!G26))+(COUNTIF(INTERNES!$A$7:$A$50,'L HAY LES ROSES'!G26))+(COUNTIF('EN PANNE'!$A$7:$A$50,'L HAY LES ROSES'!G26))</f>
        <v>0</v>
      </c>
      <c r="J26" s="28">
        <f t="shared" si="4"/>
        <v>0</v>
      </c>
      <c r="K26" s="2"/>
      <c r="L26" s="47"/>
      <c r="S26" s="60">
        <f t="shared" si="1"/>
        <v>0</v>
      </c>
      <c r="T26" s="67">
        <f t="shared" si="2"/>
        <v>0</v>
      </c>
    </row>
    <row r="27" spans="1:20" ht="24.95" customHeight="1" x14ac:dyDescent="0.2">
      <c r="A27" s="20"/>
      <c r="B27" s="23">
        <f>(COUNTIF('2S EXPRESS'!$A$7:$A$50,'L HAY LES ROSES'!A27))+(COUNTIF('2 ZT'!$A$7:$A$50,'L HAY LES ROSES'!A27))+(COUNTIF('GO TRANSPORT'!$A$7:$A$50,'L HAY LES ROSES'!A27))+(COUNTIF('HMZ - KAIS'!$A$7:$A$50,'L HAY LES ROSES'!A27))+(COUNTIF('IB TRANSPORT'!$A$7:$A$50,'L HAY LES ROSES'!A27))+(COUNTIF(JSL!$A$7:$A$50,'L HAY LES ROSES'!A27))+(COUNTIF(KIFAITOUT!$A$7:$A$50,'L HAY LES ROSES'!A27))+(COUNTIF('LUXE DRIVE'!$A$7:$A$50,'L HAY LES ROSES'!A27))+(COUNTIF(SSN!$A$7:$A$50,'L HAY LES ROSES'!A27))+(COUNTIF('W3'!$A$7:$A$50,'L HAY LES ROSES'!A27))+(COUNTIF('ATHIS MONS'!$A$7:$A$50,'L HAY LES ROSES'!A27))+(COUNTIF('L HAY LES ROSES'!$A$7:$A$50,'L HAY LES ROSES'!A27))+(COUNTIF(RUNGIS!$A$7:$A$50,'L HAY LES ROSES'!A27))+(COUNTIF(SCEAUX!$A$7:$A$50,'L HAY LES ROSES'!A27))+(COUNTIF('INSTANCE C1'!$A$7:$A$50,'L HAY LES ROSES'!A27))+(COUNTIF('INSTANCE C2'!$A$7:$A$50,'L HAY LES ROSES'!A27))+(COUNTIF(INTERNES!$A$7:$A$50,'L HAY LES ROSES'!A27))+(COUNTIF('EN PANNE'!$A$7:$A$50,'L HAY LES ROSES'!A27))-C27</f>
        <v>0</v>
      </c>
      <c r="C27" s="23">
        <f>(COUNTIF('2S EXPRESS'!$G$7:$G$50,'L HAY LES ROSES'!A27))+(COUNTIF('2 ZT'!$G$7:$G$50,'L HAY LES ROSES'!A27))+(COUNTIF('GO TRANSPORT'!$G$7:$G$50,'L HAY LES ROSES'!A27))+(COUNTIF('L HAY LES ROSES'!$G$7:$G$50,'L HAY LES ROSES'!A27))+(COUNTIF('IB TRANSPORT'!$G$7:$G$50,'L HAY LES ROSES'!A27))+(COUNTIF(JSL!$G$7:$G$50,'L HAY LES ROSES'!A27))+(COUNTIF(KIFAITOUT!$G$7:$G$50,'L HAY LES ROSES'!A27))+(COUNTIF('LUXE DRIVE'!$G$7:$G$50,'L HAY LES ROSES'!A27))+(COUNTIF(SSN!$G$7:$G$50,'L HAY LES ROSES'!A27))+(COUNTIF('W3'!$G$7:$G$50,'L HAY LES ROSES'!A27))+(COUNTIF('ATHIS MONS'!$G$7:$G$50,'L HAY LES ROSES'!A27))+(COUNTIF('L HAY LES ROSES'!$G$7:$G$50,'L HAY LES ROSES'!A27))+(COUNTIF(RUNGIS!$G$7:$G$50,'L HAY LES ROSES'!A27))+(COUNTIF(SCEAUX!$G$7:$G$50,'L HAY LES ROSES'!A27))+(COUNTIF('INSTANCE C1'!$G$7:$G$50,'L HAY LES ROSES'!A27))+(COUNTIF('INSTANCE C2'!$G$7:$G$50,'L HAY LES ROSES'!A27))+(COUNTIF(INTERNES!$G$7:$G$50,'L HAY LES ROSES'!A27))+(COUNTIF('EN PANNE'!$G$7:$G$50,'L HAY LES ROSES'!A27))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EXPRESS'!$G$7:$G$50,'L HAY LES ROSES'!G27))+(COUNTIF('2 ZT'!$G$7:$G$50,'L HAY LES ROSES'!G27))+(COUNTIF('GO TRANSPORT'!$G$7:$G$50,'L HAY LES ROSES'!G27))+(COUNTIF('HMZ - KAIS'!$G$7:$G$50,'L HAY LES ROSES'!G27))+(COUNTIF('IB TRANSPORT'!$G$7:$G$50,'L HAY LES ROSES'!G27))+(COUNTIF(JSL!$G$7:$G$50,'L HAY LES ROSES'!G27))+(COUNTIF(KIFAITOUT!$G$7:$G$50,'L HAY LES ROSES'!G27))+(COUNTIF('LUXE DRIVE'!$G$7:$G$50,'L HAY LES ROSES'!G27))+(COUNTIF(SSN!$G$7:$G$50,'L HAY LES ROSES'!G27))+(COUNTIF('W3'!$G$7:$G$50,'L HAY LES ROSES'!G27))+(COUNTIF('ATHIS MONS'!$G$7:$G$50,'L HAY LES ROSES'!G27))+(COUNTIF('L HAY LES ROSES'!$G$7:$G$50,'L HAY LES ROSES'!G27))+(COUNTIF(RUNGIS!$G$7:$G$50,'L HAY LES ROSES'!G27))+(COUNTIF(SCEAUX!$G$7:$G$50,'L HAY LES ROSES'!G27))+(COUNTIF('INSTANCE C1'!$G$7:$G$50,'L HAY LES ROSES'!G27))+(COUNTIF('INSTANCE C2'!$G$7:$G$50,'L HAY LES ROSES'!G27))+(COUNTIF(INTERNES!$G$7:$G$50,'L HAY LES ROSES'!G27))+(COUNTIF('EN PANNE'!$G$7:$G$50,'L HAY LES ROSES'!G27))-I27</f>
        <v>0</v>
      </c>
      <c r="I27" s="23">
        <f>(COUNTIF('2S EXPRESS'!$A$7:$A$50,'L HAY LES ROSES'!G27))+(COUNTIF('2 ZT'!$A$7:$A$50,'L HAY LES ROSES'!G27))+(COUNTIF('GO TRANSPORT'!$A$7:$A$50,'L HAY LES ROSES'!G27))+(COUNTIF('HMZ - KAIS'!$A$7:$A$50,'L HAY LES ROSES'!G27))+(COUNTIF('IB TRANSPORT'!$A$7:$A$50,'L HAY LES ROSES'!G27))+(COUNTIF(JSL!$A$7:$A$50,'L HAY LES ROSES'!G27))+(COUNTIF(KIFAITOUT!$A$7:$A$50,'L HAY LES ROSES'!G27))+(COUNTIF('LUXE DRIVE'!$A$7:$A$50,'L HAY LES ROSES'!G27))+(COUNTIF(SSN!$A$7:$A$50,'L HAY LES ROSES'!G27))+(COUNTIF('W3'!$A$7:$A$50,'L HAY LES ROSES'!G27))+(COUNTIF('ATHIS MONS'!$A$7:$A$50,'L HAY LES ROSES'!G27))+(COUNTIF('L HAY LES ROSES'!$A$7:$A$50,'L HAY LES ROSES'!G27))+(COUNTIF(RUNGIS!$A$7:$A$50,'L HAY LES ROSES'!G27))+(COUNTIF(SCEAUX!$A$7:$A$50,'L HAY LES ROSES'!G27))+(COUNTIF('INSTANCE C1'!$A$7:$A$50,'L HAY LES ROSES'!G27))+(COUNTIF('INSTANCE C2'!$A$7:$A$50,'L HAY LES ROSES'!G27))+(COUNTIF(INTERNES!$A$7:$A$50,'L HAY LES ROSES'!G27))+(COUNTIF('EN PANNE'!$A$7:$A$50,'L HAY LES ROSES'!G27))</f>
        <v>0</v>
      </c>
      <c r="J27" s="28">
        <f t="shared" si="4"/>
        <v>0</v>
      </c>
      <c r="K27" s="2"/>
      <c r="L27" s="47"/>
      <c r="S27" s="60">
        <f t="shared" si="1"/>
        <v>0</v>
      </c>
      <c r="T27" s="67">
        <f t="shared" si="2"/>
        <v>0</v>
      </c>
    </row>
    <row r="28" spans="1:20" ht="24.95" customHeight="1" x14ac:dyDescent="0.2">
      <c r="A28" s="20"/>
      <c r="B28" s="23">
        <f>(COUNTIF('2S EXPRESS'!$A$7:$A$50,'L HAY LES ROSES'!A28))+(COUNTIF('2 ZT'!$A$7:$A$50,'L HAY LES ROSES'!A28))+(COUNTIF('GO TRANSPORT'!$A$7:$A$50,'L HAY LES ROSES'!A28))+(COUNTIF('HMZ - KAIS'!$A$7:$A$50,'L HAY LES ROSES'!A28))+(COUNTIF('IB TRANSPORT'!$A$7:$A$50,'L HAY LES ROSES'!A28))+(COUNTIF(JSL!$A$7:$A$50,'L HAY LES ROSES'!A28))+(COUNTIF(KIFAITOUT!$A$7:$A$50,'L HAY LES ROSES'!A28))+(COUNTIF('LUXE DRIVE'!$A$7:$A$50,'L HAY LES ROSES'!A28))+(COUNTIF(SSN!$A$7:$A$50,'L HAY LES ROSES'!A28))+(COUNTIF('W3'!$A$7:$A$50,'L HAY LES ROSES'!A28))+(COUNTIF('ATHIS MONS'!$A$7:$A$50,'L HAY LES ROSES'!A28))+(COUNTIF('L HAY LES ROSES'!$A$7:$A$50,'L HAY LES ROSES'!A28))+(COUNTIF(RUNGIS!$A$7:$A$50,'L HAY LES ROSES'!A28))+(COUNTIF(SCEAUX!$A$7:$A$50,'L HAY LES ROSES'!A28))+(COUNTIF('INSTANCE C1'!$A$7:$A$50,'L HAY LES ROSES'!A28))+(COUNTIF('INSTANCE C2'!$A$7:$A$50,'L HAY LES ROSES'!A28))+(COUNTIF(INTERNES!$A$7:$A$50,'L HAY LES ROSES'!A28))+(COUNTIF('EN PANNE'!$A$7:$A$50,'L HAY LES ROSES'!A28))-C28</f>
        <v>0</v>
      </c>
      <c r="C28" s="23">
        <f>(COUNTIF('2S EXPRESS'!$G$7:$G$50,'L HAY LES ROSES'!A28))+(COUNTIF('2 ZT'!$G$7:$G$50,'L HAY LES ROSES'!A28))+(COUNTIF('GO TRANSPORT'!$G$7:$G$50,'L HAY LES ROSES'!A28))+(COUNTIF('L HAY LES ROSES'!$G$7:$G$50,'L HAY LES ROSES'!A28))+(COUNTIF('IB TRANSPORT'!$G$7:$G$50,'L HAY LES ROSES'!A28))+(COUNTIF(JSL!$G$7:$G$50,'L HAY LES ROSES'!A28))+(COUNTIF(KIFAITOUT!$G$7:$G$50,'L HAY LES ROSES'!A28))+(COUNTIF('LUXE DRIVE'!$G$7:$G$50,'L HAY LES ROSES'!A28))+(COUNTIF(SSN!$G$7:$G$50,'L HAY LES ROSES'!A28))+(COUNTIF('W3'!$G$7:$G$50,'L HAY LES ROSES'!A28))+(COUNTIF('ATHIS MONS'!$G$7:$G$50,'L HAY LES ROSES'!A28))+(COUNTIF('L HAY LES ROSES'!$G$7:$G$50,'L HAY LES ROSES'!A28))+(COUNTIF(RUNGIS!$G$7:$G$50,'L HAY LES ROSES'!A28))+(COUNTIF(SCEAUX!$G$7:$G$50,'L HAY LES ROSES'!A28))+(COUNTIF('INSTANCE C1'!$G$7:$G$50,'L HAY LES ROSES'!A28))+(COUNTIF('INSTANCE C2'!$G$7:$G$50,'L HAY LES ROSES'!A28))+(COUNTIF(INTERNES!$G$7:$G$50,'L HAY LES ROSES'!A28))+(COUNTIF('EN PANNE'!$G$7:$G$50,'L HAY LES ROSES'!A28))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EXPRESS'!$G$7:$G$50,'L HAY LES ROSES'!G28))+(COUNTIF('2 ZT'!$G$7:$G$50,'L HAY LES ROSES'!G28))+(COUNTIF('GO TRANSPORT'!$G$7:$G$50,'L HAY LES ROSES'!G28))+(COUNTIF('HMZ - KAIS'!$G$7:$G$50,'L HAY LES ROSES'!G28))+(COUNTIF('IB TRANSPORT'!$G$7:$G$50,'L HAY LES ROSES'!G28))+(COUNTIF(JSL!$G$7:$G$50,'L HAY LES ROSES'!G28))+(COUNTIF(KIFAITOUT!$G$7:$G$50,'L HAY LES ROSES'!G28))+(COUNTIF('LUXE DRIVE'!$G$7:$G$50,'L HAY LES ROSES'!G28))+(COUNTIF(SSN!$G$7:$G$50,'L HAY LES ROSES'!G28))+(COUNTIF('W3'!$G$7:$G$50,'L HAY LES ROSES'!G28))+(COUNTIF('ATHIS MONS'!$G$7:$G$50,'L HAY LES ROSES'!G28))+(COUNTIF('L HAY LES ROSES'!$G$7:$G$50,'L HAY LES ROSES'!G28))+(COUNTIF(RUNGIS!$G$7:$G$50,'L HAY LES ROSES'!G28))+(COUNTIF(SCEAUX!$G$7:$G$50,'L HAY LES ROSES'!G28))+(COUNTIF('INSTANCE C1'!$G$7:$G$50,'L HAY LES ROSES'!G28))+(COUNTIF('INSTANCE C2'!$G$7:$G$50,'L HAY LES ROSES'!G28))+(COUNTIF(INTERNES!$G$7:$G$50,'L HAY LES ROSES'!G28))+(COUNTIF('EN PANNE'!$G$7:$G$50,'L HAY LES ROSES'!G28))-I28</f>
        <v>0</v>
      </c>
      <c r="I28" s="23">
        <f>(COUNTIF('2S EXPRESS'!$A$7:$A$50,'L HAY LES ROSES'!G28))+(COUNTIF('2 ZT'!$A$7:$A$50,'L HAY LES ROSES'!G28))+(COUNTIF('GO TRANSPORT'!$A$7:$A$50,'L HAY LES ROSES'!G28))+(COUNTIF('HMZ - KAIS'!$A$7:$A$50,'L HAY LES ROSES'!G28))+(COUNTIF('IB TRANSPORT'!$A$7:$A$50,'L HAY LES ROSES'!G28))+(COUNTIF(JSL!$A$7:$A$50,'L HAY LES ROSES'!G28))+(COUNTIF(KIFAITOUT!$A$7:$A$50,'L HAY LES ROSES'!G28))+(COUNTIF('LUXE DRIVE'!$A$7:$A$50,'L HAY LES ROSES'!G28))+(COUNTIF(SSN!$A$7:$A$50,'L HAY LES ROSES'!G28))+(COUNTIF('W3'!$A$7:$A$50,'L HAY LES ROSES'!G28))+(COUNTIF('ATHIS MONS'!$A$7:$A$50,'L HAY LES ROSES'!G28))+(COUNTIF('L HAY LES ROSES'!$A$7:$A$50,'L HAY LES ROSES'!G28))+(COUNTIF(RUNGIS!$A$7:$A$50,'L HAY LES ROSES'!G28))+(COUNTIF(SCEAUX!$A$7:$A$50,'L HAY LES ROSES'!G28))+(COUNTIF('INSTANCE C1'!$A$7:$A$50,'L HAY LES ROSES'!G28))+(COUNTIF('INSTANCE C2'!$A$7:$A$50,'L HAY LES ROSES'!G28))+(COUNTIF(INTERNES!$A$7:$A$50,'L HAY LES ROSES'!G28))+(COUNTIF('EN PANNE'!$A$7:$A$50,'L HAY LES ROSES'!G28))</f>
        <v>0</v>
      </c>
      <c r="J28" s="28">
        <f t="shared" si="4"/>
        <v>0</v>
      </c>
      <c r="K28" s="2"/>
      <c r="L28" s="47"/>
      <c r="S28" s="60">
        <f t="shared" si="1"/>
        <v>0</v>
      </c>
      <c r="T28" s="67">
        <f t="shared" si="2"/>
        <v>0</v>
      </c>
    </row>
    <row r="29" spans="1:20" ht="24.95" customHeight="1" x14ac:dyDescent="0.2">
      <c r="A29" s="20"/>
      <c r="B29" s="23">
        <f>(COUNTIF('2S EXPRESS'!$A$7:$A$50,'L HAY LES ROSES'!A29))+(COUNTIF('2 ZT'!$A$7:$A$50,'L HAY LES ROSES'!A29))+(COUNTIF('GO TRANSPORT'!$A$7:$A$50,'L HAY LES ROSES'!A29))+(COUNTIF('HMZ - KAIS'!$A$7:$A$50,'L HAY LES ROSES'!A29))+(COUNTIF('IB TRANSPORT'!$A$7:$A$50,'L HAY LES ROSES'!A29))+(COUNTIF(JSL!$A$7:$A$50,'L HAY LES ROSES'!A29))+(COUNTIF(KIFAITOUT!$A$7:$A$50,'L HAY LES ROSES'!A29))+(COUNTIF('LUXE DRIVE'!$A$7:$A$50,'L HAY LES ROSES'!A29))+(COUNTIF(SSN!$A$7:$A$50,'L HAY LES ROSES'!A29))+(COUNTIF('W3'!$A$7:$A$50,'L HAY LES ROSES'!A29))+(COUNTIF('ATHIS MONS'!$A$7:$A$50,'L HAY LES ROSES'!A29))+(COUNTIF('L HAY LES ROSES'!$A$7:$A$50,'L HAY LES ROSES'!A29))+(COUNTIF(RUNGIS!$A$7:$A$50,'L HAY LES ROSES'!A29))+(COUNTIF(SCEAUX!$A$7:$A$50,'L HAY LES ROSES'!A29))+(COUNTIF('INSTANCE C1'!$A$7:$A$50,'L HAY LES ROSES'!A29))+(COUNTIF('INSTANCE C2'!$A$7:$A$50,'L HAY LES ROSES'!A29))+(COUNTIF(INTERNES!$A$7:$A$50,'L HAY LES ROSES'!A29))+(COUNTIF('EN PANNE'!$A$7:$A$50,'L HAY LES ROSES'!A29))-C29</f>
        <v>0</v>
      </c>
      <c r="C29" s="23">
        <f>(COUNTIF('2S EXPRESS'!$G$7:$G$50,'L HAY LES ROSES'!A29))+(COUNTIF('2 ZT'!$G$7:$G$50,'L HAY LES ROSES'!A29))+(COUNTIF('GO TRANSPORT'!$G$7:$G$50,'L HAY LES ROSES'!A29))+(COUNTIF('L HAY LES ROSES'!$G$7:$G$50,'L HAY LES ROSES'!A29))+(COUNTIF('IB TRANSPORT'!$G$7:$G$50,'L HAY LES ROSES'!A29))+(COUNTIF(JSL!$G$7:$G$50,'L HAY LES ROSES'!A29))+(COUNTIF(KIFAITOUT!$G$7:$G$50,'L HAY LES ROSES'!A29))+(COUNTIF('LUXE DRIVE'!$G$7:$G$50,'L HAY LES ROSES'!A29))+(COUNTIF(SSN!$G$7:$G$50,'L HAY LES ROSES'!A29))+(COUNTIF('W3'!$G$7:$G$50,'L HAY LES ROSES'!A29))+(COUNTIF('ATHIS MONS'!$G$7:$G$50,'L HAY LES ROSES'!A29))+(COUNTIF('L HAY LES ROSES'!$G$7:$G$50,'L HAY LES ROSES'!A29))+(COUNTIF(RUNGIS!$G$7:$G$50,'L HAY LES ROSES'!A29))+(COUNTIF(SCEAUX!$G$7:$G$50,'L HAY LES ROSES'!A29))+(COUNTIF('INSTANCE C1'!$G$7:$G$50,'L HAY LES ROSES'!A29))+(COUNTIF('INSTANCE C2'!$G$7:$G$50,'L HAY LES ROSES'!A29))+(COUNTIF(INTERNES!$G$7:$G$50,'L HAY LES ROSES'!A29))+(COUNTIF('EN PANNE'!$G$7:$G$50,'L HAY LES ROSES'!A29))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EXPRESS'!$G$7:$G$50,'L HAY LES ROSES'!G29))+(COUNTIF('2 ZT'!$G$7:$G$50,'L HAY LES ROSES'!G29))+(COUNTIF('GO TRANSPORT'!$G$7:$G$50,'L HAY LES ROSES'!G29))+(COUNTIF('HMZ - KAIS'!$G$7:$G$50,'L HAY LES ROSES'!G29))+(COUNTIF('IB TRANSPORT'!$G$7:$G$50,'L HAY LES ROSES'!G29))+(COUNTIF(JSL!$G$7:$G$50,'L HAY LES ROSES'!G29))+(COUNTIF(KIFAITOUT!$G$7:$G$50,'L HAY LES ROSES'!G29))+(COUNTIF('LUXE DRIVE'!$G$7:$G$50,'L HAY LES ROSES'!G29))+(COUNTIF(SSN!$G$7:$G$50,'L HAY LES ROSES'!G29))+(COUNTIF('W3'!$G$7:$G$50,'L HAY LES ROSES'!G29))+(COUNTIF('ATHIS MONS'!$G$7:$G$50,'L HAY LES ROSES'!G29))+(COUNTIF('L HAY LES ROSES'!$G$7:$G$50,'L HAY LES ROSES'!G29))+(COUNTIF(RUNGIS!$G$7:$G$50,'L HAY LES ROSES'!G29))+(COUNTIF(SCEAUX!$G$7:$G$50,'L HAY LES ROSES'!G29))+(COUNTIF('INSTANCE C1'!$G$7:$G$50,'L HAY LES ROSES'!G29))+(COUNTIF('INSTANCE C2'!$G$7:$G$50,'L HAY LES ROSES'!G29))+(COUNTIF(INTERNES!$G$7:$G$50,'L HAY LES ROSES'!G29))+(COUNTIF('EN PANNE'!$G$7:$G$50,'L HAY LES ROSES'!G29))-I29</f>
        <v>0</v>
      </c>
      <c r="I29" s="23">
        <f>(COUNTIF('2S EXPRESS'!$A$7:$A$50,'L HAY LES ROSES'!G29))+(COUNTIF('2 ZT'!$A$7:$A$50,'L HAY LES ROSES'!G29))+(COUNTIF('GO TRANSPORT'!$A$7:$A$50,'L HAY LES ROSES'!G29))+(COUNTIF('HMZ - KAIS'!$A$7:$A$50,'L HAY LES ROSES'!G29))+(COUNTIF('IB TRANSPORT'!$A$7:$A$50,'L HAY LES ROSES'!G29))+(COUNTIF(JSL!$A$7:$A$50,'L HAY LES ROSES'!G29))+(COUNTIF(KIFAITOUT!$A$7:$A$50,'L HAY LES ROSES'!G29))+(COUNTIF('LUXE DRIVE'!$A$7:$A$50,'L HAY LES ROSES'!G29))+(COUNTIF(SSN!$A$7:$A$50,'L HAY LES ROSES'!G29))+(COUNTIF('W3'!$A$7:$A$50,'L HAY LES ROSES'!G29))+(COUNTIF('ATHIS MONS'!$A$7:$A$50,'L HAY LES ROSES'!G29))+(COUNTIF('L HAY LES ROSES'!$A$7:$A$50,'L HAY LES ROSES'!G29))+(COUNTIF(RUNGIS!$A$7:$A$50,'L HAY LES ROSES'!G29))+(COUNTIF(SCEAUX!$A$7:$A$50,'L HAY LES ROSES'!G29))+(COUNTIF('INSTANCE C1'!$A$7:$A$50,'L HAY LES ROSES'!G29))+(COUNTIF('INSTANCE C2'!$A$7:$A$50,'L HAY LES ROSES'!G29))+(COUNTIF(INTERNES!$A$7:$A$50,'L HAY LES ROSES'!G29))+(COUNTIF('EN PANNE'!$A$7:$A$50,'L HAY LES ROSES'!G29))</f>
        <v>0</v>
      </c>
      <c r="J29" s="28">
        <f t="shared" si="4"/>
        <v>0</v>
      </c>
      <c r="K29" s="2"/>
      <c r="L29" s="47"/>
      <c r="S29" s="60">
        <f t="shared" si="1"/>
        <v>0</v>
      </c>
      <c r="T29" s="67">
        <f t="shared" si="2"/>
        <v>0</v>
      </c>
    </row>
    <row r="30" spans="1:20" ht="24.95" customHeight="1" x14ac:dyDescent="0.2">
      <c r="A30" s="20"/>
      <c r="B30" s="23">
        <f>(COUNTIF('2S EXPRESS'!$A$7:$A$50,'L HAY LES ROSES'!A30))+(COUNTIF('2 ZT'!$A$7:$A$50,'L HAY LES ROSES'!A30))+(COUNTIF('GO TRANSPORT'!$A$7:$A$50,'L HAY LES ROSES'!A30))+(COUNTIF('HMZ - KAIS'!$A$7:$A$50,'L HAY LES ROSES'!A30))+(COUNTIF('IB TRANSPORT'!$A$7:$A$50,'L HAY LES ROSES'!A30))+(COUNTIF(JSL!$A$7:$A$50,'L HAY LES ROSES'!A30))+(COUNTIF(KIFAITOUT!$A$7:$A$50,'L HAY LES ROSES'!A30))+(COUNTIF('LUXE DRIVE'!$A$7:$A$50,'L HAY LES ROSES'!A30))+(COUNTIF(SSN!$A$7:$A$50,'L HAY LES ROSES'!A30))+(COUNTIF('W3'!$A$7:$A$50,'L HAY LES ROSES'!A30))+(COUNTIF('ATHIS MONS'!$A$7:$A$50,'L HAY LES ROSES'!A30))+(COUNTIF('L HAY LES ROSES'!$A$7:$A$50,'L HAY LES ROSES'!A30))+(COUNTIF(RUNGIS!$A$7:$A$50,'L HAY LES ROSES'!A30))+(COUNTIF(SCEAUX!$A$7:$A$50,'L HAY LES ROSES'!A30))+(COUNTIF('INSTANCE C1'!$A$7:$A$50,'L HAY LES ROSES'!A30))+(COUNTIF('INSTANCE C2'!$A$7:$A$50,'L HAY LES ROSES'!A30))+(COUNTIF(INTERNES!$A$7:$A$50,'L HAY LES ROSES'!A30))+(COUNTIF('EN PANNE'!$A$7:$A$50,'L HAY LES ROSES'!A30))-C30</f>
        <v>0</v>
      </c>
      <c r="C30" s="23">
        <f>(COUNTIF('2S EXPRESS'!$G$7:$G$50,'L HAY LES ROSES'!A30))+(COUNTIF('2 ZT'!$G$7:$G$50,'L HAY LES ROSES'!A30))+(COUNTIF('GO TRANSPORT'!$G$7:$G$50,'L HAY LES ROSES'!A30))+(COUNTIF('L HAY LES ROSES'!$G$7:$G$50,'L HAY LES ROSES'!A30))+(COUNTIF('IB TRANSPORT'!$G$7:$G$50,'L HAY LES ROSES'!A30))+(COUNTIF(JSL!$G$7:$G$50,'L HAY LES ROSES'!A30))+(COUNTIF(KIFAITOUT!$G$7:$G$50,'L HAY LES ROSES'!A30))+(COUNTIF('LUXE DRIVE'!$G$7:$G$50,'L HAY LES ROSES'!A30))+(COUNTIF(SSN!$G$7:$G$50,'L HAY LES ROSES'!A30))+(COUNTIF('W3'!$G$7:$G$50,'L HAY LES ROSES'!A30))+(COUNTIF('ATHIS MONS'!$G$7:$G$50,'L HAY LES ROSES'!A30))+(COUNTIF('L HAY LES ROSES'!$G$7:$G$50,'L HAY LES ROSES'!A30))+(COUNTIF(RUNGIS!$G$7:$G$50,'L HAY LES ROSES'!A30))+(COUNTIF(SCEAUX!$G$7:$G$50,'L HAY LES ROSES'!A30))+(COUNTIF('INSTANCE C1'!$G$7:$G$50,'L HAY LES ROSES'!A30))+(COUNTIF('INSTANCE C2'!$G$7:$G$50,'L HAY LES ROSES'!A30))+(COUNTIF(INTERNES!$G$7:$G$50,'L HAY LES ROSES'!A30))+(COUNTIF('EN PANNE'!$G$7:$G$50,'L HAY LES ROSES'!A30))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EXPRESS'!$G$7:$G$50,'L HAY LES ROSES'!G30))+(COUNTIF('2 ZT'!$G$7:$G$50,'L HAY LES ROSES'!G30))+(COUNTIF('GO TRANSPORT'!$G$7:$G$50,'L HAY LES ROSES'!G30))+(COUNTIF('HMZ - KAIS'!$G$7:$G$50,'L HAY LES ROSES'!G30))+(COUNTIF('IB TRANSPORT'!$G$7:$G$50,'L HAY LES ROSES'!G30))+(COUNTIF(JSL!$G$7:$G$50,'L HAY LES ROSES'!G30))+(COUNTIF(KIFAITOUT!$G$7:$G$50,'L HAY LES ROSES'!G30))+(COUNTIF('LUXE DRIVE'!$G$7:$G$50,'L HAY LES ROSES'!G30))+(COUNTIF(SSN!$G$7:$G$50,'L HAY LES ROSES'!G30))+(COUNTIF('W3'!$G$7:$G$50,'L HAY LES ROSES'!G30))+(COUNTIF('ATHIS MONS'!$G$7:$G$50,'L HAY LES ROSES'!G30))+(COUNTIF('L HAY LES ROSES'!$G$7:$G$50,'L HAY LES ROSES'!G30))+(COUNTIF(RUNGIS!$G$7:$G$50,'L HAY LES ROSES'!G30))+(COUNTIF(SCEAUX!$G$7:$G$50,'L HAY LES ROSES'!G30))+(COUNTIF('INSTANCE C1'!$G$7:$G$50,'L HAY LES ROSES'!G30))+(COUNTIF('INSTANCE C2'!$G$7:$G$50,'L HAY LES ROSES'!G30))+(COUNTIF(INTERNES!$G$7:$G$50,'L HAY LES ROSES'!G30))+(COUNTIF('EN PANNE'!$G$7:$G$50,'L HAY LES ROSES'!G30))-I30</f>
        <v>0</v>
      </c>
      <c r="I30" s="23">
        <f>(COUNTIF('2S EXPRESS'!$A$7:$A$50,'L HAY LES ROSES'!G30))+(COUNTIF('2 ZT'!$A$7:$A$50,'L HAY LES ROSES'!G30))+(COUNTIF('GO TRANSPORT'!$A$7:$A$50,'L HAY LES ROSES'!G30))+(COUNTIF('HMZ - KAIS'!$A$7:$A$50,'L HAY LES ROSES'!G30))+(COUNTIF('IB TRANSPORT'!$A$7:$A$50,'L HAY LES ROSES'!G30))+(COUNTIF(JSL!$A$7:$A$50,'L HAY LES ROSES'!G30))+(COUNTIF(KIFAITOUT!$A$7:$A$50,'L HAY LES ROSES'!G30))+(COUNTIF('LUXE DRIVE'!$A$7:$A$50,'L HAY LES ROSES'!G30))+(COUNTIF(SSN!$A$7:$A$50,'L HAY LES ROSES'!G30))+(COUNTIF('W3'!$A$7:$A$50,'L HAY LES ROSES'!G30))+(COUNTIF('ATHIS MONS'!$A$7:$A$50,'L HAY LES ROSES'!G30))+(COUNTIF('L HAY LES ROSES'!$A$7:$A$50,'L HAY LES ROSES'!G30))+(COUNTIF(RUNGIS!$A$7:$A$50,'L HAY LES ROSES'!G30))+(COUNTIF(SCEAUX!$A$7:$A$50,'L HAY LES ROSES'!G30))+(COUNTIF('INSTANCE C1'!$A$7:$A$50,'L HAY LES ROSES'!G30))+(COUNTIF('INSTANCE C2'!$A$7:$A$50,'L HAY LES ROSES'!G30))+(COUNTIF(INTERNES!$A$7:$A$50,'L HAY LES ROSES'!G30))+(COUNTIF('EN PANNE'!$A$7:$A$50,'L HAY LES ROSES'!G30))</f>
        <v>0</v>
      </c>
      <c r="J30" s="28">
        <f t="shared" si="4"/>
        <v>0</v>
      </c>
      <c r="K30" s="2"/>
      <c r="L30" s="47"/>
      <c r="S30" s="60">
        <f t="shared" si="1"/>
        <v>0</v>
      </c>
      <c r="T30" s="67">
        <f t="shared" si="2"/>
        <v>0</v>
      </c>
    </row>
    <row r="31" spans="1:20" ht="24.95" customHeight="1" x14ac:dyDescent="0.2">
      <c r="A31" s="20"/>
      <c r="B31" s="23">
        <f>(COUNTIF('2S EXPRESS'!$A$7:$A$50,'L HAY LES ROSES'!A31))+(COUNTIF('2 ZT'!$A$7:$A$50,'L HAY LES ROSES'!A31))+(COUNTIF('GO TRANSPORT'!$A$7:$A$50,'L HAY LES ROSES'!A31))+(COUNTIF('HMZ - KAIS'!$A$7:$A$50,'L HAY LES ROSES'!A31))+(COUNTIF('IB TRANSPORT'!$A$7:$A$50,'L HAY LES ROSES'!A31))+(COUNTIF(JSL!$A$7:$A$50,'L HAY LES ROSES'!A31))+(COUNTIF(KIFAITOUT!$A$7:$A$50,'L HAY LES ROSES'!A31))+(COUNTIF('LUXE DRIVE'!$A$7:$A$50,'L HAY LES ROSES'!A31))+(COUNTIF(SSN!$A$7:$A$50,'L HAY LES ROSES'!A31))+(COUNTIF('W3'!$A$7:$A$50,'L HAY LES ROSES'!A31))+(COUNTIF('ATHIS MONS'!$A$7:$A$50,'L HAY LES ROSES'!A31))+(COUNTIF('L HAY LES ROSES'!$A$7:$A$50,'L HAY LES ROSES'!A31))+(COUNTIF(RUNGIS!$A$7:$A$50,'L HAY LES ROSES'!A31))+(COUNTIF(SCEAUX!$A$7:$A$50,'L HAY LES ROSES'!A31))+(COUNTIF('INSTANCE C1'!$A$7:$A$50,'L HAY LES ROSES'!A31))+(COUNTIF('INSTANCE C2'!$A$7:$A$50,'L HAY LES ROSES'!A31))+(COUNTIF(INTERNES!$A$7:$A$50,'L HAY LES ROSES'!A31))+(COUNTIF('EN PANNE'!$A$7:$A$50,'L HAY LES ROSES'!A31))-C31</f>
        <v>0</v>
      </c>
      <c r="C31" s="23">
        <f>(COUNTIF('2S EXPRESS'!$G$7:$G$50,'L HAY LES ROSES'!A31))+(COUNTIF('2 ZT'!$G$7:$G$50,'L HAY LES ROSES'!A31))+(COUNTIF('GO TRANSPORT'!$G$7:$G$50,'L HAY LES ROSES'!A31))+(COUNTIF('L HAY LES ROSES'!$G$7:$G$50,'L HAY LES ROSES'!A31))+(COUNTIF('IB TRANSPORT'!$G$7:$G$50,'L HAY LES ROSES'!A31))+(COUNTIF(JSL!$G$7:$G$50,'L HAY LES ROSES'!A31))+(COUNTIF(KIFAITOUT!$G$7:$G$50,'L HAY LES ROSES'!A31))+(COUNTIF('LUXE DRIVE'!$G$7:$G$50,'L HAY LES ROSES'!A31))+(COUNTIF(SSN!$G$7:$G$50,'L HAY LES ROSES'!A31))+(COUNTIF('W3'!$G$7:$G$50,'L HAY LES ROSES'!A31))+(COUNTIF('ATHIS MONS'!$G$7:$G$50,'L HAY LES ROSES'!A31))+(COUNTIF('L HAY LES ROSES'!$G$7:$G$50,'L HAY LES ROSES'!A31))+(COUNTIF(RUNGIS!$G$7:$G$50,'L HAY LES ROSES'!A31))+(COUNTIF(SCEAUX!$G$7:$G$50,'L HAY LES ROSES'!A31))+(COUNTIF('INSTANCE C1'!$G$7:$G$50,'L HAY LES ROSES'!A31))+(COUNTIF('INSTANCE C2'!$G$7:$G$50,'L HAY LES ROSES'!A31))+(COUNTIF(INTERNES!$G$7:$G$50,'L HAY LES ROSES'!A31))+(COUNTIF('EN PANNE'!$G$7:$G$50,'L HAY LES ROSES'!A31))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EXPRESS'!$G$7:$G$50,'L HAY LES ROSES'!G31))+(COUNTIF('2 ZT'!$G$7:$G$50,'L HAY LES ROSES'!G31))+(COUNTIF('GO TRANSPORT'!$G$7:$G$50,'L HAY LES ROSES'!G31))+(COUNTIF('HMZ - KAIS'!$G$7:$G$50,'L HAY LES ROSES'!G31))+(COUNTIF('IB TRANSPORT'!$G$7:$G$50,'L HAY LES ROSES'!G31))+(COUNTIF(JSL!$G$7:$G$50,'L HAY LES ROSES'!G31))+(COUNTIF(KIFAITOUT!$G$7:$G$50,'L HAY LES ROSES'!G31))+(COUNTIF('LUXE DRIVE'!$G$7:$G$50,'L HAY LES ROSES'!G31))+(COUNTIF(SSN!$G$7:$G$50,'L HAY LES ROSES'!G31))+(COUNTIF('W3'!$G$7:$G$50,'L HAY LES ROSES'!G31))+(COUNTIF('ATHIS MONS'!$G$7:$G$50,'L HAY LES ROSES'!G31))+(COUNTIF('L HAY LES ROSES'!$G$7:$G$50,'L HAY LES ROSES'!G31))+(COUNTIF(RUNGIS!$G$7:$G$50,'L HAY LES ROSES'!G31))+(COUNTIF(SCEAUX!$G$7:$G$50,'L HAY LES ROSES'!G31))+(COUNTIF('INSTANCE C1'!$G$7:$G$50,'L HAY LES ROSES'!G31))+(COUNTIF('INSTANCE C2'!$G$7:$G$50,'L HAY LES ROSES'!G31))+(COUNTIF(INTERNES!$G$7:$G$50,'L HAY LES ROSES'!G31))+(COUNTIF('EN PANNE'!$G$7:$G$50,'L HAY LES ROSES'!G31))-I31</f>
        <v>0</v>
      </c>
      <c r="I31" s="23">
        <f>(COUNTIF('2S EXPRESS'!$A$7:$A$50,'L HAY LES ROSES'!G31))+(COUNTIF('2 ZT'!$A$7:$A$50,'L HAY LES ROSES'!G31))+(COUNTIF('GO TRANSPORT'!$A$7:$A$50,'L HAY LES ROSES'!G31))+(COUNTIF('HMZ - KAIS'!$A$7:$A$50,'L HAY LES ROSES'!G31))+(COUNTIF('IB TRANSPORT'!$A$7:$A$50,'L HAY LES ROSES'!G31))+(COUNTIF(JSL!$A$7:$A$50,'L HAY LES ROSES'!G31))+(COUNTIF(KIFAITOUT!$A$7:$A$50,'L HAY LES ROSES'!G31))+(COUNTIF('LUXE DRIVE'!$A$7:$A$50,'L HAY LES ROSES'!G31))+(COUNTIF(SSN!$A$7:$A$50,'L HAY LES ROSES'!G31))+(COUNTIF('W3'!$A$7:$A$50,'L HAY LES ROSES'!G31))+(COUNTIF('ATHIS MONS'!$A$7:$A$50,'L HAY LES ROSES'!G31))+(COUNTIF('L HAY LES ROSES'!$A$7:$A$50,'L HAY LES ROSES'!G31))+(COUNTIF(RUNGIS!$A$7:$A$50,'L HAY LES ROSES'!G31))+(COUNTIF(SCEAUX!$A$7:$A$50,'L HAY LES ROSES'!G31))+(COUNTIF('INSTANCE C1'!$A$7:$A$50,'L HAY LES ROSES'!G31))+(COUNTIF('INSTANCE C2'!$A$7:$A$50,'L HAY LES ROSES'!G31))+(COUNTIF(INTERNES!$A$7:$A$50,'L HAY LES ROSES'!G31))+(COUNTIF('EN PANNE'!$A$7:$A$50,'L HAY LES ROSES'!G31))</f>
        <v>0</v>
      </c>
      <c r="J31" s="28">
        <f t="shared" si="4"/>
        <v>0</v>
      </c>
      <c r="K31" s="2"/>
      <c r="L31" s="47"/>
      <c r="S31" s="60">
        <f t="shared" si="1"/>
        <v>0</v>
      </c>
      <c r="T31" s="67">
        <f t="shared" si="2"/>
        <v>0</v>
      </c>
    </row>
    <row r="32" spans="1:20" ht="24.95" customHeight="1" x14ac:dyDescent="0.2">
      <c r="A32" s="20"/>
      <c r="B32" s="23">
        <f>(COUNTIF('2S EXPRESS'!$A$7:$A$50,'L HAY LES ROSES'!A32))+(COUNTIF('2 ZT'!$A$7:$A$50,'L HAY LES ROSES'!A32))+(COUNTIF('GO TRANSPORT'!$A$7:$A$50,'L HAY LES ROSES'!A32))+(COUNTIF('HMZ - KAIS'!$A$7:$A$50,'L HAY LES ROSES'!A32))+(COUNTIF('IB TRANSPORT'!$A$7:$A$50,'L HAY LES ROSES'!A32))+(COUNTIF(JSL!$A$7:$A$50,'L HAY LES ROSES'!A32))+(COUNTIF(KIFAITOUT!$A$7:$A$50,'L HAY LES ROSES'!A32))+(COUNTIF('LUXE DRIVE'!$A$7:$A$50,'L HAY LES ROSES'!A32))+(COUNTIF(SSN!$A$7:$A$50,'L HAY LES ROSES'!A32))+(COUNTIF('W3'!$A$7:$A$50,'L HAY LES ROSES'!A32))+(COUNTIF('ATHIS MONS'!$A$7:$A$50,'L HAY LES ROSES'!A32))+(COUNTIF('L HAY LES ROSES'!$A$7:$A$50,'L HAY LES ROSES'!A32))+(COUNTIF(RUNGIS!$A$7:$A$50,'L HAY LES ROSES'!A32))+(COUNTIF(SCEAUX!$A$7:$A$50,'L HAY LES ROSES'!A32))+(COUNTIF('INSTANCE C1'!$A$7:$A$50,'L HAY LES ROSES'!A32))+(COUNTIF('INSTANCE C2'!$A$7:$A$50,'L HAY LES ROSES'!A32))+(COUNTIF(INTERNES!$A$7:$A$50,'L HAY LES ROSES'!A32))+(COUNTIF('EN PANNE'!$A$7:$A$50,'L HAY LES ROSES'!A32))-C32</f>
        <v>0</v>
      </c>
      <c r="C32" s="23">
        <f>(COUNTIF('2S EXPRESS'!$G$7:$G$50,'L HAY LES ROSES'!A32))+(COUNTIF('2 ZT'!$G$7:$G$50,'L HAY LES ROSES'!A32))+(COUNTIF('GO TRANSPORT'!$G$7:$G$50,'L HAY LES ROSES'!A32))+(COUNTIF('L HAY LES ROSES'!$G$7:$G$50,'L HAY LES ROSES'!A32))+(COUNTIF('IB TRANSPORT'!$G$7:$G$50,'L HAY LES ROSES'!A32))+(COUNTIF(JSL!$G$7:$G$50,'L HAY LES ROSES'!A32))+(COUNTIF(KIFAITOUT!$G$7:$G$50,'L HAY LES ROSES'!A32))+(COUNTIF('LUXE DRIVE'!$G$7:$G$50,'L HAY LES ROSES'!A32))+(COUNTIF(SSN!$G$7:$G$50,'L HAY LES ROSES'!A32))+(COUNTIF('W3'!$G$7:$G$50,'L HAY LES ROSES'!A32))+(COUNTIF('ATHIS MONS'!$G$7:$G$50,'L HAY LES ROSES'!A32))+(COUNTIF('L HAY LES ROSES'!$G$7:$G$50,'L HAY LES ROSES'!A32))+(COUNTIF(RUNGIS!$G$7:$G$50,'L HAY LES ROSES'!A32))+(COUNTIF(SCEAUX!$G$7:$G$50,'L HAY LES ROSES'!A32))+(COUNTIF('INSTANCE C1'!$G$7:$G$50,'L HAY LES ROSES'!A32))+(COUNTIF('INSTANCE C2'!$G$7:$G$50,'L HAY LES ROSES'!A32))+(COUNTIF(INTERNES!$G$7:$G$50,'L HAY LES ROSES'!A32))+(COUNTIF('EN PANNE'!$G$7:$G$50,'L HAY LES ROSES'!A32))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EXPRESS'!$G$7:$G$50,'L HAY LES ROSES'!G32))+(COUNTIF('2 ZT'!$G$7:$G$50,'L HAY LES ROSES'!G32))+(COUNTIF('GO TRANSPORT'!$G$7:$G$50,'L HAY LES ROSES'!G32))+(COUNTIF('HMZ - KAIS'!$G$7:$G$50,'L HAY LES ROSES'!G32))+(COUNTIF('IB TRANSPORT'!$G$7:$G$50,'L HAY LES ROSES'!G32))+(COUNTIF(JSL!$G$7:$G$50,'L HAY LES ROSES'!G32))+(COUNTIF(KIFAITOUT!$G$7:$G$50,'L HAY LES ROSES'!G32))+(COUNTIF('LUXE DRIVE'!$G$7:$G$50,'L HAY LES ROSES'!G32))+(COUNTIF(SSN!$G$7:$G$50,'L HAY LES ROSES'!G32))+(COUNTIF('W3'!$G$7:$G$50,'L HAY LES ROSES'!G32))+(COUNTIF('ATHIS MONS'!$G$7:$G$50,'L HAY LES ROSES'!G32))+(COUNTIF('L HAY LES ROSES'!$G$7:$G$50,'L HAY LES ROSES'!G32))+(COUNTIF(RUNGIS!$G$7:$G$50,'L HAY LES ROSES'!G32))+(COUNTIF(SCEAUX!$G$7:$G$50,'L HAY LES ROSES'!G32))+(COUNTIF('INSTANCE C1'!$G$7:$G$50,'L HAY LES ROSES'!G32))+(COUNTIF('INSTANCE C2'!$G$7:$G$50,'L HAY LES ROSES'!G32))+(COUNTIF(INTERNES!$G$7:$G$50,'L HAY LES ROSES'!G32))+(COUNTIF('EN PANNE'!$G$7:$G$50,'L HAY LES ROSES'!G32))-I32</f>
        <v>0</v>
      </c>
      <c r="I32" s="23">
        <f>(COUNTIF('2S EXPRESS'!$A$7:$A$50,'L HAY LES ROSES'!G32))+(COUNTIF('2 ZT'!$A$7:$A$50,'L HAY LES ROSES'!G32))+(COUNTIF('GO TRANSPORT'!$A$7:$A$50,'L HAY LES ROSES'!G32))+(COUNTIF('HMZ - KAIS'!$A$7:$A$50,'L HAY LES ROSES'!G32))+(COUNTIF('IB TRANSPORT'!$A$7:$A$50,'L HAY LES ROSES'!G32))+(COUNTIF(JSL!$A$7:$A$50,'L HAY LES ROSES'!G32))+(COUNTIF(KIFAITOUT!$A$7:$A$50,'L HAY LES ROSES'!G32))+(COUNTIF('LUXE DRIVE'!$A$7:$A$50,'L HAY LES ROSES'!G32))+(COUNTIF(SSN!$A$7:$A$50,'L HAY LES ROSES'!G32))+(COUNTIF('W3'!$A$7:$A$50,'L HAY LES ROSES'!G32))+(COUNTIF('ATHIS MONS'!$A$7:$A$50,'L HAY LES ROSES'!G32))+(COUNTIF('L HAY LES ROSES'!$A$7:$A$50,'L HAY LES ROSES'!G32))+(COUNTIF(RUNGIS!$A$7:$A$50,'L HAY LES ROSES'!G32))+(COUNTIF(SCEAUX!$A$7:$A$50,'L HAY LES ROSES'!G32))+(COUNTIF('INSTANCE C1'!$A$7:$A$50,'L HAY LES ROSES'!G32))+(COUNTIF('INSTANCE C2'!$A$7:$A$50,'L HAY LES ROSES'!G32))+(COUNTIF(INTERNES!$A$7:$A$50,'L HAY LES ROSES'!G32))+(COUNTIF('EN PANNE'!$A$7:$A$50,'L HAY LES ROSES'!G32))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S32" s="60">
        <f t="shared" si="1"/>
        <v>0</v>
      </c>
      <c r="T32" s="67">
        <f t="shared" si="2"/>
        <v>0</v>
      </c>
    </row>
    <row r="33" spans="1:20" ht="24.95" customHeight="1" x14ac:dyDescent="0.2">
      <c r="A33" s="20"/>
      <c r="B33" s="23">
        <f>(COUNTIF('2S EXPRESS'!$A$7:$A$50,'L HAY LES ROSES'!A33))+(COUNTIF('2 ZT'!$A$7:$A$50,'L HAY LES ROSES'!A33))+(COUNTIF('GO TRANSPORT'!$A$7:$A$50,'L HAY LES ROSES'!A33))+(COUNTIF('HMZ - KAIS'!$A$7:$A$50,'L HAY LES ROSES'!A33))+(COUNTIF('IB TRANSPORT'!$A$7:$A$50,'L HAY LES ROSES'!A33))+(COUNTIF(JSL!$A$7:$A$50,'L HAY LES ROSES'!A33))+(COUNTIF(KIFAITOUT!$A$7:$A$50,'L HAY LES ROSES'!A33))+(COUNTIF('LUXE DRIVE'!$A$7:$A$50,'L HAY LES ROSES'!A33))+(COUNTIF(SSN!$A$7:$A$50,'L HAY LES ROSES'!A33))+(COUNTIF('W3'!$A$7:$A$50,'L HAY LES ROSES'!A33))+(COUNTIF('ATHIS MONS'!$A$7:$A$50,'L HAY LES ROSES'!A33))+(COUNTIF('L HAY LES ROSES'!$A$7:$A$50,'L HAY LES ROSES'!A33))+(COUNTIF(RUNGIS!$A$7:$A$50,'L HAY LES ROSES'!A33))+(COUNTIF(SCEAUX!$A$7:$A$50,'L HAY LES ROSES'!A33))+(COUNTIF('INSTANCE C1'!$A$7:$A$50,'L HAY LES ROSES'!A33))+(COUNTIF('INSTANCE C2'!$A$7:$A$50,'L HAY LES ROSES'!A33))+(COUNTIF(INTERNES!$A$7:$A$50,'L HAY LES ROSES'!A33))+(COUNTIF('EN PANNE'!$A$7:$A$50,'L HAY LES ROSES'!A33))-C33</f>
        <v>0</v>
      </c>
      <c r="C33" s="23">
        <f>(COUNTIF('2S EXPRESS'!$G$7:$G$50,'L HAY LES ROSES'!A33))+(COUNTIF('2 ZT'!$G$7:$G$50,'L HAY LES ROSES'!A33))+(COUNTIF('GO TRANSPORT'!$G$7:$G$50,'L HAY LES ROSES'!A33))+(COUNTIF('L HAY LES ROSES'!$G$7:$G$50,'L HAY LES ROSES'!A33))+(COUNTIF('IB TRANSPORT'!$G$7:$G$50,'L HAY LES ROSES'!A33))+(COUNTIF(JSL!$G$7:$G$50,'L HAY LES ROSES'!A33))+(COUNTIF(KIFAITOUT!$G$7:$G$50,'L HAY LES ROSES'!A33))+(COUNTIF('LUXE DRIVE'!$G$7:$G$50,'L HAY LES ROSES'!A33))+(COUNTIF(SSN!$G$7:$G$50,'L HAY LES ROSES'!A33))+(COUNTIF('W3'!$G$7:$G$50,'L HAY LES ROSES'!A33))+(COUNTIF('ATHIS MONS'!$G$7:$G$50,'L HAY LES ROSES'!A33))+(COUNTIF('L HAY LES ROSES'!$G$7:$G$50,'L HAY LES ROSES'!A33))+(COUNTIF(RUNGIS!$G$7:$G$50,'L HAY LES ROSES'!A33))+(COUNTIF(SCEAUX!$G$7:$G$50,'L HAY LES ROSES'!A33))+(COUNTIF('INSTANCE C1'!$G$7:$G$50,'L HAY LES ROSES'!A33))+(COUNTIF('INSTANCE C2'!$G$7:$G$50,'L HAY LES ROSES'!A33))+(COUNTIF(INTERNES!$G$7:$G$50,'L HAY LES ROSES'!A33))+(COUNTIF('EN PANNE'!$G$7:$G$50,'L HAY LES ROSES'!A33))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EXPRESS'!$G$7:$G$50,'L HAY LES ROSES'!G33))+(COUNTIF('2 ZT'!$G$7:$G$50,'L HAY LES ROSES'!G33))+(COUNTIF('GO TRANSPORT'!$G$7:$G$50,'L HAY LES ROSES'!G33))+(COUNTIF('HMZ - KAIS'!$G$7:$G$50,'L HAY LES ROSES'!G33))+(COUNTIF('IB TRANSPORT'!$G$7:$G$50,'L HAY LES ROSES'!G33))+(COUNTIF(JSL!$G$7:$G$50,'L HAY LES ROSES'!G33))+(COUNTIF(KIFAITOUT!$G$7:$G$50,'L HAY LES ROSES'!G33))+(COUNTIF('LUXE DRIVE'!$G$7:$G$50,'L HAY LES ROSES'!G33))+(COUNTIF(SSN!$G$7:$G$50,'L HAY LES ROSES'!G33))+(COUNTIF('W3'!$G$7:$G$50,'L HAY LES ROSES'!G33))+(COUNTIF('ATHIS MONS'!$G$7:$G$50,'L HAY LES ROSES'!G33))+(COUNTIF('L HAY LES ROSES'!$G$7:$G$50,'L HAY LES ROSES'!G33))+(COUNTIF(RUNGIS!$G$7:$G$50,'L HAY LES ROSES'!G33))+(COUNTIF(SCEAUX!$G$7:$G$50,'L HAY LES ROSES'!G33))+(COUNTIF('INSTANCE C1'!$G$7:$G$50,'L HAY LES ROSES'!G33))+(COUNTIF('INSTANCE C2'!$G$7:$G$50,'L HAY LES ROSES'!G33))+(COUNTIF(INTERNES!$G$7:$G$50,'L HAY LES ROSES'!G33))+(COUNTIF('EN PANNE'!$G$7:$G$50,'L HAY LES ROSES'!G33))-I33</f>
        <v>0</v>
      </c>
      <c r="I33" s="23">
        <f>(COUNTIF('2S EXPRESS'!$A$7:$A$50,'L HAY LES ROSES'!G33))+(COUNTIF('2 ZT'!$A$7:$A$50,'L HAY LES ROSES'!G33))+(COUNTIF('GO TRANSPORT'!$A$7:$A$50,'L HAY LES ROSES'!G33))+(COUNTIF('HMZ - KAIS'!$A$7:$A$50,'L HAY LES ROSES'!G33))+(COUNTIF('IB TRANSPORT'!$A$7:$A$50,'L HAY LES ROSES'!G33))+(COUNTIF(JSL!$A$7:$A$50,'L HAY LES ROSES'!G33))+(COUNTIF(KIFAITOUT!$A$7:$A$50,'L HAY LES ROSES'!G33))+(COUNTIF('LUXE DRIVE'!$A$7:$A$50,'L HAY LES ROSES'!G33))+(COUNTIF(SSN!$A$7:$A$50,'L HAY LES ROSES'!G33))+(COUNTIF('W3'!$A$7:$A$50,'L HAY LES ROSES'!G33))+(COUNTIF('ATHIS MONS'!$A$7:$A$50,'L HAY LES ROSES'!G33))+(COUNTIF('L HAY LES ROSES'!$A$7:$A$50,'L HAY LES ROSES'!G33))+(COUNTIF(RUNGIS!$A$7:$A$50,'L HAY LES ROSES'!G33))+(COUNTIF(SCEAUX!$A$7:$A$50,'L HAY LES ROSES'!G33))+(COUNTIF('INSTANCE C1'!$A$7:$A$50,'L HAY LES ROSES'!G33))+(COUNTIF('INSTANCE C2'!$A$7:$A$50,'L HAY LES ROSES'!G33))+(COUNTIF(INTERNES!$A$7:$A$50,'L HAY LES ROSES'!G33))+(COUNTIF('EN PANNE'!$A$7:$A$50,'L HAY LES ROSES'!G33))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S33" s="60">
        <f t="shared" si="1"/>
        <v>0</v>
      </c>
      <c r="T33" s="67">
        <f t="shared" si="2"/>
        <v>0</v>
      </c>
    </row>
    <row r="34" spans="1:20" ht="24.95" customHeight="1" x14ac:dyDescent="0.2">
      <c r="A34" s="20"/>
      <c r="B34" s="23">
        <f>(COUNTIF('2S EXPRESS'!$A$7:$A$50,'L HAY LES ROSES'!A34))+(COUNTIF('2 ZT'!$A$7:$A$50,'L HAY LES ROSES'!A34))+(COUNTIF('GO TRANSPORT'!$A$7:$A$50,'L HAY LES ROSES'!A34))+(COUNTIF('HMZ - KAIS'!$A$7:$A$50,'L HAY LES ROSES'!A34))+(COUNTIF('IB TRANSPORT'!$A$7:$A$50,'L HAY LES ROSES'!A34))+(COUNTIF(JSL!$A$7:$A$50,'L HAY LES ROSES'!A34))+(COUNTIF(KIFAITOUT!$A$7:$A$50,'L HAY LES ROSES'!A34))+(COUNTIF('LUXE DRIVE'!$A$7:$A$50,'L HAY LES ROSES'!A34))+(COUNTIF(SSN!$A$7:$A$50,'L HAY LES ROSES'!A34))+(COUNTIF('W3'!$A$7:$A$50,'L HAY LES ROSES'!A34))+(COUNTIF('ATHIS MONS'!$A$7:$A$50,'L HAY LES ROSES'!A34))+(COUNTIF('L HAY LES ROSES'!$A$7:$A$50,'L HAY LES ROSES'!A34))+(COUNTIF(RUNGIS!$A$7:$A$50,'L HAY LES ROSES'!A34))+(COUNTIF(SCEAUX!$A$7:$A$50,'L HAY LES ROSES'!A34))+(COUNTIF('INSTANCE C1'!$A$7:$A$50,'L HAY LES ROSES'!A34))+(COUNTIF('INSTANCE C2'!$A$7:$A$50,'L HAY LES ROSES'!A34))+(COUNTIF(INTERNES!$A$7:$A$50,'L HAY LES ROSES'!A34))+(COUNTIF('EN PANNE'!$A$7:$A$50,'L HAY LES ROSES'!A34))-C34</f>
        <v>0</v>
      </c>
      <c r="C34" s="23">
        <f>(COUNTIF('2S EXPRESS'!$G$7:$G$50,'L HAY LES ROSES'!A34))+(COUNTIF('2 ZT'!$G$7:$G$50,'L HAY LES ROSES'!A34))+(COUNTIF('GO TRANSPORT'!$G$7:$G$50,'L HAY LES ROSES'!A34))+(COUNTIF('L HAY LES ROSES'!$G$7:$G$50,'L HAY LES ROSES'!A34))+(COUNTIF('IB TRANSPORT'!$G$7:$G$50,'L HAY LES ROSES'!A34))+(COUNTIF(JSL!$G$7:$G$50,'L HAY LES ROSES'!A34))+(COUNTIF(KIFAITOUT!$G$7:$G$50,'L HAY LES ROSES'!A34))+(COUNTIF('LUXE DRIVE'!$G$7:$G$50,'L HAY LES ROSES'!A34))+(COUNTIF(SSN!$G$7:$G$50,'L HAY LES ROSES'!A34))+(COUNTIF('W3'!$G$7:$G$50,'L HAY LES ROSES'!A34))+(COUNTIF('ATHIS MONS'!$G$7:$G$50,'L HAY LES ROSES'!A34))+(COUNTIF('L HAY LES ROSES'!$G$7:$G$50,'L HAY LES ROSES'!A34))+(COUNTIF(RUNGIS!$G$7:$G$50,'L HAY LES ROSES'!A34))+(COUNTIF(SCEAUX!$G$7:$G$50,'L HAY LES ROSES'!A34))+(COUNTIF('INSTANCE C1'!$G$7:$G$50,'L HAY LES ROSES'!A34))+(COUNTIF('INSTANCE C2'!$G$7:$G$50,'L HAY LES ROSES'!A34))+(COUNTIF(INTERNES!$G$7:$G$50,'L HAY LES ROSES'!A34))+(COUNTIF('EN PANNE'!$G$7:$G$50,'L HAY LES ROSES'!A34))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EXPRESS'!$G$7:$G$50,'L HAY LES ROSES'!G34))+(COUNTIF('2 ZT'!$G$7:$G$50,'L HAY LES ROSES'!G34))+(COUNTIF('GO TRANSPORT'!$G$7:$G$50,'L HAY LES ROSES'!G34))+(COUNTIF('HMZ - KAIS'!$G$7:$G$50,'L HAY LES ROSES'!G34))+(COUNTIF('IB TRANSPORT'!$G$7:$G$50,'L HAY LES ROSES'!G34))+(COUNTIF(JSL!$G$7:$G$50,'L HAY LES ROSES'!G34))+(COUNTIF(KIFAITOUT!$G$7:$G$50,'L HAY LES ROSES'!G34))+(COUNTIF('LUXE DRIVE'!$G$7:$G$50,'L HAY LES ROSES'!G34))+(COUNTIF(SSN!$G$7:$G$50,'L HAY LES ROSES'!G34))+(COUNTIF('W3'!$G$7:$G$50,'L HAY LES ROSES'!G34))+(COUNTIF('ATHIS MONS'!$G$7:$G$50,'L HAY LES ROSES'!G34))+(COUNTIF('L HAY LES ROSES'!$G$7:$G$50,'L HAY LES ROSES'!G34))+(COUNTIF(RUNGIS!$G$7:$G$50,'L HAY LES ROSES'!G34))+(COUNTIF(SCEAUX!$G$7:$G$50,'L HAY LES ROSES'!G34))+(COUNTIF('INSTANCE C1'!$G$7:$G$50,'L HAY LES ROSES'!G34))+(COUNTIF('INSTANCE C2'!$G$7:$G$50,'L HAY LES ROSES'!G34))+(COUNTIF(INTERNES!$G$7:$G$50,'L HAY LES ROSES'!G34))+(COUNTIF('EN PANNE'!$G$7:$G$50,'L HAY LES ROSES'!G34))-I34</f>
        <v>0</v>
      </c>
      <c r="I34" s="23">
        <f>(COUNTIF('2S EXPRESS'!$A$7:$A$50,'L HAY LES ROSES'!G34))+(COUNTIF('2 ZT'!$A$7:$A$50,'L HAY LES ROSES'!G34))+(COUNTIF('GO TRANSPORT'!$A$7:$A$50,'L HAY LES ROSES'!G34))+(COUNTIF('HMZ - KAIS'!$A$7:$A$50,'L HAY LES ROSES'!G34))+(COUNTIF('IB TRANSPORT'!$A$7:$A$50,'L HAY LES ROSES'!G34))+(COUNTIF(JSL!$A$7:$A$50,'L HAY LES ROSES'!G34))+(COUNTIF(KIFAITOUT!$A$7:$A$50,'L HAY LES ROSES'!G34))+(COUNTIF('LUXE DRIVE'!$A$7:$A$50,'L HAY LES ROSES'!G34))+(COUNTIF(SSN!$A$7:$A$50,'L HAY LES ROSES'!G34))+(COUNTIF('W3'!$A$7:$A$50,'L HAY LES ROSES'!G34))+(COUNTIF('ATHIS MONS'!$A$7:$A$50,'L HAY LES ROSES'!G34))+(COUNTIF('L HAY LES ROSES'!$A$7:$A$50,'L HAY LES ROSES'!G34))+(COUNTIF(RUNGIS!$A$7:$A$50,'L HAY LES ROSES'!G34))+(COUNTIF(SCEAUX!$A$7:$A$50,'L HAY LES ROSES'!G34))+(COUNTIF('INSTANCE C1'!$A$7:$A$50,'L HAY LES ROSES'!G34))+(COUNTIF('INSTANCE C2'!$A$7:$A$50,'L HAY LES ROSES'!G34))+(COUNTIF(INTERNES!$A$7:$A$50,'L HAY LES ROSES'!G34))+(COUNTIF('EN PANNE'!$A$7:$A$50,'L HAY LES ROSES'!G34))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S34" s="60">
        <f t="shared" si="1"/>
        <v>0</v>
      </c>
      <c r="T34" s="67">
        <f t="shared" si="2"/>
        <v>0</v>
      </c>
    </row>
    <row r="35" spans="1:20" ht="24.95" customHeight="1" x14ac:dyDescent="0.2">
      <c r="A35" s="20"/>
      <c r="B35" s="23">
        <f>(COUNTIF('2S EXPRESS'!$A$7:$A$50,'L HAY LES ROSES'!A35))+(COUNTIF('2 ZT'!$A$7:$A$50,'L HAY LES ROSES'!A35))+(COUNTIF('GO TRANSPORT'!$A$7:$A$50,'L HAY LES ROSES'!A35))+(COUNTIF('HMZ - KAIS'!$A$7:$A$50,'L HAY LES ROSES'!A35))+(COUNTIF('IB TRANSPORT'!$A$7:$A$50,'L HAY LES ROSES'!A35))+(COUNTIF(JSL!$A$7:$A$50,'L HAY LES ROSES'!A35))+(COUNTIF(KIFAITOUT!$A$7:$A$50,'L HAY LES ROSES'!A35))+(COUNTIF('LUXE DRIVE'!$A$7:$A$50,'L HAY LES ROSES'!A35))+(COUNTIF(SSN!$A$7:$A$50,'L HAY LES ROSES'!A35))+(COUNTIF('W3'!$A$7:$A$50,'L HAY LES ROSES'!A35))+(COUNTIF('ATHIS MONS'!$A$7:$A$50,'L HAY LES ROSES'!A35))+(COUNTIF('L HAY LES ROSES'!$A$7:$A$50,'L HAY LES ROSES'!A35))+(COUNTIF(RUNGIS!$A$7:$A$50,'L HAY LES ROSES'!A35))+(COUNTIF(SCEAUX!$A$7:$A$50,'L HAY LES ROSES'!A35))+(COUNTIF('INSTANCE C1'!$A$7:$A$50,'L HAY LES ROSES'!A35))+(COUNTIF('INSTANCE C2'!$A$7:$A$50,'L HAY LES ROSES'!A35))+(COUNTIF(INTERNES!$A$7:$A$50,'L HAY LES ROSES'!A35))+(COUNTIF('EN PANNE'!$A$7:$A$50,'L HAY LES ROSES'!A35))-C35</f>
        <v>0</v>
      </c>
      <c r="C35" s="23">
        <f>(COUNTIF('2S EXPRESS'!$G$7:$G$50,'L HAY LES ROSES'!A35))+(COUNTIF('2 ZT'!$G$7:$G$50,'L HAY LES ROSES'!A35))+(COUNTIF('GO TRANSPORT'!$G$7:$G$50,'L HAY LES ROSES'!A35))+(COUNTIF('L HAY LES ROSES'!$G$7:$G$50,'L HAY LES ROSES'!A35))+(COUNTIF('IB TRANSPORT'!$G$7:$G$50,'L HAY LES ROSES'!A35))+(COUNTIF(JSL!$G$7:$G$50,'L HAY LES ROSES'!A35))+(COUNTIF(KIFAITOUT!$G$7:$G$50,'L HAY LES ROSES'!A35))+(COUNTIF('LUXE DRIVE'!$G$7:$G$50,'L HAY LES ROSES'!A35))+(COUNTIF(SSN!$G$7:$G$50,'L HAY LES ROSES'!A35))+(COUNTIF('W3'!$G$7:$G$50,'L HAY LES ROSES'!A35))+(COUNTIF('ATHIS MONS'!$G$7:$G$50,'L HAY LES ROSES'!A35))+(COUNTIF('L HAY LES ROSES'!$G$7:$G$50,'L HAY LES ROSES'!A35))+(COUNTIF(RUNGIS!$G$7:$G$50,'L HAY LES ROSES'!A35))+(COUNTIF(SCEAUX!$G$7:$G$50,'L HAY LES ROSES'!A35))+(COUNTIF('INSTANCE C1'!$G$7:$G$50,'L HAY LES ROSES'!A35))+(COUNTIF('INSTANCE C2'!$G$7:$G$50,'L HAY LES ROSES'!A35))+(COUNTIF(INTERNES!$G$7:$G$50,'L HAY LES ROSES'!A35))+(COUNTIF('EN PANNE'!$G$7:$G$50,'L HAY LES ROSES'!A35))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EXPRESS'!$G$7:$G$50,'L HAY LES ROSES'!G35))+(COUNTIF('2 ZT'!$G$7:$G$50,'L HAY LES ROSES'!G35))+(COUNTIF('GO TRANSPORT'!$G$7:$G$50,'L HAY LES ROSES'!G35))+(COUNTIF('HMZ - KAIS'!$G$7:$G$50,'L HAY LES ROSES'!G35))+(COUNTIF('IB TRANSPORT'!$G$7:$G$50,'L HAY LES ROSES'!G35))+(COUNTIF(JSL!$G$7:$G$50,'L HAY LES ROSES'!G35))+(COUNTIF(KIFAITOUT!$G$7:$G$50,'L HAY LES ROSES'!G35))+(COUNTIF('LUXE DRIVE'!$G$7:$G$50,'L HAY LES ROSES'!G35))+(COUNTIF(SSN!$G$7:$G$50,'L HAY LES ROSES'!G35))+(COUNTIF('W3'!$G$7:$G$50,'L HAY LES ROSES'!G35))+(COUNTIF('ATHIS MONS'!$G$7:$G$50,'L HAY LES ROSES'!G35))+(COUNTIF('L HAY LES ROSES'!$G$7:$G$50,'L HAY LES ROSES'!G35))+(COUNTIF(RUNGIS!$G$7:$G$50,'L HAY LES ROSES'!G35))+(COUNTIF(SCEAUX!$G$7:$G$50,'L HAY LES ROSES'!G35))+(COUNTIF('INSTANCE C1'!$G$7:$G$50,'L HAY LES ROSES'!G35))+(COUNTIF('INSTANCE C2'!$G$7:$G$50,'L HAY LES ROSES'!G35))+(COUNTIF(INTERNES!$G$7:$G$50,'L HAY LES ROSES'!G35))+(COUNTIF('EN PANNE'!$G$7:$G$50,'L HAY LES ROSES'!G35))-I35</f>
        <v>0</v>
      </c>
      <c r="I35" s="23">
        <f>(COUNTIF('2S EXPRESS'!$A$7:$A$50,'L HAY LES ROSES'!G35))+(COUNTIF('2 ZT'!$A$7:$A$50,'L HAY LES ROSES'!G35))+(COUNTIF('GO TRANSPORT'!$A$7:$A$50,'L HAY LES ROSES'!G35))+(COUNTIF('HMZ - KAIS'!$A$7:$A$50,'L HAY LES ROSES'!G35))+(COUNTIF('IB TRANSPORT'!$A$7:$A$50,'L HAY LES ROSES'!G35))+(COUNTIF(JSL!$A$7:$A$50,'L HAY LES ROSES'!G35))+(COUNTIF(KIFAITOUT!$A$7:$A$50,'L HAY LES ROSES'!G35))+(COUNTIF('LUXE DRIVE'!$A$7:$A$50,'L HAY LES ROSES'!G35))+(COUNTIF(SSN!$A$7:$A$50,'L HAY LES ROSES'!G35))+(COUNTIF('W3'!$A$7:$A$50,'L HAY LES ROSES'!G35))+(COUNTIF('ATHIS MONS'!$A$7:$A$50,'L HAY LES ROSES'!G35))+(COUNTIF('L HAY LES ROSES'!$A$7:$A$50,'L HAY LES ROSES'!G35))+(COUNTIF(RUNGIS!$A$7:$A$50,'L HAY LES ROSES'!G35))+(COUNTIF(SCEAUX!$A$7:$A$50,'L HAY LES ROSES'!G35))+(COUNTIF('INSTANCE C1'!$A$7:$A$50,'L HAY LES ROSES'!G35))+(COUNTIF('INSTANCE C2'!$A$7:$A$50,'L HAY LES ROSES'!G35))+(COUNTIF(INTERNES!$A$7:$A$50,'L HAY LES ROSES'!G35))+(COUNTIF('EN PANNE'!$A$7:$A$50,'L HAY LES ROSES'!G35))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S35" s="60">
        <f t="shared" si="1"/>
        <v>0</v>
      </c>
      <c r="T35" s="67">
        <f t="shared" si="2"/>
        <v>0</v>
      </c>
    </row>
    <row r="36" spans="1:20" ht="24.95" customHeight="1" x14ac:dyDescent="0.2">
      <c r="A36" s="20"/>
      <c r="B36" s="23">
        <f>(COUNTIF('2S EXPRESS'!$A$7:$A$50,'L HAY LES ROSES'!A36))+(COUNTIF('2 ZT'!$A$7:$A$50,'L HAY LES ROSES'!A36))+(COUNTIF('GO TRANSPORT'!$A$7:$A$50,'L HAY LES ROSES'!A36))+(COUNTIF('HMZ - KAIS'!$A$7:$A$50,'L HAY LES ROSES'!A36))+(COUNTIF('IB TRANSPORT'!$A$7:$A$50,'L HAY LES ROSES'!A36))+(COUNTIF(JSL!$A$7:$A$50,'L HAY LES ROSES'!A36))+(COUNTIF(KIFAITOUT!$A$7:$A$50,'L HAY LES ROSES'!A36))+(COUNTIF('LUXE DRIVE'!$A$7:$A$50,'L HAY LES ROSES'!A36))+(COUNTIF(SSN!$A$7:$A$50,'L HAY LES ROSES'!A36))+(COUNTIF('W3'!$A$7:$A$50,'L HAY LES ROSES'!A36))+(COUNTIF('ATHIS MONS'!$A$7:$A$50,'L HAY LES ROSES'!A36))+(COUNTIF('L HAY LES ROSES'!$A$7:$A$50,'L HAY LES ROSES'!A36))+(COUNTIF(RUNGIS!$A$7:$A$50,'L HAY LES ROSES'!A36))+(COUNTIF(SCEAUX!$A$7:$A$50,'L HAY LES ROSES'!A36))+(COUNTIF('INSTANCE C1'!$A$7:$A$50,'L HAY LES ROSES'!A36))+(COUNTIF('INSTANCE C2'!$A$7:$A$50,'L HAY LES ROSES'!A36))+(COUNTIF(INTERNES!$A$7:$A$50,'L HAY LES ROSES'!A36))+(COUNTIF('EN PANNE'!$A$7:$A$50,'L HAY LES ROSES'!A36))-C36</f>
        <v>0</v>
      </c>
      <c r="C36" s="23">
        <f>(COUNTIF('2S EXPRESS'!$G$7:$G$50,'L HAY LES ROSES'!A36))+(COUNTIF('2 ZT'!$G$7:$G$50,'L HAY LES ROSES'!A36))+(COUNTIF('GO TRANSPORT'!$G$7:$G$50,'L HAY LES ROSES'!A36))+(COUNTIF('L HAY LES ROSES'!$G$7:$G$50,'L HAY LES ROSES'!A36))+(COUNTIF('IB TRANSPORT'!$G$7:$G$50,'L HAY LES ROSES'!A36))+(COUNTIF(JSL!$G$7:$G$50,'L HAY LES ROSES'!A36))+(COUNTIF(KIFAITOUT!$G$7:$G$50,'L HAY LES ROSES'!A36))+(COUNTIF('LUXE DRIVE'!$G$7:$G$50,'L HAY LES ROSES'!A36))+(COUNTIF(SSN!$G$7:$G$50,'L HAY LES ROSES'!A36))+(COUNTIF('W3'!$G$7:$G$50,'L HAY LES ROSES'!A36))+(COUNTIF('ATHIS MONS'!$G$7:$G$50,'L HAY LES ROSES'!A36))+(COUNTIF('L HAY LES ROSES'!$G$7:$G$50,'L HAY LES ROSES'!A36))+(COUNTIF(RUNGIS!$G$7:$G$50,'L HAY LES ROSES'!A36))+(COUNTIF(SCEAUX!$G$7:$G$50,'L HAY LES ROSES'!A36))+(COUNTIF('INSTANCE C1'!$G$7:$G$50,'L HAY LES ROSES'!A36))+(COUNTIF('INSTANCE C2'!$G$7:$G$50,'L HAY LES ROSES'!A36))+(COUNTIF(INTERNES!$G$7:$G$50,'L HAY LES ROSES'!A36))+(COUNTIF('EN PANNE'!$G$7:$G$50,'L HAY LES ROSES'!A36))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EXPRESS'!$G$7:$G$50,'L HAY LES ROSES'!G36))+(COUNTIF('2 ZT'!$G$7:$G$50,'L HAY LES ROSES'!G36))+(COUNTIF('GO TRANSPORT'!$G$7:$G$50,'L HAY LES ROSES'!G36))+(COUNTIF('HMZ - KAIS'!$G$7:$G$50,'L HAY LES ROSES'!G36))+(COUNTIF('IB TRANSPORT'!$G$7:$G$50,'L HAY LES ROSES'!G36))+(COUNTIF(JSL!$G$7:$G$50,'L HAY LES ROSES'!G36))+(COUNTIF(KIFAITOUT!$G$7:$G$50,'L HAY LES ROSES'!G36))+(COUNTIF('LUXE DRIVE'!$G$7:$G$50,'L HAY LES ROSES'!G36))+(COUNTIF(SSN!$G$7:$G$50,'L HAY LES ROSES'!G36))+(COUNTIF('W3'!$G$7:$G$50,'L HAY LES ROSES'!G36))+(COUNTIF('ATHIS MONS'!$G$7:$G$50,'L HAY LES ROSES'!G36))+(COUNTIF('L HAY LES ROSES'!$G$7:$G$50,'L HAY LES ROSES'!G36))+(COUNTIF(RUNGIS!$G$7:$G$50,'L HAY LES ROSES'!G36))+(COUNTIF(SCEAUX!$G$7:$G$50,'L HAY LES ROSES'!G36))+(COUNTIF('INSTANCE C1'!$G$7:$G$50,'L HAY LES ROSES'!G36))+(COUNTIF('INSTANCE C2'!$G$7:$G$50,'L HAY LES ROSES'!G36))+(COUNTIF(INTERNES!$G$7:$G$50,'L HAY LES ROSES'!G36))+(COUNTIF('EN PANNE'!$G$7:$G$50,'L HAY LES ROSES'!G36))-I36</f>
        <v>0</v>
      </c>
      <c r="I36" s="23">
        <f>(COUNTIF('2S EXPRESS'!$A$7:$A$50,'L HAY LES ROSES'!G36))+(COUNTIF('2 ZT'!$A$7:$A$50,'L HAY LES ROSES'!G36))+(COUNTIF('GO TRANSPORT'!$A$7:$A$50,'L HAY LES ROSES'!G36))+(COUNTIF('HMZ - KAIS'!$A$7:$A$50,'L HAY LES ROSES'!G36))+(COUNTIF('IB TRANSPORT'!$A$7:$A$50,'L HAY LES ROSES'!G36))+(COUNTIF(JSL!$A$7:$A$50,'L HAY LES ROSES'!G36))+(COUNTIF(KIFAITOUT!$A$7:$A$50,'L HAY LES ROSES'!G36))+(COUNTIF('LUXE DRIVE'!$A$7:$A$50,'L HAY LES ROSES'!G36))+(COUNTIF(SSN!$A$7:$A$50,'L HAY LES ROSES'!G36))+(COUNTIF('W3'!$A$7:$A$50,'L HAY LES ROSES'!G36))+(COUNTIF('ATHIS MONS'!$A$7:$A$50,'L HAY LES ROSES'!G36))+(COUNTIF('L HAY LES ROSES'!$A$7:$A$50,'L HAY LES ROSES'!G36))+(COUNTIF(RUNGIS!$A$7:$A$50,'L HAY LES ROSES'!G36))+(COUNTIF(SCEAUX!$A$7:$A$50,'L HAY LES ROSES'!G36))+(COUNTIF('INSTANCE C1'!$A$7:$A$50,'L HAY LES ROSES'!G36))+(COUNTIF('INSTANCE C2'!$A$7:$A$50,'L HAY LES ROSES'!G36))+(COUNTIF(INTERNES!$A$7:$A$50,'L HAY LES ROSES'!G36))+(COUNTIF('EN PANNE'!$A$7:$A$50,'L HAY LES ROSES'!G36))</f>
        <v>0</v>
      </c>
      <c r="J36" s="28">
        <f t="shared" si="4"/>
        <v>0</v>
      </c>
      <c r="K36" s="2"/>
      <c r="L36" s="47"/>
      <c r="S36" s="60">
        <f t="shared" si="1"/>
        <v>0</v>
      </c>
      <c r="T36" s="67">
        <f t="shared" si="2"/>
        <v>0</v>
      </c>
    </row>
    <row r="37" spans="1:20" ht="24.95" customHeight="1" x14ac:dyDescent="0.2">
      <c r="A37" s="20"/>
      <c r="B37" s="23">
        <f>(COUNTIF('2S EXPRESS'!$A$7:$A$50,'L HAY LES ROSES'!A37))+(COUNTIF('2 ZT'!$A$7:$A$50,'L HAY LES ROSES'!A37))+(COUNTIF('GO TRANSPORT'!$A$7:$A$50,'L HAY LES ROSES'!A37))+(COUNTIF('HMZ - KAIS'!$A$7:$A$50,'L HAY LES ROSES'!A37))+(COUNTIF('IB TRANSPORT'!$A$7:$A$50,'L HAY LES ROSES'!A37))+(COUNTIF(JSL!$A$7:$A$50,'L HAY LES ROSES'!A37))+(COUNTIF(KIFAITOUT!$A$7:$A$50,'L HAY LES ROSES'!A37))+(COUNTIF('LUXE DRIVE'!$A$7:$A$50,'L HAY LES ROSES'!A37))+(COUNTIF(SSN!$A$7:$A$50,'L HAY LES ROSES'!A37))+(COUNTIF('W3'!$A$7:$A$50,'L HAY LES ROSES'!A37))+(COUNTIF('ATHIS MONS'!$A$7:$A$50,'L HAY LES ROSES'!A37))+(COUNTIF('L HAY LES ROSES'!$A$7:$A$50,'L HAY LES ROSES'!A37))+(COUNTIF(RUNGIS!$A$7:$A$50,'L HAY LES ROSES'!A37))+(COUNTIF(SCEAUX!$A$7:$A$50,'L HAY LES ROSES'!A37))+(COUNTIF('INSTANCE C1'!$A$7:$A$50,'L HAY LES ROSES'!A37))+(COUNTIF('INSTANCE C2'!$A$7:$A$50,'L HAY LES ROSES'!A37))+(COUNTIF(INTERNES!$A$7:$A$50,'L HAY LES ROSES'!A37))+(COUNTIF('EN PANNE'!$A$7:$A$50,'L HAY LES ROSES'!A37))-C37</f>
        <v>0</v>
      </c>
      <c r="C37" s="23">
        <f>(COUNTIF('2S EXPRESS'!$G$7:$G$50,'L HAY LES ROSES'!A37))+(COUNTIF('2 ZT'!$G$7:$G$50,'L HAY LES ROSES'!A37))+(COUNTIF('GO TRANSPORT'!$G$7:$G$50,'L HAY LES ROSES'!A37))+(COUNTIF('L HAY LES ROSES'!$G$7:$G$50,'L HAY LES ROSES'!A37))+(COUNTIF('IB TRANSPORT'!$G$7:$G$50,'L HAY LES ROSES'!A37))+(COUNTIF(JSL!$G$7:$G$50,'L HAY LES ROSES'!A37))+(COUNTIF(KIFAITOUT!$G$7:$G$50,'L HAY LES ROSES'!A37))+(COUNTIF('LUXE DRIVE'!$G$7:$G$50,'L HAY LES ROSES'!A37))+(COUNTIF(SSN!$G$7:$G$50,'L HAY LES ROSES'!A37))+(COUNTIF('W3'!$G$7:$G$50,'L HAY LES ROSES'!A37))+(COUNTIF('ATHIS MONS'!$G$7:$G$50,'L HAY LES ROSES'!A37))+(COUNTIF('L HAY LES ROSES'!$G$7:$G$50,'L HAY LES ROSES'!A37))+(COUNTIF(RUNGIS!$G$7:$G$50,'L HAY LES ROSES'!A37))+(COUNTIF(SCEAUX!$G$7:$G$50,'L HAY LES ROSES'!A37))+(COUNTIF('INSTANCE C1'!$G$7:$G$50,'L HAY LES ROSES'!A37))+(COUNTIF('INSTANCE C2'!$G$7:$G$50,'L HAY LES ROSES'!A37))+(COUNTIF(INTERNES!$G$7:$G$50,'L HAY LES ROSES'!A37))+(COUNTIF('EN PANNE'!$G$7:$G$50,'L HAY LES ROSES'!A37))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EXPRESS'!$G$7:$G$50,'L HAY LES ROSES'!G37))+(COUNTIF('2 ZT'!$G$7:$G$50,'L HAY LES ROSES'!G37))+(COUNTIF('GO TRANSPORT'!$G$7:$G$50,'L HAY LES ROSES'!G37))+(COUNTIF('HMZ - KAIS'!$G$7:$G$50,'L HAY LES ROSES'!G37))+(COUNTIF('IB TRANSPORT'!$G$7:$G$50,'L HAY LES ROSES'!G37))+(COUNTIF(JSL!$G$7:$G$50,'L HAY LES ROSES'!G37))+(COUNTIF(KIFAITOUT!$G$7:$G$50,'L HAY LES ROSES'!G37))+(COUNTIF('LUXE DRIVE'!$G$7:$G$50,'L HAY LES ROSES'!G37))+(COUNTIF(SSN!$G$7:$G$50,'L HAY LES ROSES'!G37))+(COUNTIF('W3'!$G$7:$G$50,'L HAY LES ROSES'!G37))+(COUNTIF('ATHIS MONS'!$G$7:$G$50,'L HAY LES ROSES'!G37))+(COUNTIF('L HAY LES ROSES'!$G$7:$G$50,'L HAY LES ROSES'!G37))+(COUNTIF(RUNGIS!$G$7:$G$50,'L HAY LES ROSES'!G37))+(COUNTIF(SCEAUX!$G$7:$G$50,'L HAY LES ROSES'!G37))+(COUNTIF('INSTANCE C1'!$G$7:$G$50,'L HAY LES ROSES'!G37))+(COUNTIF('INSTANCE C2'!$G$7:$G$50,'L HAY LES ROSES'!G37))+(COUNTIF(INTERNES!$G$7:$G$50,'L HAY LES ROSES'!G37))+(COUNTIF('EN PANNE'!$G$7:$G$50,'L HAY LES ROSES'!G37))-I37</f>
        <v>0</v>
      </c>
      <c r="I37" s="23">
        <f>(COUNTIF('2S EXPRESS'!$A$7:$A$50,'L HAY LES ROSES'!G37))+(COUNTIF('2 ZT'!$A$7:$A$50,'L HAY LES ROSES'!G37))+(COUNTIF('GO TRANSPORT'!$A$7:$A$50,'L HAY LES ROSES'!G37))+(COUNTIF('HMZ - KAIS'!$A$7:$A$50,'L HAY LES ROSES'!G37))+(COUNTIF('IB TRANSPORT'!$A$7:$A$50,'L HAY LES ROSES'!G37))+(COUNTIF(JSL!$A$7:$A$50,'L HAY LES ROSES'!G37))+(COUNTIF(KIFAITOUT!$A$7:$A$50,'L HAY LES ROSES'!G37))+(COUNTIF('LUXE DRIVE'!$A$7:$A$50,'L HAY LES ROSES'!G37))+(COUNTIF(SSN!$A$7:$A$50,'L HAY LES ROSES'!G37))+(COUNTIF('W3'!$A$7:$A$50,'L HAY LES ROSES'!G37))+(COUNTIF('ATHIS MONS'!$A$7:$A$50,'L HAY LES ROSES'!G37))+(COUNTIF('L HAY LES ROSES'!$A$7:$A$50,'L HAY LES ROSES'!G37))+(COUNTIF(RUNGIS!$A$7:$A$50,'L HAY LES ROSES'!G37))+(COUNTIF(SCEAUX!$A$7:$A$50,'L HAY LES ROSES'!G37))+(COUNTIF('INSTANCE C1'!$A$7:$A$50,'L HAY LES ROSES'!G37))+(COUNTIF('INSTANCE C2'!$A$7:$A$50,'L HAY LES ROSES'!G37))+(COUNTIF(INTERNES!$A$7:$A$50,'L HAY LES ROSES'!G37))+(COUNTIF('EN PANNE'!$A$7:$A$50,'L HAY LES ROSES'!G37))</f>
        <v>0</v>
      </c>
      <c r="J37" s="28">
        <f t="shared" si="4"/>
        <v>0</v>
      </c>
      <c r="K37" s="2"/>
      <c r="L37" s="47"/>
      <c r="S37" s="60">
        <f t="shared" si="1"/>
        <v>0</v>
      </c>
      <c r="T37" s="67">
        <f t="shared" si="2"/>
        <v>0</v>
      </c>
    </row>
    <row r="38" spans="1:20" ht="24.95" customHeight="1" x14ac:dyDescent="0.2">
      <c r="A38" s="20"/>
      <c r="B38" s="23">
        <f>(COUNTIF('2S EXPRESS'!$A$7:$A$50,'L HAY LES ROSES'!A38))+(COUNTIF('2 ZT'!$A$7:$A$50,'L HAY LES ROSES'!A38))+(COUNTIF('GO TRANSPORT'!$A$7:$A$50,'L HAY LES ROSES'!A38))+(COUNTIF('HMZ - KAIS'!$A$7:$A$50,'L HAY LES ROSES'!A38))+(COUNTIF('IB TRANSPORT'!$A$7:$A$50,'L HAY LES ROSES'!A38))+(COUNTIF(JSL!$A$7:$A$50,'L HAY LES ROSES'!A38))+(COUNTIF(KIFAITOUT!$A$7:$A$50,'L HAY LES ROSES'!A38))+(COUNTIF('LUXE DRIVE'!$A$7:$A$50,'L HAY LES ROSES'!A38))+(COUNTIF(SSN!$A$7:$A$50,'L HAY LES ROSES'!A38))+(COUNTIF('W3'!$A$7:$A$50,'L HAY LES ROSES'!A38))+(COUNTIF('ATHIS MONS'!$A$7:$A$50,'L HAY LES ROSES'!A38))+(COUNTIF('L HAY LES ROSES'!$A$7:$A$50,'L HAY LES ROSES'!A38))+(COUNTIF(RUNGIS!$A$7:$A$50,'L HAY LES ROSES'!A38))+(COUNTIF(SCEAUX!$A$7:$A$50,'L HAY LES ROSES'!A38))+(COUNTIF('INSTANCE C1'!$A$7:$A$50,'L HAY LES ROSES'!A38))+(COUNTIF('INSTANCE C2'!$A$7:$A$50,'L HAY LES ROSES'!A38))+(COUNTIF(INTERNES!$A$7:$A$50,'L HAY LES ROSES'!A38))+(COUNTIF('EN PANNE'!$A$7:$A$50,'L HAY LES ROSES'!A38))-C38</f>
        <v>0</v>
      </c>
      <c r="C38" s="23">
        <f>(COUNTIF('2S EXPRESS'!$G$7:$G$50,'L HAY LES ROSES'!A38))+(COUNTIF('2 ZT'!$G$7:$G$50,'L HAY LES ROSES'!A38))+(COUNTIF('GO TRANSPORT'!$G$7:$G$50,'L HAY LES ROSES'!A38))+(COUNTIF('L HAY LES ROSES'!$G$7:$G$50,'L HAY LES ROSES'!A38))+(COUNTIF('IB TRANSPORT'!$G$7:$G$50,'L HAY LES ROSES'!A38))+(COUNTIF(JSL!$G$7:$G$50,'L HAY LES ROSES'!A38))+(COUNTIF(KIFAITOUT!$G$7:$G$50,'L HAY LES ROSES'!A38))+(COUNTIF('LUXE DRIVE'!$G$7:$G$50,'L HAY LES ROSES'!A38))+(COUNTIF(SSN!$G$7:$G$50,'L HAY LES ROSES'!A38))+(COUNTIF('W3'!$G$7:$G$50,'L HAY LES ROSES'!A38))+(COUNTIF('ATHIS MONS'!$G$7:$G$50,'L HAY LES ROSES'!A38))+(COUNTIF('L HAY LES ROSES'!$G$7:$G$50,'L HAY LES ROSES'!A38))+(COUNTIF(RUNGIS!$G$7:$G$50,'L HAY LES ROSES'!A38))+(COUNTIF(SCEAUX!$G$7:$G$50,'L HAY LES ROSES'!A38))+(COUNTIF('INSTANCE C1'!$G$7:$G$50,'L HAY LES ROSES'!A38))+(COUNTIF('INSTANCE C2'!$G$7:$G$50,'L HAY LES ROSES'!A38))+(COUNTIF(INTERNES!$G$7:$G$50,'L HAY LES ROSES'!A38))+(COUNTIF('EN PANNE'!$G$7:$G$50,'L HAY LES ROSES'!A38))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EXPRESS'!$G$7:$G$50,'L HAY LES ROSES'!G38))+(COUNTIF('2 ZT'!$G$7:$G$50,'L HAY LES ROSES'!G38))+(COUNTIF('GO TRANSPORT'!$G$7:$G$50,'L HAY LES ROSES'!G38))+(COUNTIF('HMZ - KAIS'!$G$7:$G$50,'L HAY LES ROSES'!G38))+(COUNTIF('IB TRANSPORT'!$G$7:$G$50,'L HAY LES ROSES'!G38))+(COUNTIF(JSL!$G$7:$G$50,'L HAY LES ROSES'!G38))+(COUNTIF(KIFAITOUT!$G$7:$G$50,'L HAY LES ROSES'!G38))+(COUNTIF('LUXE DRIVE'!$G$7:$G$50,'L HAY LES ROSES'!G38))+(COUNTIF(SSN!$G$7:$G$50,'L HAY LES ROSES'!G38))+(COUNTIF('W3'!$G$7:$G$50,'L HAY LES ROSES'!G38))+(COUNTIF('ATHIS MONS'!$G$7:$G$50,'L HAY LES ROSES'!G38))+(COUNTIF('L HAY LES ROSES'!$G$7:$G$50,'L HAY LES ROSES'!G38))+(COUNTIF(RUNGIS!$G$7:$G$50,'L HAY LES ROSES'!G38))+(COUNTIF(SCEAUX!$G$7:$G$50,'L HAY LES ROSES'!G38))+(COUNTIF('INSTANCE C1'!$G$7:$G$50,'L HAY LES ROSES'!G38))+(COUNTIF('INSTANCE C2'!$G$7:$G$50,'L HAY LES ROSES'!G38))+(COUNTIF(INTERNES!$G$7:$G$50,'L HAY LES ROSES'!G38))+(COUNTIF('EN PANNE'!$G$7:$G$50,'L HAY LES ROSES'!G38))-I38</f>
        <v>0</v>
      </c>
      <c r="I38" s="23">
        <f>(COUNTIF('2S EXPRESS'!$A$7:$A$50,'L HAY LES ROSES'!G38))+(COUNTIF('2 ZT'!$A$7:$A$50,'L HAY LES ROSES'!G38))+(COUNTIF('GO TRANSPORT'!$A$7:$A$50,'L HAY LES ROSES'!G38))+(COUNTIF('HMZ - KAIS'!$A$7:$A$50,'L HAY LES ROSES'!G38))+(COUNTIF('IB TRANSPORT'!$A$7:$A$50,'L HAY LES ROSES'!G38))+(COUNTIF(JSL!$A$7:$A$50,'L HAY LES ROSES'!G38))+(COUNTIF(KIFAITOUT!$A$7:$A$50,'L HAY LES ROSES'!G38))+(COUNTIF('LUXE DRIVE'!$A$7:$A$50,'L HAY LES ROSES'!G38))+(COUNTIF(SSN!$A$7:$A$50,'L HAY LES ROSES'!G38))+(COUNTIF('W3'!$A$7:$A$50,'L HAY LES ROSES'!G38))+(COUNTIF('ATHIS MONS'!$A$7:$A$50,'L HAY LES ROSES'!G38))+(COUNTIF('L HAY LES ROSES'!$A$7:$A$50,'L HAY LES ROSES'!G38))+(COUNTIF(RUNGIS!$A$7:$A$50,'L HAY LES ROSES'!G38))+(COUNTIF(SCEAUX!$A$7:$A$50,'L HAY LES ROSES'!G38))+(COUNTIF('INSTANCE C1'!$A$7:$A$50,'L HAY LES ROSES'!G38))+(COUNTIF('INSTANCE C2'!$A$7:$A$50,'L HAY LES ROSES'!G38))+(COUNTIF(INTERNES!$A$7:$A$50,'L HAY LES ROSES'!G38))+(COUNTIF('EN PANNE'!$A$7:$A$50,'L HAY LES ROSES'!G38))</f>
        <v>0</v>
      </c>
      <c r="J38" s="28">
        <f t="shared" si="4"/>
        <v>0</v>
      </c>
      <c r="K38" s="2"/>
      <c r="L38" s="47"/>
      <c r="S38" s="60">
        <f t="shared" si="1"/>
        <v>0</v>
      </c>
      <c r="T38" s="67">
        <f t="shared" si="2"/>
        <v>0</v>
      </c>
    </row>
    <row r="39" spans="1:20" ht="24.95" customHeight="1" x14ac:dyDescent="0.2">
      <c r="A39" s="20"/>
      <c r="B39" s="23">
        <f>(COUNTIF('2S EXPRESS'!$A$7:$A$50,'L HAY LES ROSES'!A39))+(COUNTIF('2 ZT'!$A$7:$A$50,'L HAY LES ROSES'!A39))+(COUNTIF('GO TRANSPORT'!$A$7:$A$50,'L HAY LES ROSES'!A39))+(COUNTIF('HMZ - KAIS'!$A$7:$A$50,'L HAY LES ROSES'!A39))+(COUNTIF('IB TRANSPORT'!$A$7:$A$50,'L HAY LES ROSES'!A39))+(COUNTIF(JSL!$A$7:$A$50,'L HAY LES ROSES'!A39))+(COUNTIF(KIFAITOUT!$A$7:$A$50,'L HAY LES ROSES'!A39))+(COUNTIF('LUXE DRIVE'!$A$7:$A$50,'L HAY LES ROSES'!A39))+(COUNTIF(SSN!$A$7:$A$50,'L HAY LES ROSES'!A39))+(COUNTIF('W3'!$A$7:$A$50,'L HAY LES ROSES'!A39))+(COUNTIF('ATHIS MONS'!$A$7:$A$50,'L HAY LES ROSES'!A39))+(COUNTIF('L HAY LES ROSES'!$A$7:$A$50,'L HAY LES ROSES'!A39))+(COUNTIF(RUNGIS!$A$7:$A$50,'L HAY LES ROSES'!A39))+(COUNTIF(SCEAUX!$A$7:$A$50,'L HAY LES ROSES'!A39))+(COUNTIF('INSTANCE C1'!$A$7:$A$50,'L HAY LES ROSES'!A39))+(COUNTIF('INSTANCE C2'!$A$7:$A$50,'L HAY LES ROSES'!A39))+(COUNTIF(INTERNES!$A$7:$A$50,'L HAY LES ROSES'!A39))+(COUNTIF('EN PANNE'!$A$7:$A$50,'L HAY LES ROSES'!A39))-C39</f>
        <v>0</v>
      </c>
      <c r="C39" s="23">
        <f>(COUNTIF('2S EXPRESS'!$G$7:$G$50,'L HAY LES ROSES'!A39))+(COUNTIF('2 ZT'!$G$7:$G$50,'L HAY LES ROSES'!A39))+(COUNTIF('GO TRANSPORT'!$G$7:$G$50,'L HAY LES ROSES'!A39))+(COUNTIF('L HAY LES ROSES'!$G$7:$G$50,'L HAY LES ROSES'!A39))+(COUNTIF('IB TRANSPORT'!$G$7:$G$50,'L HAY LES ROSES'!A39))+(COUNTIF(JSL!$G$7:$G$50,'L HAY LES ROSES'!A39))+(COUNTIF(KIFAITOUT!$G$7:$G$50,'L HAY LES ROSES'!A39))+(COUNTIF('LUXE DRIVE'!$G$7:$G$50,'L HAY LES ROSES'!A39))+(COUNTIF(SSN!$G$7:$G$50,'L HAY LES ROSES'!A39))+(COUNTIF('W3'!$G$7:$G$50,'L HAY LES ROSES'!A39))+(COUNTIF('ATHIS MONS'!$G$7:$G$50,'L HAY LES ROSES'!A39))+(COUNTIF('L HAY LES ROSES'!$G$7:$G$50,'L HAY LES ROSES'!A39))+(COUNTIF(RUNGIS!$G$7:$G$50,'L HAY LES ROSES'!A39))+(COUNTIF(SCEAUX!$G$7:$G$50,'L HAY LES ROSES'!A39))+(COUNTIF('INSTANCE C1'!$G$7:$G$50,'L HAY LES ROSES'!A39))+(COUNTIF('INSTANCE C2'!$G$7:$G$50,'L HAY LES ROSES'!A39))+(COUNTIF(INTERNES!$G$7:$G$50,'L HAY LES ROSES'!A39))+(COUNTIF('EN PANNE'!$G$7:$G$50,'L HAY LES ROSES'!A39))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EXPRESS'!$G$7:$G$50,'L HAY LES ROSES'!G39))+(COUNTIF('2 ZT'!$G$7:$G$50,'L HAY LES ROSES'!G39))+(COUNTIF('GO TRANSPORT'!$G$7:$G$50,'L HAY LES ROSES'!G39))+(COUNTIF('HMZ - KAIS'!$G$7:$G$50,'L HAY LES ROSES'!G39))+(COUNTIF('IB TRANSPORT'!$G$7:$G$50,'L HAY LES ROSES'!G39))+(COUNTIF(JSL!$G$7:$G$50,'L HAY LES ROSES'!G39))+(COUNTIF(KIFAITOUT!$G$7:$G$50,'L HAY LES ROSES'!G39))+(COUNTIF('LUXE DRIVE'!$G$7:$G$50,'L HAY LES ROSES'!G39))+(COUNTIF(SSN!$G$7:$G$50,'L HAY LES ROSES'!G39))+(COUNTIF('W3'!$G$7:$G$50,'L HAY LES ROSES'!G39))+(COUNTIF('ATHIS MONS'!$G$7:$G$50,'L HAY LES ROSES'!G39))+(COUNTIF('L HAY LES ROSES'!$G$7:$G$50,'L HAY LES ROSES'!G39))+(COUNTIF(RUNGIS!$G$7:$G$50,'L HAY LES ROSES'!G39))+(COUNTIF(SCEAUX!$G$7:$G$50,'L HAY LES ROSES'!G39))+(COUNTIF('INSTANCE C1'!$G$7:$G$50,'L HAY LES ROSES'!G39))+(COUNTIF('INSTANCE C2'!$G$7:$G$50,'L HAY LES ROSES'!G39))+(COUNTIF(INTERNES!$G$7:$G$50,'L HAY LES ROSES'!G39))+(COUNTIF('EN PANNE'!$G$7:$G$50,'L HAY LES ROSES'!G39))-I39</f>
        <v>0</v>
      </c>
      <c r="I39" s="23">
        <f>(COUNTIF('2S EXPRESS'!$A$7:$A$50,'L HAY LES ROSES'!G39))+(COUNTIF('2 ZT'!$A$7:$A$50,'L HAY LES ROSES'!G39))+(COUNTIF('GO TRANSPORT'!$A$7:$A$50,'L HAY LES ROSES'!G39))+(COUNTIF('HMZ - KAIS'!$A$7:$A$50,'L HAY LES ROSES'!G39))+(COUNTIF('IB TRANSPORT'!$A$7:$A$50,'L HAY LES ROSES'!G39))+(COUNTIF(JSL!$A$7:$A$50,'L HAY LES ROSES'!G39))+(COUNTIF(KIFAITOUT!$A$7:$A$50,'L HAY LES ROSES'!G39))+(COUNTIF('LUXE DRIVE'!$A$7:$A$50,'L HAY LES ROSES'!G39))+(COUNTIF(SSN!$A$7:$A$50,'L HAY LES ROSES'!G39))+(COUNTIF('W3'!$A$7:$A$50,'L HAY LES ROSES'!G39))+(COUNTIF('ATHIS MONS'!$A$7:$A$50,'L HAY LES ROSES'!G39))+(COUNTIF('L HAY LES ROSES'!$A$7:$A$50,'L HAY LES ROSES'!G39))+(COUNTIF(RUNGIS!$A$7:$A$50,'L HAY LES ROSES'!G39))+(COUNTIF(SCEAUX!$A$7:$A$50,'L HAY LES ROSES'!G39))+(COUNTIF('INSTANCE C1'!$A$7:$A$50,'L HAY LES ROSES'!G39))+(COUNTIF('INSTANCE C2'!$A$7:$A$50,'L HAY LES ROSES'!G39))+(COUNTIF(INTERNES!$A$7:$A$50,'L HAY LES ROSES'!G39))+(COUNTIF('EN PANNE'!$A$7:$A$50,'L HAY LES ROSES'!G39))</f>
        <v>0</v>
      </c>
      <c r="J39" s="28">
        <f t="shared" si="4"/>
        <v>0</v>
      </c>
      <c r="K39" s="2"/>
      <c r="L39" s="47"/>
      <c r="S39" s="60">
        <f t="shared" si="1"/>
        <v>0</v>
      </c>
      <c r="T39" s="67">
        <f t="shared" si="2"/>
        <v>0</v>
      </c>
    </row>
    <row r="40" spans="1:20" ht="24.95" customHeight="1" x14ac:dyDescent="0.2">
      <c r="A40" s="20"/>
      <c r="B40" s="23">
        <f>(COUNTIF('2S EXPRESS'!$A$7:$A$50,'L HAY LES ROSES'!A40))+(COUNTIF('2 ZT'!$A$7:$A$50,'L HAY LES ROSES'!A40))+(COUNTIF('GO TRANSPORT'!$A$7:$A$50,'L HAY LES ROSES'!A40))+(COUNTIF('HMZ - KAIS'!$A$7:$A$50,'L HAY LES ROSES'!A40))+(COUNTIF('IB TRANSPORT'!$A$7:$A$50,'L HAY LES ROSES'!A40))+(COUNTIF(JSL!$A$7:$A$50,'L HAY LES ROSES'!A40))+(COUNTIF(KIFAITOUT!$A$7:$A$50,'L HAY LES ROSES'!A40))+(COUNTIF('LUXE DRIVE'!$A$7:$A$50,'L HAY LES ROSES'!A40))+(COUNTIF(SSN!$A$7:$A$50,'L HAY LES ROSES'!A40))+(COUNTIF('W3'!$A$7:$A$50,'L HAY LES ROSES'!A40))+(COUNTIF('ATHIS MONS'!$A$7:$A$50,'L HAY LES ROSES'!A40))+(COUNTIF('L HAY LES ROSES'!$A$7:$A$50,'L HAY LES ROSES'!A40))+(COUNTIF(RUNGIS!$A$7:$A$50,'L HAY LES ROSES'!A40))+(COUNTIF(SCEAUX!$A$7:$A$50,'L HAY LES ROSES'!A40))+(COUNTIF('INSTANCE C1'!$A$7:$A$50,'L HAY LES ROSES'!A40))+(COUNTIF('INSTANCE C2'!$A$7:$A$50,'L HAY LES ROSES'!A40))+(COUNTIF(INTERNES!$A$7:$A$50,'L HAY LES ROSES'!A40))+(COUNTIF('EN PANNE'!$A$7:$A$50,'L HAY LES ROSES'!A40))-C40</f>
        <v>0</v>
      </c>
      <c r="C40" s="23">
        <f>(COUNTIF('2S EXPRESS'!$G$7:$G$50,'L HAY LES ROSES'!A40))+(COUNTIF('2 ZT'!$G$7:$G$50,'L HAY LES ROSES'!A40))+(COUNTIF('GO TRANSPORT'!$G$7:$G$50,'L HAY LES ROSES'!A40))+(COUNTIF('L HAY LES ROSES'!$G$7:$G$50,'L HAY LES ROSES'!A40))+(COUNTIF('IB TRANSPORT'!$G$7:$G$50,'L HAY LES ROSES'!A40))+(COUNTIF(JSL!$G$7:$G$50,'L HAY LES ROSES'!A40))+(COUNTIF(KIFAITOUT!$G$7:$G$50,'L HAY LES ROSES'!A40))+(COUNTIF('LUXE DRIVE'!$G$7:$G$50,'L HAY LES ROSES'!A40))+(COUNTIF(SSN!$G$7:$G$50,'L HAY LES ROSES'!A40))+(COUNTIF('W3'!$G$7:$G$50,'L HAY LES ROSES'!A40))+(COUNTIF('ATHIS MONS'!$G$7:$G$50,'L HAY LES ROSES'!A40))+(COUNTIF('L HAY LES ROSES'!$G$7:$G$50,'L HAY LES ROSES'!A40))+(COUNTIF(RUNGIS!$G$7:$G$50,'L HAY LES ROSES'!A40))+(COUNTIF(SCEAUX!$G$7:$G$50,'L HAY LES ROSES'!A40))+(COUNTIF('INSTANCE C1'!$G$7:$G$50,'L HAY LES ROSES'!A40))+(COUNTIF('INSTANCE C2'!$G$7:$G$50,'L HAY LES ROSES'!A40))+(COUNTIF(INTERNES!$G$7:$G$50,'L HAY LES ROSES'!A40))+(COUNTIF('EN PANNE'!$G$7:$G$50,'L HAY LES ROSES'!A40))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EXPRESS'!$G$7:$G$50,'L HAY LES ROSES'!G40))+(COUNTIF('2 ZT'!$G$7:$G$50,'L HAY LES ROSES'!G40))+(COUNTIF('GO TRANSPORT'!$G$7:$G$50,'L HAY LES ROSES'!G40))+(COUNTIF('HMZ - KAIS'!$G$7:$G$50,'L HAY LES ROSES'!G40))+(COUNTIF('IB TRANSPORT'!$G$7:$G$50,'L HAY LES ROSES'!G40))+(COUNTIF(JSL!$G$7:$G$50,'L HAY LES ROSES'!G40))+(COUNTIF(KIFAITOUT!$G$7:$G$50,'L HAY LES ROSES'!G40))+(COUNTIF('LUXE DRIVE'!$G$7:$G$50,'L HAY LES ROSES'!G40))+(COUNTIF(SSN!$G$7:$G$50,'L HAY LES ROSES'!G40))+(COUNTIF('W3'!$G$7:$G$50,'L HAY LES ROSES'!G40))+(COUNTIF('ATHIS MONS'!$G$7:$G$50,'L HAY LES ROSES'!G40))+(COUNTIF('L HAY LES ROSES'!$G$7:$G$50,'L HAY LES ROSES'!G40))+(COUNTIF(RUNGIS!$G$7:$G$50,'L HAY LES ROSES'!G40))+(COUNTIF(SCEAUX!$G$7:$G$50,'L HAY LES ROSES'!G40))+(COUNTIF('INSTANCE C1'!$G$7:$G$50,'L HAY LES ROSES'!G40))+(COUNTIF('INSTANCE C2'!$G$7:$G$50,'L HAY LES ROSES'!G40))+(COUNTIF(INTERNES!$G$7:$G$50,'L HAY LES ROSES'!G40))+(COUNTIF('EN PANNE'!$G$7:$G$50,'L HAY LES ROSES'!G40))-I40</f>
        <v>0</v>
      </c>
      <c r="I40" s="23">
        <f>(COUNTIF('2S EXPRESS'!$A$7:$A$50,'L HAY LES ROSES'!G40))+(COUNTIF('2 ZT'!$A$7:$A$50,'L HAY LES ROSES'!G40))+(COUNTIF('GO TRANSPORT'!$A$7:$A$50,'L HAY LES ROSES'!G40))+(COUNTIF('HMZ - KAIS'!$A$7:$A$50,'L HAY LES ROSES'!G40))+(COUNTIF('IB TRANSPORT'!$A$7:$A$50,'L HAY LES ROSES'!G40))+(COUNTIF(JSL!$A$7:$A$50,'L HAY LES ROSES'!G40))+(COUNTIF(KIFAITOUT!$A$7:$A$50,'L HAY LES ROSES'!G40))+(COUNTIF('LUXE DRIVE'!$A$7:$A$50,'L HAY LES ROSES'!G40))+(COUNTIF(SSN!$A$7:$A$50,'L HAY LES ROSES'!G40))+(COUNTIF('W3'!$A$7:$A$50,'L HAY LES ROSES'!G40))+(COUNTIF('ATHIS MONS'!$A$7:$A$50,'L HAY LES ROSES'!G40))+(COUNTIF('L HAY LES ROSES'!$A$7:$A$50,'L HAY LES ROSES'!G40))+(COUNTIF(RUNGIS!$A$7:$A$50,'L HAY LES ROSES'!G40))+(COUNTIF(SCEAUX!$A$7:$A$50,'L HAY LES ROSES'!G40))+(COUNTIF('INSTANCE C1'!$A$7:$A$50,'L HAY LES ROSES'!G40))+(COUNTIF('INSTANCE C2'!$A$7:$A$50,'L HAY LES ROSES'!G40))+(COUNTIF(INTERNES!$A$7:$A$50,'L HAY LES ROSES'!G40))+(COUNTIF('EN PANNE'!$A$7:$A$50,'L HAY LES ROSES'!G40))</f>
        <v>0</v>
      </c>
      <c r="J40" s="28">
        <f t="shared" si="4"/>
        <v>0</v>
      </c>
      <c r="K40" s="2"/>
      <c r="L40" s="47"/>
      <c r="S40" s="60">
        <f t="shared" si="1"/>
        <v>0</v>
      </c>
      <c r="T40" s="67">
        <f t="shared" si="2"/>
        <v>0</v>
      </c>
    </row>
    <row r="41" spans="1:20" ht="24.95" customHeight="1" x14ac:dyDescent="0.2">
      <c r="A41" s="20"/>
      <c r="B41" s="23">
        <f>(COUNTIF('2S EXPRESS'!$A$7:$A$50,'L HAY LES ROSES'!A41))+(COUNTIF('2 ZT'!$A$7:$A$50,'L HAY LES ROSES'!A41))+(COUNTIF('GO TRANSPORT'!$A$7:$A$50,'L HAY LES ROSES'!A41))+(COUNTIF('HMZ - KAIS'!$A$7:$A$50,'L HAY LES ROSES'!A41))+(COUNTIF('IB TRANSPORT'!$A$7:$A$50,'L HAY LES ROSES'!A41))+(COUNTIF(JSL!$A$7:$A$50,'L HAY LES ROSES'!A41))+(COUNTIF(KIFAITOUT!$A$7:$A$50,'L HAY LES ROSES'!A41))+(COUNTIF('LUXE DRIVE'!$A$7:$A$50,'L HAY LES ROSES'!A41))+(COUNTIF(SSN!$A$7:$A$50,'L HAY LES ROSES'!A41))+(COUNTIF('W3'!$A$7:$A$50,'L HAY LES ROSES'!A41))+(COUNTIF('ATHIS MONS'!$A$7:$A$50,'L HAY LES ROSES'!A41))+(COUNTIF('L HAY LES ROSES'!$A$7:$A$50,'L HAY LES ROSES'!A41))+(COUNTIF(RUNGIS!$A$7:$A$50,'L HAY LES ROSES'!A41))+(COUNTIF(SCEAUX!$A$7:$A$50,'L HAY LES ROSES'!A41))+(COUNTIF('INSTANCE C1'!$A$7:$A$50,'L HAY LES ROSES'!A41))+(COUNTIF('INSTANCE C2'!$A$7:$A$50,'L HAY LES ROSES'!A41))+(COUNTIF(INTERNES!$A$7:$A$50,'L HAY LES ROSES'!A41))+(COUNTIF('EN PANNE'!$A$7:$A$50,'L HAY LES ROSES'!A41))-C41</f>
        <v>0</v>
      </c>
      <c r="C41" s="23">
        <f>(COUNTIF('2S EXPRESS'!$G$7:$G$50,'L HAY LES ROSES'!A41))+(COUNTIF('2 ZT'!$G$7:$G$50,'L HAY LES ROSES'!A41))+(COUNTIF('GO TRANSPORT'!$G$7:$G$50,'L HAY LES ROSES'!A41))+(COUNTIF('L HAY LES ROSES'!$G$7:$G$50,'L HAY LES ROSES'!A41))+(COUNTIF('IB TRANSPORT'!$G$7:$G$50,'L HAY LES ROSES'!A41))+(COUNTIF(JSL!$G$7:$G$50,'L HAY LES ROSES'!A41))+(COUNTIF(KIFAITOUT!$G$7:$G$50,'L HAY LES ROSES'!A41))+(COUNTIF('LUXE DRIVE'!$G$7:$G$50,'L HAY LES ROSES'!A41))+(COUNTIF(SSN!$G$7:$G$50,'L HAY LES ROSES'!A41))+(COUNTIF('W3'!$G$7:$G$50,'L HAY LES ROSES'!A41))+(COUNTIF('ATHIS MONS'!$G$7:$G$50,'L HAY LES ROSES'!A41))+(COUNTIF('L HAY LES ROSES'!$G$7:$G$50,'L HAY LES ROSES'!A41))+(COUNTIF(RUNGIS!$G$7:$G$50,'L HAY LES ROSES'!A41))+(COUNTIF(SCEAUX!$G$7:$G$50,'L HAY LES ROSES'!A41))+(COUNTIF('INSTANCE C1'!$G$7:$G$50,'L HAY LES ROSES'!A41))+(COUNTIF('INSTANCE C2'!$G$7:$G$50,'L HAY LES ROSES'!A41))+(COUNTIF(INTERNES!$G$7:$G$50,'L HAY LES ROSES'!A41))+(COUNTIF('EN PANNE'!$G$7:$G$50,'L HAY LES ROSES'!A41))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EXPRESS'!$G$7:$G$50,'L HAY LES ROSES'!G41))+(COUNTIF('2 ZT'!$G$7:$G$50,'L HAY LES ROSES'!G41))+(COUNTIF('GO TRANSPORT'!$G$7:$G$50,'L HAY LES ROSES'!G41))+(COUNTIF('HMZ - KAIS'!$G$7:$G$50,'L HAY LES ROSES'!G41))+(COUNTIF('IB TRANSPORT'!$G$7:$G$50,'L HAY LES ROSES'!G41))+(COUNTIF(JSL!$G$7:$G$50,'L HAY LES ROSES'!G41))+(COUNTIF(KIFAITOUT!$G$7:$G$50,'L HAY LES ROSES'!G41))+(COUNTIF('LUXE DRIVE'!$G$7:$G$50,'L HAY LES ROSES'!G41))+(COUNTIF(SSN!$G$7:$G$50,'L HAY LES ROSES'!G41))+(COUNTIF('W3'!$G$7:$G$50,'L HAY LES ROSES'!G41))+(COUNTIF('ATHIS MONS'!$G$7:$G$50,'L HAY LES ROSES'!G41))+(COUNTIF('L HAY LES ROSES'!$G$7:$G$50,'L HAY LES ROSES'!G41))+(COUNTIF(RUNGIS!$G$7:$G$50,'L HAY LES ROSES'!G41))+(COUNTIF(SCEAUX!$G$7:$G$50,'L HAY LES ROSES'!G41))+(COUNTIF('INSTANCE C1'!$G$7:$G$50,'L HAY LES ROSES'!G41))+(COUNTIF('INSTANCE C2'!$G$7:$G$50,'L HAY LES ROSES'!G41))+(COUNTIF(INTERNES!$G$7:$G$50,'L HAY LES ROSES'!G41))+(COUNTIF('EN PANNE'!$G$7:$G$50,'L HAY LES ROSES'!G41))-I41</f>
        <v>0</v>
      </c>
      <c r="I41" s="23">
        <f>(COUNTIF('2S EXPRESS'!$A$7:$A$50,'L HAY LES ROSES'!G41))+(COUNTIF('2 ZT'!$A$7:$A$50,'L HAY LES ROSES'!G41))+(COUNTIF('GO TRANSPORT'!$A$7:$A$50,'L HAY LES ROSES'!G41))+(COUNTIF('HMZ - KAIS'!$A$7:$A$50,'L HAY LES ROSES'!G41))+(COUNTIF('IB TRANSPORT'!$A$7:$A$50,'L HAY LES ROSES'!G41))+(COUNTIF(JSL!$A$7:$A$50,'L HAY LES ROSES'!G41))+(COUNTIF(KIFAITOUT!$A$7:$A$50,'L HAY LES ROSES'!G41))+(COUNTIF('LUXE DRIVE'!$A$7:$A$50,'L HAY LES ROSES'!G41))+(COUNTIF(SSN!$A$7:$A$50,'L HAY LES ROSES'!G41))+(COUNTIF('W3'!$A$7:$A$50,'L HAY LES ROSES'!G41))+(COUNTIF('ATHIS MONS'!$A$7:$A$50,'L HAY LES ROSES'!G41))+(COUNTIF('L HAY LES ROSES'!$A$7:$A$50,'L HAY LES ROSES'!G41))+(COUNTIF(RUNGIS!$A$7:$A$50,'L HAY LES ROSES'!G41))+(COUNTIF(SCEAUX!$A$7:$A$50,'L HAY LES ROSES'!G41))+(COUNTIF('INSTANCE C1'!$A$7:$A$50,'L HAY LES ROSES'!G41))+(COUNTIF('INSTANCE C2'!$A$7:$A$50,'L HAY LES ROSES'!G41))+(COUNTIF(INTERNES!$A$7:$A$50,'L HAY LES ROSES'!G41))+(COUNTIF('EN PANNE'!$A$7:$A$50,'L HAY LES ROSES'!G41))</f>
        <v>0</v>
      </c>
      <c r="J41" s="28">
        <f t="shared" si="4"/>
        <v>0</v>
      </c>
      <c r="K41" s="2"/>
      <c r="L41" s="47"/>
      <c r="S41" s="60">
        <f t="shared" si="1"/>
        <v>0</v>
      </c>
      <c r="T41" s="67">
        <f t="shared" si="2"/>
        <v>0</v>
      </c>
    </row>
    <row r="42" spans="1:20" ht="24.95" customHeight="1" x14ac:dyDescent="0.2">
      <c r="A42" s="20"/>
      <c r="B42" s="23">
        <f>(COUNTIF('2S EXPRESS'!$A$7:$A$50,'L HAY LES ROSES'!A42))+(COUNTIF('2 ZT'!$A$7:$A$50,'L HAY LES ROSES'!A42))+(COUNTIF('GO TRANSPORT'!$A$7:$A$50,'L HAY LES ROSES'!A42))+(COUNTIF('HMZ - KAIS'!$A$7:$A$50,'L HAY LES ROSES'!A42))+(COUNTIF('IB TRANSPORT'!$A$7:$A$50,'L HAY LES ROSES'!A42))+(COUNTIF(JSL!$A$7:$A$50,'L HAY LES ROSES'!A42))+(COUNTIF(KIFAITOUT!$A$7:$A$50,'L HAY LES ROSES'!A42))+(COUNTIF('LUXE DRIVE'!$A$7:$A$50,'L HAY LES ROSES'!A42))+(COUNTIF(SSN!$A$7:$A$50,'L HAY LES ROSES'!A42))+(COUNTIF('W3'!$A$7:$A$50,'L HAY LES ROSES'!A42))+(COUNTIF('ATHIS MONS'!$A$7:$A$50,'L HAY LES ROSES'!A42))+(COUNTIF('L HAY LES ROSES'!$A$7:$A$50,'L HAY LES ROSES'!A42))+(COUNTIF(RUNGIS!$A$7:$A$50,'L HAY LES ROSES'!A42))+(COUNTIF(SCEAUX!$A$7:$A$50,'L HAY LES ROSES'!A42))+(COUNTIF('INSTANCE C1'!$A$7:$A$50,'L HAY LES ROSES'!A42))+(COUNTIF('INSTANCE C2'!$A$7:$A$50,'L HAY LES ROSES'!A42))+(COUNTIF(INTERNES!$A$7:$A$50,'L HAY LES ROSES'!A42))+(COUNTIF('EN PANNE'!$A$7:$A$50,'L HAY LES ROSES'!A42))-C42</f>
        <v>0</v>
      </c>
      <c r="C42" s="23">
        <f>(COUNTIF('2S EXPRESS'!$G$7:$G$50,'L HAY LES ROSES'!A42))+(COUNTIF('2 ZT'!$G$7:$G$50,'L HAY LES ROSES'!A42))+(COUNTIF('GO TRANSPORT'!$G$7:$G$50,'L HAY LES ROSES'!A42))+(COUNTIF('L HAY LES ROSES'!$G$7:$G$50,'L HAY LES ROSES'!A42))+(COUNTIF('IB TRANSPORT'!$G$7:$G$50,'L HAY LES ROSES'!A42))+(COUNTIF(JSL!$G$7:$G$50,'L HAY LES ROSES'!A42))+(COUNTIF(KIFAITOUT!$G$7:$G$50,'L HAY LES ROSES'!A42))+(COUNTIF('LUXE DRIVE'!$G$7:$G$50,'L HAY LES ROSES'!A42))+(COUNTIF(SSN!$G$7:$G$50,'L HAY LES ROSES'!A42))+(COUNTIF('W3'!$G$7:$G$50,'L HAY LES ROSES'!A42))+(COUNTIF('ATHIS MONS'!$G$7:$G$50,'L HAY LES ROSES'!A42))+(COUNTIF('L HAY LES ROSES'!$G$7:$G$50,'L HAY LES ROSES'!A42))+(COUNTIF(RUNGIS!$G$7:$G$50,'L HAY LES ROSES'!A42))+(COUNTIF(SCEAUX!$G$7:$G$50,'L HAY LES ROSES'!A42))+(COUNTIF('INSTANCE C1'!$G$7:$G$50,'L HAY LES ROSES'!A42))+(COUNTIF('INSTANCE C2'!$G$7:$G$50,'L HAY LES ROSES'!A42))+(COUNTIF(INTERNES!$G$7:$G$50,'L HAY LES ROSES'!A42))+(COUNTIF('EN PANNE'!$G$7:$G$50,'L HAY LES ROSES'!A42))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EXPRESS'!$G$7:$G$50,'L HAY LES ROSES'!G42))+(COUNTIF('2 ZT'!$G$7:$G$50,'L HAY LES ROSES'!G42))+(COUNTIF('GO TRANSPORT'!$G$7:$G$50,'L HAY LES ROSES'!G42))+(COUNTIF('HMZ - KAIS'!$G$7:$G$50,'L HAY LES ROSES'!G42))+(COUNTIF('IB TRANSPORT'!$G$7:$G$50,'L HAY LES ROSES'!G42))+(COUNTIF(JSL!$G$7:$G$50,'L HAY LES ROSES'!G42))+(COUNTIF(KIFAITOUT!$G$7:$G$50,'L HAY LES ROSES'!G42))+(COUNTIF('LUXE DRIVE'!$G$7:$G$50,'L HAY LES ROSES'!G42))+(COUNTIF(SSN!$G$7:$G$50,'L HAY LES ROSES'!G42))+(COUNTIF('W3'!$G$7:$G$50,'L HAY LES ROSES'!G42))+(COUNTIF('ATHIS MONS'!$G$7:$G$50,'L HAY LES ROSES'!G42))+(COUNTIF('L HAY LES ROSES'!$G$7:$G$50,'L HAY LES ROSES'!G42))+(COUNTIF(RUNGIS!$G$7:$G$50,'L HAY LES ROSES'!G42))+(COUNTIF(SCEAUX!$G$7:$G$50,'L HAY LES ROSES'!G42))+(COUNTIF('INSTANCE C1'!$G$7:$G$50,'L HAY LES ROSES'!G42))+(COUNTIF('INSTANCE C2'!$G$7:$G$50,'L HAY LES ROSES'!G42))+(COUNTIF(INTERNES!$G$7:$G$50,'L HAY LES ROSES'!G42))+(COUNTIF('EN PANNE'!$G$7:$G$50,'L HAY LES ROSES'!G42))-I42</f>
        <v>0</v>
      </c>
      <c r="I42" s="23">
        <f>(COUNTIF('2S EXPRESS'!$A$7:$A$50,'L HAY LES ROSES'!G42))+(COUNTIF('2 ZT'!$A$7:$A$50,'L HAY LES ROSES'!G42))+(COUNTIF('GO TRANSPORT'!$A$7:$A$50,'L HAY LES ROSES'!G42))+(COUNTIF('HMZ - KAIS'!$A$7:$A$50,'L HAY LES ROSES'!G42))+(COUNTIF('IB TRANSPORT'!$A$7:$A$50,'L HAY LES ROSES'!G42))+(COUNTIF(JSL!$A$7:$A$50,'L HAY LES ROSES'!G42))+(COUNTIF(KIFAITOUT!$A$7:$A$50,'L HAY LES ROSES'!G42))+(COUNTIF('LUXE DRIVE'!$A$7:$A$50,'L HAY LES ROSES'!G42))+(COUNTIF(SSN!$A$7:$A$50,'L HAY LES ROSES'!G42))+(COUNTIF('W3'!$A$7:$A$50,'L HAY LES ROSES'!G42))+(COUNTIF('ATHIS MONS'!$A$7:$A$50,'L HAY LES ROSES'!G42))+(COUNTIF('L HAY LES ROSES'!$A$7:$A$50,'L HAY LES ROSES'!G42))+(COUNTIF(RUNGIS!$A$7:$A$50,'L HAY LES ROSES'!G42))+(COUNTIF(SCEAUX!$A$7:$A$50,'L HAY LES ROSES'!G42))+(COUNTIF('INSTANCE C1'!$A$7:$A$50,'L HAY LES ROSES'!G42))+(COUNTIF('INSTANCE C2'!$A$7:$A$50,'L HAY LES ROSES'!G42))+(COUNTIF(INTERNES!$A$7:$A$50,'L HAY LES ROSES'!G42))+(COUNTIF('EN PANNE'!$A$7:$A$50,'L HAY LES ROSES'!G42))</f>
        <v>0</v>
      </c>
      <c r="J42" s="28">
        <f t="shared" si="4"/>
        <v>0</v>
      </c>
      <c r="K42" s="2"/>
      <c r="L42" s="47"/>
      <c r="S42" s="60">
        <f t="shared" si="1"/>
        <v>0</v>
      </c>
      <c r="T42" s="67">
        <f t="shared" si="2"/>
        <v>0</v>
      </c>
    </row>
    <row r="43" spans="1:20" ht="24.95" customHeight="1" x14ac:dyDescent="0.2">
      <c r="A43" s="20"/>
      <c r="B43" s="23">
        <f>(COUNTIF('2S EXPRESS'!$A$7:$A$50,'L HAY LES ROSES'!A43))+(COUNTIF('2 ZT'!$A$7:$A$50,'L HAY LES ROSES'!A43))+(COUNTIF('GO TRANSPORT'!$A$7:$A$50,'L HAY LES ROSES'!A43))+(COUNTIF('HMZ - KAIS'!$A$7:$A$50,'L HAY LES ROSES'!A43))+(COUNTIF('IB TRANSPORT'!$A$7:$A$50,'L HAY LES ROSES'!A43))+(COUNTIF(JSL!$A$7:$A$50,'L HAY LES ROSES'!A43))+(COUNTIF(KIFAITOUT!$A$7:$A$50,'L HAY LES ROSES'!A43))+(COUNTIF('LUXE DRIVE'!$A$7:$A$50,'L HAY LES ROSES'!A43))+(COUNTIF(SSN!$A$7:$A$50,'L HAY LES ROSES'!A43))+(COUNTIF('W3'!$A$7:$A$50,'L HAY LES ROSES'!A43))+(COUNTIF('ATHIS MONS'!$A$7:$A$50,'L HAY LES ROSES'!A43))+(COUNTIF('L HAY LES ROSES'!$A$7:$A$50,'L HAY LES ROSES'!A43))+(COUNTIF(RUNGIS!$A$7:$A$50,'L HAY LES ROSES'!A43))+(COUNTIF(SCEAUX!$A$7:$A$50,'L HAY LES ROSES'!A43))+(COUNTIF('INSTANCE C1'!$A$7:$A$50,'L HAY LES ROSES'!A43))+(COUNTIF('INSTANCE C2'!$A$7:$A$50,'L HAY LES ROSES'!A43))+(COUNTIF(INTERNES!$A$7:$A$50,'L HAY LES ROSES'!A43))+(COUNTIF('EN PANNE'!$A$7:$A$50,'L HAY LES ROSES'!A43))-C43</f>
        <v>0</v>
      </c>
      <c r="C43" s="23">
        <f>(COUNTIF('2S EXPRESS'!$G$7:$G$50,'L HAY LES ROSES'!A43))+(COUNTIF('2 ZT'!$G$7:$G$50,'L HAY LES ROSES'!A43))+(COUNTIF('GO TRANSPORT'!$G$7:$G$50,'L HAY LES ROSES'!A43))+(COUNTIF('L HAY LES ROSES'!$G$7:$G$50,'L HAY LES ROSES'!A43))+(COUNTIF('IB TRANSPORT'!$G$7:$G$50,'L HAY LES ROSES'!A43))+(COUNTIF(JSL!$G$7:$G$50,'L HAY LES ROSES'!A43))+(COUNTIF(KIFAITOUT!$G$7:$G$50,'L HAY LES ROSES'!A43))+(COUNTIF('LUXE DRIVE'!$G$7:$G$50,'L HAY LES ROSES'!A43))+(COUNTIF(SSN!$G$7:$G$50,'L HAY LES ROSES'!A43))+(COUNTIF('W3'!$G$7:$G$50,'L HAY LES ROSES'!A43))+(COUNTIF('ATHIS MONS'!$G$7:$G$50,'L HAY LES ROSES'!A43))+(COUNTIF('L HAY LES ROSES'!$G$7:$G$50,'L HAY LES ROSES'!A43))+(COUNTIF(RUNGIS!$G$7:$G$50,'L HAY LES ROSES'!A43))+(COUNTIF(SCEAUX!$G$7:$G$50,'L HAY LES ROSES'!A43))+(COUNTIF('INSTANCE C1'!$G$7:$G$50,'L HAY LES ROSES'!A43))+(COUNTIF('INSTANCE C2'!$G$7:$G$50,'L HAY LES ROSES'!A43))+(COUNTIF(INTERNES!$G$7:$G$50,'L HAY LES ROSES'!A43))+(COUNTIF('EN PANNE'!$G$7:$G$50,'L HAY LES ROSES'!A43))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EXPRESS'!$G$7:$G$50,'L HAY LES ROSES'!G43))+(COUNTIF('2 ZT'!$G$7:$G$50,'L HAY LES ROSES'!G43))+(COUNTIF('GO TRANSPORT'!$G$7:$G$50,'L HAY LES ROSES'!G43))+(COUNTIF('HMZ - KAIS'!$G$7:$G$50,'L HAY LES ROSES'!G43))+(COUNTIF('IB TRANSPORT'!$G$7:$G$50,'L HAY LES ROSES'!G43))+(COUNTIF(JSL!$G$7:$G$50,'L HAY LES ROSES'!G43))+(COUNTIF(KIFAITOUT!$G$7:$G$50,'L HAY LES ROSES'!G43))+(COUNTIF('LUXE DRIVE'!$G$7:$G$50,'L HAY LES ROSES'!G43))+(COUNTIF(SSN!$G$7:$G$50,'L HAY LES ROSES'!G43))+(COUNTIF('W3'!$G$7:$G$50,'L HAY LES ROSES'!G43))+(COUNTIF('ATHIS MONS'!$G$7:$G$50,'L HAY LES ROSES'!G43))+(COUNTIF('L HAY LES ROSES'!$G$7:$G$50,'L HAY LES ROSES'!G43))+(COUNTIF(RUNGIS!$G$7:$G$50,'L HAY LES ROSES'!G43))+(COUNTIF(SCEAUX!$G$7:$G$50,'L HAY LES ROSES'!G43))+(COUNTIF('INSTANCE C1'!$G$7:$G$50,'L HAY LES ROSES'!G43))+(COUNTIF('INSTANCE C2'!$G$7:$G$50,'L HAY LES ROSES'!G43))+(COUNTIF(INTERNES!$G$7:$G$50,'L HAY LES ROSES'!G43))+(COUNTIF('EN PANNE'!$G$7:$G$50,'L HAY LES ROSES'!G43))-I43</f>
        <v>0</v>
      </c>
      <c r="I43" s="23">
        <f>(COUNTIF('2S EXPRESS'!$A$7:$A$50,'L HAY LES ROSES'!G43))+(COUNTIF('2 ZT'!$A$7:$A$50,'L HAY LES ROSES'!G43))+(COUNTIF('GO TRANSPORT'!$A$7:$A$50,'L HAY LES ROSES'!G43))+(COUNTIF('HMZ - KAIS'!$A$7:$A$50,'L HAY LES ROSES'!G43))+(COUNTIF('IB TRANSPORT'!$A$7:$A$50,'L HAY LES ROSES'!G43))+(COUNTIF(JSL!$A$7:$A$50,'L HAY LES ROSES'!G43))+(COUNTIF(KIFAITOUT!$A$7:$A$50,'L HAY LES ROSES'!G43))+(COUNTIF('LUXE DRIVE'!$A$7:$A$50,'L HAY LES ROSES'!G43))+(COUNTIF(SSN!$A$7:$A$50,'L HAY LES ROSES'!G43))+(COUNTIF('W3'!$A$7:$A$50,'L HAY LES ROSES'!G43))+(COUNTIF('ATHIS MONS'!$A$7:$A$50,'L HAY LES ROSES'!G43))+(COUNTIF('L HAY LES ROSES'!$A$7:$A$50,'L HAY LES ROSES'!G43))+(COUNTIF(RUNGIS!$A$7:$A$50,'L HAY LES ROSES'!G43))+(COUNTIF(SCEAUX!$A$7:$A$50,'L HAY LES ROSES'!G43))+(COUNTIF('INSTANCE C1'!$A$7:$A$50,'L HAY LES ROSES'!G43))+(COUNTIF('INSTANCE C2'!$A$7:$A$50,'L HAY LES ROSES'!G43))+(COUNTIF(INTERNES!$A$7:$A$50,'L HAY LES ROSES'!G43))+(COUNTIF('EN PANNE'!$A$7:$A$50,'L HAY LES ROSES'!G43))</f>
        <v>0</v>
      </c>
      <c r="J43" s="28">
        <f t="shared" si="4"/>
        <v>0</v>
      </c>
      <c r="K43" s="2"/>
      <c r="L43" s="47"/>
      <c r="S43" s="60">
        <f t="shared" si="1"/>
        <v>0</v>
      </c>
      <c r="T43" s="67">
        <f t="shared" si="2"/>
        <v>0</v>
      </c>
    </row>
    <row r="44" spans="1:20" ht="24.95" customHeight="1" x14ac:dyDescent="0.2">
      <c r="A44" s="20"/>
      <c r="B44" s="23">
        <f>(COUNTIF('2S EXPRESS'!$A$7:$A$50,'L HAY LES ROSES'!A44))+(COUNTIF('2 ZT'!$A$7:$A$50,'L HAY LES ROSES'!A44))+(COUNTIF('GO TRANSPORT'!$A$7:$A$50,'L HAY LES ROSES'!A44))+(COUNTIF('HMZ - KAIS'!$A$7:$A$50,'L HAY LES ROSES'!A44))+(COUNTIF('IB TRANSPORT'!$A$7:$A$50,'L HAY LES ROSES'!A44))+(COUNTIF(JSL!$A$7:$A$50,'L HAY LES ROSES'!A44))+(COUNTIF(KIFAITOUT!$A$7:$A$50,'L HAY LES ROSES'!A44))+(COUNTIF('LUXE DRIVE'!$A$7:$A$50,'L HAY LES ROSES'!A44))+(COUNTIF(SSN!$A$7:$A$50,'L HAY LES ROSES'!A44))+(COUNTIF('W3'!$A$7:$A$50,'L HAY LES ROSES'!A44))+(COUNTIF('ATHIS MONS'!$A$7:$A$50,'L HAY LES ROSES'!A44))+(COUNTIF('L HAY LES ROSES'!$A$7:$A$50,'L HAY LES ROSES'!A44))+(COUNTIF(RUNGIS!$A$7:$A$50,'L HAY LES ROSES'!A44))+(COUNTIF(SCEAUX!$A$7:$A$50,'L HAY LES ROSES'!A44))+(COUNTIF('INSTANCE C1'!$A$7:$A$50,'L HAY LES ROSES'!A44))+(COUNTIF('INSTANCE C2'!$A$7:$A$50,'L HAY LES ROSES'!A44))+(COUNTIF(INTERNES!$A$7:$A$50,'L HAY LES ROSES'!A44))+(COUNTIF('EN PANNE'!$A$7:$A$50,'L HAY LES ROSES'!A44))-C44</f>
        <v>0</v>
      </c>
      <c r="C44" s="23">
        <f>(COUNTIF('2S EXPRESS'!$G$7:$G$50,'L HAY LES ROSES'!A44))+(COUNTIF('2 ZT'!$G$7:$G$50,'L HAY LES ROSES'!A44))+(COUNTIF('GO TRANSPORT'!$G$7:$G$50,'L HAY LES ROSES'!A44))+(COUNTIF('L HAY LES ROSES'!$G$7:$G$50,'L HAY LES ROSES'!A44))+(COUNTIF('IB TRANSPORT'!$G$7:$G$50,'L HAY LES ROSES'!A44))+(COUNTIF(JSL!$G$7:$G$50,'L HAY LES ROSES'!A44))+(COUNTIF(KIFAITOUT!$G$7:$G$50,'L HAY LES ROSES'!A44))+(COUNTIF('LUXE DRIVE'!$G$7:$G$50,'L HAY LES ROSES'!A44))+(COUNTIF(SSN!$G$7:$G$50,'L HAY LES ROSES'!A44))+(COUNTIF('W3'!$G$7:$G$50,'L HAY LES ROSES'!A44))+(COUNTIF('ATHIS MONS'!$G$7:$G$50,'L HAY LES ROSES'!A44))+(COUNTIF('L HAY LES ROSES'!$G$7:$G$50,'L HAY LES ROSES'!A44))+(COUNTIF(RUNGIS!$G$7:$G$50,'L HAY LES ROSES'!A44))+(COUNTIF(SCEAUX!$G$7:$G$50,'L HAY LES ROSES'!A44))+(COUNTIF('INSTANCE C1'!$G$7:$G$50,'L HAY LES ROSES'!A44))+(COUNTIF('INSTANCE C2'!$G$7:$G$50,'L HAY LES ROSES'!A44))+(COUNTIF(INTERNES!$G$7:$G$50,'L HAY LES ROSES'!A44))+(COUNTIF('EN PANNE'!$G$7:$G$50,'L HAY LES ROSES'!A44))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EXPRESS'!$G$7:$G$50,'L HAY LES ROSES'!G44))+(COUNTIF('2 ZT'!$G$7:$G$50,'L HAY LES ROSES'!G44))+(COUNTIF('GO TRANSPORT'!$G$7:$G$50,'L HAY LES ROSES'!G44))+(COUNTIF('HMZ - KAIS'!$G$7:$G$50,'L HAY LES ROSES'!G44))+(COUNTIF('IB TRANSPORT'!$G$7:$G$50,'L HAY LES ROSES'!G44))+(COUNTIF(JSL!$G$7:$G$50,'L HAY LES ROSES'!G44))+(COUNTIF(KIFAITOUT!$G$7:$G$50,'L HAY LES ROSES'!G44))+(COUNTIF('LUXE DRIVE'!$G$7:$G$50,'L HAY LES ROSES'!G44))+(COUNTIF(SSN!$G$7:$G$50,'L HAY LES ROSES'!G44))+(COUNTIF('W3'!$G$7:$G$50,'L HAY LES ROSES'!G44))+(COUNTIF('ATHIS MONS'!$G$7:$G$50,'L HAY LES ROSES'!G44))+(COUNTIF('L HAY LES ROSES'!$G$7:$G$50,'L HAY LES ROSES'!G44))+(COUNTIF(RUNGIS!$G$7:$G$50,'L HAY LES ROSES'!G44))+(COUNTIF(SCEAUX!$G$7:$G$50,'L HAY LES ROSES'!G44))+(COUNTIF('INSTANCE C1'!$G$7:$G$50,'L HAY LES ROSES'!G44))+(COUNTIF('INSTANCE C2'!$G$7:$G$50,'L HAY LES ROSES'!G44))+(COUNTIF(INTERNES!$G$7:$G$50,'L HAY LES ROSES'!G44))+(COUNTIF('EN PANNE'!$G$7:$G$50,'L HAY LES ROSES'!G44))-I44</f>
        <v>0</v>
      </c>
      <c r="I44" s="23">
        <f>(COUNTIF('2S EXPRESS'!$A$7:$A$50,'L HAY LES ROSES'!G44))+(COUNTIF('2 ZT'!$A$7:$A$50,'L HAY LES ROSES'!G44))+(COUNTIF('GO TRANSPORT'!$A$7:$A$50,'L HAY LES ROSES'!G44))+(COUNTIF('HMZ - KAIS'!$A$7:$A$50,'L HAY LES ROSES'!G44))+(COUNTIF('IB TRANSPORT'!$A$7:$A$50,'L HAY LES ROSES'!G44))+(COUNTIF(JSL!$A$7:$A$50,'L HAY LES ROSES'!G44))+(COUNTIF(KIFAITOUT!$A$7:$A$50,'L HAY LES ROSES'!G44))+(COUNTIF('LUXE DRIVE'!$A$7:$A$50,'L HAY LES ROSES'!G44))+(COUNTIF(SSN!$A$7:$A$50,'L HAY LES ROSES'!G44))+(COUNTIF('W3'!$A$7:$A$50,'L HAY LES ROSES'!G44))+(COUNTIF('ATHIS MONS'!$A$7:$A$50,'L HAY LES ROSES'!G44))+(COUNTIF('L HAY LES ROSES'!$A$7:$A$50,'L HAY LES ROSES'!G44))+(COUNTIF(RUNGIS!$A$7:$A$50,'L HAY LES ROSES'!G44))+(COUNTIF(SCEAUX!$A$7:$A$50,'L HAY LES ROSES'!G44))+(COUNTIF('INSTANCE C1'!$A$7:$A$50,'L HAY LES ROSES'!G44))+(COUNTIF('INSTANCE C2'!$A$7:$A$50,'L HAY LES ROSES'!G44))+(COUNTIF(INTERNES!$A$7:$A$50,'L HAY LES ROSES'!G44))+(COUNTIF('EN PANNE'!$A$7:$A$50,'L HAY LES ROSES'!G44))</f>
        <v>0</v>
      </c>
      <c r="J44" s="28">
        <f t="shared" si="4"/>
        <v>0</v>
      </c>
      <c r="K44" s="2"/>
      <c r="L44" s="47"/>
      <c r="S44" s="60">
        <f t="shared" si="1"/>
        <v>0</v>
      </c>
      <c r="T44" s="67">
        <f t="shared" si="2"/>
        <v>0</v>
      </c>
    </row>
    <row r="45" spans="1:20" ht="24.95" customHeight="1" x14ac:dyDescent="0.2">
      <c r="A45" s="20"/>
      <c r="B45" s="23">
        <f>(COUNTIF('2S EXPRESS'!$A$7:$A$50,'L HAY LES ROSES'!A45))+(COUNTIF('2 ZT'!$A$7:$A$50,'L HAY LES ROSES'!A45))+(COUNTIF('GO TRANSPORT'!$A$7:$A$50,'L HAY LES ROSES'!A45))+(COUNTIF('HMZ - KAIS'!$A$7:$A$50,'L HAY LES ROSES'!A45))+(COUNTIF('IB TRANSPORT'!$A$7:$A$50,'L HAY LES ROSES'!A45))+(COUNTIF(JSL!$A$7:$A$50,'L HAY LES ROSES'!A45))+(COUNTIF(KIFAITOUT!$A$7:$A$50,'L HAY LES ROSES'!A45))+(COUNTIF('LUXE DRIVE'!$A$7:$A$50,'L HAY LES ROSES'!A45))+(COUNTIF(SSN!$A$7:$A$50,'L HAY LES ROSES'!A45))+(COUNTIF('W3'!$A$7:$A$50,'L HAY LES ROSES'!A45))+(COUNTIF('ATHIS MONS'!$A$7:$A$50,'L HAY LES ROSES'!A45))+(COUNTIF('L HAY LES ROSES'!$A$7:$A$50,'L HAY LES ROSES'!A45))+(COUNTIF(RUNGIS!$A$7:$A$50,'L HAY LES ROSES'!A45))+(COUNTIF(SCEAUX!$A$7:$A$50,'L HAY LES ROSES'!A45))+(COUNTIF('INSTANCE C1'!$A$7:$A$50,'L HAY LES ROSES'!A45))+(COUNTIF('INSTANCE C2'!$A$7:$A$50,'L HAY LES ROSES'!A45))+(COUNTIF(INTERNES!$A$7:$A$50,'L HAY LES ROSES'!A45))+(COUNTIF('EN PANNE'!$A$7:$A$50,'L HAY LES ROSES'!A45))-C45</f>
        <v>0</v>
      </c>
      <c r="C45" s="23">
        <f>(COUNTIF('2S EXPRESS'!$G$7:$G$50,'L HAY LES ROSES'!A45))+(COUNTIF('2 ZT'!$G$7:$G$50,'L HAY LES ROSES'!A45))+(COUNTIF('GO TRANSPORT'!$G$7:$G$50,'L HAY LES ROSES'!A45))+(COUNTIF('L HAY LES ROSES'!$G$7:$G$50,'L HAY LES ROSES'!A45))+(COUNTIF('IB TRANSPORT'!$G$7:$G$50,'L HAY LES ROSES'!A45))+(COUNTIF(JSL!$G$7:$G$50,'L HAY LES ROSES'!A45))+(COUNTIF(KIFAITOUT!$G$7:$G$50,'L HAY LES ROSES'!A45))+(COUNTIF('LUXE DRIVE'!$G$7:$G$50,'L HAY LES ROSES'!A45))+(COUNTIF(SSN!$G$7:$G$50,'L HAY LES ROSES'!A45))+(COUNTIF('W3'!$G$7:$G$50,'L HAY LES ROSES'!A45))+(COUNTIF('ATHIS MONS'!$G$7:$G$50,'L HAY LES ROSES'!A45))+(COUNTIF('L HAY LES ROSES'!$G$7:$G$50,'L HAY LES ROSES'!A45))+(COUNTIF(RUNGIS!$G$7:$G$50,'L HAY LES ROSES'!A45))+(COUNTIF(SCEAUX!$G$7:$G$50,'L HAY LES ROSES'!A45))+(COUNTIF('INSTANCE C1'!$G$7:$G$50,'L HAY LES ROSES'!A45))+(COUNTIF('INSTANCE C2'!$G$7:$G$50,'L HAY LES ROSES'!A45))+(COUNTIF(INTERNES!$G$7:$G$50,'L HAY LES ROSES'!A45))+(COUNTIF('EN PANNE'!$G$7:$G$50,'L HAY LES ROSES'!A45))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EXPRESS'!$G$7:$G$50,'L HAY LES ROSES'!G45))+(COUNTIF('2 ZT'!$G$7:$G$50,'L HAY LES ROSES'!G45))+(COUNTIF('GO TRANSPORT'!$G$7:$G$50,'L HAY LES ROSES'!G45))+(COUNTIF('HMZ - KAIS'!$G$7:$G$50,'L HAY LES ROSES'!G45))+(COUNTIF('IB TRANSPORT'!$G$7:$G$50,'L HAY LES ROSES'!G45))+(COUNTIF(JSL!$G$7:$G$50,'L HAY LES ROSES'!G45))+(COUNTIF(KIFAITOUT!$G$7:$G$50,'L HAY LES ROSES'!G45))+(COUNTIF('LUXE DRIVE'!$G$7:$G$50,'L HAY LES ROSES'!G45))+(COUNTIF(SSN!$G$7:$G$50,'L HAY LES ROSES'!G45))+(COUNTIF('W3'!$G$7:$G$50,'L HAY LES ROSES'!G45))+(COUNTIF('ATHIS MONS'!$G$7:$G$50,'L HAY LES ROSES'!G45))+(COUNTIF('L HAY LES ROSES'!$G$7:$G$50,'L HAY LES ROSES'!G45))+(COUNTIF(RUNGIS!$G$7:$G$50,'L HAY LES ROSES'!G45))+(COUNTIF(SCEAUX!$G$7:$G$50,'L HAY LES ROSES'!G45))+(COUNTIF('INSTANCE C1'!$G$7:$G$50,'L HAY LES ROSES'!G45))+(COUNTIF('INSTANCE C2'!$G$7:$G$50,'L HAY LES ROSES'!G45))+(COUNTIF(INTERNES!$G$7:$G$50,'L HAY LES ROSES'!G45))+(COUNTIF('EN PANNE'!$G$7:$G$50,'L HAY LES ROSES'!G45))-I45</f>
        <v>0</v>
      </c>
      <c r="I45" s="23">
        <f>(COUNTIF('2S EXPRESS'!$A$7:$A$50,'L HAY LES ROSES'!G45))+(COUNTIF('2 ZT'!$A$7:$A$50,'L HAY LES ROSES'!G45))+(COUNTIF('GO TRANSPORT'!$A$7:$A$50,'L HAY LES ROSES'!G45))+(COUNTIF('HMZ - KAIS'!$A$7:$A$50,'L HAY LES ROSES'!G45))+(COUNTIF('IB TRANSPORT'!$A$7:$A$50,'L HAY LES ROSES'!G45))+(COUNTIF(JSL!$A$7:$A$50,'L HAY LES ROSES'!G45))+(COUNTIF(KIFAITOUT!$A$7:$A$50,'L HAY LES ROSES'!G45))+(COUNTIF('LUXE DRIVE'!$A$7:$A$50,'L HAY LES ROSES'!G45))+(COUNTIF(SSN!$A$7:$A$50,'L HAY LES ROSES'!G45))+(COUNTIF('W3'!$A$7:$A$50,'L HAY LES ROSES'!G45))+(COUNTIF('ATHIS MONS'!$A$7:$A$50,'L HAY LES ROSES'!G45))+(COUNTIF('L HAY LES ROSES'!$A$7:$A$50,'L HAY LES ROSES'!G45))+(COUNTIF(RUNGIS!$A$7:$A$50,'L HAY LES ROSES'!G45))+(COUNTIF(SCEAUX!$A$7:$A$50,'L HAY LES ROSES'!G45))+(COUNTIF('INSTANCE C1'!$A$7:$A$50,'L HAY LES ROSES'!G45))+(COUNTIF('INSTANCE C2'!$A$7:$A$50,'L HAY LES ROSES'!G45))+(COUNTIF(INTERNES!$A$7:$A$50,'L HAY LES ROSES'!G45))+(COUNTIF('EN PANNE'!$A$7:$A$50,'L HAY LES ROSES'!G45))</f>
        <v>0</v>
      </c>
      <c r="J45" s="28">
        <f t="shared" si="4"/>
        <v>0</v>
      </c>
      <c r="K45" s="2"/>
      <c r="L45" s="47"/>
      <c r="S45" s="60">
        <f t="shared" si="1"/>
        <v>0</v>
      </c>
      <c r="T45" s="67">
        <f t="shared" si="2"/>
        <v>0</v>
      </c>
    </row>
    <row r="46" spans="1:20" ht="24.95" customHeight="1" x14ac:dyDescent="0.2">
      <c r="A46" s="20"/>
      <c r="B46" s="23">
        <f>(COUNTIF('2S EXPRESS'!$A$7:$A$50,'L HAY LES ROSES'!A46))+(COUNTIF('2 ZT'!$A$7:$A$50,'L HAY LES ROSES'!A46))+(COUNTIF('GO TRANSPORT'!$A$7:$A$50,'L HAY LES ROSES'!A46))+(COUNTIF('HMZ - KAIS'!$A$7:$A$50,'L HAY LES ROSES'!A46))+(COUNTIF('IB TRANSPORT'!$A$7:$A$50,'L HAY LES ROSES'!A46))+(COUNTIF(JSL!$A$7:$A$50,'L HAY LES ROSES'!A46))+(COUNTIF(KIFAITOUT!$A$7:$A$50,'L HAY LES ROSES'!A46))+(COUNTIF('LUXE DRIVE'!$A$7:$A$50,'L HAY LES ROSES'!A46))+(COUNTIF(SSN!$A$7:$A$50,'L HAY LES ROSES'!A46))+(COUNTIF('W3'!$A$7:$A$50,'L HAY LES ROSES'!A46))+(COUNTIF('ATHIS MONS'!$A$7:$A$50,'L HAY LES ROSES'!A46))+(COUNTIF('L HAY LES ROSES'!$A$7:$A$50,'L HAY LES ROSES'!A46))+(COUNTIF(RUNGIS!$A$7:$A$50,'L HAY LES ROSES'!A46))+(COUNTIF(SCEAUX!$A$7:$A$50,'L HAY LES ROSES'!A46))+(COUNTIF('INSTANCE C1'!$A$7:$A$50,'L HAY LES ROSES'!A46))+(COUNTIF('INSTANCE C2'!$A$7:$A$50,'L HAY LES ROSES'!A46))+(COUNTIF(INTERNES!$A$7:$A$50,'L HAY LES ROSES'!A46))+(COUNTIF('EN PANNE'!$A$7:$A$50,'L HAY LES ROSES'!A46))-C46</f>
        <v>0</v>
      </c>
      <c r="C46" s="23">
        <f>(COUNTIF('2S EXPRESS'!$G$7:$G$50,'L HAY LES ROSES'!A46))+(COUNTIF('2 ZT'!$G$7:$G$50,'L HAY LES ROSES'!A46))+(COUNTIF('GO TRANSPORT'!$G$7:$G$50,'L HAY LES ROSES'!A46))+(COUNTIF('L HAY LES ROSES'!$G$7:$G$50,'L HAY LES ROSES'!A46))+(COUNTIF('IB TRANSPORT'!$G$7:$G$50,'L HAY LES ROSES'!A46))+(COUNTIF(JSL!$G$7:$G$50,'L HAY LES ROSES'!A46))+(COUNTIF(KIFAITOUT!$G$7:$G$50,'L HAY LES ROSES'!A46))+(COUNTIF('LUXE DRIVE'!$G$7:$G$50,'L HAY LES ROSES'!A46))+(COUNTIF(SSN!$G$7:$G$50,'L HAY LES ROSES'!A46))+(COUNTIF('W3'!$G$7:$G$50,'L HAY LES ROSES'!A46))+(COUNTIF('ATHIS MONS'!$G$7:$G$50,'L HAY LES ROSES'!A46))+(COUNTIF('L HAY LES ROSES'!$G$7:$G$50,'L HAY LES ROSES'!A46))+(COUNTIF(RUNGIS!$G$7:$G$50,'L HAY LES ROSES'!A46))+(COUNTIF(SCEAUX!$G$7:$G$50,'L HAY LES ROSES'!A46))+(COUNTIF('INSTANCE C1'!$G$7:$G$50,'L HAY LES ROSES'!A46))+(COUNTIF('INSTANCE C2'!$G$7:$G$50,'L HAY LES ROSES'!A46))+(COUNTIF(INTERNES!$G$7:$G$50,'L HAY LES ROSES'!A46))+(COUNTIF('EN PANNE'!$G$7:$G$50,'L HAY LES ROSES'!A46))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EXPRESS'!$G$7:$G$50,'L HAY LES ROSES'!G46))+(COUNTIF('2 ZT'!$G$7:$G$50,'L HAY LES ROSES'!G46))+(COUNTIF('GO TRANSPORT'!$G$7:$G$50,'L HAY LES ROSES'!G46))+(COUNTIF('HMZ - KAIS'!$G$7:$G$50,'L HAY LES ROSES'!G46))+(COUNTIF('IB TRANSPORT'!$G$7:$G$50,'L HAY LES ROSES'!G46))+(COUNTIF(JSL!$G$7:$G$50,'L HAY LES ROSES'!G46))+(COUNTIF(KIFAITOUT!$G$7:$G$50,'L HAY LES ROSES'!G46))+(COUNTIF('LUXE DRIVE'!$G$7:$G$50,'L HAY LES ROSES'!G46))+(COUNTIF(SSN!$G$7:$G$50,'L HAY LES ROSES'!G46))+(COUNTIF('W3'!$G$7:$G$50,'L HAY LES ROSES'!G46))+(COUNTIF('ATHIS MONS'!$G$7:$G$50,'L HAY LES ROSES'!G46))+(COUNTIF('L HAY LES ROSES'!$G$7:$G$50,'L HAY LES ROSES'!G46))+(COUNTIF(RUNGIS!$G$7:$G$50,'L HAY LES ROSES'!G46))+(COUNTIF(SCEAUX!$G$7:$G$50,'L HAY LES ROSES'!G46))+(COUNTIF('INSTANCE C1'!$G$7:$G$50,'L HAY LES ROSES'!G46))+(COUNTIF('INSTANCE C2'!$G$7:$G$50,'L HAY LES ROSES'!G46))+(COUNTIF(INTERNES!$G$7:$G$50,'L HAY LES ROSES'!G46))+(COUNTIF('EN PANNE'!$G$7:$G$50,'L HAY LES ROSES'!G46))-I46</f>
        <v>0</v>
      </c>
      <c r="I46" s="23">
        <f>(COUNTIF('2S EXPRESS'!$A$7:$A$50,'L HAY LES ROSES'!G46))+(COUNTIF('2 ZT'!$A$7:$A$50,'L HAY LES ROSES'!G46))+(COUNTIF('GO TRANSPORT'!$A$7:$A$50,'L HAY LES ROSES'!G46))+(COUNTIF('HMZ - KAIS'!$A$7:$A$50,'L HAY LES ROSES'!G46))+(COUNTIF('IB TRANSPORT'!$A$7:$A$50,'L HAY LES ROSES'!G46))+(COUNTIF(JSL!$A$7:$A$50,'L HAY LES ROSES'!G46))+(COUNTIF(KIFAITOUT!$A$7:$A$50,'L HAY LES ROSES'!G46))+(COUNTIF('LUXE DRIVE'!$A$7:$A$50,'L HAY LES ROSES'!G46))+(COUNTIF(SSN!$A$7:$A$50,'L HAY LES ROSES'!G46))+(COUNTIF('W3'!$A$7:$A$50,'L HAY LES ROSES'!G46))+(COUNTIF('ATHIS MONS'!$A$7:$A$50,'L HAY LES ROSES'!G46))+(COUNTIF('L HAY LES ROSES'!$A$7:$A$50,'L HAY LES ROSES'!G46))+(COUNTIF(RUNGIS!$A$7:$A$50,'L HAY LES ROSES'!G46))+(COUNTIF(SCEAUX!$A$7:$A$50,'L HAY LES ROSES'!G46))+(COUNTIF('INSTANCE C1'!$A$7:$A$50,'L HAY LES ROSES'!G46))+(COUNTIF('INSTANCE C2'!$A$7:$A$50,'L HAY LES ROSES'!G46))+(COUNTIF(INTERNES!$A$7:$A$50,'L HAY LES ROSES'!G46))+(COUNTIF('EN PANNE'!$A$7:$A$50,'L HAY LES ROSES'!G46))</f>
        <v>0</v>
      </c>
      <c r="J46" s="28">
        <f t="shared" si="4"/>
        <v>0</v>
      </c>
      <c r="K46" s="2"/>
      <c r="L46" s="47"/>
      <c r="S46" s="60">
        <f t="shared" si="1"/>
        <v>0</v>
      </c>
      <c r="T46" s="67">
        <f t="shared" si="2"/>
        <v>0</v>
      </c>
    </row>
    <row r="47" spans="1:20" ht="24.95" customHeight="1" x14ac:dyDescent="0.2">
      <c r="A47" s="20"/>
      <c r="B47" s="23">
        <f>(COUNTIF('2S EXPRESS'!$A$7:$A$50,'L HAY LES ROSES'!A47))+(COUNTIF('2 ZT'!$A$7:$A$50,'L HAY LES ROSES'!A47))+(COUNTIF('GO TRANSPORT'!$A$7:$A$50,'L HAY LES ROSES'!A47))+(COUNTIF('HMZ - KAIS'!$A$7:$A$50,'L HAY LES ROSES'!A47))+(COUNTIF('IB TRANSPORT'!$A$7:$A$50,'L HAY LES ROSES'!A47))+(COUNTIF(JSL!$A$7:$A$50,'L HAY LES ROSES'!A47))+(COUNTIF(KIFAITOUT!$A$7:$A$50,'L HAY LES ROSES'!A47))+(COUNTIF('LUXE DRIVE'!$A$7:$A$50,'L HAY LES ROSES'!A47))+(COUNTIF(SSN!$A$7:$A$50,'L HAY LES ROSES'!A47))+(COUNTIF('W3'!$A$7:$A$50,'L HAY LES ROSES'!A47))+(COUNTIF('ATHIS MONS'!$A$7:$A$50,'L HAY LES ROSES'!A47))+(COUNTIF('L HAY LES ROSES'!$A$7:$A$50,'L HAY LES ROSES'!A47))+(COUNTIF(RUNGIS!$A$7:$A$50,'L HAY LES ROSES'!A47))+(COUNTIF(SCEAUX!$A$7:$A$50,'L HAY LES ROSES'!A47))+(COUNTIF('INSTANCE C1'!$A$7:$A$50,'L HAY LES ROSES'!A47))+(COUNTIF('INSTANCE C2'!$A$7:$A$50,'L HAY LES ROSES'!A47))+(COUNTIF(INTERNES!$A$7:$A$50,'L HAY LES ROSES'!A47))+(COUNTIF('EN PANNE'!$A$7:$A$50,'L HAY LES ROSES'!A47))-C47</f>
        <v>0</v>
      </c>
      <c r="C47" s="23">
        <f>(COUNTIF('2S EXPRESS'!$G$7:$G$50,'L HAY LES ROSES'!A47))+(COUNTIF('2 ZT'!$G$7:$G$50,'L HAY LES ROSES'!A47))+(COUNTIF('GO TRANSPORT'!$G$7:$G$50,'L HAY LES ROSES'!A47))+(COUNTIF('L HAY LES ROSES'!$G$7:$G$50,'L HAY LES ROSES'!A47))+(COUNTIF('IB TRANSPORT'!$G$7:$G$50,'L HAY LES ROSES'!A47))+(COUNTIF(JSL!$G$7:$G$50,'L HAY LES ROSES'!A47))+(COUNTIF(KIFAITOUT!$G$7:$G$50,'L HAY LES ROSES'!A47))+(COUNTIF('LUXE DRIVE'!$G$7:$G$50,'L HAY LES ROSES'!A47))+(COUNTIF(SSN!$G$7:$G$50,'L HAY LES ROSES'!A47))+(COUNTIF('W3'!$G$7:$G$50,'L HAY LES ROSES'!A47))+(COUNTIF('ATHIS MONS'!$G$7:$G$50,'L HAY LES ROSES'!A47))+(COUNTIF('L HAY LES ROSES'!$G$7:$G$50,'L HAY LES ROSES'!A47))+(COUNTIF(RUNGIS!$G$7:$G$50,'L HAY LES ROSES'!A47))+(COUNTIF(SCEAUX!$G$7:$G$50,'L HAY LES ROSES'!A47))+(COUNTIF('INSTANCE C1'!$G$7:$G$50,'L HAY LES ROSES'!A47))+(COUNTIF('INSTANCE C2'!$G$7:$G$50,'L HAY LES ROSES'!A47))+(COUNTIF(INTERNES!$G$7:$G$50,'L HAY LES ROSES'!A47))+(COUNTIF('EN PANNE'!$G$7:$G$50,'L HAY LES ROSES'!A47))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EXPRESS'!$G$7:$G$50,'L HAY LES ROSES'!G47))+(COUNTIF('2 ZT'!$G$7:$G$50,'L HAY LES ROSES'!G47))+(COUNTIF('GO TRANSPORT'!$G$7:$G$50,'L HAY LES ROSES'!G47))+(COUNTIF('HMZ - KAIS'!$G$7:$G$50,'L HAY LES ROSES'!G47))+(COUNTIF('IB TRANSPORT'!$G$7:$G$50,'L HAY LES ROSES'!G47))+(COUNTIF(JSL!$G$7:$G$50,'L HAY LES ROSES'!G47))+(COUNTIF(KIFAITOUT!$G$7:$G$50,'L HAY LES ROSES'!G47))+(COUNTIF('LUXE DRIVE'!$G$7:$G$50,'L HAY LES ROSES'!G47))+(COUNTIF(SSN!$G$7:$G$50,'L HAY LES ROSES'!G47))+(COUNTIF('W3'!$G$7:$G$50,'L HAY LES ROSES'!G47))+(COUNTIF('ATHIS MONS'!$G$7:$G$50,'L HAY LES ROSES'!G47))+(COUNTIF('L HAY LES ROSES'!$G$7:$G$50,'L HAY LES ROSES'!G47))+(COUNTIF(RUNGIS!$G$7:$G$50,'L HAY LES ROSES'!G47))+(COUNTIF(SCEAUX!$G$7:$G$50,'L HAY LES ROSES'!G47))+(COUNTIF('INSTANCE C1'!$G$7:$G$50,'L HAY LES ROSES'!G47))+(COUNTIF('INSTANCE C2'!$G$7:$G$50,'L HAY LES ROSES'!G47))+(COUNTIF(INTERNES!$G$7:$G$50,'L HAY LES ROSES'!G47))+(COUNTIF('EN PANNE'!$G$7:$G$50,'L HAY LES ROSES'!G47))-I47</f>
        <v>0</v>
      </c>
      <c r="I47" s="23">
        <f>(COUNTIF('2S EXPRESS'!$A$7:$A$50,'L HAY LES ROSES'!G47))+(COUNTIF('2 ZT'!$A$7:$A$50,'L HAY LES ROSES'!G47))+(COUNTIF('GO TRANSPORT'!$A$7:$A$50,'L HAY LES ROSES'!G47))+(COUNTIF('HMZ - KAIS'!$A$7:$A$50,'L HAY LES ROSES'!G47))+(COUNTIF('IB TRANSPORT'!$A$7:$A$50,'L HAY LES ROSES'!G47))+(COUNTIF(JSL!$A$7:$A$50,'L HAY LES ROSES'!G47))+(COUNTIF(KIFAITOUT!$A$7:$A$50,'L HAY LES ROSES'!G47))+(COUNTIF('LUXE DRIVE'!$A$7:$A$50,'L HAY LES ROSES'!G47))+(COUNTIF(SSN!$A$7:$A$50,'L HAY LES ROSES'!G47))+(COUNTIF('W3'!$A$7:$A$50,'L HAY LES ROSES'!G47))+(COUNTIF('ATHIS MONS'!$A$7:$A$50,'L HAY LES ROSES'!G47))+(COUNTIF('L HAY LES ROSES'!$A$7:$A$50,'L HAY LES ROSES'!G47))+(COUNTIF(RUNGIS!$A$7:$A$50,'L HAY LES ROSES'!G47))+(COUNTIF(SCEAUX!$A$7:$A$50,'L HAY LES ROSES'!G47))+(COUNTIF('INSTANCE C1'!$A$7:$A$50,'L HAY LES ROSES'!G47))+(COUNTIF('INSTANCE C2'!$A$7:$A$50,'L HAY LES ROSES'!G47))+(COUNTIF(INTERNES!$A$7:$A$50,'L HAY LES ROSES'!G47))+(COUNTIF('EN PANNE'!$A$7:$A$50,'L HAY LES ROSES'!G47))</f>
        <v>0</v>
      </c>
      <c r="J47" s="28">
        <f t="shared" si="4"/>
        <v>0</v>
      </c>
      <c r="K47" s="2"/>
      <c r="L47" s="47"/>
      <c r="S47" s="60">
        <f t="shared" si="1"/>
        <v>0</v>
      </c>
      <c r="T47" s="67">
        <f t="shared" si="2"/>
        <v>0</v>
      </c>
    </row>
    <row r="48" spans="1:20" ht="24.95" customHeight="1" x14ac:dyDescent="0.2">
      <c r="A48" s="20"/>
      <c r="B48" s="23">
        <f>(COUNTIF('2S EXPRESS'!$A$7:$A$50,'L HAY LES ROSES'!A48))+(COUNTIF('2 ZT'!$A$7:$A$50,'L HAY LES ROSES'!A48))+(COUNTIF('GO TRANSPORT'!$A$7:$A$50,'L HAY LES ROSES'!A48))+(COUNTIF('HMZ - KAIS'!$A$7:$A$50,'L HAY LES ROSES'!A48))+(COUNTIF('IB TRANSPORT'!$A$7:$A$50,'L HAY LES ROSES'!A48))+(COUNTIF(JSL!$A$7:$A$50,'L HAY LES ROSES'!A48))+(COUNTIF(KIFAITOUT!$A$7:$A$50,'L HAY LES ROSES'!A48))+(COUNTIF('LUXE DRIVE'!$A$7:$A$50,'L HAY LES ROSES'!A48))+(COUNTIF(SSN!$A$7:$A$50,'L HAY LES ROSES'!A48))+(COUNTIF('W3'!$A$7:$A$50,'L HAY LES ROSES'!A48))+(COUNTIF('ATHIS MONS'!$A$7:$A$50,'L HAY LES ROSES'!A48))+(COUNTIF('L HAY LES ROSES'!$A$7:$A$50,'L HAY LES ROSES'!A48))+(COUNTIF(RUNGIS!$A$7:$A$50,'L HAY LES ROSES'!A48))+(COUNTIF(SCEAUX!$A$7:$A$50,'L HAY LES ROSES'!A48))+(COUNTIF('INSTANCE C1'!$A$7:$A$50,'L HAY LES ROSES'!A48))+(COUNTIF('INSTANCE C2'!$A$7:$A$50,'L HAY LES ROSES'!A48))+(COUNTIF(INTERNES!$A$7:$A$50,'L HAY LES ROSES'!A48))+(COUNTIF('EN PANNE'!$A$7:$A$50,'L HAY LES ROSES'!A48))-C48</f>
        <v>0</v>
      </c>
      <c r="C48" s="23">
        <f>(COUNTIF('2S EXPRESS'!$G$7:$G$50,'L HAY LES ROSES'!A48))+(COUNTIF('2 ZT'!$G$7:$G$50,'L HAY LES ROSES'!A48))+(COUNTIF('GO TRANSPORT'!$G$7:$G$50,'L HAY LES ROSES'!A48))+(COUNTIF('L HAY LES ROSES'!$G$7:$G$50,'L HAY LES ROSES'!A48))+(COUNTIF('IB TRANSPORT'!$G$7:$G$50,'L HAY LES ROSES'!A48))+(COUNTIF(JSL!$G$7:$G$50,'L HAY LES ROSES'!A48))+(COUNTIF(KIFAITOUT!$G$7:$G$50,'L HAY LES ROSES'!A48))+(COUNTIF('LUXE DRIVE'!$G$7:$G$50,'L HAY LES ROSES'!A48))+(COUNTIF(SSN!$G$7:$G$50,'L HAY LES ROSES'!A48))+(COUNTIF('W3'!$G$7:$G$50,'L HAY LES ROSES'!A48))+(COUNTIF('ATHIS MONS'!$G$7:$G$50,'L HAY LES ROSES'!A48))+(COUNTIF('L HAY LES ROSES'!$G$7:$G$50,'L HAY LES ROSES'!A48))+(COUNTIF(RUNGIS!$G$7:$G$50,'L HAY LES ROSES'!A48))+(COUNTIF(SCEAUX!$G$7:$G$50,'L HAY LES ROSES'!A48))+(COUNTIF('INSTANCE C1'!$G$7:$G$50,'L HAY LES ROSES'!A48))+(COUNTIF('INSTANCE C2'!$G$7:$G$50,'L HAY LES ROSES'!A48))+(COUNTIF(INTERNES!$G$7:$G$50,'L HAY LES ROSES'!A48))+(COUNTIF('EN PANNE'!$G$7:$G$50,'L HAY LES ROSES'!A48))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EXPRESS'!$G$7:$G$50,'L HAY LES ROSES'!G48))+(COUNTIF('2 ZT'!$G$7:$G$50,'L HAY LES ROSES'!G48))+(COUNTIF('GO TRANSPORT'!$G$7:$G$50,'L HAY LES ROSES'!G48))+(COUNTIF('HMZ - KAIS'!$G$7:$G$50,'L HAY LES ROSES'!G48))+(COUNTIF('IB TRANSPORT'!$G$7:$G$50,'L HAY LES ROSES'!G48))+(COUNTIF(JSL!$G$7:$G$50,'L HAY LES ROSES'!G48))+(COUNTIF(KIFAITOUT!$G$7:$G$50,'L HAY LES ROSES'!G48))+(COUNTIF('LUXE DRIVE'!$G$7:$G$50,'L HAY LES ROSES'!G48))+(COUNTIF(SSN!$G$7:$G$50,'L HAY LES ROSES'!G48))+(COUNTIF('W3'!$G$7:$G$50,'L HAY LES ROSES'!G48))+(COUNTIF('ATHIS MONS'!$G$7:$G$50,'L HAY LES ROSES'!G48))+(COUNTIF('L HAY LES ROSES'!$G$7:$G$50,'L HAY LES ROSES'!G48))+(COUNTIF(RUNGIS!$G$7:$G$50,'L HAY LES ROSES'!G48))+(COUNTIF(SCEAUX!$G$7:$G$50,'L HAY LES ROSES'!G48))+(COUNTIF('INSTANCE C1'!$G$7:$G$50,'L HAY LES ROSES'!G48))+(COUNTIF('INSTANCE C2'!$G$7:$G$50,'L HAY LES ROSES'!G48))+(COUNTIF(INTERNES!$G$7:$G$50,'L HAY LES ROSES'!G48))+(COUNTIF('EN PANNE'!$G$7:$G$50,'L HAY LES ROSES'!G48))-I48</f>
        <v>0</v>
      </c>
      <c r="I48" s="23">
        <f>(COUNTIF('2S EXPRESS'!$A$7:$A$50,'L HAY LES ROSES'!G48))+(COUNTIF('2 ZT'!$A$7:$A$50,'L HAY LES ROSES'!G48))+(COUNTIF('GO TRANSPORT'!$A$7:$A$50,'L HAY LES ROSES'!G48))+(COUNTIF('HMZ - KAIS'!$A$7:$A$50,'L HAY LES ROSES'!G48))+(COUNTIF('IB TRANSPORT'!$A$7:$A$50,'L HAY LES ROSES'!G48))+(COUNTIF(JSL!$A$7:$A$50,'L HAY LES ROSES'!G48))+(COUNTIF(KIFAITOUT!$A$7:$A$50,'L HAY LES ROSES'!G48))+(COUNTIF('LUXE DRIVE'!$A$7:$A$50,'L HAY LES ROSES'!G48))+(COUNTIF(SSN!$A$7:$A$50,'L HAY LES ROSES'!G48))+(COUNTIF('W3'!$A$7:$A$50,'L HAY LES ROSES'!G48))+(COUNTIF('ATHIS MONS'!$A$7:$A$50,'L HAY LES ROSES'!G48))+(COUNTIF('L HAY LES ROSES'!$A$7:$A$50,'L HAY LES ROSES'!G48))+(COUNTIF(RUNGIS!$A$7:$A$50,'L HAY LES ROSES'!G48))+(COUNTIF(SCEAUX!$A$7:$A$50,'L HAY LES ROSES'!G48))+(COUNTIF('INSTANCE C1'!$A$7:$A$50,'L HAY LES ROSES'!G48))+(COUNTIF('INSTANCE C2'!$A$7:$A$50,'L HAY LES ROSES'!G48))+(COUNTIF(INTERNES!$A$7:$A$50,'L HAY LES ROSES'!G48))+(COUNTIF('EN PANNE'!$A$7:$A$50,'L HAY LES ROSES'!G48))</f>
        <v>0</v>
      </c>
      <c r="J48" s="28">
        <f t="shared" si="4"/>
        <v>0</v>
      </c>
      <c r="K48" s="2"/>
      <c r="L48" s="47"/>
      <c r="S48" s="60">
        <f t="shared" si="1"/>
        <v>0</v>
      </c>
      <c r="T48" s="67">
        <f t="shared" si="2"/>
        <v>0</v>
      </c>
    </row>
    <row r="49" spans="1:20" ht="24.95" customHeight="1" x14ac:dyDescent="0.2">
      <c r="A49" s="20"/>
      <c r="B49" s="23">
        <f>(COUNTIF('2S EXPRESS'!$A$7:$A$50,'L HAY LES ROSES'!A49))+(COUNTIF('2 ZT'!$A$7:$A$50,'L HAY LES ROSES'!A49))+(COUNTIF('GO TRANSPORT'!$A$7:$A$50,'L HAY LES ROSES'!A49))+(COUNTIF('HMZ - KAIS'!$A$7:$A$50,'L HAY LES ROSES'!A49))+(COUNTIF('IB TRANSPORT'!$A$7:$A$50,'L HAY LES ROSES'!A49))+(COUNTIF(JSL!$A$7:$A$50,'L HAY LES ROSES'!A49))+(COUNTIF(KIFAITOUT!$A$7:$A$50,'L HAY LES ROSES'!A49))+(COUNTIF('LUXE DRIVE'!$A$7:$A$50,'L HAY LES ROSES'!A49))+(COUNTIF(SSN!$A$7:$A$50,'L HAY LES ROSES'!A49))+(COUNTIF('W3'!$A$7:$A$50,'L HAY LES ROSES'!A49))+(COUNTIF('ATHIS MONS'!$A$7:$A$50,'L HAY LES ROSES'!A49))+(COUNTIF('L HAY LES ROSES'!$A$7:$A$50,'L HAY LES ROSES'!A49))+(COUNTIF(RUNGIS!$A$7:$A$50,'L HAY LES ROSES'!A49))+(COUNTIF(SCEAUX!$A$7:$A$50,'L HAY LES ROSES'!A49))+(COUNTIF('INSTANCE C1'!$A$7:$A$50,'L HAY LES ROSES'!A49))+(COUNTIF('INSTANCE C2'!$A$7:$A$50,'L HAY LES ROSES'!A49))+(COUNTIF(INTERNES!$A$7:$A$50,'L HAY LES ROSES'!A49))+(COUNTIF('EN PANNE'!$A$7:$A$50,'L HAY LES ROSES'!A49))-C49</f>
        <v>0</v>
      </c>
      <c r="C49" s="23">
        <f>(COUNTIF('2S EXPRESS'!$G$7:$G$50,'L HAY LES ROSES'!A49))+(COUNTIF('2 ZT'!$G$7:$G$50,'L HAY LES ROSES'!A49))+(COUNTIF('GO TRANSPORT'!$G$7:$G$50,'L HAY LES ROSES'!A49))+(COUNTIF('L HAY LES ROSES'!$G$7:$G$50,'L HAY LES ROSES'!A49))+(COUNTIF('IB TRANSPORT'!$G$7:$G$50,'L HAY LES ROSES'!A49))+(COUNTIF(JSL!$G$7:$G$50,'L HAY LES ROSES'!A49))+(COUNTIF(KIFAITOUT!$G$7:$G$50,'L HAY LES ROSES'!A49))+(COUNTIF('LUXE DRIVE'!$G$7:$G$50,'L HAY LES ROSES'!A49))+(COUNTIF(SSN!$G$7:$G$50,'L HAY LES ROSES'!A49))+(COUNTIF('W3'!$G$7:$G$50,'L HAY LES ROSES'!A49))+(COUNTIF('ATHIS MONS'!$G$7:$G$50,'L HAY LES ROSES'!A49))+(COUNTIF('L HAY LES ROSES'!$G$7:$G$50,'L HAY LES ROSES'!A49))+(COUNTIF(RUNGIS!$G$7:$G$50,'L HAY LES ROSES'!A49))+(COUNTIF(SCEAUX!$G$7:$G$50,'L HAY LES ROSES'!A49))+(COUNTIF('INSTANCE C1'!$G$7:$G$50,'L HAY LES ROSES'!A49))+(COUNTIF('INSTANCE C2'!$G$7:$G$50,'L HAY LES ROSES'!A49))+(COUNTIF(INTERNES!$G$7:$G$50,'L HAY LES ROSES'!A49))+(COUNTIF('EN PANNE'!$G$7:$G$50,'L HAY LES ROSES'!A49))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EXPRESS'!$G$7:$G$50,'L HAY LES ROSES'!G49))+(COUNTIF('2 ZT'!$G$7:$G$50,'L HAY LES ROSES'!G49))+(COUNTIF('GO TRANSPORT'!$G$7:$G$50,'L HAY LES ROSES'!G49))+(COUNTIF('HMZ - KAIS'!$G$7:$G$50,'L HAY LES ROSES'!G49))+(COUNTIF('IB TRANSPORT'!$G$7:$G$50,'L HAY LES ROSES'!G49))+(COUNTIF(JSL!$G$7:$G$50,'L HAY LES ROSES'!G49))+(COUNTIF(KIFAITOUT!$G$7:$G$50,'L HAY LES ROSES'!G49))+(COUNTIF('LUXE DRIVE'!$G$7:$G$50,'L HAY LES ROSES'!G49))+(COUNTIF(SSN!$G$7:$G$50,'L HAY LES ROSES'!G49))+(COUNTIF('W3'!$G$7:$G$50,'L HAY LES ROSES'!G49))+(COUNTIF('ATHIS MONS'!$G$7:$G$50,'L HAY LES ROSES'!G49))+(COUNTIF('L HAY LES ROSES'!$G$7:$G$50,'L HAY LES ROSES'!G49))+(COUNTIF(RUNGIS!$G$7:$G$50,'L HAY LES ROSES'!G49))+(COUNTIF(SCEAUX!$G$7:$G$50,'L HAY LES ROSES'!G49))+(COUNTIF('INSTANCE C1'!$G$7:$G$50,'L HAY LES ROSES'!G49))+(COUNTIF('INSTANCE C2'!$G$7:$G$50,'L HAY LES ROSES'!G49))+(COUNTIF(INTERNES!$G$7:$G$50,'L HAY LES ROSES'!G49))+(COUNTIF('EN PANNE'!$G$7:$G$50,'L HAY LES ROSES'!G49))-I49</f>
        <v>0</v>
      </c>
      <c r="I49" s="23">
        <f>(COUNTIF('2S EXPRESS'!$A$7:$A$50,'L HAY LES ROSES'!G49))+(COUNTIF('2 ZT'!$A$7:$A$50,'L HAY LES ROSES'!G49))+(COUNTIF('GO TRANSPORT'!$A$7:$A$50,'L HAY LES ROSES'!G49))+(COUNTIF('HMZ - KAIS'!$A$7:$A$50,'L HAY LES ROSES'!G49))+(COUNTIF('IB TRANSPORT'!$A$7:$A$50,'L HAY LES ROSES'!G49))+(COUNTIF(JSL!$A$7:$A$50,'L HAY LES ROSES'!G49))+(COUNTIF(KIFAITOUT!$A$7:$A$50,'L HAY LES ROSES'!G49))+(COUNTIF('LUXE DRIVE'!$A$7:$A$50,'L HAY LES ROSES'!G49))+(COUNTIF(SSN!$A$7:$A$50,'L HAY LES ROSES'!G49))+(COUNTIF('W3'!$A$7:$A$50,'L HAY LES ROSES'!G49))+(COUNTIF('ATHIS MONS'!$A$7:$A$50,'L HAY LES ROSES'!G49))+(COUNTIF('L HAY LES ROSES'!$A$7:$A$50,'L HAY LES ROSES'!G49))+(COUNTIF(RUNGIS!$A$7:$A$50,'L HAY LES ROSES'!G49))+(COUNTIF(SCEAUX!$A$7:$A$50,'L HAY LES ROSES'!G49))+(COUNTIF('INSTANCE C1'!$A$7:$A$50,'L HAY LES ROSES'!G49))+(COUNTIF('INSTANCE C2'!$A$7:$A$50,'L HAY LES ROSES'!G49))+(COUNTIF(INTERNES!$A$7:$A$50,'L HAY LES ROSES'!G49))+(COUNTIF('EN PANNE'!$A$7:$A$50,'L HAY LES ROSES'!G49))</f>
        <v>0</v>
      </c>
      <c r="J49" s="28">
        <f t="shared" si="4"/>
        <v>0</v>
      </c>
      <c r="K49" s="2"/>
      <c r="L49" s="47"/>
      <c r="S49" s="60">
        <f t="shared" si="1"/>
        <v>0</v>
      </c>
      <c r="T49" s="67">
        <f t="shared" si="2"/>
        <v>0</v>
      </c>
    </row>
    <row r="50" spans="1:20" ht="24.95" customHeight="1" thickBot="1" x14ac:dyDescent="0.25">
      <c r="A50" s="21"/>
      <c r="B50" s="25">
        <f>(COUNTIF('2S EXPRESS'!$A$7:$A$50,'L HAY LES ROSES'!A50))+(COUNTIF('2 ZT'!$A$7:$A$50,'L HAY LES ROSES'!A50))+(COUNTIF('GO TRANSPORT'!$A$7:$A$50,'L HAY LES ROSES'!A50))+(COUNTIF('HMZ - KAIS'!$A$7:$A$50,'L HAY LES ROSES'!A50))+(COUNTIF('IB TRANSPORT'!$A$7:$A$50,'L HAY LES ROSES'!A50))+(COUNTIF(JSL!$A$7:$A$50,'L HAY LES ROSES'!A50))+(COUNTIF(KIFAITOUT!$A$7:$A$50,'L HAY LES ROSES'!A50))+(COUNTIF('LUXE DRIVE'!$A$7:$A$50,'L HAY LES ROSES'!A50))+(COUNTIF(SSN!$A$7:$A$50,'L HAY LES ROSES'!A50))+(COUNTIF('W3'!$A$7:$A$50,'L HAY LES ROSES'!A50))+(COUNTIF('ATHIS MONS'!$A$7:$A$50,'L HAY LES ROSES'!A50))+(COUNTIF('L HAY LES ROSES'!$A$7:$A$50,'L HAY LES ROSES'!A50))+(COUNTIF(RUNGIS!$A$7:$A$50,'L HAY LES ROSES'!A50))+(COUNTIF(SCEAUX!$A$7:$A$50,'L HAY LES ROSES'!A50))+(COUNTIF('INSTANCE C1'!$A$7:$A$50,'L HAY LES ROSES'!A50))+(COUNTIF('INSTANCE C2'!$A$7:$A$50,'L HAY LES ROSES'!A50))+(COUNTIF(INTERNES!$A$7:$A$50,'L HAY LES ROSES'!A50))+(COUNTIF('EN PANNE'!$A$7:$A$50,'L HAY LES ROSES'!A50))-C50</f>
        <v>0</v>
      </c>
      <c r="C50" s="23">
        <f>(COUNTIF('2S EXPRESS'!$G$7:$G$50,'HMZ - KAIS'!A50))+(COUNTIF('2 ZT'!$G$7:$G$50,'HMZ - KAIS'!A50))+(COUNTIF('GO TRANSPORT'!$G$7:$G$50,'HMZ - KAIS'!A50))+(COUNTIF('HMZ - KAIS'!$G$7:$G$50,'HMZ - KAIS'!A50))+(COUNTIF('IB TRANSPORT'!$G$7:$G$50,'HMZ - KAIS'!A50))+(COUNTIF(JSL!$G$7:$G$50,'HMZ - KAIS'!A50))+(COUNTIF(KIFAITOUT!$G$7:$G$50,'HMZ - KAIS'!A50))+(COUNTIF('LUXE DRIVE'!$G$7:$G$50,'HMZ - KAIS'!A50))+(COUNTIF(SSN!$G$7:$G$50,'HMZ - KAIS'!A50))+(COUNTIF('W3'!$G$7:$G$50,'HMZ - KAIS'!A50))+(COUNTIF('ATHIS MONS'!$G$7:$G$50,'HMZ - KAIS'!A50))+(COUNTIF('L HAY LES ROSES'!$G$7:$G$50,'HMZ - KAIS'!A50))+(COUNTIF(RUNGIS!$G$7:$G$50,'HMZ - KAIS'!A50))+(COUNTIF(SCEAUX!$G$7:$G$50,'HMZ - KAIS'!A50))+(COUNTIF('INSTANCE C1'!$G$7:$G$50,'HMZ - KAIS'!A50))+(COUNTIF('INSTANCE C2'!$G$7:$G$50,'HMZ - KAIS'!A50))+(COUNTIF(INTERNES!$G$7:$G$50,'HMZ - KAIS'!A50))+(COUNTIF('EN PANNE'!$G$7:$G$50,'HMZ - KAIS'!A50))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EXPRESS'!$G$7:$G$50,'L HAY LES ROSES'!G50))+(COUNTIF('2 ZT'!$G$7:$G$50,'L HAY LES ROSES'!G50))+(COUNTIF('GO TRANSPORT'!$G$7:$G$50,'L HAY LES ROSES'!G50))+(COUNTIF('HMZ - KAIS'!$G$7:$G$50,'L HAY LES ROSES'!G50))+(COUNTIF('IB TRANSPORT'!$G$7:$G$50,'L HAY LES ROSES'!G50))+(COUNTIF(JSL!$G$7:$G$50,'L HAY LES ROSES'!G50))+(COUNTIF(KIFAITOUT!$G$7:$G$50,'L HAY LES ROSES'!G50))+(COUNTIF('LUXE DRIVE'!$G$7:$G$50,'L HAY LES ROSES'!G50))+(COUNTIF(SSN!$G$7:$G$50,'L HAY LES ROSES'!G50))+(COUNTIF('W3'!$G$7:$G$50,'L HAY LES ROSES'!G50))+(COUNTIF('ATHIS MONS'!$G$7:$G$50,'L HAY LES ROSES'!G50))+(COUNTIF('L HAY LES ROSES'!$G$7:$G$50,'L HAY LES ROSES'!G50))+(COUNTIF(RUNGIS!$G$7:$G$50,'L HAY LES ROSES'!G50))+(COUNTIF(SCEAUX!$G$7:$G$50,'L HAY LES ROSES'!G50))+(COUNTIF('INSTANCE C1'!$G$7:$G$50,'L HAY LES ROSES'!G50))+(COUNTIF('INSTANCE C2'!$G$7:$G$50,'L HAY LES ROSES'!G50))+(COUNTIF(INTERNES!$G$7:$G$50,'L HAY LES ROSES'!G50))+(COUNTIF('EN PANNE'!$G$7:$G$50,'L HAY LES ROSES'!G50))-I50</f>
        <v>0</v>
      </c>
      <c r="I50" s="25">
        <f>(COUNTIF('2S EXPRESS'!$A$7:$A$50,'L HAY LES ROSES'!G50))+(COUNTIF('2 ZT'!$A$7:$A$50,'L HAY LES ROSES'!G50))+(COUNTIF('GO TRANSPORT'!$A$7:$A$50,'L HAY LES ROSES'!G50))+(COUNTIF('HMZ - KAIS'!$A$7:$A$50,'L HAY LES ROSES'!G50))+(COUNTIF('IB TRANSPORT'!$A$7:$A$50,'L HAY LES ROSES'!G50))+(COUNTIF(JSL!$A$7:$A$50,'L HAY LES ROSES'!G50))+(COUNTIF(KIFAITOUT!$A$7:$A$50,'L HAY LES ROSES'!G50))+(COUNTIF('LUXE DRIVE'!$A$7:$A$50,'L HAY LES ROSES'!G50))+(COUNTIF(SSN!$A$7:$A$50,'L HAY LES ROSES'!G50))+(COUNTIF('W3'!$A$7:$A$50,'L HAY LES ROSES'!G50))+(COUNTIF('ATHIS MONS'!$A$7:$A$50,'L HAY LES ROSES'!G50))+(COUNTIF('L HAY LES ROSES'!$A$7:$A$50,'L HAY LES ROSES'!G50))+(COUNTIF(RUNGIS!$A$7:$A$50,'L HAY LES ROSES'!G50))+(COUNTIF(SCEAUX!$A$7:$A$50,'L HAY LES ROSES'!G50))+(COUNTIF('INSTANCE C1'!$A$7:$A$50,'L HAY LES ROSES'!G50))+(COUNTIF('INSTANCE C2'!$A$7:$A$50,'L HAY LES ROSES'!G50))+(COUNTIF(INTERNES!$A$7:$A$50,'L HAY LES ROSES'!G50))+(COUNTIF('EN PANNE'!$A$7:$A$50,'L HAY LES ROSES'!G50))</f>
        <v>0</v>
      </c>
      <c r="J50" s="29">
        <f t="shared" si="4"/>
        <v>0</v>
      </c>
      <c r="K50" s="3"/>
      <c r="L50" s="47"/>
      <c r="S50" s="60">
        <f t="shared" si="1"/>
        <v>0</v>
      </c>
      <c r="T50" s="67">
        <f t="shared" si="2"/>
        <v>0</v>
      </c>
    </row>
    <row r="53" spans="1:20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</row>
  </sheetData>
  <mergeCells count="13">
    <mergeCell ref="M12:P12"/>
    <mergeCell ref="B2:E3"/>
    <mergeCell ref="G2:K3"/>
    <mergeCell ref="A4:E4"/>
    <mergeCell ref="G4:K4"/>
    <mergeCell ref="G5:G6"/>
    <mergeCell ref="K5:K6"/>
    <mergeCell ref="M8:P8"/>
    <mergeCell ref="M9:P9"/>
    <mergeCell ref="M11:P11"/>
    <mergeCell ref="F5:F6"/>
    <mergeCell ref="A5:A6"/>
    <mergeCell ref="E5:E6"/>
  </mergeCells>
  <conditionalFormatting sqref="F7:F50">
    <cfRule type="cellIs" dxfId="71" priority="10" operator="equal">
      <formula>1</formula>
    </cfRule>
  </conditionalFormatting>
  <conditionalFormatting sqref="A7:A50">
    <cfRule type="duplicateValues" dxfId="70" priority="8"/>
  </conditionalFormatting>
  <conditionalFormatting sqref="L7:L50">
    <cfRule type="cellIs" dxfId="69" priority="7" operator="greaterThan">
      <formula>0</formula>
    </cfRule>
  </conditionalFormatting>
  <conditionalFormatting sqref="D7">
    <cfRule type="cellIs" dxfId="68" priority="6" operator="greaterThan">
      <formula>0</formula>
    </cfRule>
  </conditionalFormatting>
  <conditionalFormatting sqref="D8:D50">
    <cfRule type="cellIs" dxfId="67" priority="5" operator="greaterThan">
      <formula>0</formula>
    </cfRule>
  </conditionalFormatting>
  <conditionalFormatting sqref="G7:G50">
    <cfRule type="duplicateValues" dxfId="66" priority="4"/>
  </conditionalFormatting>
  <conditionalFormatting sqref="J7">
    <cfRule type="cellIs" dxfId="65" priority="3" operator="greaterThan">
      <formula>0</formula>
    </cfRule>
  </conditionalFormatting>
  <conditionalFormatting sqref="J8:J50">
    <cfRule type="cellIs" dxfId="64" priority="2" operator="greaterThan">
      <formula>0</formula>
    </cfRule>
  </conditionalFormatting>
  <conditionalFormatting sqref="S7:S50">
    <cfRule type="cellIs" dxfId="63" priority="1" operator="greaterThan">
      <formula>0</formula>
    </cfRule>
  </conditionalFormatting>
  <dataValidations count="1">
    <dataValidation type="list" allowBlank="1" showInputMessage="1" showErrorMessage="1" sqref="K7:K50 E7:E50" xr:uid="{EB6BDBD6-C075-4810-83F0-2C34EBFDE5A5}">
      <formula1>$Q$9:$Q$17</formula1>
    </dataValidation>
  </dataValidations>
  <pageMargins left="0.25" right="0.25" top="0.75" bottom="0.75" header="0.3" footer="0.3"/>
  <pageSetup paperSize="9" scale="88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0D2C1DB5-E403-4423-A286-29C8C96E429F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A7122-3456-47B0-8CED-C006F55CE2D1}">
  <sheetPr codeName="Feuil15">
    <tabColor rgb="FF92D050"/>
    <pageSetUpPr fitToPage="1"/>
  </sheetPr>
  <dimension ref="A1:Z53"/>
  <sheetViews>
    <sheetView showGridLines="0" zoomScaleNormal="100" workbookViewId="0">
      <selection activeCell="X19" sqref="X19"/>
    </sheetView>
  </sheetViews>
  <sheetFormatPr baseColWidth="10" defaultColWidth="11.42578125" defaultRowHeight="12.75" x14ac:dyDescent="0.2"/>
  <cols>
    <col min="1" max="1" width="25.7109375" style="53" customWidth="1"/>
    <col min="2" max="3" width="10.7109375" style="9" hidden="1" customWidth="1"/>
    <col min="4" max="4" width="7.7109375" style="9" customWidth="1"/>
    <col min="5" max="5" width="50.7109375" style="9" customWidth="1"/>
    <col min="6" max="6" width="13.7109375" style="9" customWidth="1"/>
    <col min="7" max="7" width="25.7109375" style="9" customWidth="1"/>
    <col min="8" max="9" width="10.7109375" style="9" hidden="1" customWidth="1"/>
    <col min="10" max="10" width="7.7109375" style="9" customWidth="1"/>
    <col min="11" max="11" width="50.7109375" style="9" customWidth="1"/>
    <col min="12" max="16" width="7.7109375" style="9" customWidth="1"/>
    <col min="17" max="17" width="22.7109375" style="9" hidden="1" customWidth="1"/>
    <col min="18" max="18" width="17.5703125" style="56" hidden="1" customWidth="1"/>
    <col min="19" max="20" width="11.42578125" style="56" hidden="1" customWidth="1"/>
    <col min="21" max="21" width="11.42578125" style="56" customWidth="1"/>
    <col min="22" max="26" width="11.42578125" style="56"/>
    <col min="27" max="16384" width="11.42578125" style="9"/>
  </cols>
  <sheetData>
    <row r="1" spans="1:26" ht="13.5" thickBot="1" x14ac:dyDescent="0.25">
      <c r="A1" s="33"/>
      <c r="B1" s="35"/>
      <c r="C1" s="35"/>
      <c r="D1" s="35"/>
      <c r="E1" s="10"/>
      <c r="F1" s="34"/>
      <c r="I1" s="10"/>
    </row>
    <row r="2" spans="1:26" s="39" customFormat="1" ht="24.95" customHeight="1" x14ac:dyDescent="0.2">
      <c r="A2" s="36"/>
      <c r="B2" s="194" t="s">
        <v>45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1"/>
      <c r="S2" s="71"/>
      <c r="T2" s="71"/>
      <c r="U2" s="71"/>
      <c r="V2" s="71"/>
      <c r="W2" s="71"/>
      <c r="X2" s="71"/>
      <c r="Y2" s="71"/>
      <c r="Z2" s="71"/>
    </row>
    <row r="3" spans="1:26" s="39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1"/>
      <c r="S3" s="71"/>
      <c r="T3" s="71"/>
      <c r="U3" s="71"/>
      <c r="V3" s="71"/>
      <c r="W3" s="71"/>
      <c r="X3" s="71"/>
      <c r="Y3" s="71"/>
      <c r="Z3" s="71"/>
    </row>
    <row r="4" spans="1:26" s="39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1"/>
      <c r="T4" s="71"/>
      <c r="U4" s="71"/>
      <c r="V4" s="71"/>
      <c r="W4" s="71"/>
      <c r="X4" s="71"/>
      <c r="Y4" s="71"/>
      <c r="Z4" s="71"/>
    </row>
    <row r="5" spans="1:26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</row>
    <row r="6" spans="1:26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</row>
    <row r="7" spans="1:26" ht="24.95" customHeight="1" thickBot="1" x14ac:dyDescent="0.25">
      <c r="A7" s="19"/>
      <c r="B7" s="22">
        <f>(COUNTIF('2S EXPRESS'!$A$7:$A$50,RUNGIS!A7))+(COUNTIF('2 ZT'!$A$7:$A$50,RUNGIS!A7))+(COUNTIF('GO TRANSPORT'!$A$7:$A$50,RUNGIS!A7))+(COUNTIF('HMZ - KAIS'!$A$7:$A$50,RUNGIS!A7))+(COUNTIF('IB TRANSPORT'!$A$7:$A$50,RUNGIS!A7))+(COUNTIF(JSL!$A$7:$A$50,RUNGIS!A7))+(COUNTIF(KIFAITOUT!$A$7:$A$50,RUNGIS!A7))+(COUNTIF('LUXE DRIVE'!$A$7:$A$50,RUNGIS!A7))+(COUNTIF(SSN!$A$7:$A$50,RUNGIS!A7))+(COUNTIF('W3'!$A$7:$A$50,RUNGIS!A7))+(COUNTIF('ATHIS MONS'!$A$7:$A$50,RUNGIS!A7))+(COUNTIF('L HAY LES ROSES'!$A$7:$A$50,RUNGIS!A7))+(COUNTIF(RUNGIS!$A$7:$A$50,RUNGIS!A7))+(COUNTIF(SCEAUX!$A$7:$A$50,RUNGIS!A7))+(COUNTIF('INSTANCE C1'!$A$7:$A$50,RUNGIS!A7))+(COUNTIF('INSTANCE C2'!$A$7:$A$50,RUNGIS!A7))+(COUNTIF(INTERNES!$A$7:$A$50,RUNGIS!A7))+(COUNTIF('EN PANNE'!$A$7:$A$50,RUNGIS!A7))-C7</f>
        <v>0</v>
      </c>
      <c r="C7" s="23">
        <f>(COUNTIF('2S EXPRESS'!$G$7:$G$50,RUNGIS!A7))+(COUNTIF('2 ZT'!$G$7:$G$50,RUNGIS!A7))+(COUNTIF('GO TRANSPORT'!$G$7:$G$50,RUNGIS!A7))+(COUNTIF(RUNGIS!$G$7:$G$50,RUNGIS!A7))+(COUNTIF('IB TRANSPORT'!$G$7:$G$50,RUNGIS!A7))+(COUNTIF(JSL!$G$7:$G$50,RUNGIS!A7))+(COUNTIF(KIFAITOUT!$G$7:$G$50,RUNGIS!A7))+(COUNTIF('LUXE DRIVE'!$G$7:$G$50,RUNGIS!A7))+(COUNTIF(SSN!$G$7:$G$50,RUNGIS!A7))+(COUNTIF('W3'!$G$7:$G$50,RUNGIS!A7))+(COUNTIF('ATHIS MONS'!$G$7:$G$50,RUNGIS!A7))+(COUNTIF('L HAY LES ROSES'!$G$7:$G$50,RUNGIS!A7))+(COUNTIF(RUNGIS!$G$7:$G$50,RUNGIS!A7))+(COUNTIF(SCEAUX!$G$7:$G$50,RUNGIS!A7))+(COUNTIF('INSTANCE C1'!$G$7:$G$50,RUNGIS!A7))+(COUNTIF('INSTANCE C2'!$G$7:$G$50,RUNGIS!A7))+(COUNTIF(INTERNES!$G$7:$G$50,RUNGIS!A7))+(COUNTIF('EN PANNE'!$G$7:$G$50,RUNGIS!A7))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EXPRESS'!$G$7:$G$50,RUNGIS!G7))+(COUNTIF('2 ZT'!$G$7:$G$50,RUNGIS!G7))+(COUNTIF('GO TRANSPORT'!$G$7:$G$50,RUNGIS!G7))+(COUNTIF('HMZ - KAIS'!$G$7:$G$50,RUNGIS!G7))+(COUNTIF('IB TRANSPORT'!$G$7:$G$50,RUNGIS!G7))+(COUNTIF(JSL!$G$7:$G$50,RUNGIS!G7))+(COUNTIF(KIFAITOUT!$G$7:$G$50,RUNGIS!G7))+(COUNTIF('LUXE DRIVE'!$G$7:$G$50,RUNGIS!G7))+(COUNTIF(SSN!$G$7:$G$50,RUNGIS!G7))+(COUNTIF('W3'!$G$7:$G$50,RUNGIS!G7))+(COUNTIF('ATHIS MONS'!$G$7:$G$50,RUNGIS!G7))+(COUNTIF('L HAY LES ROSES'!$G$7:$G$50,RUNGIS!G7))+(COUNTIF(RUNGIS!$G$7:$G$50,RUNGIS!G7))+(COUNTIF(SCEAUX!$G$7:$G$50,RUNGIS!G7))+(COUNTIF('INSTANCE C1'!$G$7:$G$50,RUNGIS!G7))+(COUNTIF('INSTANCE C2'!$G$7:$G$50,RUNGIS!G7))+(COUNTIF(INTERNES!$G$7:$G$50,RUNGIS!G7))+(COUNTIF('EN PANNE'!$G$7:$G$50,RUNGIS!G7))-I7</f>
        <v>0</v>
      </c>
      <c r="I7" s="22">
        <f>(COUNTIF('2S EXPRESS'!$A$7:$A$50,RUNGIS!G7))+(COUNTIF('2 ZT'!$A$7:$A$50,RUNGIS!G7))+(COUNTIF('GO TRANSPORT'!$A$7:$A$50,RUNGIS!G7))+(COUNTIF('HMZ - KAIS'!$A$7:$A$50,RUNGIS!G7))+(COUNTIF('IB TRANSPORT'!$A$7:$A$50,RUNGIS!G7))+(COUNTIF(JSL!$A$7:$A$50,RUNGIS!G7))+(COUNTIF(KIFAITOUT!$A$7:$A$50,RUNGIS!G7))+(COUNTIF('LUXE DRIVE'!$A$7:$A$50,RUNGIS!G7))+(COUNTIF(SSN!$A$7:$A$50,RUNGIS!G7))+(COUNTIF('W3'!$A$7:$A$50,RUNGIS!G7))+(COUNTIF('ATHIS MONS'!$A$7:$A$50,RUNGIS!G7))+(COUNTIF('L HAY LES ROSES'!$A$7:$A$50,RUNGIS!G7))+(COUNTIF(RUNGIS!$A$7:$A$50,RUNGIS!G7))+(COUNTIF(SCEAUX!$A$7:$A$50,RUNGIS!G7))+(COUNTIF('INSTANCE C1'!$A$7:$A$50,RUNGIS!G7))+(COUNTIF('INSTANCE C2'!$A$7:$A$50,RUNGIS!G7))+(COUNTIF(INTERNES!$A$7:$A$50,RUNGIS!G7))+(COUNTIF('EN PANNE'!$A$7:$A$50,RUNGIS!G7))</f>
        <v>0</v>
      </c>
      <c r="J7" s="27">
        <f>IF(H7&gt;=2,1,0)</f>
        <v>0</v>
      </c>
      <c r="K7" s="1"/>
      <c r="L7" s="47"/>
      <c r="M7" s="48"/>
      <c r="O7" s="48"/>
      <c r="P7" s="48"/>
      <c r="Q7" s="48"/>
      <c r="R7" s="50"/>
      <c r="S7" s="60">
        <f t="shared" ref="S7:S50" si="1">COUNTIF($G$7:$G$50,$A7)</f>
        <v>0</v>
      </c>
      <c r="T7" s="67">
        <f t="shared" ref="T7:T50" si="2">IF($S7=1,"",$A7)</f>
        <v>0</v>
      </c>
    </row>
    <row r="8" spans="1:26" ht="24.95" customHeight="1" thickBot="1" x14ac:dyDescent="0.25">
      <c r="A8" s="20"/>
      <c r="B8" s="23">
        <f>(COUNTIF('2S EXPRESS'!$A$7:$A$50,RUNGIS!A8))+(COUNTIF('2 ZT'!$A$7:$A$50,RUNGIS!A8))+(COUNTIF('GO TRANSPORT'!$A$7:$A$50,RUNGIS!A8))+(COUNTIF('HMZ - KAIS'!$A$7:$A$50,RUNGIS!A8))+(COUNTIF('IB TRANSPORT'!$A$7:$A$50,RUNGIS!A8))+(COUNTIF(JSL!$A$7:$A$50,RUNGIS!A8))+(COUNTIF(KIFAITOUT!$A$7:$A$50,RUNGIS!A8))+(COUNTIF('LUXE DRIVE'!$A$7:$A$50,RUNGIS!A8))+(COUNTIF(SSN!$A$7:$A$50,RUNGIS!A8))+(COUNTIF('W3'!$A$7:$A$50,RUNGIS!A8))+(COUNTIF('ATHIS MONS'!$A$7:$A$50,RUNGIS!A8))+(COUNTIF('L HAY LES ROSES'!$A$7:$A$50,RUNGIS!A8))+(COUNTIF(RUNGIS!$A$7:$A$50,RUNGIS!A8))+(COUNTIF(SCEAUX!$A$7:$A$50,RUNGIS!A8))+(COUNTIF('INSTANCE C1'!$A$7:$A$50,RUNGIS!A8))+(COUNTIF('INSTANCE C2'!$A$7:$A$50,RUNGIS!A8))+(COUNTIF(INTERNES!$A$7:$A$50,RUNGIS!A8))+(COUNTIF('EN PANNE'!$A$7:$A$50,RUNGIS!A8))-C8</f>
        <v>0</v>
      </c>
      <c r="C8" s="23">
        <f>(COUNTIF('2S EXPRESS'!$G$7:$G$50,RUNGIS!A8))+(COUNTIF('2 ZT'!$G$7:$G$50,RUNGIS!A8))+(COUNTIF('GO TRANSPORT'!$G$7:$G$50,RUNGIS!A8))+(COUNTIF(RUNGIS!$G$7:$G$50,RUNGIS!A8))+(COUNTIF('IB TRANSPORT'!$G$7:$G$50,RUNGIS!A8))+(COUNTIF(JSL!$G$7:$G$50,RUNGIS!A8))+(COUNTIF(KIFAITOUT!$G$7:$G$50,RUNGIS!A8))+(COUNTIF('LUXE DRIVE'!$G$7:$G$50,RUNGIS!A8))+(COUNTIF(SSN!$G$7:$G$50,RUNGIS!A8))+(COUNTIF('W3'!$G$7:$G$50,RUNGIS!A8))+(COUNTIF('ATHIS MONS'!$G$7:$G$50,RUNGIS!A8))+(COUNTIF('L HAY LES ROSES'!$G$7:$G$50,RUNGIS!A8))+(COUNTIF(RUNGIS!$G$7:$G$50,RUNGIS!A8))+(COUNTIF(SCEAUX!$G$7:$G$50,RUNGIS!A8))+(COUNTIF('INSTANCE C1'!$G$7:$G$50,RUNGIS!A8))+(COUNTIF('INSTANCE C2'!$G$7:$G$50,RUNGIS!A8))+(COUNTIF(INTERNES!$G$7:$G$50,RUNGIS!A8))+(COUNTIF('EN PANNE'!$G$7:$G$50,RUNGIS!A8))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EXPRESS'!$G$7:$G$50,RUNGIS!G8))+(COUNTIF('2 ZT'!$G$7:$G$50,RUNGIS!G8))+(COUNTIF('GO TRANSPORT'!$G$7:$G$50,RUNGIS!G8))+(COUNTIF('HMZ - KAIS'!$G$7:$G$50,RUNGIS!G8))+(COUNTIF('IB TRANSPORT'!$G$7:$G$50,RUNGIS!G8))+(COUNTIF(JSL!$G$7:$G$50,RUNGIS!G8))+(COUNTIF(KIFAITOUT!$G$7:$G$50,RUNGIS!G8))+(COUNTIF('LUXE DRIVE'!$G$7:$G$50,RUNGIS!G8))+(COUNTIF(SSN!$G$7:$G$50,RUNGIS!G8))+(COUNTIF('W3'!$G$7:$G$50,RUNGIS!G8))+(COUNTIF('ATHIS MONS'!$G$7:$G$50,RUNGIS!G8))+(COUNTIF('L HAY LES ROSES'!$G$7:$G$50,RUNGIS!G8))+(COUNTIF(RUNGIS!$G$7:$G$50,RUNGIS!G8))+(COUNTIF(SCEAUX!$G$7:$G$50,RUNGIS!G8))+(COUNTIF('INSTANCE C1'!$G$7:$G$50,RUNGIS!G8))+(COUNTIF('INSTANCE C2'!$G$7:$G$50,RUNGIS!G8))+(COUNTIF(INTERNES!$G$7:$G$50,RUNGIS!G8))+(COUNTIF('EN PANNE'!$G$7:$G$50,RUNGIS!G8))-I8</f>
        <v>0</v>
      </c>
      <c r="I8" s="23">
        <f>(COUNTIF('2S EXPRESS'!$A$7:$A$50,RUNGIS!G8))+(COUNTIF('2 ZT'!$A$7:$A$50,RUNGIS!G8))+(COUNTIF('GO TRANSPORT'!$A$7:$A$50,RUNGIS!G8))+(COUNTIF('HMZ - KAIS'!$A$7:$A$50,RUNGIS!G8))+(COUNTIF('IB TRANSPORT'!$A$7:$A$50,RUNGIS!G8))+(COUNTIF(JSL!$A$7:$A$50,RUNGIS!G8))+(COUNTIF(KIFAITOUT!$A$7:$A$50,RUNGIS!G8))+(COUNTIF('LUXE DRIVE'!$A$7:$A$50,RUNGIS!G8))+(COUNTIF(SSN!$A$7:$A$50,RUNGIS!G8))+(COUNTIF('W3'!$A$7:$A$50,RUNGIS!G8))+(COUNTIF('ATHIS MONS'!$A$7:$A$50,RUNGIS!G8))+(COUNTIF('L HAY LES ROSES'!$A$7:$A$50,RUNGIS!G8))+(COUNTIF(RUNGIS!$A$7:$A$50,RUNGIS!G8))+(COUNTIF(SCEAUX!$A$7:$A$50,RUNGIS!G8))+(COUNTIF('INSTANCE C1'!$A$7:$A$50,RUNGIS!G8))+(COUNTIF('INSTANCE C2'!$A$7:$A$50,RUNGIS!G8))+(COUNTIF(INTERNES!$A$7:$A$50,RUNGIS!G8))+(COUNTIF('EN PANNE'!$A$7:$A$50,RUNGIS!G8))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50"/>
      <c r="S8" s="60">
        <f t="shared" si="1"/>
        <v>0</v>
      </c>
      <c r="T8" s="67">
        <f t="shared" si="2"/>
        <v>0</v>
      </c>
    </row>
    <row r="9" spans="1:26" ht="24.95" customHeight="1" thickBot="1" x14ac:dyDescent="0.25">
      <c r="A9" s="20"/>
      <c r="B9" s="23">
        <f>(COUNTIF('2S EXPRESS'!$A$7:$A$50,RUNGIS!A9))+(COUNTIF('2 ZT'!$A$7:$A$50,RUNGIS!A9))+(COUNTIF('GO TRANSPORT'!$A$7:$A$50,RUNGIS!A9))+(COUNTIF('HMZ - KAIS'!$A$7:$A$50,RUNGIS!A9))+(COUNTIF('IB TRANSPORT'!$A$7:$A$50,RUNGIS!A9))+(COUNTIF(JSL!$A$7:$A$50,RUNGIS!A9))+(COUNTIF(KIFAITOUT!$A$7:$A$50,RUNGIS!A9))+(COUNTIF('LUXE DRIVE'!$A$7:$A$50,RUNGIS!A9))+(COUNTIF(SSN!$A$7:$A$50,RUNGIS!A9))+(COUNTIF('W3'!$A$7:$A$50,RUNGIS!A9))+(COUNTIF('ATHIS MONS'!$A$7:$A$50,RUNGIS!A9))+(COUNTIF('L HAY LES ROSES'!$A$7:$A$50,RUNGIS!A9))+(COUNTIF(RUNGIS!$A$7:$A$50,RUNGIS!A9))+(COUNTIF(SCEAUX!$A$7:$A$50,RUNGIS!A9))+(COUNTIF('INSTANCE C1'!$A$7:$A$50,RUNGIS!A9))+(COUNTIF('INSTANCE C2'!$A$7:$A$50,RUNGIS!A9))+(COUNTIF(INTERNES!$A$7:$A$50,RUNGIS!A9))+(COUNTIF('EN PANNE'!$A$7:$A$50,RUNGIS!A9))-C9</f>
        <v>0</v>
      </c>
      <c r="C9" s="23">
        <f>(COUNTIF('2S EXPRESS'!$G$7:$G$50,RUNGIS!A9))+(COUNTIF('2 ZT'!$G$7:$G$50,RUNGIS!A9))+(COUNTIF('GO TRANSPORT'!$G$7:$G$50,RUNGIS!A9))+(COUNTIF(RUNGIS!$G$7:$G$50,RUNGIS!A9))+(COUNTIF('IB TRANSPORT'!$G$7:$G$50,RUNGIS!A9))+(COUNTIF(JSL!$G$7:$G$50,RUNGIS!A9))+(COUNTIF(KIFAITOUT!$G$7:$G$50,RUNGIS!A9))+(COUNTIF('LUXE DRIVE'!$G$7:$G$50,RUNGIS!A9))+(COUNTIF(SSN!$G$7:$G$50,RUNGIS!A9))+(COUNTIF('W3'!$G$7:$G$50,RUNGIS!A9))+(COUNTIF('ATHIS MONS'!$G$7:$G$50,RUNGIS!A9))+(COUNTIF('L HAY LES ROSES'!$G$7:$G$50,RUNGIS!A9))+(COUNTIF(RUNGIS!$G$7:$G$50,RUNGIS!A9))+(COUNTIF(SCEAUX!$G$7:$G$50,RUNGIS!A9))+(COUNTIF('INSTANCE C1'!$G$7:$G$50,RUNGIS!A9))+(COUNTIF('INSTANCE C2'!$G$7:$G$50,RUNGIS!A9))+(COUNTIF(INTERNES!$G$7:$G$50,RUNGIS!A9))+(COUNTIF('EN PANNE'!$G$7:$G$50,RUNGIS!A9))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EXPRESS'!$G$7:$G$50,RUNGIS!G9))+(COUNTIF('2 ZT'!$G$7:$G$50,RUNGIS!G9))+(COUNTIF('GO TRANSPORT'!$G$7:$G$50,RUNGIS!G9))+(COUNTIF('HMZ - KAIS'!$G$7:$G$50,RUNGIS!G9))+(COUNTIF('IB TRANSPORT'!$G$7:$G$50,RUNGIS!G9))+(COUNTIF(JSL!$G$7:$G$50,RUNGIS!G9))+(COUNTIF(KIFAITOUT!$G$7:$G$50,RUNGIS!G9))+(COUNTIF('LUXE DRIVE'!$G$7:$G$50,RUNGIS!G9))+(COUNTIF(SSN!$G$7:$G$50,RUNGIS!G9))+(COUNTIF('W3'!$G$7:$G$50,RUNGIS!G9))+(COUNTIF('ATHIS MONS'!$G$7:$G$50,RUNGIS!G9))+(COUNTIF('L HAY LES ROSES'!$G$7:$G$50,RUNGIS!G9))+(COUNTIF(RUNGIS!$G$7:$G$50,RUNGIS!G9))+(COUNTIF(SCEAUX!$G$7:$G$50,RUNGIS!G9))+(COUNTIF('INSTANCE C1'!$G$7:$G$50,RUNGIS!G9))+(COUNTIF('INSTANCE C2'!$G$7:$G$50,RUNGIS!G9))+(COUNTIF(INTERNES!$G$7:$G$50,RUNGIS!G9))+(COUNTIF('EN PANNE'!$G$7:$G$50,RUNGIS!G9))-I9</f>
        <v>0</v>
      </c>
      <c r="I9" s="23">
        <f>(COUNTIF('2S EXPRESS'!$A$7:$A$50,RUNGIS!G9))+(COUNTIF('2 ZT'!$A$7:$A$50,RUNGIS!G9))+(COUNTIF('GO TRANSPORT'!$A$7:$A$50,RUNGIS!G9))+(COUNTIF('HMZ - KAIS'!$A$7:$A$50,RUNGIS!G9))+(COUNTIF('IB TRANSPORT'!$A$7:$A$50,RUNGIS!G9))+(COUNTIF(JSL!$A$7:$A$50,RUNGIS!G9))+(COUNTIF(KIFAITOUT!$A$7:$A$50,RUNGIS!G9))+(COUNTIF('LUXE DRIVE'!$A$7:$A$50,RUNGIS!G9))+(COUNTIF(SSN!$A$7:$A$50,RUNGIS!G9))+(COUNTIF('W3'!$A$7:$A$50,RUNGIS!G9))+(COUNTIF('ATHIS MONS'!$A$7:$A$50,RUNGIS!G9))+(COUNTIF('L HAY LES ROSES'!$A$7:$A$50,RUNGIS!G9))+(COUNTIF(RUNGIS!$A$7:$A$50,RUNGIS!G9))+(COUNTIF(SCEAUX!$A$7:$A$50,RUNGIS!G9))+(COUNTIF('INSTANCE C1'!$A$7:$A$50,RUNGIS!G9))+(COUNTIF('INSTANCE C2'!$A$7:$A$50,RUNGIS!G9))+(COUNTIF(INTERNES!$A$7:$A$50,RUNGIS!G9))+(COUNTIF('EN PANNE'!$A$7:$A$50,RUNGIS!G9))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50"/>
      <c r="S9" s="60">
        <f t="shared" si="1"/>
        <v>0</v>
      </c>
      <c r="T9" s="67">
        <f t="shared" si="2"/>
        <v>0</v>
      </c>
    </row>
    <row r="10" spans="1:26" ht="24.95" customHeight="1" thickBot="1" x14ac:dyDescent="0.25">
      <c r="A10" s="20"/>
      <c r="B10" s="23">
        <f>(COUNTIF('2S EXPRESS'!$A$7:$A$50,RUNGIS!A10))+(COUNTIF('2 ZT'!$A$7:$A$50,RUNGIS!A10))+(COUNTIF('GO TRANSPORT'!$A$7:$A$50,RUNGIS!A10))+(COUNTIF('HMZ - KAIS'!$A$7:$A$50,RUNGIS!A10))+(COUNTIF('IB TRANSPORT'!$A$7:$A$50,RUNGIS!A10))+(COUNTIF(JSL!$A$7:$A$50,RUNGIS!A10))+(COUNTIF(KIFAITOUT!$A$7:$A$50,RUNGIS!A10))+(COUNTIF('LUXE DRIVE'!$A$7:$A$50,RUNGIS!A10))+(COUNTIF(SSN!$A$7:$A$50,RUNGIS!A10))+(COUNTIF('W3'!$A$7:$A$50,RUNGIS!A10))+(COUNTIF('ATHIS MONS'!$A$7:$A$50,RUNGIS!A10))+(COUNTIF('L HAY LES ROSES'!$A$7:$A$50,RUNGIS!A10))+(COUNTIF(RUNGIS!$A$7:$A$50,RUNGIS!A10))+(COUNTIF(SCEAUX!$A$7:$A$50,RUNGIS!A10))+(COUNTIF('INSTANCE C1'!$A$7:$A$50,RUNGIS!A10))+(COUNTIF('INSTANCE C2'!$A$7:$A$50,RUNGIS!A10))+(COUNTIF(INTERNES!$A$7:$A$50,RUNGIS!A10))+(COUNTIF('EN PANNE'!$A$7:$A$50,RUNGIS!A10))-C10</f>
        <v>0</v>
      </c>
      <c r="C10" s="23">
        <f>(COUNTIF('2S EXPRESS'!$G$7:$G$50,RUNGIS!A10))+(COUNTIF('2 ZT'!$G$7:$G$50,RUNGIS!A10))+(COUNTIF('GO TRANSPORT'!$G$7:$G$50,RUNGIS!A10))+(COUNTIF(RUNGIS!$G$7:$G$50,RUNGIS!A10))+(COUNTIF('IB TRANSPORT'!$G$7:$G$50,RUNGIS!A10))+(COUNTIF(JSL!$G$7:$G$50,RUNGIS!A10))+(COUNTIF(KIFAITOUT!$G$7:$G$50,RUNGIS!A10))+(COUNTIF('LUXE DRIVE'!$G$7:$G$50,RUNGIS!A10))+(COUNTIF(SSN!$G$7:$G$50,RUNGIS!A10))+(COUNTIF('W3'!$G$7:$G$50,RUNGIS!A10))+(COUNTIF('ATHIS MONS'!$G$7:$G$50,RUNGIS!A10))+(COUNTIF('L HAY LES ROSES'!$G$7:$G$50,RUNGIS!A10))+(COUNTIF(RUNGIS!$G$7:$G$50,RUNGIS!A10))+(COUNTIF(SCEAUX!$G$7:$G$50,RUNGIS!A10))+(COUNTIF('INSTANCE C1'!$G$7:$G$50,RUNGIS!A10))+(COUNTIF('INSTANCE C2'!$G$7:$G$50,RUNGIS!A10))+(COUNTIF(INTERNES!$G$7:$G$50,RUNGIS!A10))+(COUNTIF('EN PANNE'!$G$7:$G$50,RUNGIS!A10))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EXPRESS'!$G$7:$G$50,RUNGIS!G10))+(COUNTIF('2 ZT'!$G$7:$G$50,RUNGIS!G10))+(COUNTIF('GO TRANSPORT'!$G$7:$G$50,RUNGIS!G10))+(COUNTIF('HMZ - KAIS'!$G$7:$G$50,RUNGIS!G10))+(COUNTIF('IB TRANSPORT'!$G$7:$G$50,RUNGIS!G10))+(COUNTIF(JSL!$G$7:$G$50,RUNGIS!G10))+(COUNTIF(KIFAITOUT!$G$7:$G$50,RUNGIS!G10))+(COUNTIF('LUXE DRIVE'!$G$7:$G$50,RUNGIS!G10))+(COUNTIF(SSN!$G$7:$G$50,RUNGIS!G10))+(COUNTIF('W3'!$G$7:$G$50,RUNGIS!G10))+(COUNTIF('ATHIS MONS'!$G$7:$G$50,RUNGIS!G10))+(COUNTIF('L HAY LES ROSES'!$G$7:$G$50,RUNGIS!G10))+(COUNTIF(RUNGIS!$G$7:$G$50,RUNGIS!G10))+(COUNTIF(SCEAUX!$G$7:$G$50,RUNGIS!G10))+(COUNTIF('INSTANCE C1'!$G$7:$G$50,RUNGIS!G10))+(COUNTIF('INSTANCE C2'!$G$7:$G$50,RUNGIS!G10))+(COUNTIF(INTERNES!$G$7:$G$50,RUNGIS!G10))+(COUNTIF('EN PANNE'!$G$7:$G$50,RUNGIS!G10))-I10</f>
        <v>0</v>
      </c>
      <c r="I10" s="23">
        <f>(COUNTIF('2S EXPRESS'!$A$7:$A$50,RUNGIS!G10))+(COUNTIF('2 ZT'!$A$7:$A$50,RUNGIS!G10))+(COUNTIF('GO TRANSPORT'!$A$7:$A$50,RUNGIS!G10))+(COUNTIF('HMZ - KAIS'!$A$7:$A$50,RUNGIS!G10))+(COUNTIF('IB TRANSPORT'!$A$7:$A$50,RUNGIS!G10))+(COUNTIF(JSL!$A$7:$A$50,RUNGIS!G10))+(COUNTIF(KIFAITOUT!$A$7:$A$50,RUNGIS!G10))+(COUNTIF('LUXE DRIVE'!$A$7:$A$50,RUNGIS!G10))+(COUNTIF(SSN!$A$7:$A$50,RUNGIS!G10))+(COUNTIF('W3'!$A$7:$A$50,RUNGIS!G10))+(COUNTIF('ATHIS MONS'!$A$7:$A$50,RUNGIS!G10))+(COUNTIF('L HAY LES ROSES'!$A$7:$A$50,RUNGIS!G10))+(COUNTIF(RUNGIS!$A$7:$A$50,RUNGIS!G10))+(COUNTIF(SCEAUX!$A$7:$A$50,RUNGIS!G10))+(COUNTIF('INSTANCE C1'!$A$7:$A$50,RUNGIS!G10))+(COUNTIF('INSTANCE C2'!$A$7:$A$50,RUNGIS!G10))+(COUNTIF(INTERNES!$A$7:$A$50,RUNGIS!G10))+(COUNTIF('EN PANNE'!$A$7:$A$50,RUNGIS!G10))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R10" s="50"/>
      <c r="S10" s="60">
        <f t="shared" si="1"/>
        <v>0</v>
      </c>
      <c r="T10" s="67">
        <f t="shared" si="2"/>
        <v>0</v>
      </c>
    </row>
    <row r="11" spans="1:26" ht="24.95" customHeight="1" thickBot="1" x14ac:dyDescent="0.25">
      <c r="A11" s="20"/>
      <c r="B11" s="23">
        <f>(COUNTIF('2S EXPRESS'!$A$7:$A$50,RUNGIS!A11))+(COUNTIF('2 ZT'!$A$7:$A$50,RUNGIS!A11))+(COUNTIF('GO TRANSPORT'!$A$7:$A$50,RUNGIS!A11))+(COUNTIF('HMZ - KAIS'!$A$7:$A$50,RUNGIS!A11))+(COUNTIF('IB TRANSPORT'!$A$7:$A$50,RUNGIS!A11))+(COUNTIF(JSL!$A$7:$A$50,RUNGIS!A11))+(COUNTIF(KIFAITOUT!$A$7:$A$50,RUNGIS!A11))+(COUNTIF('LUXE DRIVE'!$A$7:$A$50,RUNGIS!A11))+(COUNTIF(SSN!$A$7:$A$50,RUNGIS!A11))+(COUNTIF('W3'!$A$7:$A$50,RUNGIS!A11))+(COUNTIF('ATHIS MONS'!$A$7:$A$50,RUNGIS!A11))+(COUNTIF('L HAY LES ROSES'!$A$7:$A$50,RUNGIS!A11))+(COUNTIF(RUNGIS!$A$7:$A$50,RUNGIS!A11))+(COUNTIF(SCEAUX!$A$7:$A$50,RUNGIS!A11))+(COUNTIF('INSTANCE C1'!$A$7:$A$50,RUNGIS!A11))+(COUNTIF('INSTANCE C2'!$A$7:$A$50,RUNGIS!A11))+(COUNTIF(INTERNES!$A$7:$A$50,RUNGIS!A11))+(COUNTIF('EN PANNE'!$A$7:$A$50,RUNGIS!A11))-C11</f>
        <v>0</v>
      </c>
      <c r="C11" s="23">
        <f>(COUNTIF('2S EXPRESS'!$G$7:$G$50,RUNGIS!A11))+(COUNTIF('2 ZT'!$G$7:$G$50,RUNGIS!A11))+(COUNTIF('GO TRANSPORT'!$G$7:$G$50,RUNGIS!A11))+(COUNTIF(RUNGIS!$G$7:$G$50,RUNGIS!A11))+(COUNTIF('IB TRANSPORT'!$G$7:$G$50,RUNGIS!A11))+(COUNTIF(JSL!$G$7:$G$50,RUNGIS!A11))+(COUNTIF(KIFAITOUT!$G$7:$G$50,RUNGIS!A11))+(COUNTIF('LUXE DRIVE'!$G$7:$G$50,RUNGIS!A11))+(COUNTIF(SSN!$G$7:$G$50,RUNGIS!A11))+(COUNTIF('W3'!$G$7:$G$50,RUNGIS!A11))+(COUNTIF('ATHIS MONS'!$G$7:$G$50,RUNGIS!A11))+(COUNTIF('L HAY LES ROSES'!$G$7:$G$50,RUNGIS!A11))+(COUNTIF(RUNGIS!$G$7:$G$50,RUNGIS!A11))+(COUNTIF(SCEAUX!$G$7:$G$50,RUNGIS!A11))+(COUNTIF('INSTANCE C1'!$G$7:$G$50,RUNGIS!A11))+(COUNTIF('INSTANCE C2'!$G$7:$G$50,RUNGIS!A11))+(COUNTIF(INTERNES!$G$7:$G$50,RUNGIS!A11))+(COUNTIF('EN PANNE'!$G$7:$G$50,RUNGIS!A11))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EXPRESS'!$G$7:$G$50,RUNGIS!G11))+(COUNTIF('2 ZT'!$G$7:$G$50,RUNGIS!G11))+(COUNTIF('GO TRANSPORT'!$G$7:$G$50,RUNGIS!G11))+(COUNTIF('HMZ - KAIS'!$G$7:$G$50,RUNGIS!G11))+(COUNTIF('IB TRANSPORT'!$G$7:$G$50,RUNGIS!G11))+(COUNTIF(JSL!$G$7:$G$50,RUNGIS!G11))+(COUNTIF(KIFAITOUT!$G$7:$G$50,RUNGIS!G11))+(COUNTIF('LUXE DRIVE'!$G$7:$G$50,RUNGIS!G11))+(COUNTIF(SSN!$G$7:$G$50,RUNGIS!G11))+(COUNTIF('W3'!$G$7:$G$50,RUNGIS!G11))+(COUNTIF('ATHIS MONS'!$G$7:$G$50,RUNGIS!G11))+(COUNTIF('L HAY LES ROSES'!$G$7:$G$50,RUNGIS!G11))+(COUNTIF(RUNGIS!$G$7:$G$50,RUNGIS!G11))+(COUNTIF(SCEAUX!$G$7:$G$50,RUNGIS!G11))+(COUNTIF('INSTANCE C1'!$G$7:$G$50,RUNGIS!G11))+(COUNTIF('INSTANCE C2'!$G$7:$G$50,RUNGIS!G11))+(COUNTIF(INTERNES!$G$7:$G$50,RUNGIS!G11))+(COUNTIF('EN PANNE'!$G$7:$G$50,RUNGIS!G11))-I11</f>
        <v>0</v>
      </c>
      <c r="I11" s="23">
        <f>(COUNTIF('2S EXPRESS'!$A$7:$A$50,RUNGIS!G11))+(COUNTIF('2 ZT'!$A$7:$A$50,RUNGIS!G11))+(COUNTIF('GO TRANSPORT'!$A$7:$A$50,RUNGIS!G11))+(COUNTIF('HMZ - KAIS'!$A$7:$A$50,RUNGIS!G11))+(COUNTIF('IB TRANSPORT'!$A$7:$A$50,RUNGIS!G11))+(COUNTIF(JSL!$A$7:$A$50,RUNGIS!G11))+(COUNTIF(KIFAITOUT!$A$7:$A$50,RUNGIS!G11))+(COUNTIF('LUXE DRIVE'!$A$7:$A$50,RUNGIS!G11))+(COUNTIF(SSN!$A$7:$A$50,RUNGIS!G11))+(COUNTIF('W3'!$A$7:$A$50,RUNGIS!G11))+(COUNTIF('ATHIS MONS'!$A$7:$A$50,RUNGIS!G11))+(COUNTIF('L HAY LES ROSES'!$A$7:$A$50,RUNGIS!G11))+(COUNTIF(RUNGIS!$A$7:$A$50,RUNGIS!G11))+(COUNTIF(SCEAUX!$A$7:$A$50,RUNGIS!G11))+(COUNTIF('INSTANCE C1'!$A$7:$A$50,RUNGIS!G11))+(COUNTIF('INSTANCE C2'!$A$7:$A$50,RUNGIS!G11))+(COUNTIF(INTERNES!$A$7:$A$50,RUNGIS!G11))+(COUNTIF('EN PANNE'!$A$7:$A$50,RUNGIS!G11))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R11" s="50"/>
      <c r="S11" s="60">
        <f t="shared" si="1"/>
        <v>0</v>
      </c>
      <c r="T11" s="67">
        <f t="shared" si="2"/>
        <v>0</v>
      </c>
    </row>
    <row r="12" spans="1:26" ht="24.95" customHeight="1" thickBot="1" x14ac:dyDescent="0.25">
      <c r="A12" s="20"/>
      <c r="B12" s="23">
        <f>(COUNTIF('2S EXPRESS'!$A$7:$A$50,RUNGIS!A12))+(COUNTIF('2 ZT'!$A$7:$A$50,RUNGIS!A12))+(COUNTIF('GO TRANSPORT'!$A$7:$A$50,RUNGIS!A12))+(COUNTIF('HMZ - KAIS'!$A$7:$A$50,RUNGIS!A12))+(COUNTIF('IB TRANSPORT'!$A$7:$A$50,RUNGIS!A12))+(COUNTIF(JSL!$A$7:$A$50,RUNGIS!A12))+(COUNTIF(KIFAITOUT!$A$7:$A$50,RUNGIS!A12))+(COUNTIF('LUXE DRIVE'!$A$7:$A$50,RUNGIS!A12))+(COUNTIF(SSN!$A$7:$A$50,RUNGIS!A12))+(COUNTIF('W3'!$A$7:$A$50,RUNGIS!A12))+(COUNTIF('ATHIS MONS'!$A$7:$A$50,RUNGIS!A12))+(COUNTIF('L HAY LES ROSES'!$A$7:$A$50,RUNGIS!A12))+(COUNTIF(RUNGIS!$A$7:$A$50,RUNGIS!A12))+(COUNTIF(SCEAUX!$A$7:$A$50,RUNGIS!A12))+(COUNTIF('INSTANCE C1'!$A$7:$A$50,RUNGIS!A12))+(COUNTIF('INSTANCE C2'!$A$7:$A$50,RUNGIS!A12))+(COUNTIF(INTERNES!$A$7:$A$50,RUNGIS!A12))+(COUNTIF('EN PANNE'!$A$7:$A$50,RUNGIS!A12))-C12</f>
        <v>0</v>
      </c>
      <c r="C12" s="23">
        <f>(COUNTIF('2S EXPRESS'!$G$7:$G$50,RUNGIS!A12))+(COUNTIF('2 ZT'!$G$7:$G$50,RUNGIS!A12))+(COUNTIF('GO TRANSPORT'!$G$7:$G$50,RUNGIS!A12))+(COUNTIF(RUNGIS!$G$7:$G$50,RUNGIS!A12))+(COUNTIF('IB TRANSPORT'!$G$7:$G$50,RUNGIS!A12))+(COUNTIF(JSL!$G$7:$G$50,RUNGIS!A12))+(COUNTIF(KIFAITOUT!$G$7:$G$50,RUNGIS!A12))+(COUNTIF('LUXE DRIVE'!$G$7:$G$50,RUNGIS!A12))+(COUNTIF(SSN!$G$7:$G$50,RUNGIS!A12))+(COUNTIF('W3'!$G$7:$G$50,RUNGIS!A12))+(COUNTIF('ATHIS MONS'!$G$7:$G$50,RUNGIS!A12))+(COUNTIF('L HAY LES ROSES'!$G$7:$G$50,RUNGIS!A12))+(COUNTIF(RUNGIS!$G$7:$G$50,RUNGIS!A12))+(COUNTIF(SCEAUX!$G$7:$G$50,RUNGIS!A12))+(COUNTIF('INSTANCE C1'!$G$7:$G$50,RUNGIS!A12))+(COUNTIF('INSTANCE C2'!$G$7:$G$50,RUNGIS!A12))+(COUNTIF(INTERNES!$G$7:$G$50,RUNGIS!A12))+(COUNTIF('EN PANNE'!$G$7:$G$50,RUNGIS!A12))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EXPRESS'!$G$7:$G$50,RUNGIS!G12))+(COUNTIF('2 ZT'!$G$7:$G$50,RUNGIS!G12))+(COUNTIF('GO TRANSPORT'!$G$7:$G$50,RUNGIS!G12))+(COUNTIF('HMZ - KAIS'!$G$7:$G$50,RUNGIS!G12))+(COUNTIF('IB TRANSPORT'!$G$7:$G$50,RUNGIS!G12))+(COUNTIF(JSL!$G$7:$G$50,RUNGIS!G12))+(COUNTIF(KIFAITOUT!$G$7:$G$50,RUNGIS!G12))+(COUNTIF('LUXE DRIVE'!$G$7:$G$50,RUNGIS!G12))+(COUNTIF(SSN!$G$7:$G$50,RUNGIS!G12))+(COUNTIF('W3'!$G$7:$G$50,RUNGIS!G12))+(COUNTIF('ATHIS MONS'!$G$7:$G$50,RUNGIS!G12))+(COUNTIF('L HAY LES ROSES'!$G$7:$G$50,RUNGIS!G12))+(COUNTIF(RUNGIS!$G$7:$G$50,RUNGIS!G12))+(COUNTIF(SCEAUX!$G$7:$G$50,RUNGIS!G12))+(COUNTIF('INSTANCE C1'!$G$7:$G$50,RUNGIS!G12))+(COUNTIF('INSTANCE C2'!$G$7:$G$50,RUNGIS!G12))+(COUNTIF(INTERNES!$G$7:$G$50,RUNGIS!G12))+(COUNTIF('EN PANNE'!$G$7:$G$50,RUNGIS!G12))-I12</f>
        <v>0</v>
      </c>
      <c r="I12" s="23">
        <f>(COUNTIF('2S EXPRESS'!$A$7:$A$50,RUNGIS!G12))+(COUNTIF('2 ZT'!$A$7:$A$50,RUNGIS!G12))+(COUNTIF('GO TRANSPORT'!$A$7:$A$50,RUNGIS!G12))+(COUNTIF('HMZ - KAIS'!$A$7:$A$50,RUNGIS!G12))+(COUNTIF('IB TRANSPORT'!$A$7:$A$50,RUNGIS!G12))+(COUNTIF(JSL!$A$7:$A$50,RUNGIS!G12))+(COUNTIF(KIFAITOUT!$A$7:$A$50,RUNGIS!G12))+(COUNTIF('LUXE DRIVE'!$A$7:$A$50,RUNGIS!G12))+(COUNTIF(SSN!$A$7:$A$50,RUNGIS!G12))+(COUNTIF('W3'!$A$7:$A$50,RUNGIS!G12))+(COUNTIF('ATHIS MONS'!$A$7:$A$50,RUNGIS!G12))+(COUNTIF('L HAY LES ROSES'!$A$7:$A$50,RUNGIS!G12))+(COUNTIF(RUNGIS!$A$7:$A$50,RUNGIS!G12))+(COUNTIF(SCEAUX!$A$7:$A$50,RUNGIS!G12))+(COUNTIF('INSTANCE C1'!$A$7:$A$50,RUNGIS!G12))+(COUNTIF('INSTANCE C2'!$A$7:$A$50,RUNGIS!G12))+(COUNTIF(INTERNES!$A$7:$A$50,RUNGIS!G12))+(COUNTIF('EN PANNE'!$A$7:$A$50,RUNGIS!G12))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S12" s="60">
        <f t="shared" si="1"/>
        <v>0</v>
      </c>
      <c r="T12" s="67">
        <f t="shared" si="2"/>
        <v>0</v>
      </c>
    </row>
    <row r="13" spans="1:26" ht="24.95" customHeight="1" x14ac:dyDescent="0.2">
      <c r="A13" s="20"/>
      <c r="B13" s="23">
        <f>(COUNTIF('2S EXPRESS'!$A$7:$A$50,RUNGIS!A13))+(COUNTIF('2 ZT'!$A$7:$A$50,RUNGIS!A13))+(COUNTIF('GO TRANSPORT'!$A$7:$A$50,RUNGIS!A13))+(COUNTIF('HMZ - KAIS'!$A$7:$A$50,RUNGIS!A13))+(COUNTIF('IB TRANSPORT'!$A$7:$A$50,RUNGIS!A13))+(COUNTIF(JSL!$A$7:$A$50,RUNGIS!A13))+(COUNTIF(KIFAITOUT!$A$7:$A$50,RUNGIS!A13))+(COUNTIF('LUXE DRIVE'!$A$7:$A$50,RUNGIS!A13))+(COUNTIF(SSN!$A$7:$A$50,RUNGIS!A13))+(COUNTIF('W3'!$A$7:$A$50,RUNGIS!A13))+(COUNTIF('ATHIS MONS'!$A$7:$A$50,RUNGIS!A13))+(COUNTIF('L HAY LES ROSES'!$A$7:$A$50,RUNGIS!A13))+(COUNTIF(RUNGIS!$A$7:$A$50,RUNGIS!A13))+(COUNTIF(SCEAUX!$A$7:$A$50,RUNGIS!A13))+(COUNTIF('INSTANCE C1'!$A$7:$A$50,RUNGIS!A13))+(COUNTIF('INSTANCE C2'!$A$7:$A$50,RUNGIS!A13))+(COUNTIF(INTERNES!$A$7:$A$50,RUNGIS!A13))+(COUNTIF('EN PANNE'!$A$7:$A$50,RUNGIS!A13))-C13</f>
        <v>0</v>
      </c>
      <c r="C13" s="23">
        <f>(COUNTIF('2S EXPRESS'!$G$7:$G$50,RUNGIS!A13))+(COUNTIF('2 ZT'!$G$7:$G$50,RUNGIS!A13))+(COUNTIF('GO TRANSPORT'!$G$7:$G$50,RUNGIS!A13))+(COUNTIF(RUNGIS!$G$7:$G$50,RUNGIS!A13))+(COUNTIF('IB TRANSPORT'!$G$7:$G$50,RUNGIS!A13))+(COUNTIF(JSL!$G$7:$G$50,RUNGIS!A13))+(COUNTIF(KIFAITOUT!$G$7:$G$50,RUNGIS!A13))+(COUNTIF('LUXE DRIVE'!$G$7:$G$50,RUNGIS!A13))+(COUNTIF(SSN!$G$7:$G$50,RUNGIS!A13))+(COUNTIF('W3'!$G$7:$G$50,RUNGIS!A13))+(COUNTIF('ATHIS MONS'!$G$7:$G$50,RUNGIS!A13))+(COUNTIF('L HAY LES ROSES'!$G$7:$G$50,RUNGIS!A13))+(COUNTIF(RUNGIS!$G$7:$G$50,RUNGIS!A13))+(COUNTIF(SCEAUX!$G$7:$G$50,RUNGIS!A13))+(COUNTIF('INSTANCE C1'!$G$7:$G$50,RUNGIS!A13))+(COUNTIF('INSTANCE C2'!$G$7:$G$50,RUNGIS!A13))+(COUNTIF(INTERNES!$G$7:$G$50,RUNGIS!A13))+(COUNTIF('EN PANNE'!$G$7:$G$50,RUNGIS!A13))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EXPRESS'!$G$7:$G$50,RUNGIS!G13))+(COUNTIF('2 ZT'!$G$7:$G$50,RUNGIS!G13))+(COUNTIF('GO TRANSPORT'!$G$7:$G$50,RUNGIS!G13))+(COUNTIF('HMZ - KAIS'!$G$7:$G$50,RUNGIS!G13))+(COUNTIF('IB TRANSPORT'!$G$7:$G$50,RUNGIS!G13))+(COUNTIF(JSL!$G$7:$G$50,RUNGIS!G13))+(COUNTIF(KIFAITOUT!$G$7:$G$50,RUNGIS!G13))+(COUNTIF('LUXE DRIVE'!$G$7:$G$50,RUNGIS!G13))+(COUNTIF(SSN!$G$7:$G$50,RUNGIS!G13))+(COUNTIF('W3'!$G$7:$G$50,RUNGIS!G13))+(COUNTIF('ATHIS MONS'!$G$7:$G$50,RUNGIS!G13))+(COUNTIF('L HAY LES ROSES'!$G$7:$G$50,RUNGIS!G13))+(COUNTIF(RUNGIS!$G$7:$G$50,RUNGIS!G13))+(COUNTIF(SCEAUX!$G$7:$G$50,RUNGIS!G13))+(COUNTIF('INSTANCE C1'!$G$7:$G$50,RUNGIS!G13))+(COUNTIF('INSTANCE C2'!$G$7:$G$50,RUNGIS!G13))+(COUNTIF(INTERNES!$G$7:$G$50,RUNGIS!G13))+(COUNTIF('EN PANNE'!$G$7:$G$50,RUNGIS!G13))-I13</f>
        <v>0</v>
      </c>
      <c r="I13" s="23">
        <f>(COUNTIF('2S EXPRESS'!$A$7:$A$50,RUNGIS!G13))+(COUNTIF('2 ZT'!$A$7:$A$50,RUNGIS!G13))+(COUNTIF('GO TRANSPORT'!$A$7:$A$50,RUNGIS!G13))+(COUNTIF('HMZ - KAIS'!$A$7:$A$50,RUNGIS!G13))+(COUNTIF('IB TRANSPORT'!$A$7:$A$50,RUNGIS!G13))+(COUNTIF(JSL!$A$7:$A$50,RUNGIS!G13))+(COUNTIF(KIFAITOUT!$A$7:$A$50,RUNGIS!G13))+(COUNTIF('LUXE DRIVE'!$A$7:$A$50,RUNGIS!G13))+(COUNTIF(SSN!$A$7:$A$50,RUNGIS!G13))+(COUNTIF('W3'!$A$7:$A$50,RUNGIS!G13))+(COUNTIF('ATHIS MONS'!$A$7:$A$50,RUNGIS!G13))+(COUNTIF('L HAY LES ROSES'!$A$7:$A$50,RUNGIS!G13))+(COUNTIF(RUNGIS!$A$7:$A$50,RUNGIS!G13))+(COUNTIF(SCEAUX!$A$7:$A$50,RUNGIS!G13))+(COUNTIF('INSTANCE C1'!$A$7:$A$50,RUNGIS!G13))+(COUNTIF('INSTANCE C2'!$A$7:$A$50,RUNGIS!G13))+(COUNTIF(INTERNES!$A$7:$A$50,RUNGIS!G13))+(COUNTIF('EN PANNE'!$A$7:$A$50,RUNGIS!G13))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S13" s="60">
        <f t="shared" si="1"/>
        <v>0</v>
      </c>
      <c r="T13" s="67">
        <f t="shared" si="2"/>
        <v>0</v>
      </c>
    </row>
    <row r="14" spans="1:26" ht="24.95" customHeight="1" x14ac:dyDescent="0.2">
      <c r="A14" s="20"/>
      <c r="B14" s="23">
        <f>(COUNTIF('2S EXPRESS'!$A$7:$A$50,RUNGIS!A14))+(COUNTIF('2 ZT'!$A$7:$A$50,RUNGIS!A14))+(COUNTIF('GO TRANSPORT'!$A$7:$A$50,RUNGIS!A14))+(COUNTIF('HMZ - KAIS'!$A$7:$A$50,RUNGIS!A14))+(COUNTIF('IB TRANSPORT'!$A$7:$A$50,RUNGIS!A14))+(COUNTIF(JSL!$A$7:$A$50,RUNGIS!A14))+(COUNTIF(KIFAITOUT!$A$7:$A$50,RUNGIS!A14))+(COUNTIF('LUXE DRIVE'!$A$7:$A$50,RUNGIS!A14))+(COUNTIF(SSN!$A$7:$A$50,RUNGIS!A14))+(COUNTIF('W3'!$A$7:$A$50,RUNGIS!A14))+(COUNTIF('ATHIS MONS'!$A$7:$A$50,RUNGIS!A14))+(COUNTIF('L HAY LES ROSES'!$A$7:$A$50,RUNGIS!A14))+(COUNTIF(RUNGIS!$A$7:$A$50,RUNGIS!A14))+(COUNTIF(SCEAUX!$A$7:$A$50,RUNGIS!A14))+(COUNTIF('INSTANCE C1'!$A$7:$A$50,RUNGIS!A14))+(COUNTIF('INSTANCE C2'!$A$7:$A$50,RUNGIS!A14))+(COUNTIF(INTERNES!$A$7:$A$50,RUNGIS!A14))+(COUNTIF('EN PANNE'!$A$7:$A$50,RUNGIS!A14))-C14</f>
        <v>0</v>
      </c>
      <c r="C14" s="23">
        <f>(COUNTIF('2S EXPRESS'!$G$7:$G$50,RUNGIS!A14))+(COUNTIF('2 ZT'!$G$7:$G$50,RUNGIS!A14))+(COUNTIF('GO TRANSPORT'!$G$7:$G$50,RUNGIS!A14))+(COUNTIF(RUNGIS!$G$7:$G$50,RUNGIS!A14))+(COUNTIF('IB TRANSPORT'!$G$7:$G$50,RUNGIS!A14))+(COUNTIF(JSL!$G$7:$G$50,RUNGIS!A14))+(COUNTIF(KIFAITOUT!$G$7:$G$50,RUNGIS!A14))+(COUNTIF('LUXE DRIVE'!$G$7:$G$50,RUNGIS!A14))+(COUNTIF(SSN!$G$7:$G$50,RUNGIS!A14))+(COUNTIF('W3'!$G$7:$G$50,RUNGIS!A14))+(COUNTIF('ATHIS MONS'!$G$7:$G$50,RUNGIS!A14))+(COUNTIF('L HAY LES ROSES'!$G$7:$G$50,RUNGIS!A14))+(COUNTIF(RUNGIS!$G$7:$G$50,RUNGIS!A14))+(COUNTIF(SCEAUX!$G$7:$G$50,RUNGIS!A14))+(COUNTIF('INSTANCE C1'!$G$7:$G$50,RUNGIS!A14))+(COUNTIF('INSTANCE C2'!$G$7:$G$50,RUNGIS!A14))+(COUNTIF(INTERNES!$G$7:$G$50,RUNGIS!A14))+(COUNTIF('EN PANNE'!$G$7:$G$50,RUNGIS!A14))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EXPRESS'!$G$7:$G$50,RUNGIS!G14))+(COUNTIF('2 ZT'!$G$7:$G$50,RUNGIS!G14))+(COUNTIF('GO TRANSPORT'!$G$7:$G$50,RUNGIS!G14))+(COUNTIF('HMZ - KAIS'!$G$7:$G$50,RUNGIS!G14))+(COUNTIF('IB TRANSPORT'!$G$7:$G$50,RUNGIS!G14))+(COUNTIF(JSL!$G$7:$G$50,RUNGIS!G14))+(COUNTIF(KIFAITOUT!$G$7:$G$50,RUNGIS!G14))+(COUNTIF('LUXE DRIVE'!$G$7:$G$50,RUNGIS!G14))+(COUNTIF(SSN!$G$7:$G$50,RUNGIS!G14))+(COUNTIF('W3'!$G$7:$G$50,RUNGIS!G14))+(COUNTIF('ATHIS MONS'!$G$7:$G$50,RUNGIS!G14))+(COUNTIF('L HAY LES ROSES'!$G$7:$G$50,RUNGIS!G14))+(COUNTIF(RUNGIS!$G$7:$G$50,RUNGIS!G14))+(COUNTIF(SCEAUX!$G$7:$G$50,RUNGIS!G14))+(COUNTIF('INSTANCE C1'!$G$7:$G$50,RUNGIS!G14))+(COUNTIF('INSTANCE C2'!$G$7:$G$50,RUNGIS!G14))+(COUNTIF(INTERNES!$G$7:$G$50,RUNGIS!G14))+(COUNTIF('EN PANNE'!$G$7:$G$50,RUNGIS!G14))-I14</f>
        <v>0</v>
      </c>
      <c r="I14" s="23">
        <f>(COUNTIF('2S EXPRESS'!$A$7:$A$50,RUNGIS!G14))+(COUNTIF('2 ZT'!$A$7:$A$50,RUNGIS!G14))+(COUNTIF('GO TRANSPORT'!$A$7:$A$50,RUNGIS!G14))+(COUNTIF('HMZ - KAIS'!$A$7:$A$50,RUNGIS!G14))+(COUNTIF('IB TRANSPORT'!$A$7:$A$50,RUNGIS!G14))+(COUNTIF(JSL!$A$7:$A$50,RUNGIS!G14))+(COUNTIF(KIFAITOUT!$A$7:$A$50,RUNGIS!G14))+(COUNTIF('LUXE DRIVE'!$A$7:$A$50,RUNGIS!G14))+(COUNTIF(SSN!$A$7:$A$50,RUNGIS!G14))+(COUNTIF('W3'!$A$7:$A$50,RUNGIS!G14))+(COUNTIF('ATHIS MONS'!$A$7:$A$50,RUNGIS!G14))+(COUNTIF('L HAY LES ROSES'!$A$7:$A$50,RUNGIS!G14))+(COUNTIF(RUNGIS!$A$7:$A$50,RUNGIS!G14))+(COUNTIF(SCEAUX!$A$7:$A$50,RUNGIS!G14))+(COUNTIF('INSTANCE C1'!$A$7:$A$50,RUNGIS!G14))+(COUNTIF('INSTANCE C2'!$A$7:$A$50,RUNGIS!G14))+(COUNTIF(INTERNES!$A$7:$A$50,RUNGIS!G14))+(COUNTIF('EN PANNE'!$A$7:$A$50,RUNGIS!G14))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S14" s="60">
        <f t="shared" si="1"/>
        <v>0</v>
      </c>
      <c r="T14" s="67">
        <f t="shared" si="2"/>
        <v>0</v>
      </c>
    </row>
    <row r="15" spans="1:26" ht="24.95" customHeight="1" x14ac:dyDescent="0.2">
      <c r="A15" s="20"/>
      <c r="B15" s="23">
        <f>(COUNTIF('2S EXPRESS'!$A$7:$A$50,RUNGIS!A15))+(COUNTIF('2 ZT'!$A$7:$A$50,RUNGIS!A15))+(COUNTIF('GO TRANSPORT'!$A$7:$A$50,RUNGIS!A15))+(COUNTIF('HMZ - KAIS'!$A$7:$A$50,RUNGIS!A15))+(COUNTIF('IB TRANSPORT'!$A$7:$A$50,RUNGIS!A15))+(COUNTIF(JSL!$A$7:$A$50,RUNGIS!A15))+(COUNTIF(KIFAITOUT!$A$7:$A$50,RUNGIS!A15))+(COUNTIF('LUXE DRIVE'!$A$7:$A$50,RUNGIS!A15))+(COUNTIF(SSN!$A$7:$A$50,RUNGIS!A15))+(COUNTIF('W3'!$A$7:$A$50,RUNGIS!A15))+(COUNTIF('ATHIS MONS'!$A$7:$A$50,RUNGIS!A15))+(COUNTIF('L HAY LES ROSES'!$A$7:$A$50,RUNGIS!A15))+(COUNTIF(RUNGIS!$A$7:$A$50,RUNGIS!A15))+(COUNTIF(SCEAUX!$A$7:$A$50,RUNGIS!A15))+(COUNTIF('INSTANCE C1'!$A$7:$A$50,RUNGIS!A15))+(COUNTIF('INSTANCE C2'!$A$7:$A$50,RUNGIS!A15))+(COUNTIF(INTERNES!$A$7:$A$50,RUNGIS!A15))+(COUNTIF('EN PANNE'!$A$7:$A$50,RUNGIS!A15))-C15</f>
        <v>0</v>
      </c>
      <c r="C15" s="23">
        <f>(COUNTIF('2S EXPRESS'!$G$7:$G$50,RUNGIS!A15))+(COUNTIF('2 ZT'!$G$7:$G$50,RUNGIS!A15))+(COUNTIF('GO TRANSPORT'!$G$7:$G$50,RUNGIS!A15))+(COUNTIF(RUNGIS!$G$7:$G$50,RUNGIS!A15))+(COUNTIF('IB TRANSPORT'!$G$7:$G$50,RUNGIS!A15))+(COUNTIF(JSL!$G$7:$G$50,RUNGIS!A15))+(COUNTIF(KIFAITOUT!$G$7:$G$50,RUNGIS!A15))+(COUNTIF('LUXE DRIVE'!$G$7:$G$50,RUNGIS!A15))+(COUNTIF(SSN!$G$7:$G$50,RUNGIS!A15))+(COUNTIF('W3'!$G$7:$G$50,RUNGIS!A15))+(COUNTIF('ATHIS MONS'!$G$7:$G$50,RUNGIS!A15))+(COUNTIF('L HAY LES ROSES'!$G$7:$G$50,RUNGIS!A15))+(COUNTIF(RUNGIS!$G$7:$G$50,RUNGIS!A15))+(COUNTIF(SCEAUX!$G$7:$G$50,RUNGIS!A15))+(COUNTIF('INSTANCE C1'!$G$7:$G$50,RUNGIS!A15))+(COUNTIF('INSTANCE C2'!$G$7:$G$50,RUNGIS!A15))+(COUNTIF(INTERNES!$G$7:$G$50,RUNGIS!A15))+(COUNTIF('EN PANNE'!$G$7:$G$50,RUNGIS!A15))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EXPRESS'!$G$7:$G$50,RUNGIS!G15))+(COUNTIF('2 ZT'!$G$7:$G$50,RUNGIS!G15))+(COUNTIF('GO TRANSPORT'!$G$7:$G$50,RUNGIS!G15))+(COUNTIF('HMZ - KAIS'!$G$7:$G$50,RUNGIS!G15))+(COUNTIF('IB TRANSPORT'!$G$7:$G$50,RUNGIS!G15))+(COUNTIF(JSL!$G$7:$G$50,RUNGIS!G15))+(COUNTIF(KIFAITOUT!$G$7:$G$50,RUNGIS!G15))+(COUNTIF('LUXE DRIVE'!$G$7:$G$50,RUNGIS!G15))+(COUNTIF(SSN!$G$7:$G$50,RUNGIS!G15))+(COUNTIF('W3'!$G$7:$G$50,RUNGIS!G15))+(COUNTIF('ATHIS MONS'!$G$7:$G$50,RUNGIS!G15))+(COUNTIF('L HAY LES ROSES'!$G$7:$G$50,RUNGIS!G15))+(COUNTIF(RUNGIS!$G$7:$G$50,RUNGIS!G15))+(COUNTIF(SCEAUX!$G$7:$G$50,RUNGIS!G15))+(COUNTIF('INSTANCE C1'!$G$7:$G$50,RUNGIS!G15))+(COUNTIF('INSTANCE C2'!$G$7:$G$50,RUNGIS!G15))+(COUNTIF(INTERNES!$G$7:$G$50,RUNGIS!G15))+(COUNTIF('EN PANNE'!$G$7:$G$50,RUNGIS!G15))-I15</f>
        <v>0</v>
      </c>
      <c r="I15" s="23">
        <f>(COUNTIF('2S EXPRESS'!$A$7:$A$50,RUNGIS!G15))+(COUNTIF('2 ZT'!$A$7:$A$50,RUNGIS!G15))+(COUNTIF('GO TRANSPORT'!$A$7:$A$50,RUNGIS!G15))+(COUNTIF('HMZ - KAIS'!$A$7:$A$50,RUNGIS!G15))+(COUNTIF('IB TRANSPORT'!$A$7:$A$50,RUNGIS!G15))+(COUNTIF(JSL!$A$7:$A$50,RUNGIS!G15))+(COUNTIF(KIFAITOUT!$A$7:$A$50,RUNGIS!G15))+(COUNTIF('LUXE DRIVE'!$A$7:$A$50,RUNGIS!G15))+(COUNTIF(SSN!$A$7:$A$50,RUNGIS!G15))+(COUNTIF('W3'!$A$7:$A$50,RUNGIS!G15))+(COUNTIF('ATHIS MONS'!$A$7:$A$50,RUNGIS!G15))+(COUNTIF('L HAY LES ROSES'!$A$7:$A$50,RUNGIS!G15))+(COUNTIF(RUNGIS!$A$7:$A$50,RUNGIS!G15))+(COUNTIF(SCEAUX!$A$7:$A$50,RUNGIS!G15))+(COUNTIF('INSTANCE C1'!$A$7:$A$50,RUNGIS!G15))+(COUNTIF('INSTANCE C2'!$A$7:$A$50,RUNGIS!G15))+(COUNTIF(INTERNES!$A$7:$A$50,RUNGIS!G15))+(COUNTIF('EN PANNE'!$A$7:$A$50,RUNGIS!G15))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S15" s="60">
        <f t="shared" si="1"/>
        <v>0</v>
      </c>
      <c r="T15" s="67">
        <f t="shared" si="2"/>
        <v>0</v>
      </c>
    </row>
    <row r="16" spans="1:26" ht="24.95" customHeight="1" x14ac:dyDescent="0.2">
      <c r="A16" s="20"/>
      <c r="B16" s="23">
        <f>(COUNTIF('2S EXPRESS'!$A$7:$A$50,RUNGIS!A16))+(COUNTIF('2 ZT'!$A$7:$A$50,RUNGIS!A16))+(COUNTIF('GO TRANSPORT'!$A$7:$A$50,RUNGIS!A16))+(COUNTIF('HMZ - KAIS'!$A$7:$A$50,RUNGIS!A16))+(COUNTIF('IB TRANSPORT'!$A$7:$A$50,RUNGIS!A16))+(COUNTIF(JSL!$A$7:$A$50,RUNGIS!A16))+(COUNTIF(KIFAITOUT!$A$7:$A$50,RUNGIS!A16))+(COUNTIF('LUXE DRIVE'!$A$7:$A$50,RUNGIS!A16))+(COUNTIF(SSN!$A$7:$A$50,RUNGIS!A16))+(COUNTIF('W3'!$A$7:$A$50,RUNGIS!A16))+(COUNTIF('ATHIS MONS'!$A$7:$A$50,RUNGIS!A16))+(COUNTIF('L HAY LES ROSES'!$A$7:$A$50,RUNGIS!A16))+(COUNTIF(RUNGIS!$A$7:$A$50,RUNGIS!A16))+(COUNTIF(SCEAUX!$A$7:$A$50,RUNGIS!A16))+(COUNTIF('INSTANCE C1'!$A$7:$A$50,RUNGIS!A16))+(COUNTIF('INSTANCE C2'!$A$7:$A$50,RUNGIS!A16))+(COUNTIF(INTERNES!$A$7:$A$50,RUNGIS!A16))+(COUNTIF('EN PANNE'!$A$7:$A$50,RUNGIS!A16))-C16</f>
        <v>0</v>
      </c>
      <c r="C16" s="23">
        <f>(COUNTIF('2S EXPRESS'!$G$7:$G$50,RUNGIS!A16))+(COUNTIF('2 ZT'!$G$7:$G$50,RUNGIS!A16))+(COUNTIF('GO TRANSPORT'!$G$7:$G$50,RUNGIS!A16))+(COUNTIF(RUNGIS!$G$7:$G$50,RUNGIS!A16))+(COUNTIF('IB TRANSPORT'!$G$7:$G$50,RUNGIS!A16))+(COUNTIF(JSL!$G$7:$G$50,RUNGIS!A16))+(COUNTIF(KIFAITOUT!$G$7:$G$50,RUNGIS!A16))+(COUNTIF('LUXE DRIVE'!$G$7:$G$50,RUNGIS!A16))+(COUNTIF(SSN!$G$7:$G$50,RUNGIS!A16))+(COUNTIF('W3'!$G$7:$G$50,RUNGIS!A16))+(COUNTIF('ATHIS MONS'!$G$7:$G$50,RUNGIS!A16))+(COUNTIF('L HAY LES ROSES'!$G$7:$G$50,RUNGIS!A16))+(COUNTIF(RUNGIS!$G$7:$G$50,RUNGIS!A16))+(COUNTIF(SCEAUX!$G$7:$G$50,RUNGIS!A16))+(COUNTIF('INSTANCE C1'!$G$7:$G$50,RUNGIS!A16))+(COUNTIF('INSTANCE C2'!$G$7:$G$50,RUNGIS!A16))+(COUNTIF(INTERNES!$G$7:$G$50,RUNGIS!A16))+(COUNTIF('EN PANNE'!$G$7:$G$50,RUNGIS!A16))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EXPRESS'!$G$7:$G$50,RUNGIS!G16))+(COUNTIF('2 ZT'!$G$7:$G$50,RUNGIS!G16))+(COUNTIF('GO TRANSPORT'!$G$7:$G$50,RUNGIS!G16))+(COUNTIF('HMZ - KAIS'!$G$7:$G$50,RUNGIS!G16))+(COUNTIF('IB TRANSPORT'!$G$7:$G$50,RUNGIS!G16))+(COUNTIF(JSL!$G$7:$G$50,RUNGIS!G16))+(COUNTIF(KIFAITOUT!$G$7:$G$50,RUNGIS!G16))+(COUNTIF('LUXE DRIVE'!$G$7:$G$50,RUNGIS!G16))+(COUNTIF(SSN!$G$7:$G$50,RUNGIS!G16))+(COUNTIF('W3'!$G$7:$G$50,RUNGIS!G16))+(COUNTIF('ATHIS MONS'!$G$7:$G$50,RUNGIS!G16))+(COUNTIF('L HAY LES ROSES'!$G$7:$G$50,RUNGIS!G16))+(COUNTIF(RUNGIS!$G$7:$G$50,RUNGIS!G16))+(COUNTIF(SCEAUX!$G$7:$G$50,RUNGIS!G16))+(COUNTIF('INSTANCE C1'!$G$7:$G$50,RUNGIS!G16))+(COUNTIF('INSTANCE C2'!$G$7:$G$50,RUNGIS!G16))+(COUNTIF(INTERNES!$G$7:$G$50,RUNGIS!G16))+(COUNTIF('EN PANNE'!$G$7:$G$50,RUNGIS!G16))-I16</f>
        <v>0</v>
      </c>
      <c r="I16" s="23">
        <f>(COUNTIF('2S EXPRESS'!$A$7:$A$50,RUNGIS!G16))+(COUNTIF('2 ZT'!$A$7:$A$50,RUNGIS!G16))+(COUNTIF('GO TRANSPORT'!$A$7:$A$50,RUNGIS!G16))+(COUNTIF('HMZ - KAIS'!$A$7:$A$50,RUNGIS!G16))+(COUNTIF('IB TRANSPORT'!$A$7:$A$50,RUNGIS!G16))+(COUNTIF(JSL!$A$7:$A$50,RUNGIS!G16))+(COUNTIF(KIFAITOUT!$A$7:$A$50,RUNGIS!G16))+(COUNTIF('LUXE DRIVE'!$A$7:$A$50,RUNGIS!G16))+(COUNTIF(SSN!$A$7:$A$50,RUNGIS!G16))+(COUNTIF('W3'!$A$7:$A$50,RUNGIS!G16))+(COUNTIF('ATHIS MONS'!$A$7:$A$50,RUNGIS!G16))+(COUNTIF('L HAY LES ROSES'!$A$7:$A$50,RUNGIS!G16))+(COUNTIF(RUNGIS!$A$7:$A$50,RUNGIS!G16))+(COUNTIF(SCEAUX!$A$7:$A$50,RUNGIS!G16))+(COUNTIF('INSTANCE C1'!$A$7:$A$50,RUNGIS!G16))+(COUNTIF('INSTANCE C2'!$A$7:$A$50,RUNGIS!G16))+(COUNTIF(INTERNES!$A$7:$A$50,RUNGIS!G16))+(COUNTIF('EN PANNE'!$A$7:$A$50,RUNGIS!G16))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S16" s="60">
        <f t="shared" si="1"/>
        <v>0</v>
      </c>
      <c r="T16" s="67">
        <f t="shared" si="2"/>
        <v>0</v>
      </c>
    </row>
    <row r="17" spans="1:20" ht="24.95" customHeight="1" x14ac:dyDescent="0.2">
      <c r="A17" s="20"/>
      <c r="B17" s="23">
        <f>(COUNTIF('2S EXPRESS'!$A$7:$A$50,RUNGIS!A17))+(COUNTIF('2 ZT'!$A$7:$A$50,RUNGIS!A17))+(COUNTIF('GO TRANSPORT'!$A$7:$A$50,RUNGIS!A17))+(COUNTIF('HMZ - KAIS'!$A$7:$A$50,RUNGIS!A17))+(COUNTIF('IB TRANSPORT'!$A$7:$A$50,RUNGIS!A17))+(COUNTIF(JSL!$A$7:$A$50,RUNGIS!A17))+(COUNTIF(KIFAITOUT!$A$7:$A$50,RUNGIS!A17))+(COUNTIF('LUXE DRIVE'!$A$7:$A$50,RUNGIS!A17))+(COUNTIF(SSN!$A$7:$A$50,RUNGIS!A17))+(COUNTIF('W3'!$A$7:$A$50,RUNGIS!A17))+(COUNTIF('ATHIS MONS'!$A$7:$A$50,RUNGIS!A17))+(COUNTIF('L HAY LES ROSES'!$A$7:$A$50,RUNGIS!A17))+(COUNTIF(RUNGIS!$A$7:$A$50,RUNGIS!A17))+(COUNTIF(SCEAUX!$A$7:$A$50,RUNGIS!A17))+(COUNTIF('INSTANCE C1'!$A$7:$A$50,RUNGIS!A17))+(COUNTIF('INSTANCE C2'!$A$7:$A$50,RUNGIS!A17))+(COUNTIF(INTERNES!$A$7:$A$50,RUNGIS!A17))+(COUNTIF('EN PANNE'!$A$7:$A$50,RUNGIS!A17))-C17</f>
        <v>0</v>
      </c>
      <c r="C17" s="23">
        <f>(COUNTIF('2S EXPRESS'!$G$7:$G$50,RUNGIS!A17))+(COUNTIF('2 ZT'!$G$7:$G$50,RUNGIS!A17))+(COUNTIF('GO TRANSPORT'!$G$7:$G$50,RUNGIS!A17))+(COUNTIF(RUNGIS!$G$7:$G$50,RUNGIS!A17))+(COUNTIF('IB TRANSPORT'!$G$7:$G$50,RUNGIS!A17))+(COUNTIF(JSL!$G$7:$G$50,RUNGIS!A17))+(COUNTIF(KIFAITOUT!$G$7:$G$50,RUNGIS!A17))+(COUNTIF('LUXE DRIVE'!$G$7:$G$50,RUNGIS!A17))+(COUNTIF(SSN!$G$7:$G$50,RUNGIS!A17))+(COUNTIF('W3'!$G$7:$G$50,RUNGIS!A17))+(COUNTIF('ATHIS MONS'!$G$7:$G$50,RUNGIS!A17))+(COUNTIF('L HAY LES ROSES'!$G$7:$G$50,RUNGIS!A17))+(COUNTIF(RUNGIS!$G$7:$G$50,RUNGIS!A17))+(COUNTIF(SCEAUX!$G$7:$G$50,RUNGIS!A17))+(COUNTIF('INSTANCE C1'!$G$7:$G$50,RUNGIS!A17))+(COUNTIF('INSTANCE C2'!$G$7:$G$50,RUNGIS!A17))+(COUNTIF(INTERNES!$G$7:$G$50,RUNGIS!A17))+(COUNTIF('EN PANNE'!$G$7:$G$50,RUNGIS!A17))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EXPRESS'!$G$7:$G$50,RUNGIS!G17))+(COUNTIF('2 ZT'!$G$7:$G$50,RUNGIS!G17))+(COUNTIF('GO TRANSPORT'!$G$7:$G$50,RUNGIS!G17))+(COUNTIF('HMZ - KAIS'!$G$7:$G$50,RUNGIS!G17))+(COUNTIF('IB TRANSPORT'!$G$7:$G$50,RUNGIS!G17))+(COUNTIF(JSL!$G$7:$G$50,RUNGIS!G17))+(COUNTIF(KIFAITOUT!$G$7:$G$50,RUNGIS!G17))+(COUNTIF('LUXE DRIVE'!$G$7:$G$50,RUNGIS!G17))+(COUNTIF(SSN!$G$7:$G$50,RUNGIS!G17))+(COUNTIF('W3'!$G$7:$G$50,RUNGIS!G17))+(COUNTIF('ATHIS MONS'!$G$7:$G$50,RUNGIS!G17))+(COUNTIF('L HAY LES ROSES'!$G$7:$G$50,RUNGIS!G17))+(COUNTIF(RUNGIS!$G$7:$G$50,RUNGIS!G17))+(COUNTIF(SCEAUX!$G$7:$G$50,RUNGIS!G17))+(COUNTIF('INSTANCE C1'!$G$7:$G$50,RUNGIS!G17))+(COUNTIF('INSTANCE C2'!$G$7:$G$50,RUNGIS!G17))+(COUNTIF(INTERNES!$G$7:$G$50,RUNGIS!G17))+(COUNTIF('EN PANNE'!$G$7:$G$50,RUNGIS!G17))-I17</f>
        <v>0</v>
      </c>
      <c r="I17" s="23">
        <f>(COUNTIF('2S EXPRESS'!$A$7:$A$50,RUNGIS!G17))+(COUNTIF('2 ZT'!$A$7:$A$50,RUNGIS!G17))+(COUNTIF('GO TRANSPORT'!$A$7:$A$50,RUNGIS!G17))+(COUNTIF('HMZ - KAIS'!$A$7:$A$50,RUNGIS!G17))+(COUNTIF('IB TRANSPORT'!$A$7:$A$50,RUNGIS!G17))+(COUNTIF(JSL!$A$7:$A$50,RUNGIS!G17))+(COUNTIF(KIFAITOUT!$A$7:$A$50,RUNGIS!G17))+(COUNTIF('LUXE DRIVE'!$A$7:$A$50,RUNGIS!G17))+(COUNTIF(SSN!$A$7:$A$50,RUNGIS!G17))+(COUNTIF('W3'!$A$7:$A$50,RUNGIS!G17))+(COUNTIF('ATHIS MONS'!$A$7:$A$50,RUNGIS!G17))+(COUNTIF('L HAY LES ROSES'!$A$7:$A$50,RUNGIS!G17))+(COUNTIF(RUNGIS!$A$7:$A$50,RUNGIS!G17))+(COUNTIF(SCEAUX!$A$7:$A$50,RUNGIS!G17))+(COUNTIF('INSTANCE C1'!$A$7:$A$50,RUNGIS!G17))+(COUNTIF('INSTANCE C2'!$A$7:$A$50,RUNGIS!G17))+(COUNTIF(INTERNES!$A$7:$A$50,RUNGIS!G17))+(COUNTIF('EN PANNE'!$A$7:$A$50,RUNGIS!G17))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S17" s="60">
        <f t="shared" si="1"/>
        <v>0</v>
      </c>
      <c r="T17" s="67">
        <f t="shared" si="2"/>
        <v>0</v>
      </c>
    </row>
    <row r="18" spans="1:20" ht="24.95" customHeight="1" x14ac:dyDescent="0.2">
      <c r="A18" s="20"/>
      <c r="B18" s="23">
        <f>(COUNTIF('2S EXPRESS'!$A$7:$A$50,RUNGIS!A18))+(COUNTIF('2 ZT'!$A$7:$A$50,RUNGIS!A18))+(COUNTIF('GO TRANSPORT'!$A$7:$A$50,RUNGIS!A18))+(COUNTIF('HMZ - KAIS'!$A$7:$A$50,RUNGIS!A18))+(COUNTIF('IB TRANSPORT'!$A$7:$A$50,RUNGIS!A18))+(COUNTIF(JSL!$A$7:$A$50,RUNGIS!A18))+(COUNTIF(KIFAITOUT!$A$7:$A$50,RUNGIS!A18))+(COUNTIF('LUXE DRIVE'!$A$7:$A$50,RUNGIS!A18))+(COUNTIF(SSN!$A$7:$A$50,RUNGIS!A18))+(COUNTIF('W3'!$A$7:$A$50,RUNGIS!A18))+(COUNTIF('ATHIS MONS'!$A$7:$A$50,RUNGIS!A18))+(COUNTIF('L HAY LES ROSES'!$A$7:$A$50,RUNGIS!A18))+(COUNTIF(RUNGIS!$A$7:$A$50,RUNGIS!A18))+(COUNTIF(SCEAUX!$A$7:$A$50,RUNGIS!A18))+(COUNTIF('INSTANCE C1'!$A$7:$A$50,RUNGIS!A18))+(COUNTIF('INSTANCE C2'!$A$7:$A$50,RUNGIS!A18))+(COUNTIF(INTERNES!$A$7:$A$50,RUNGIS!A18))+(COUNTIF('EN PANNE'!$A$7:$A$50,RUNGIS!A18))-C18</f>
        <v>0</v>
      </c>
      <c r="C18" s="23">
        <f>(COUNTIF('2S EXPRESS'!$G$7:$G$50,RUNGIS!A18))+(COUNTIF('2 ZT'!$G$7:$G$50,RUNGIS!A18))+(COUNTIF('GO TRANSPORT'!$G$7:$G$50,RUNGIS!A18))+(COUNTIF(RUNGIS!$G$7:$G$50,RUNGIS!A18))+(COUNTIF('IB TRANSPORT'!$G$7:$G$50,RUNGIS!A18))+(COUNTIF(JSL!$G$7:$G$50,RUNGIS!A18))+(COUNTIF(KIFAITOUT!$G$7:$G$50,RUNGIS!A18))+(COUNTIF('LUXE DRIVE'!$G$7:$G$50,RUNGIS!A18))+(COUNTIF(SSN!$G$7:$G$50,RUNGIS!A18))+(COUNTIF('W3'!$G$7:$G$50,RUNGIS!A18))+(COUNTIF('ATHIS MONS'!$G$7:$G$50,RUNGIS!A18))+(COUNTIF('L HAY LES ROSES'!$G$7:$G$50,RUNGIS!A18))+(COUNTIF(RUNGIS!$G$7:$G$50,RUNGIS!A18))+(COUNTIF(SCEAUX!$G$7:$G$50,RUNGIS!A18))+(COUNTIF('INSTANCE C1'!$G$7:$G$50,RUNGIS!A18))+(COUNTIF('INSTANCE C2'!$G$7:$G$50,RUNGIS!A18))+(COUNTIF(INTERNES!$G$7:$G$50,RUNGIS!A18))+(COUNTIF('EN PANNE'!$G$7:$G$50,RUNGIS!A18))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EXPRESS'!$G$7:$G$50,RUNGIS!G18))+(COUNTIF('2 ZT'!$G$7:$G$50,RUNGIS!G18))+(COUNTIF('GO TRANSPORT'!$G$7:$G$50,RUNGIS!G18))+(COUNTIF('HMZ - KAIS'!$G$7:$G$50,RUNGIS!G18))+(COUNTIF('IB TRANSPORT'!$G$7:$G$50,RUNGIS!G18))+(COUNTIF(JSL!$G$7:$G$50,RUNGIS!G18))+(COUNTIF(KIFAITOUT!$G$7:$G$50,RUNGIS!G18))+(COUNTIF('LUXE DRIVE'!$G$7:$G$50,RUNGIS!G18))+(COUNTIF(SSN!$G$7:$G$50,RUNGIS!G18))+(COUNTIF('W3'!$G$7:$G$50,RUNGIS!G18))+(COUNTIF('ATHIS MONS'!$G$7:$G$50,RUNGIS!G18))+(COUNTIF('L HAY LES ROSES'!$G$7:$G$50,RUNGIS!G18))+(COUNTIF(RUNGIS!$G$7:$G$50,RUNGIS!G18))+(COUNTIF(SCEAUX!$G$7:$G$50,RUNGIS!G18))+(COUNTIF('INSTANCE C1'!$G$7:$G$50,RUNGIS!G18))+(COUNTIF('INSTANCE C2'!$G$7:$G$50,RUNGIS!G18))+(COUNTIF(INTERNES!$G$7:$G$50,RUNGIS!G18))+(COUNTIF('EN PANNE'!$G$7:$G$50,RUNGIS!G18))-I18</f>
        <v>0</v>
      </c>
      <c r="I18" s="23">
        <f>(COUNTIF('2S EXPRESS'!$A$7:$A$50,RUNGIS!G18))+(COUNTIF('2 ZT'!$A$7:$A$50,RUNGIS!G18))+(COUNTIF('GO TRANSPORT'!$A$7:$A$50,RUNGIS!G18))+(COUNTIF('HMZ - KAIS'!$A$7:$A$50,RUNGIS!G18))+(COUNTIF('IB TRANSPORT'!$A$7:$A$50,RUNGIS!G18))+(COUNTIF(JSL!$A$7:$A$50,RUNGIS!G18))+(COUNTIF(KIFAITOUT!$A$7:$A$50,RUNGIS!G18))+(COUNTIF('LUXE DRIVE'!$A$7:$A$50,RUNGIS!G18))+(COUNTIF(SSN!$A$7:$A$50,RUNGIS!G18))+(COUNTIF('W3'!$A$7:$A$50,RUNGIS!G18))+(COUNTIF('ATHIS MONS'!$A$7:$A$50,RUNGIS!G18))+(COUNTIF('L HAY LES ROSES'!$A$7:$A$50,RUNGIS!G18))+(COUNTIF(RUNGIS!$A$7:$A$50,RUNGIS!G18))+(COUNTIF(SCEAUX!$A$7:$A$50,RUNGIS!G18))+(COUNTIF('INSTANCE C1'!$A$7:$A$50,RUNGIS!G18))+(COUNTIF('INSTANCE C2'!$A$7:$A$50,RUNGIS!G18))+(COUNTIF(INTERNES!$A$7:$A$50,RUNGIS!G18))+(COUNTIF('EN PANNE'!$A$7:$A$50,RUNGIS!G18))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S18" s="60">
        <f t="shared" si="1"/>
        <v>0</v>
      </c>
      <c r="T18" s="67">
        <f t="shared" si="2"/>
        <v>0</v>
      </c>
    </row>
    <row r="19" spans="1:20" ht="24.95" customHeight="1" x14ac:dyDescent="0.2">
      <c r="A19" s="20"/>
      <c r="B19" s="23">
        <f>(COUNTIF('2S EXPRESS'!$A$7:$A$50,RUNGIS!A19))+(COUNTIF('2 ZT'!$A$7:$A$50,RUNGIS!A19))+(COUNTIF('GO TRANSPORT'!$A$7:$A$50,RUNGIS!A19))+(COUNTIF('HMZ - KAIS'!$A$7:$A$50,RUNGIS!A19))+(COUNTIF('IB TRANSPORT'!$A$7:$A$50,RUNGIS!A19))+(COUNTIF(JSL!$A$7:$A$50,RUNGIS!A19))+(COUNTIF(KIFAITOUT!$A$7:$A$50,RUNGIS!A19))+(COUNTIF('LUXE DRIVE'!$A$7:$A$50,RUNGIS!A19))+(COUNTIF(SSN!$A$7:$A$50,RUNGIS!A19))+(COUNTIF('W3'!$A$7:$A$50,RUNGIS!A19))+(COUNTIF('ATHIS MONS'!$A$7:$A$50,RUNGIS!A19))+(COUNTIF('L HAY LES ROSES'!$A$7:$A$50,RUNGIS!A19))+(COUNTIF(RUNGIS!$A$7:$A$50,RUNGIS!A19))+(COUNTIF(SCEAUX!$A$7:$A$50,RUNGIS!A19))+(COUNTIF('INSTANCE C1'!$A$7:$A$50,RUNGIS!A19))+(COUNTIF('INSTANCE C2'!$A$7:$A$50,RUNGIS!A19))+(COUNTIF(INTERNES!$A$7:$A$50,RUNGIS!A19))+(COUNTIF('EN PANNE'!$A$7:$A$50,RUNGIS!A19))-C19</f>
        <v>0</v>
      </c>
      <c r="C19" s="23">
        <f>(COUNTIF('2S EXPRESS'!$G$7:$G$50,RUNGIS!A19))+(COUNTIF('2 ZT'!$G$7:$G$50,RUNGIS!A19))+(COUNTIF('GO TRANSPORT'!$G$7:$G$50,RUNGIS!A19))+(COUNTIF(RUNGIS!$G$7:$G$50,RUNGIS!A19))+(COUNTIF('IB TRANSPORT'!$G$7:$G$50,RUNGIS!A19))+(COUNTIF(JSL!$G$7:$G$50,RUNGIS!A19))+(COUNTIF(KIFAITOUT!$G$7:$G$50,RUNGIS!A19))+(COUNTIF('LUXE DRIVE'!$G$7:$G$50,RUNGIS!A19))+(COUNTIF(SSN!$G$7:$G$50,RUNGIS!A19))+(COUNTIF('W3'!$G$7:$G$50,RUNGIS!A19))+(COUNTIF('ATHIS MONS'!$G$7:$G$50,RUNGIS!A19))+(COUNTIF('L HAY LES ROSES'!$G$7:$G$50,RUNGIS!A19))+(COUNTIF(RUNGIS!$G$7:$G$50,RUNGIS!A19))+(COUNTIF(SCEAUX!$G$7:$G$50,RUNGIS!A19))+(COUNTIF('INSTANCE C1'!$G$7:$G$50,RUNGIS!A19))+(COUNTIF('INSTANCE C2'!$G$7:$G$50,RUNGIS!A19))+(COUNTIF(INTERNES!$G$7:$G$50,RUNGIS!A19))+(COUNTIF('EN PANNE'!$G$7:$G$50,RUNGIS!A19))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EXPRESS'!$G$7:$G$50,RUNGIS!G19))+(COUNTIF('2 ZT'!$G$7:$G$50,RUNGIS!G19))+(COUNTIF('GO TRANSPORT'!$G$7:$G$50,RUNGIS!G19))+(COUNTIF('HMZ - KAIS'!$G$7:$G$50,RUNGIS!G19))+(COUNTIF('IB TRANSPORT'!$G$7:$G$50,RUNGIS!G19))+(COUNTIF(JSL!$G$7:$G$50,RUNGIS!G19))+(COUNTIF(KIFAITOUT!$G$7:$G$50,RUNGIS!G19))+(COUNTIF('LUXE DRIVE'!$G$7:$G$50,RUNGIS!G19))+(COUNTIF(SSN!$G$7:$G$50,RUNGIS!G19))+(COUNTIF('W3'!$G$7:$G$50,RUNGIS!G19))+(COUNTIF('ATHIS MONS'!$G$7:$G$50,RUNGIS!G19))+(COUNTIF('L HAY LES ROSES'!$G$7:$G$50,RUNGIS!G19))+(COUNTIF(RUNGIS!$G$7:$G$50,RUNGIS!G19))+(COUNTIF(SCEAUX!$G$7:$G$50,RUNGIS!G19))+(COUNTIF('INSTANCE C1'!$G$7:$G$50,RUNGIS!G19))+(COUNTIF('INSTANCE C2'!$G$7:$G$50,RUNGIS!G19))+(COUNTIF(INTERNES!$G$7:$G$50,RUNGIS!G19))+(COUNTIF('EN PANNE'!$G$7:$G$50,RUNGIS!G19))-I19</f>
        <v>0</v>
      </c>
      <c r="I19" s="23">
        <f>(COUNTIF('2S EXPRESS'!$A$7:$A$50,RUNGIS!G19))+(COUNTIF('2 ZT'!$A$7:$A$50,RUNGIS!G19))+(COUNTIF('GO TRANSPORT'!$A$7:$A$50,RUNGIS!G19))+(COUNTIF('HMZ - KAIS'!$A$7:$A$50,RUNGIS!G19))+(COUNTIF('IB TRANSPORT'!$A$7:$A$50,RUNGIS!G19))+(COUNTIF(JSL!$A$7:$A$50,RUNGIS!G19))+(COUNTIF(KIFAITOUT!$A$7:$A$50,RUNGIS!G19))+(COUNTIF('LUXE DRIVE'!$A$7:$A$50,RUNGIS!G19))+(COUNTIF(SSN!$A$7:$A$50,RUNGIS!G19))+(COUNTIF('W3'!$A$7:$A$50,RUNGIS!G19))+(COUNTIF('ATHIS MONS'!$A$7:$A$50,RUNGIS!G19))+(COUNTIF('L HAY LES ROSES'!$A$7:$A$50,RUNGIS!G19))+(COUNTIF(RUNGIS!$A$7:$A$50,RUNGIS!G19))+(COUNTIF(SCEAUX!$A$7:$A$50,RUNGIS!G19))+(COUNTIF('INSTANCE C1'!$A$7:$A$50,RUNGIS!G19))+(COUNTIF('INSTANCE C2'!$A$7:$A$50,RUNGIS!G19))+(COUNTIF(INTERNES!$A$7:$A$50,RUNGIS!G19))+(COUNTIF('EN PANNE'!$A$7:$A$50,RUNGIS!G19))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S19" s="60">
        <f t="shared" si="1"/>
        <v>0</v>
      </c>
      <c r="T19" s="67">
        <f t="shared" si="2"/>
        <v>0</v>
      </c>
    </row>
    <row r="20" spans="1:20" ht="24.95" customHeight="1" x14ac:dyDescent="0.2">
      <c r="A20" s="20"/>
      <c r="B20" s="23">
        <f>(COUNTIF('2S EXPRESS'!$A$7:$A$50,RUNGIS!A20))+(COUNTIF('2 ZT'!$A$7:$A$50,RUNGIS!A20))+(COUNTIF('GO TRANSPORT'!$A$7:$A$50,RUNGIS!A20))+(COUNTIF('HMZ - KAIS'!$A$7:$A$50,RUNGIS!A20))+(COUNTIF('IB TRANSPORT'!$A$7:$A$50,RUNGIS!A20))+(COUNTIF(JSL!$A$7:$A$50,RUNGIS!A20))+(COUNTIF(KIFAITOUT!$A$7:$A$50,RUNGIS!A20))+(COUNTIF('LUXE DRIVE'!$A$7:$A$50,RUNGIS!A20))+(COUNTIF(SSN!$A$7:$A$50,RUNGIS!A20))+(COUNTIF('W3'!$A$7:$A$50,RUNGIS!A20))+(COUNTIF('ATHIS MONS'!$A$7:$A$50,RUNGIS!A20))+(COUNTIF('L HAY LES ROSES'!$A$7:$A$50,RUNGIS!A20))+(COUNTIF(RUNGIS!$A$7:$A$50,RUNGIS!A20))+(COUNTIF(SCEAUX!$A$7:$A$50,RUNGIS!A20))+(COUNTIF('INSTANCE C1'!$A$7:$A$50,RUNGIS!A20))+(COUNTIF('INSTANCE C2'!$A$7:$A$50,RUNGIS!A20))+(COUNTIF(INTERNES!$A$7:$A$50,RUNGIS!A20))+(COUNTIF('EN PANNE'!$A$7:$A$50,RUNGIS!A20))-C20</f>
        <v>0</v>
      </c>
      <c r="C20" s="23">
        <f>(COUNTIF('2S EXPRESS'!$G$7:$G$50,RUNGIS!A20))+(COUNTIF('2 ZT'!$G$7:$G$50,RUNGIS!A20))+(COUNTIF('GO TRANSPORT'!$G$7:$G$50,RUNGIS!A20))+(COUNTIF(RUNGIS!$G$7:$G$50,RUNGIS!A20))+(COUNTIF('IB TRANSPORT'!$G$7:$G$50,RUNGIS!A20))+(COUNTIF(JSL!$G$7:$G$50,RUNGIS!A20))+(COUNTIF(KIFAITOUT!$G$7:$G$50,RUNGIS!A20))+(COUNTIF('LUXE DRIVE'!$G$7:$G$50,RUNGIS!A20))+(COUNTIF(SSN!$G$7:$G$50,RUNGIS!A20))+(COUNTIF('W3'!$G$7:$G$50,RUNGIS!A20))+(COUNTIF('ATHIS MONS'!$G$7:$G$50,RUNGIS!A20))+(COUNTIF('L HAY LES ROSES'!$G$7:$G$50,RUNGIS!A20))+(COUNTIF(RUNGIS!$G$7:$G$50,RUNGIS!A20))+(COUNTIF(SCEAUX!$G$7:$G$50,RUNGIS!A20))+(COUNTIF('INSTANCE C1'!$G$7:$G$50,RUNGIS!A20))+(COUNTIF('INSTANCE C2'!$G$7:$G$50,RUNGIS!A20))+(COUNTIF(INTERNES!$G$7:$G$50,RUNGIS!A20))+(COUNTIF('EN PANNE'!$G$7:$G$50,RUNGIS!A20))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EXPRESS'!$G$7:$G$50,RUNGIS!G20))+(COUNTIF('2 ZT'!$G$7:$G$50,RUNGIS!G20))+(COUNTIF('GO TRANSPORT'!$G$7:$G$50,RUNGIS!G20))+(COUNTIF('HMZ - KAIS'!$G$7:$G$50,RUNGIS!G20))+(COUNTIF('IB TRANSPORT'!$G$7:$G$50,RUNGIS!G20))+(COUNTIF(JSL!$G$7:$G$50,RUNGIS!G20))+(COUNTIF(KIFAITOUT!$G$7:$G$50,RUNGIS!G20))+(COUNTIF('LUXE DRIVE'!$G$7:$G$50,RUNGIS!G20))+(COUNTIF(SSN!$G$7:$G$50,RUNGIS!G20))+(COUNTIF('W3'!$G$7:$G$50,RUNGIS!G20))+(COUNTIF('ATHIS MONS'!$G$7:$G$50,RUNGIS!G20))+(COUNTIF('L HAY LES ROSES'!$G$7:$G$50,RUNGIS!G20))+(COUNTIF(RUNGIS!$G$7:$G$50,RUNGIS!G20))+(COUNTIF(SCEAUX!$G$7:$G$50,RUNGIS!G20))+(COUNTIF('INSTANCE C1'!$G$7:$G$50,RUNGIS!G20))+(COUNTIF('INSTANCE C2'!$G$7:$G$50,RUNGIS!G20))+(COUNTIF(INTERNES!$G$7:$G$50,RUNGIS!G20))+(COUNTIF('EN PANNE'!$G$7:$G$50,RUNGIS!G20))-I20</f>
        <v>0</v>
      </c>
      <c r="I20" s="23">
        <f>(COUNTIF('2S EXPRESS'!$A$7:$A$50,RUNGIS!G20))+(COUNTIF('2 ZT'!$A$7:$A$50,RUNGIS!G20))+(COUNTIF('GO TRANSPORT'!$A$7:$A$50,RUNGIS!G20))+(COUNTIF('HMZ - KAIS'!$A$7:$A$50,RUNGIS!G20))+(COUNTIF('IB TRANSPORT'!$A$7:$A$50,RUNGIS!G20))+(COUNTIF(JSL!$A$7:$A$50,RUNGIS!G20))+(COUNTIF(KIFAITOUT!$A$7:$A$50,RUNGIS!G20))+(COUNTIF('LUXE DRIVE'!$A$7:$A$50,RUNGIS!G20))+(COUNTIF(SSN!$A$7:$A$50,RUNGIS!G20))+(COUNTIF('W3'!$A$7:$A$50,RUNGIS!G20))+(COUNTIF('ATHIS MONS'!$A$7:$A$50,RUNGIS!G20))+(COUNTIF('L HAY LES ROSES'!$A$7:$A$50,RUNGIS!G20))+(COUNTIF(RUNGIS!$A$7:$A$50,RUNGIS!G20))+(COUNTIF(SCEAUX!$A$7:$A$50,RUNGIS!G20))+(COUNTIF('INSTANCE C1'!$A$7:$A$50,RUNGIS!G20))+(COUNTIF('INSTANCE C2'!$A$7:$A$50,RUNGIS!G20))+(COUNTIF(INTERNES!$A$7:$A$50,RUNGIS!G20))+(COUNTIF('EN PANNE'!$A$7:$A$50,RUNGIS!G20))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S20" s="60">
        <f t="shared" si="1"/>
        <v>0</v>
      </c>
      <c r="T20" s="67">
        <f t="shared" si="2"/>
        <v>0</v>
      </c>
    </row>
    <row r="21" spans="1:20" ht="24.95" customHeight="1" x14ac:dyDescent="0.2">
      <c r="A21" s="20"/>
      <c r="B21" s="23">
        <f>(COUNTIF('2S EXPRESS'!$A$7:$A$50,RUNGIS!A21))+(COUNTIF('2 ZT'!$A$7:$A$50,RUNGIS!A21))+(COUNTIF('GO TRANSPORT'!$A$7:$A$50,RUNGIS!A21))+(COUNTIF('HMZ - KAIS'!$A$7:$A$50,RUNGIS!A21))+(COUNTIF('IB TRANSPORT'!$A$7:$A$50,RUNGIS!A21))+(COUNTIF(JSL!$A$7:$A$50,RUNGIS!A21))+(COUNTIF(KIFAITOUT!$A$7:$A$50,RUNGIS!A21))+(COUNTIF('LUXE DRIVE'!$A$7:$A$50,RUNGIS!A21))+(COUNTIF(SSN!$A$7:$A$50,RUNGIS!A21))+(COUNTIF('W3'!$A$7:$A$50,RUNGIS!A21))+(COUNTIF('ATHIS MONS'!$A$7:$A$50,RUNGIS!A21))+(COUNTIF('L HAY LES ROSES'!$A$7:$A$50,RUNGIS!A21))+(COUNTIF(RUNGIS!$A$7:$A$50,RUNGIS!A21))+(COUNTIF(SCEAUX!$A$7:$A$50,RUNGIS!A21))+(COUNTIF('INSTANCE C1'!$A$7:$A$50,RUNGIS!A21))+(COUNTIF('INSTANCE C2'!$A$7:$A$50,RUNGIS!A21))+(COUNTIF(INTERNES!$A$7:$A$50,RUNGIS!A21))+(COUNTIF('EN PANNE'!$A$7:$A$50,RUNGIS!A21))-C21</f>
        <v>0</v>
      </c>
      <c r="C21" s="23">
        <f>(COUNTIF('2S EXPRESS'!$G$7:$G$50,RUNGIS!A21))+(COUNTIF('2 ZT'!$G$7:$G$50,RUNGIS!A21))+(COUNTIF('GO TRANSPORT'!$G$7:$G$50,RUNGIS!A21))+(COUNTIF(RUNGIS!$G$7:$G$50,RUNGIS!A21))+(COUNTIF('IB TRANSPORT'!$G$7:$G$50,RUNGIS!A21))+(COUNTIF(JSL!$G$7:$G$50,RUNGIS!A21))+(COUNTIF(KIFAITOUT!$G$7:$G$50,RUNGIS!A21))+(COUNTIF('LUXE DRIVE'!$G$7:$G$50,RUNGIS!A21))+(COUNTIF(SSN!$G$7:$G$50,RUNGIS!A21))+(COUNTIF('W3'!$G$7:$G$50,RUNGIS!A21))+(COUNTIF('ATHIS MONS'!$G$7:$G$50,RUNGIS!A21))+(COUNTIF('L HAY LES ROSES'!$G$7:$G$50,RUNGIS!A21))+(COUNTIF(RUNGIS!$G$7:$G$50,RUNGIS!A21))+(COUNTIF(SCEAUX!$G$7:$G$50,RUNGIS!A21))+(COUNTIF('INSTANCE C1'!$G$7:$G$50,RUNGIS!A21))+(COUNTIF('INSTANCE C2'!$G$7:$G$50,RUNGIS!A21))+(COUNTIF(INTERNES!$G$7:$G$50,RUNGIS!A21))+(COUNTIF('EN PANNE'!$G$7:$G$50,RUNGIS!A21))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EXPRESS'!$G$7:$G$50,RUNGIS!G21))+(COUNTIF('2 ZT'!$G$7:$G$50,RUNGIS!G21))+(COUNTIF('GO TRANSPORT'!$G$7:$G$50,RUNGIS!G21))+(COUNTIF('HMZ - KAIS'!$G$7:$G$50,RUNGIS!G21))+(COUNTIF('IB TRANSPORT'!$G$7:$G$50,RUNGIS!G21))+(COUNTIF(JSL!$G$7:$G$50,RUNGIS!G21))+(COUNTIF(KIFAITOUT!$G$7:$G$50,RUNGIS!G21))+(COUNTIF('LUXE DRIVE'!$G$7:$G$50,RUNGIS!G21))+(COUNTIF(SSN!$G$7:$G$50,RUNGIS!G21))+(COUNTIF('W3'!$G$7:$G$50,RUNGIS!G21))+(COUNTIF('ATHIS MONS'!$G$7:$G$50,RUNGIS!G21))+(COUNTIF('L HAY LES ROSES'!$G$7:$G$50,RUNGIS!G21))+(COUNTIF(RUNGIS!$G$7:$G$50,RUNGIS!G21))+(COUNTIF(SCEAUX!$G$7:$G$50,RUNGIS!G21))+(COUNTIF('INSTANCE C1'!$G$7:$G$50,RUNGIS!G21))+(COUNTIF('INSTANCE C2'!$G$7:$G$50,RUNGIS!G21))+(COUNTIF(INTERNES!$G$7:$G$50,RUNGIS!G21))+(COUNTIF('EN PANNE'!$G$7:$G$50,RUNGIS!G21))-I21</f>
        <v>0</v>
      </c>
      <c r="I21" s="23">
        <f>(COUNTIF('2S EXPRESS'!$A$7:$A$50,RUNGIS!G21))+(COUNTIF('2 ZT'!$A$7:$A$50,RUNGIS!G21))+(COUNTIF('GO TRANSPORT'!$A$7:$A$50,RUNGIS!G21))+(COUNTIF('HMZ - KAIS'!$A$7:$A$50,RUNGIS!G21))+(COUNTIF('IB TRANSPORT'!$A$7:$A$50,RUNGIS!G21))+(COUNTIF(JSL!$A$7:$A$50,RUNGIS!G21))+(COUNTIF(KIFAITOUT!$A$7:$A$50,RUNGIS!G21))+(COUNTIF('LUXE DRIVE'!$A$7:$A$50,RUNGIS!G21))+(COUNTIF(SSN!$A$7:$A$50,RUNGIS!G21))+(COUNTIF('W3'!$A$7:$A$50,RUNGIS!G21))+(COUNTIF('ATHIS MONS'!$A$7:$A$50,RUNGIS!G21))+(COUNTIF('L HAY LES ROSES'!$A$7:$A$50,RUNGIS!G21))+(COUNTIF(RUNGIS!$A$7:$A$50,RUNGIS!G21))+(COUNTIF(SCEAUX!$A$7:$A$50,RUNGIS!G21))+(COUNTIF('INSTANCE C1'!$A$7:$A$50,RUNGIS!G21))+(COUNTIF('INSTANCE C2'!$A$7:$A$50,RUNGIS!G21))+(COUNTIF(INTERNES!$A$7:$A$50,RUNGIS!G21))+(COUNTIF('EN PANNE'!$A$7:$A$50,RUNGIS!G21))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S21" s="60">
        <f t="shared" si="1"/>
        <v>0</v>
      </c>
      <c r="T21" s="67">
        <f t="shared" si="2"/>
        <v>0</v>
      </c>
    </row>
    <row r="22" spans="1:20" ht="24.95" customHeight="1" x14ac:dyDescent="0.2">
      <c r="A22" s="20"/>
      <c r="B22" s="23">
        <f>(COUNTIF('2S EXPRESS'!$A$7:$A$50,RUNGIS!A22))+(COUNTIF('2 ZT'!$A$7:$A$50,RUNGIS!A22))+(COUNTIF('GO TRANSPORT'!$A$7:$A$50,RUNGIS!A22))+(COUNTIF('HMZ - KAIS'!$A$7:$A$50,RUNGIS!A22))+(COUNTIF('IB TRANSPORT'!$A$7:$A$50,RUNGIS!A22))+(COUNTIF(JSL!$A$7:$A$50,RUNGIS!A22))+(COUNTIF(KIFAITOUT!$A$7:$A$50,RUNGIS!A22))+(COUNTIF('LUXE DRIVE'!$A$7:$A$50,RUNGIS!A22))+(COUNTIF(SSN!$A$7:$A$50,RUNGIS!A22))+(COUNTIF('W3'!$A$7:$A$50,RUNGIS!A22))+(COUNTIF('ATHIS MONS'!$A$7:$A$50,RUNGIS!A22))+(COUNTIF('L HAY LES ROSES'!$A$7:$A$50,RUNGIS!A22))+(COUNTIF(RUNGIS!$A$7:$A$50,RUNGIS!A22))+(COUNTIF(SCEAUX!$A$7:$A$50,RUNGIS!A22))+(COUNTIF('INSTANCE C1'!$A$7:$A$50,RUNGIS!A22))+(COUNTIF('INSTANCE C2'!$A$7:$A$50,RUNGIS!A22))+(COUNTIF(INTERNES!$A$7:$A$50,RUNGIS!A22))+(COUNTIF('EN PANNE'!$A$7:$A$50,RUNGIS!A22))-C22</f>
        <v>0</v>
      </c>
      <c r="C22" s="23">
        <f>(COUNTIF('2S EXPRESS'!$G$7:$G$50,RUNGIS!A22))+(COUNTIF('2 ZT'!$G$7:$G$50,RUNGIS!A22))+(COUNTIF('GO TRANSPORT'!$G$7:$G$50,RUNGIS!A22))+(COUNTIF(RUNGIS!$G$7:$G$50,RUNGIS!A22))+(COUNTIF('IB TRANSPORT'!$G$7:$G$50,RUNGIS!A22))+(COUNTIF(JSL!$G$7:$G$50,RUNGIS!A22))+(COUNTIF(KIFAITOUT!$G$7:$G$50,RUNGIS!A22))+(COUNTIF('LUXE DRIVE'!$G$7:$G$50,RUNGIS!A22))+(COUNTIF(SSN!$G$7:$G$50,RUNGIS!A22))+(COUNTIF('W3'!$G$7:$G$50,RUNGIS!A22))+(COUNTIF('ATHIS MONS'!$G$7:$G$50,RUNGIS!A22))+(COUNTIF('L HAY LES ROSES'!$G$7:$G$50,RUNGIS!A22))+(COUNTIF(RUNGIS!$G$7:$G$50,RUNGIS!A22))+(COUNTIF(SCEAUX!$G$7:$G$50,RUNGIS!A22))+(COUNTIF('INSTANCE C1'!$G$7:$G$50,RUNGIS!A22))+(COUNTIF('INSTANCE C2'!$G$7:$G$50,RUNGIS!A22))+(COUNTIF(INTERNES!$G$7:$G$50,RUNGIS!A22))+(COUNTIF('EN PANNE'!$G$7:$G$50,RUNGIS!A22))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EXPRESS'!$G$7:$G$50,RUNGIS!G22))+(COUNTIF('2 ZT'!$G$7:$G$50,RUNGIS!G22))+(COUNTIF('GO TRANSPORT'!$G$7:$G$50,RUNGIS!G22))+(COUNTIF('HMZ - KAIS'!$G$7:$G$50,RUNGIS!G22))+(COUNTIF('IB TRANSPORT'!$G$7:$G$50,RUNGIS!G22))+(COUNTIF(JSL!$G$7:$G$50,RUNGIS!G22))+(COUNTIF(KIFAITOUT!$G$7:$G$50,RUNGIS!G22))+(COUNTIF('LUXE DRIVE'!$G$7:$G$50,RUNGIS!G22))+(COUNTIF(SSN!$G$7:$G$50,RUNGIS!G22))+(COUNTIF('W3'!$G$7:$G$50,RUNGIS!G22))+(COUNTIF('ATHIS MONS'!$G$7:$G$50,RUNGIS!G22))+(COUNTIF('L HAY LES ROSES'!$G$7:$G$50,RUNGIS!G22))+(COUNTIF(RUNGIS!$G$7:$G$50,RUNGIS!G22))+(COUNTIF(SCEAUX!$G$7:$G$50,RUNGIS!G22))+(COUNTIF('INSTANCE C1'!$G$7:$G$50,RUNGIS!G22))+(COUNTIF('INSTANCE C2'!$G$7:$G$50,RUNGIS!G22))+(COUNTIF(INTERNES!$G$7:$G$50,RUNGIS!G22))+(COUNTIF('EN PANNE'!$G$7:$G$50,RUNGIS!G22))-I22</f>
        <v>0</v>
      </c>
      <c r="I22" s="23">
        <f>(COUNTIF('2S EXPRESS'!$A$7:$A$50,RUNGIS!G22))+(COUNTIF('2 ZT'!$A$7:$A$50,RUNGIS!G22))+(COUNTIF('GO TRANSPORT'!$A$7:$A$50,RUNGIS!G22))+(COUNTIF('HMZ - KAIS'!$A$7:$A$50,RUNGIS!G22))+(COUNTIF('IB TRANSPORT'!$A$7:$A$50,RUNGIS!G22))+(COUNTIF(JSL!$A$7:$A$50,RUNGIS!G22))+(COUNTIF(KIFAITOUT!$A$7:$A$50,RUNGIS!G22))+(COUNTIF('LUXE DRIVE'!$A$7:$A$50,RUNGIS!G22))+(COUNTIF(SSN!$A$7:$A$50,RUNGIS!G22))+(COUNTIF('W3'!$A$7:$A$50,RUNGIS!G22))+(COUNTIF('ATHIS MONS'!$A$7:$A$50,RUNGIS!G22))+(COUNTIF('L HAY LES ROSES'!$A$7:$A$50,RUNGIS!G22))+(COUNTIF(RUNGIS!$A$7:$A$50,RUNGIS!G22))+(COUNTIF(SCEAUX!$A$7:$A$50,RUNGIS!G22))+(COUNTIF('INSTANCE C1'!$A$7:$A$50,RUNGIS!G22))+(COUNTIF('INSTANCE C2'!$A$7:$A$50,RUNGIS!G22))+(COUNTIF(INTERNES!$A$7:$A$50,RUNGIS!G22))+(COUNTIF('EN PANNE'!$A$7:$A$50,RUNGIS!G22))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S22" s="60">
        <f t="shared" si="1"/>
        <v>0</v>
      </c>
      <c r="T22" s="67">
        <f t="shared" si="2"/>
        <v>0</v>
      </c>
    </row>
    <row r="23" spans="1:20" ht="24.95" customHeight="1" x14ac:dyDescent="0.2">
      <c r="A23" s="20"/>
      <c r="B23" s="23">
        <f>(COUNTIF('2S EXPRESS'!$A$7:$A$50,RUNGIS!A23))+(COUNTIF('2 ZT'!$A$7:$A$50,RUNGIS!A23))+(COUNTIF('GO TRANSPORT'!$A$7:$A$50,RUNGIS!A23))+(COUNTIF('HMZ - KAIS'!$A$7:$A$50,RUNGIS!A23))+(COUNTIF('IB TRANSPORT'!$A$7:$A$50,RUNGIS!A23))+(COUNTIF(JSL!$A$7:$A$50,RUNGIS!A23))+(COUNTIF(KIFAITOUT!$A$7:$A$50,RUNGIS!A23))+(COUNTIF('LUXE DRIVE'!$A$7:$A$50,RUNGIS!A23))+(COUNTIF(SSN!$A$7:$A$50,RUNGIS!A23))+(COUNTIF('W3'!$A$7:$A$50,RUNGIS!A23))+(COUNTIF('ATHIS MONS'!$A$7:$A$50,RUNGIS!A23))+(COUNTIF('L HAY LES ROSES'!$A$7:$A$50,RUNGIS!A23))+(COUNTIF(RUNGIS!$A$7:$A$50,RUNGIS!A23))+(COUNTIF(SCEAUX!$A$7:$A$50,RUNGIS!A23))+(COUNTIF('INSTANCE C1'!$A$7:$A$50,RUNGIS!A23))+(COUNTIF('INSTANCE C2'!$A$7:$A$50,RUNGIS!A23))+(COUNTIF(INTERNES!$A$7:$A$50,RUNGIS!A23))+(COUNTIF('EN PANNE'!$A$7:$A$50,RUNGIS!A23))-C23</f>
        <v>0</v>
      </c>
      <c r="C23" s="23">
        <f>(COUNTIF('2S EXPRESS'!$G$7:$G$50,RUNGIS!A23))+(COUNTIF('2 ZT'!$G$7:$G$50,RUNGIS!A23))+(COUNTIF('GO TRANSPORT'!$G$7:$G$50,RUNGIS!A23))+(COUNTIF(RUNGIS!$G$7:$G$50,RUNGIS!A23))+(COUNTIF('IB TRANSPORT'!$G$7:$G$50,RUNGIS!A23))+(COUNTIF(JSL!$G$7:$G$50,RUNGIS!A23))+(COUNTIF(KIFAITOUT!$G$7:$G$50,RUNGIS!A23))+(COUNTIF('LUXE DRIVE'!$G$7:$G$50,RUNGIS!A23))+(COUNTIF(SSN!$G$7:$G$50,RUNGIS!A23))+(COUNTIF('W3'!$G$7:$G$50,RUNGIS!A23))+(COUNTIF('ATHIS MONS'!$G$7:$G$50,RUNGIS!A23))+(COUNTIF('L HAY LES ROSES'!$G$7:$G$50,RUNGIS!A23))+(COUNTIF(RUNGIS!$G$7:$G$50,RUNGIS!A23))+(COUNTIF(SCEAUX!$G$7:$G$50,RUNGIS!A23))+(COUNTIF('INSTANCE C1'!$G$7:$G$50,RUNGIS!A23))+(COUNTIF('INSTANCE C2'!$G$7:$G$50,RUNGIS!A23))+(COUNTIF(INTERNES!$G$7:$G$50,RUNGIS!A23))+(COUNTIF('EN PANNE'!$G$7:$G$50,RUNGIS!A23))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EXPRESS'!$G$7:$G$50,RUNGIS!G23))+(COUNTIF('2 ZT'!$G$7:$G$50,RUNGIS!G23))+(COUNTIF('GO TRANSPORT'!$G$7:$G$50,RUNGIS!G23))+(COUNTIF('HMZ - KAIS'!$G$7:$G$50,RUNGIS!G23))+(COUNTIF('IB TRANSPORT'!$G$7:$G$50,RUNGIS!G23))+(COUNTIF(JSL!$G$7:$G$50,RUNGIS!G23))+(COUNTIF(KIFAITOUT!$G$7:$G$50,RUNGIS!G23))+(COUNTIF('LUXE DRIVE'!$G$7:$G$50,RUNGIS!G23))+(COUNTIF(SSN!$G$7:$G$50,RUNGIS!G23))+(COUNTIF('W3'!$G$7:$G$50,RUNGIS!G23))+(COUNTIF('ATHIS MONS'!$G$7:$G$50,RUNGIS!G23))+(COUNTIF('L HAY LES ROSES'!$G$7:$G$50,RUNGIS!G23))+(COUNTIF(RUNGIS!$G$7:$G$50,RUNGIS!G23))+(COUNTIF(SCEAUX!$G$7:$G$50,RUNGIS!G23))+(COUNTIF('INSTANCE C1'!$G$7:$G$50,RUNGIS!G23))+(COUNTIF('INSTANCE C2'!$G$7:$G$50,RUNGIS!G23))+(COUNTIF(INTERNES!$G$7:$G$50,RUNGIS!G23))+(COUNTIF('EN PANNE'!$G$7:$G$50,RUNGIS!G23))-I23</f>
        <v>0</v>
      </c>
      <c r="I23" s="23">
        <f>(COUNTIF('2S EXPRESS'!$A$7:$A$50,RUNGIS!G23))+(COUNTIF('2 ZT'!$A$7:$A$50,RUNGIS!G23))+(COUNTIF('GO TRANSPORT'!$A$7:$A$50,RUNGIS!G23))+(COUNTIF('HMZ - KAIS'!$A$7:$A$50,RUNGIS!G23))+(COUNTIF('IB TRANSPORT'!$A$7:$A$50,RUNGIS!G23))+(COUNTIF(JSL!$A$7:$A$50,RUNGIS!G23))+(COUNTIF(KIFAITOUT!$A$7:$A$50,RUNGIS!G23))+(COUNTIF('LUXE DRIVE'!$A$7:$A$50,RUNGIS!G23))+(COUNTIF(SSN!$A$7:$A$50,RUNGIS!G23))+(COUNTIF('W3'!$A$7:$A$50,RUNGIS!G23))+(COUNTIF('ATHIS MONS'!$A$7:$A$50,RUNGIS!G23))+(COUNTIF('L HAY LES ROSES'!$A$7:$A$50,RUNGIS!G23))+(COUNTIF(RUNGIS!$A$7:$A$50,RUNGIS!G23))+(COUNTIF(SCEAUX!$A$7:$A$50,RUNGIS!G23))+(COUNTIF('INSTANCE C1'!$A$7:$A$50,RUNGIS!G23))+(COUNTIF('INSTANCE C2'!$A$7:$A$50,RUNGIS!G23))+(COUNTIF(INTERNES!$A$7:$A$50,RUNGIS!G23))+(COUNTIF('EN PANNE'!$A$7:$A$50,RUNGIS!G23))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S23" s="60">
        <f t="shared" si="1"/>
        <v>0</v>
      </c>
      <c r="T23" s="67">
        <f t="shared" si="2"/>
        <v>0</v>
      </c>
    </row>
    <row r="24" spans="1:20" ht="24.95" customHeight="1" x14ac:dyDescent="0.2">
      <c r="A24" s="20"/>
      <c r="B24" s="23">
        <f>(COUNTIF('2S EXPRESS'!$A$7:$A$50,RUNGIS!A24))+(COUNTIF('2 ZT'!$A$7:$A$50,RUNGIS!A24))+(COUNTIF('GO TRANSPORT'!$A$7:$A$50,RUNGIS!A24))+(COUNTIF('HMZ - KAIS'!$A$7:$A$50,RUNGIS!A24))+(COUNTIF('IB TRANSPORT'!$A$7:$A$50,RUNGIS!A24))+(COUNTIF(JSL!$A$7:$A$50,RUNGIS!A24))+(COUNTIF(KIFAITOUT!$A$7:$A$50,RUNGIS!A24))+(COUNTIF('LUXE DRIVE'!$A$7:$A$50,RUNGIS!A24))+(COUNTIF(SSN!$A$7:$A$50,RUNGIS!A24))+(COUNTIF('W3'!$A$7:$A$50,RUNGIS!A24))+(COUNTIF('ATHIS MONS'!$A$7:$A$50,RUNGIS!A24))+(COUNTIF('L HAY LES ROSES'!$A$7:$A$50,RUNGIS!A24))+(COUNTIF(RUNGIS!$A$7:$A$50,RUNGIS!A24))+(COUNTIF(SCEAUX!$A$7:$A$50,RUNGIS!A24))+(COUNTIF('INSTANCE C1'!$A$7:$A$50,RUNGIS!A24))+(COUNTIF('INSTANCE C2'!$A$7:$A$50,RUNGIS!A24))+(COUNTIF(INTERNES!$A$7:$A$50,RUNGIS!A24))+(COUNTIF('EN PANNE'!$A$7:$A$50,RUNGIS!A24))-C24</f>
        <v>0</v>
      </c>
      <c r="C24" s="23">
        <f>(COUNTIF('2S EXPRESS'!$G$7:$G$50,RUNGIS!A24))+(COUNTIF('2 ZT'!$G$7:$G$50,RUNGIS!A24))+(COUNTIF('GO TRANSPORT'!$G$7:$G$50,RUNGIS!A24))+(COUNTIF(RUNGIS!$G$7:$G$50,RUNGIS!A24))+(COUNTIF('IB TRANSPORT'!$G$7:$G$50,RUNGIS!A24))+(COUNTIF(JSL!$G$7:$G$50,RUNGIS!A24))+(COUNTIF(KIFAITOUT!$G$7:$G$50,RUNGIS!A24))+(COUNTIF('LUXE DRIVE'!$G$7:$G$50,RUNGIS!A24))+(COUNTIF(SSN!$G$7:$G$50,RUNGIS!A24))+(COUNTIF('W3'!$G$7:$G$50,RUNGIS!A24))+(COUNTIF('ATHIS MONS'!$G$7:$G$50,RUNGIS!A24))+(COUNTIF('L HAY LES ROSES'!$G$7:$G$50,RUNGIS!A24))+(COUNTIF(RUNGIS!$G$7:$G$50,RUNGIS!A24))+(COUNTIF(SCEAUX!$G$7:$G$50,RUNGIS!A24))+(COUNTIF('INSTANCE C1'!$G$7:$G$50,RUNGIS!A24))+(COUNTIF('INSTANCE C2'!$G$7:$G$50,RUNGIS!A24))+(COUNTIF(INTERNES!$G$7:$G$50,RUNGIS!A24))+(COUNTIF('EN PANNE'!$G$7:$G$50,RUNGIS!A24))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EXPRESS'!$G$7:$G$50,RUNGIS!G24))+(COUNTIF('2 ZT'!$G$7:$G$50,RUNGIS!G24))+(COUNTIF('GO TRANSPORT'!$G$7:$G$50,RUNGIS!G24))+(COUNTIF('HMZ - KAIS'!$G$7:$G$50,RUNGIS!G24))+(COUNTIF('IB TRANSPORT'!$G$7:$G$50,RUNGIS!G24))+(COUNTIF(JSL!$G$7:$G$50,RUNGIS!G24))+(COUNTIF(KIFAITOUT!$G$7:$G$50,RUNGIS!G24))+(COUNTIF('LUXE DRIVE'!$G$7:$G$50,RUNGIS!G24))+(COUNTIF(SSN!$G$7:$G$50,RUNGIS!G24))+(COUNTIF('W3'!$G$7:$G$50,RUNGIS!G24))+(COUNTIF('ATHIS MONS'!$G$7:$G$50,RUNGIS!G24))+(COUNTIF('L HAY LES ROSES'!$G$7:$G$50,RUNGIS!G24))+(COUNTIF(RUNGIS!$G$7:$G$50,RUNGIS!G24))+(COUNTIF(SCEAUX!$G$7:$G$50,RUNGIS!G24))+(COUNTIF('INSTANCE C1'!$G$7:$G$50,RUNGIS!G24))+(COUNTIF('INSTANCE C2'!$G$7:$G$50,RUNGIS!G24))+(COUNTIF(INTERNES!$G$7:$G$50,RUNGIS!G24))+(COUNTIF('EN PANNE'!$G$7:$G$50,RUNGIS!G24))-I24</f>
        <v>0</v>
      </c>
      <c r="I24" s="23">
        <f>(COUNTIF('2S EXPRESS'!$A$7:$A$50,RUNGIS!G24))+(COUNTIF('2 ZT'!$A$7:$A$50,RUNGIS!G24))+(COUNTIF('GO TRANSPORT'!$A$7:$A$50,RUNGIS!G24))+(COUNTIF('HMZ - KAIS'!$A$7:$A$50,RUNGIS!G24))+(COUNTIF('IB TRANSPORT'!$A$7:$A$50,RUNGIS!G24))+(COUNTIF(JSL!$A$7:$A$50,RUNGIS!G24))+(COUNTIF(KIFAITOUT!$A$7:$A$50,RUNGIS!G24))+(COUNTIF('LUXE DRIVE'!$A$7:$A$50,RUNGIS!G24))+(COUNTIF(SSN!$A$7:$A$50,RUNGIS!G24))+(COUNTIF('W3'!$A$7:$A$50,RUNGIS!G24))+(COUNTIF('ATHIS MONS'!$A$7:$A$50,RUNGIS!G24))+(COUNTIF('L HAY LES ROSES'!$A$7:$A$50,RUNGIS!G24))+(COUNTIF(RUNGIS!$A$7:$A$50,RUNGIS!G24))+(COUNTIF(SCEAUX!$A$7:$A$50,RUNGIS!G24))+(COUNTIF('INSTANCE C1'!$A$7:$A$50,RUNGIS!G24))+(COUNTIF('INSTANCE C2'!$A$7:$A$50,RUNGIS!G24))+(COUNTIF(INTERNES!$A$7:$A$50,RUNGIS!G24))+(COUNTIF('EN PANNE'!$A$7:$A$50,RUNGIS!G24))</f>
        <v>0</v>
      </c>
      <c r="J24" s="28">
        <f t="shared" si="4"/>
        <v>0</v>
      </c>
      <c r="K24" s="2"/>
      <c r="L24" s="47"/>
      <c r="S24" s="60">
        <f t="shared" si="1"/>
        <v>0</v>
      </c>
      <c r="T24" s="67">
        <f t="shared" si="2"/>
        <v>0</v>
      </c>
    </row>
    <row r="25" spans="1:20" ht="24.95" customHeight="1" x14ac:dyDescent="0.2">
      <c r="A25" s="20"/>
      <c r="B25" s="23">
        <f>(COUNTIF('2S EXPRESS'!$A$7:$A$50,RUNGIS!A25))+(COUNTIF('2 ZT'!$A$7:$A$50,RUNGIS!A25))+(COUNTIF('GO TRANSPORT'!$A$7:$A$50,RUNGIS!A25))+(COUNTIF('HMZ - KAIS'!$A$7:$A$50,RUNGIS!A25))+(COUNTIF('IB TRANSPORT'!$A$7:$A$50,RUNGIS!A25))+(COUNTIF(JSL!$A$7:$A$50,RUNGIS!A25))+(COUNTIF(KIFAITOUT!$A$7:$A$50,RUNGIS!A25))+(COUNTIF('LUXE DRIVE'!$A$7:$A$50,RUNGIS!A25))+(COUNTIF(SSN!$A$7:$A$50,RUNGIS!A25))+(COUNTIF('W3'!$A$7:$A$50,RUNGIS!A25))+(COUNTIF('ATHIS MONS'!$A$7:$A$50,RUNGIS!A25))+(COUNTIF('L HAY LES ROSES'!$A$7:$A$50,RUNGIS!A25))+(COUNTIF(RUNGIS!$A$7:$A$50,RUNGIS!A25))+(COUNTIF(SCEAUX!$A$7:$A$50,RUNGIS!A25))+(COUNTIF('INSTANCE C1'!$A$7:$A$50,RUNGIS!A25))+(COUNTIF('INSTANCE C2'!$A$7:$A$50,RUNGIS!A25))+(COUNTIF(INTERNES!$A$7:$A$50,RUNGIS!A25))+(COUNTIF('EN PANNE'!$A$7:$A$50,RUNGIS!A25))-C25</f>
        <v>0</v>
      </c>
      <c r="C25" s="23">
        <f>(COUNTIF('2S EXPRESS'!$G$7:$G$50,RUNGIS!A25))+(COUNTIF('2 ZT'!$G$7:$G$50,RUNGIS!A25))+(COUNTIF('GO TRANSPORT'!$G$7:$G$50,RUNGIS!A25))+(COUNTIF(RUNGIS!$G$7:$G$50,RUNGIS!A25))+(COUNTIF('IB TRANSPORT'!$G$7:$G$50,RUNGIS!A25))+(COUNTIF(JSL!$G$7:$G$50,RUNGIS!A25))+(COUNTIF(KIFAITOUT!$G$7:$G$50,RUNGIS!A25))+(COUNTIF('LUXE DRIVE'!$G$7:$G$50,RUNGIS!A25))+(COUNTIF(SSN!$G$7:$G$50,RUNGIS!A25))+(COUNTIF('W3'!$G$7:$G$50,RUNGIS!A25))+(COUNTIF('ATHIS MONS'!$G$7:$G$50,RUNGIS!A25))+(COUNTIF('L HAY LES ROSES'!$G$7:$G$50,RUNGIS!A25))+(COUNTIF(RUNGIS!$G$7:$G$50,RUNGIS!A25))+(COUNTIF(SCEAUX!$G$7:$G$50,RUNGIS!A25))+(COUNTIF('INSTANCE C1'!$G$7:$G$50,RUNGIS!A25))+(COUNTIF('INSTANCE C2'!$G$7:$G$50,RUNGIS!A25))+(COUNTIF(INTERNES!$G$7:$G$50,RUNGIS!A25))+(COUNTIF('EN PANNE'!$G$7:$G$50,RUNGIS!A25))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EXPRESS'!$G$7:$G$50,RUNGIS!G25))+(COUNTIF('2 ZT'!$G$7:$G$50,RUNGIS!G25))+(COUNTIF('GO TRANSPORT'!$G$7:$G$50,RUNGIS!G25))+(COUNTIF('HMZ - KAIS'!$G$7:$G$50,RUNGIS!G25))+(COUNTIF('IB TRANSPORT'!$G$7:$G$50,RUNGIS!G25))+(COUNTIF(JSL!$G$7:$G$50,RUNGIS!G25))+(COUNTIF(KIFAITOUT!$G$7:$G$50,RUNGIS!G25))+(COUNTIF('LUXE DRIVE'!$G$7:$G$50,RUNGIS!G25))+(COUNTIF(SSN!$G$7:$G$50,RUNGIS!G25))+(COUNTIF('W3'!$G$7:$G$50,RUNGIS!G25))+(COUNTIF('ATHIS MONS'!$G$7:$G$50,RUNGIS!G25))+(COUNTIF('L HAY LES ROSES'!$G$7:$G$50,RUNGIS!G25))+(COUNTIF(RUNGIS!$G$7:$G$50,RUNGIS!G25))+(COUNTIF(SCEAUX!$G$7:$G$50,RUNGIS!G25))+(COUNTIF('INSTANCE C1'!$G$7:$G$50,RUNGIS!G25))+(COUNTIF('INSTANCE C2'!$G$7:$G$50,RUNGIS!G25))+(COUNTIF(INTERNES!$G$7:$G$50,RUNGIS!G25))+(COUNTIF('EN PANNE'!$G$7:$G$50,RUNGIS!G25))-I25</f>
        <v>0</v>
      </c>
      <c r="I25" s="23">
        <f>(COUNTIF('2S EXPRESS'!$A$7:$A$50,RUNGIS!G25))+(COUNTIF('2 ZT'!$A$7:$A$50,RUNGIS!G25))+(COUNTIF('GO TRANSPORT'!$A$7:$A$50,RUNGIS!G25))+(COUNTIF('HMZ - KAIS'!$A$7:$A$50,RUNGIS!G25))+(COUNTIF('IB TRANSPORT'!$A$7:$A$50,RUNGIS!G25))+(COUNTIF(JSL!$A$7:$A$50,RUNGIS!G25))+(COUNTIF(KIFAITOUT!$A$7:$A$50,RUNGIS!G25))+(COUNTIF('LUXE DRIVE'!$A$7:$A$50,RUNGIS!G25))+(COUNTIF(SSN!$A$7:$A$50,RUNGIS!G25))+(COUNTIF('W3'!$A$7:$A$50,RUNGIS!G25))+(COUNTIF('ATHIS MONS'!$A$7:$A$50,RUNGIS!G25))+(COUNTIF('L HAY LES ROSES'!$A$7:$A$50,RUNGIS!G25))+(COUNTIF(RUNGIS!$A$7:$A$50,RUNGIS!G25))+(COUNTIF(SCEAUX!$A$7:$A$50,RUNGIS!G25))+(COUNTIF('INSTANCE C1'!$A$7:$A$50,RUNGIS!G25))+(COUNTIF('INSTANCE C2'!$A$7:$A$50,RUNGIS!G25))+(COUNTIF(INTERNES!$A$7:$A$50,RUNGIS!G25))+(COUNTIF('EN PANNE'!$A$7:$A$50,RUNGIS!G25))</f>
        <v>0</v>
      </c>
      <c r="J25" s="28">
        <f t="shared" si="4"/>
        <v>0</v>
      </c>
      <c r="K25" s="2"/>
      <c r="L25" s="47"/>
      <c r="S25" s="60">
        <f t="shared" si="1"/>
        <v>0</v>
      </c>
      <c r="T25" s="67">
        <f t="shared" si="2"/>
        <v>0</v>
      </c>
    </row>
    <row r="26" spans="1:20" ht="24.95" customHeight="1" x14ac:dyDescent="0.2">
      <c r="A26" s="20"/>
      <c r="B26" s="23">
        <f>(COUNTIF('2S EXPRESS'!$A$7:$A$50,RUNGIS!A26))+(COUNTIF('2 ZT'!$A$7:$A$50,RUNGIS!A26))+(COUNTIF('GO TRANSPORT'!$A$7:$A$50,RUNGIS!A26))+(COUNTIF('HMZ - KAIS'!$A$7:$A$50,RUNGIS!A26))+(COUNTIF('IB TRANSPORT'!$A$7:$A$50,RUNGIS!A26))+(COUNTIF(JSL!$A$7:$A$50,RUNGIS!A26))+(COUNTIF(KIFAITOUT!$A$7:$A$50,RUNGIS!A26))+(COUNTIF('LUXE DRIVE'!$A$7:$A$50,RUNGIS!A26))+(COUNTIF(SSN!$A$7:$A$50,RUNGIS!A26))+(COUNTIF('W3'!$A$7:$A$50,RUNGIS!A26))+(COUNTIF('ATHIS MONS'!$A$7:$A$50,RUNGIS!A26))+(COUNTIF('L HAY LES ROSES'!$A$7:$A$50,RUNGIS!A26))+(COUNTIF(RUNGIS!$A$7:$A$50,RUNGIS!A26))+(COUNTIF(SCEAUX!$A$7:$A$50,RUNGIS!A26))+(COUNTIF('INSTANCE C1'!$A$7:$A$50,RUNGIS!A26))+(COUNTIF('INSTANCE C2'!$A$7:$A$50,RUNGIS!A26))+(COUNTIF(INTERNES!$A$7:$A$50,RUNGIS!A26))+(COUNTIF('EN PANNE'!$A$7:$A$50,RUNGIS!A26))-C26</f>
        <v>0</v>
      </c>
      <c r="C26" s="23">
        <f>(COUNTIF('2S EXPRESS'!$G$7:$G$50,RUNGIS!A26))+(COUNTIF('2 ZT'!$G$7:$G$50,RUNGIS!A26))+(COUNTIF('GO TRANSPORT'!$G$7:$G$50,RUNGIS!A26))+(COUNTIF(RUNGIS!$G$7:$G$50,RUNGIS!A26))+(COUNTIF('IB TRANSPORT'!$G$7:$G$50,RUNGIS!A26))+(COUNTIF(JSL!$G$7:$G$50,RUNGIS!A26))+(COUNTIF(KIFAITOUT!$G$7:$G$50,RUNGIS!A26))+(COUNTIF('LUXE DRIVE'!$G$7:$G$50,RUNGIS!A26))+(COUNTIF(SSN!$G$7:$G$50,RUNGIS!A26))+(COUNTIF('W3'!$G$7:$G$50,RUNGIS!A26))+(COUNTIF('ATHIS MONS'!$G$7:$G$50,RUNGIS!A26))+(COUNTIF('L HAY LES ROSES'!$G$7:$G$50,RUNGIS!A26))+(COUNTIF(RUNGIS!$G$7:$G$50,RUNGIS!A26))+(COUNTIF(SCEAUX!$G$7:$G$50,RUNGIS!A26))+(COUNTIF('INSTANCE C1'!$G$7:$G$50,RUNGIS!A26))+(COUNTIF('INSTANCE C2'!$G$7:$G$50,RUNGIS!A26))+(COUNTIF(INTERNES!$G$7:$G$50,RUNGIS!A26))+(COUNTIF('EN PANNE'!$G$7:$G$50,RUNGIS!A26))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EXPRESS'!$G$7:$G$50,RUNGIS!G26))+(COUNTIF('2 ZT'!$G$7:$G$50,RUNGIS!G26))+(COUNTIF('GO TRANSPORT'!$G$7:$G$50,RUNGIS!G26))+(COUNTIF('HMZ - KAIS'!$G$7:$G$50,RUNGIS!G26))+(COUNTIF('IB TRANSPORT'!$G$7:$G$50,RUNGIS!G26))+(COUNTIF(JSL!$G$7:$G$50,RUNGIS!G26))+(COUNTIF(KIFAITOUT!$G$7:$G$50,RUNGIS!G26))+(COUNTIF('LUXE DRIVE'!$G$7:$G$50,RUNGIS!G26))+(COUNTIF(SSN!$G$7:$G$50,RUNGIS!G26))+(COUNTIF('W3'!$G$7:$G$50,RUNGIS!G26))+(COUNTIF('ATHIS MONS'!$G$7:$G$50,RUNGIS!G26))+(COUNTIF('L HAY LES ROSES'!$G$7:$G$50,RUNGIS!G26))+(COUNTIF(RUNGIS!$G$7:$G$50,RUNGIS!G26))+(COUNTIF(SCEAUX!$G$7:$G$50,RUNGIS!G26))+(COUNTIF('INSTANCE C1'!$G$7:$G$50,RUNGIS!G26))+(COUNTIF('INSTANCE C2'!$G$7:$G$50,RUNGIS!G26))+(COUNTIF(INTERNES!$G$7:$G$50,RUNGIS!G26))+(COUNTIF('EN PANNE'!$G$7:$G$50,RUNGIS!G26))-I26</f>
        <v>0</v>
      </c>
      <c r="I26" s="23">
        <f>(COUNTIF('2S EXPRESS'!$A$7:$A$50,RUNGIS!G26))+(COUNTIF('2 ZT'!$A$7:$A$50,RUNGIS!G26))+(COUNTIF('GO TRANSPORT'!$A$7:$A$50,RUNGIS!G26))+(COUNTIF('HMZ - KAIS'!$A$7:$A$50,RUNGIS!G26))+(COUNTIF('IB TRANSPORT'!$A$7:$A$50,RUNGIS!G26))+(COUNTIF(JSL!$A$7:$A$50,RUNGIS!G26))+(COUNTIF(KIFAITOUT!$A$7:$A$50,RUNGIS!G26))+(COUNTIF('LUXE DRIVE'!$A$7:$A$50,RUNGIS!G26))+(COUNTIF(SSN!$A$7:$A$50,RUNGIS!G26))+(COUNTIF('W3'!$A$7:$A$50,RUNGIS!G26))+(COUNTIF('ATHIS MONS'!$A$7:$A$50,RUNGIS!G26))+(COUNTIF('L HAY LES ROSES'!$A$7:$A$50,RUNGIS!G26))+(COUNTIF(RUNGIS!$A$7:$A$50,RUNGIS!G26))+(COUNTIF(SCEAUX!$A$7:$A$50,RUNGIS!G26))+(COUNTIF('INSTANCE C1'!$A$7:$A$50,RUNGIS!G26))+(COUNTIF('INSTANCE C2'!$A$7:$A$50,RUNGIS!G26))+(COUNTIF(INTERNES!$A$7:$A$50,RUNGIS!G26))+(COUNTIF('EN PANNE'!$A$7:$A$50,RUNGIS!G26))</f>
        <v>0</v>
      </c>
      <c r="J26" s="28">
        <f t="shared" si="4"/>
        <v>0</v>
      </c>
      <c r="K26" s="2"/>
      <c r="L26" s="47"/>
      <c r="S26" s="60">
        <f t="shared" si="1"/>
        <v>0</v>
      </c>
      <c r="T26" s="67">
        <f t="shared" si="2"/>
        <v>0</v>
      </c>
    </row>
    <row r="27" spans="1:20" ht="24.95" customHeight="1" x14ac:dyDescent="0.2">
      <c r="A27" s="20"/>
      <c r="B27" s="23">
        <f>(COUNTIF('2S EXPRESS'!$A$7:$A$50,RUNGIS!A27))+(COUNTIF('2 ZT'!$A$7:$A$50,RUNGIS!A27))+(COUNTIF('GO TRANSPORT'!$A$7:$A$50,RUNGIS!A27))+(COUNTIF('HMZ - KAIS'!$A$7:$A$50,RUNGIS!A27))+(COUNTIF('IB TRANSPORT'!$A$7:$A$50,RUNGIS!A27))+(COUNTIF(JSL!$A$7:$A$50,RUNGIS!A27))+(COUNTIF(KIFAITOUT!$A$7:$A$50,RUNGIS!A27))+(COUNTIF('LUXE DRIVE'!$A$7:$A$50,RUNGIS!A27))+(COUNTIF(SSN!$A$7:$A$50,RUNGIS!A27))+(COUNTIF('W3'!$A$7:$A$50,RUNGIS!A27))+(COUNTIF('ATHIS MONS'!$A$7:$A$50,RUNGIS!A27))+(COUNTIF('L HAY LES ROSES'!$A$7:$A$50,RUNGIS!A27))+(COUNTIF(RUNGIS!$A$7:$A$50,RUNGIS!A27))+(COUNTIF(SCEAUX!$A$7:$A$50,RUNGIS!A27))+(COUNTIF('INSTANCE C1'!$A$7:$A$50,RUNGIS!A27))+(COUNTIF('INSTANCE C2'!$A$7:$A$50,RUNGIS!A27))+(COUNTIF(INTERNES!$A$7:$A$50,RUNGIS!A27))+(COUNTIF('EN PANNE'!$A$7:$A$50,RUNGIS!A27))-C27</f>
        <v>0</v>
      </c>
      <c r="C27" s="23">
        <f>(COUNTIF('2S EXPRESS'!$G$7:$G$50,RUNGIS!A27))+(COUNTIF('2 ZT'!$G$7:$G$50,RUNGIS!A27))+(COUNTIF('GO TRANSPORT'!$G$7:$G$50,RUNGIS!A27))+(COUNTIF(RUNGIS!$G$7:$G$50,RUNGIS!A27))+(COUNTIF('IB TRANSPORT'!$G$7:$G$50,RUNGIS!A27))+(COUNTIF(JSL!$G$7:$G$50,RUNGIS!A27))+(COUNTIF(KIFAITOUT!$G$7:$G$50,RUNGIS!A27))+(COUNTIF('LUXE DRIVE'!$G$7:$G$50,RUNGIS!A27))+(COUNTIF(SSN!$G$7:$G$50,RUNGIS!A27))+(COUNTIF('W3'!$G$7:$G$50,RUNGIS!A27))+(COUNTIF('ATHIS MONS'!$G$7:$G$50,RUNGIS!A27))+(COUNTIF('L HAY LES ROSES'!$G$7:$G$50,RUNGIS!A27))+(COUNTIF(RUNGIS!$G$7:$G$50,RUNGIS!A27))+(COUNTIF(SCEAUX!$G$7:$G$50,RUNGIS!A27))+(COUNTIF('INSTANCE C1'!$G$7:$G$50,RUNGIS!A27))+(COUNTIF('INSTANCE C2'!$G$7:$G$50,RUNGIS!A27))+(COUNTIF(INTERNES!$G$7:$G$50,RUNGIS!A27))+(COUNTIF('EN PANNE'!$G$7:$G$50,RUNGIS!A27))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EXPRESS'!$G$7:$G$50,RUNGIS!G27))+(COUNTIF('2 ZT'!$G$7:$G$50,RUNGIS!G27))+(COUNTIF('GO TRANSPORT'!$G$7:$G$50,RUNGIS!G27))+(COUNTIF('HMZ - KAIS'!$G$7:$G$50,RUNGIS!G27))+(COUNTIF('IB TRANSPORT'!$G$7:$G$50,RUNGIS!G27))+(COUNTIF(JSL!$G$7:$G$50,RUNGIS!G27))+(COUNTIF(KIFAITOUT!$G$7:$G$50,RUNGIS!G27))+(COUNTIF('LUXE DRIVE'!$G$7:$G$50,RUNGIS!G27))+(COUNTIF(SSN!$G$7:$G$50,RUNGIS!G27))+(COUNTIF('W3'!$G$7:$G$50,RUNGIS!G27))+(COUNTIF('ATHIS MONS'!$G$7:$G$50,RUNGIS!G27))+(COUNTIF('L HAY LES ROSES'!$G$7:$G$50,RUNGIS!G27))+(COUNTIF(RUNGIS!$G$7:$G$50,RUNGIS!G27))+(COUNTIF(SCEAUX!$G$7:$G$50,RUNGIS!G27))+(COUNTIF('INSTANCE C1'!$G$7:$G$50,RUNGIS!G27))+(COUNTIF('INSTANCE C2'!$G$7:$G$50,RUNGIS!G27))+(COUNTIF(INTERNES!$G$7:$G$50,RUNGIS!G27))+(COUNTIF('EN PANNE'!$G$7:$G$50,RUNGIS!G27))-I27</f>
        <v>0</v>
      </c>
      <c r="I27" s="23">
        <f>(COUNTIF('2S EXPRESS'!$A$7:$A$50,RUNGIS!G27))+(COUNTIF('2 ZT'!$A$7:$A$50,RUNGIS!G27))+(COUNTIF('GO TRANSPORT'!$A$7:$A$50,RUNGIS!G27))+(COUNTIF('HMZ - KAIS'!$A$7:$A$50,RUNGIS!G27))+(COUNTIF('IB TRANSPORT'!$A$7:$A$50,RUNGIS!G27))+(COUNTIF(JSL!$A$7:$A$50,RUNGIS!G27))+(COUNTIF(KIFAITOUT!$A$7:$A$50,RUNGIS!G27))+(COUNTIF('LUXE DRIVE'!$A$7:$A$50,RUNGIS!G27))+(COUNTIF(SSN!$A$7:$A$50,RUNGIS!G27))+(COUNTIF('W3'!$A$7:$A$50,RUNGIS!G27))+(COUNTIF('ATHIS MONS'!$A$7:$A$50,RUNGIS!G27))+(COUNTIF('L HAY LES ROSES'!$A$7:$A$50,RUNGIS!G27))+(COUNTIF(RUNGIS!$A$7:$A$50,RUNGIS!G27))+(COUNTIF(SCEAUX!$A$7:$A$50,RUNGIS!G27))+(COUNTIF('INSTANCE C1'!$A$7:$A$50,RUNGIS!G27))+(COUNTIF('INSTANCE C2'!$A$7:$A$50,RUNGIS!G27))+(COUNTIF(INTERNES!$A$7:$A$50,RUNGIS!G27))+(COUNTIF('EN PANNE'!$A$7:$A$50,RUNGIS!G27))</f>
        <v>0</v>
      </c>
      <c r="J27" s="28">
        <f t="shared" si="4"/>
        <v>0</v>
      </c>
      <c r="K27" s="2"/>
      <c r="L27" s="47"/>
      <c r="S27" s="60">
        <f t="shared" si="1"/>
        <v>0</v>
      </c>
      <c r="T27" s="67">
        <f t="shared" si="2"/>
        <v>0</v>
      </c>
    </row>
    <row r="28" spans="1:20" ht="24.95" customHeight="1" x14ac:dyDescent="0.2">
      <c r="A28" s="20"/>
      <c r="B28" s="23">
        <f>(COUNTIF('2S EXPRESS'!$A$7:$A$50,RUNGIS!A28))+(COUNTIF('2 ZT'!$A$7:$A$50,RUNGIS!A28))+(COUNTIF('GO TRANSPORT'!$A$7:$A$50,RUNGIS!A28))+(COUNTIF('HMZ - KAIS'!$A$7:$A$50,RUNGIS!A28))+(COUNTIF('IB TRANSPORT'!$A$7:$A$50,RUNGIS!A28))+(COUNTIF(JSL!$A$7:$A$50,RUNGIS!A28))+(COUNTIF(KIFAITOUT!$A$7:$A$50,RUNGIS!A28))+(COUNTIF('LUXE DRIVE'!$A$7:$A$50,RUNGIS!A28))+(COUNTIF(SSN!$A$7:$A$50,RUNGIS!A28))+(COUNTIF('W3'!$A$7:$A$50,RUNGIS!A28))+(COUNTIF('ATHIS MONS'!$A$7:$A$50,RUNGIS!A28))+(COUNTIF('L HAY LES ROSES'!$A$7:$A$50,RUNGIS!A28))+(COUNTIF(RUNGIS!$A$7:$A$50,RUNGIS!A28))+(COUNTIF(SCEAUX!$A$7:$A$50,RUNGIS!A28))+(COUNTIF('INSTANCE C1'!$A$7:$A$50,RUNGIS!A28))+(COUNTIF('INSTANCE C2'!$A$7:$A$50,RUNGIS!A28))+(COUNTIF(INTERNES!$A$7:$A$50,RUNGIS!A28))+(COUNTIF('EN PANNE'!$A$7:$A$50,RUNGIS!A28))-C28</f>
        <v>0</v>
      </c>
      <c r="C28" s="23">
        <f>(COUNTIF('2S EXPRESS'!$G$7:$G$50,RUNGIS!A28))+(COUNTIF('2 ZT'!$G$7:$G$50,RUNGIS!A28))+(COUNTIF('GO TRANSPORT'!$G$7:$G$50,RUNGIS!A28))+(COUNTIF(RUNGIS!$G$7:$G$50,RUNGIS!A28))+(COUNTIF('IB TRANSPORT'!$G$7:$G$50,RUNGIS!A28))+(COUNTIF(JSL!$G$7:$G$50,RUNGIS!A28))+(COUNTIF(KIFAITOUT!$G$7:$G$50,RUNGIS!A28))+(COUNTIF('LUXE DRIVE'!$G$7:$G$50,RUNGIS!A28))+(COUNTIF(SSN!$G$7:$G$50,RUNGIS!A28))+(COUNTIF('W3'!$G$7:$G$50,RUNGIS!A28))+(COUNTIF('ATHIS MONS'!$G$7:$G$50,RUNGIS!A28))+(COUNTIF('L HAY LES ROSES'!$G$7:$G$50,RUNGIS!A28))+(COUNTIF(RUNGIS!$G$7:$G$50,RUNGIS!A28))+(COUNTIF(SCEAUX!$G$7:$G$50,RUNGIS!A28))+(COUNTIF('INSTANCE C1'!$G$7:$G$50,RUNGIS!A28))+(COUNTIF('INSTANCE C2'!$G$7:$G$50,RUNGIS!A28))+(COUNTIF(INTERNES!$G$7:$G$50,RUNGIS!A28))+(COUNTIF('EN PANNE'!$G$7:$G$50,RUNGIS!A28))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EXPRESS'!$G$7:$G$50,RUNGIS!G28))+(COUNTIF('2 ZT'!$G$7:$G$50,RUNGIS!G28))+(COUNTIF('GO TRANSPORT'!$G$7:$G$50,RUNGIS!G28))+(COUNTIF('HMZ - KAIS'!$G$7:$G$50,RUNGIS!G28))+(COUNTIF('IB TRANSPORT'!$G$7:$G$50,RUNGIS!G28))+(COUNTIF(JSL!$G$7:$G$50,RUNGIS!G28))+(COUNTIF(KIFAITOUT!$G$7:$G$50,RUNGIS!G28))+(COUNTIF('LUXE DRIVE'!$G$7:$G$50,RUNGIS!G28))+(COUNTIF(SSN!$G$7:$G$50,RUNGIS!G28))+(COUNTIF('W3'!$G$7:$G$50,RUNGIS!G28))+(COUNTIF('ATHIS MONS'!$G$7:$G$50,RUNGIS!G28))+(COUNTIF('L HAY LES ROSES'!$G$7:$G$50,RUNGIS!G28))+(COUNTIF(RUNGIS!$G$7:$G$50,RUNGIS!G28))+(COUNTIF(SCEAUX!$G$7:$G$50,RUNGIS!G28))+(COUNTIF('INSTANCE C1'!$G$7:$G$50,RUNGIS!G28))+(COUNTIF('INSTANCE C2'!$G$7:$G$50,RUNGIS!G28))+(COUNTIF(INTERNES!$G$7:$G$50,RUNGIS!G28))+(COUNTIF('EN PANNE'!$G$7:$G$50,RUNGIS!G28))-I28</f>
        <v>0</v>
      </c>
      <c r="I28" s="23">
        <f>(COUNTIF('2S EXPRESS'!$A$7:$A$50,RUNGIS!G28))+(COUNTIF('2 ZT'!$A$7:$A$50,RUNGIS!G28))+(COUNTIF('GO TRANSPORT'!$A$7:$A$50,RUNGIS!G28))+(COUNTIF('HMZ - KAIS'!$A$7:$A$50,RUNGIS!G28))+(COUNTIF('IB TRANSPORT'!$A$7:$A$50,RUNGIS!G28))+(COUNTIF(JSL!$A$7:$A$50,RUNGIS!G28))+(COUNTIF(KIFAITOUT!$A$7:$A$50,RUNGIS!G28))+(COUNTIF('LUXE DRIVE'!$A$7:$A$50,RUNGIS!G28))+(COUNTIF(SSN!$A$7:$A$50,RUNGIS!G28))+(COUNTIF('W3'!$A$7:$A$50,RUNGIS!G28))+(COUNTIF('ATHIS MONS'!$A$7:$A$50,RUNGIS!G28))+(COUNTIF('L HAY LES ROSES'!$A$7:$A$50,RUNGIS!G28))+(COUNTIF(RUNGIS!$A$7:$A$50,RUNGIS!G28))+(COUNTIF(SCEAUX!$A$7:$A$50,RUNGIS!G28))+(COUNTIF('INSTANCE C1'!$A$7:$A$50,RUNGIS!G28))+(COUNTIF('INSTANCE C2'!$A$7:$A$50,RUNGIS!G28))+(COUNTIF(INTERNES!$A$7:$A$50,RUNGIS!G28))+(COUNTIF('EN PANNE'!$A$7:$A$50,RUNGIS!G28))</f>
        <v>0</v>
      </c>
      <c r="J28" s="28">
        <f t="shared" si="4"/>
        <v>0</v>
      </c>
      <c r="K28" s="2"/>
      <c r="L28" s="47"/>
      <c r="S28" s="60">
        <f t="shared" si="1"/>
        <v>0</v>
      </c>
      <c r="T28" s="67">
        <f t="shared" si="2"/>
        <v>0</v>
      </c>
    </row>
    <row r="29" spans="1:20" ht="24.95" customHeight="1" x14ac:dyDescent="0.2">
      <c r="A29" s="20"/>
      <c r="B29" s="23">
        <f>(COUNTIF('2S EXPRESS'!$A$7:$A$50,RUNGIS!A29))+(COUNTIF('2 ZT'!$A$7:$A$50,RUNGIS!A29))+(COUNTIF('GO TRANSPORT'!$A$7:$A$50,RUNGIS!A29))+(COUNTIF('HMZ - KAIS'!$A$7:$A$50,RUNGIS!A29))+(COUNTIF('IB TRANSPORT'!$A$7:$A$50,RUNGIS!A29))+(COUNTIF(JSL!$A$7:$A$50,RUNGIS!A29))+(COUNTIF(KIFAITOUT!$A$7:$A$50,RUNGIS!A29))+(COUNTIF('LUXE DRIVE'!$A$7:$A$50,RUNGIS!A29))+(COUNTIF(SSN!$A$7:$A$50,RUNGIS!A29))+(COUNTIF('W3'!$A$7:$A$50,RUNGIS!A29))+(COUNTIF('ATHIS MONS'!$A$7:$A$50,RUNGIS!A29))+(COUNTIF('L HAY LES ROSES'!$A$7:$A$50,RUNGIS!A29))+(COUNTIF(RUNGIS!$A$7:$A$50,RUNGIS!A29))+(COUNTIF(SCEAUX!$A$7:$A$50,RUNGIS!A29))+(COUNTIF('INSTANCE C1'!$A$7:$A$50,RUNGIS!A29))+(COUNTIF('INSTANCE C2'!$A$7:$A$50,RUNGIS!A29))+(COUNTIF(INTERNES!$A$7:$A$50,RUNGIS!A29))+(COUNTIF('EN PANNE'!$A$7:$A$50,RUNGIS!A29))-C29</f>
        <v>0</v>
      </c>
      <c r="C29" s="23">
        <f>(COUNTIF('2S EXPRESS'!$G$7:$G$50,RUNGIS!A29))+(COUNTIF('2 ZT'!$G$7:$G$50,RUNGIS!A29))+(COUNTIF('GO TRANSPORT'!$G$7:$G$50,RUNGIS!A29))+(COUNTIF(RUNGIS!$G$7:$G$50,RUNGIS!A29))+(COUNTIF('IB TRANSPORT'!$G$7:$G$50,RUNGIS!A29))+(COUNTIF(JSL!$G$7:$G$50,RUNGIS!A29))+(COUNTIF(KIFAITOUT!$G$7:$G$50,RUNGIS!A29))+(COUNTIF('LUXE DRIVE'!$G$7:$G$50,RUNGIS!A29))+(COUNTIF(SSN!$G$7:$G$50,RUNGIS!A29))+(COUNTIF('W3'!$G$7:$G$50,RUNGIS!A29))+(COUNTIF('ATHIS MONS'!$G$7:$G$50,RUNGIS!A29))+(COUNTIF('L HAY LES ROSES'!$G$7:$G$50,RUNGIS!A29))+(COUNTIF(RUNGIS!$G$7:$G$50,RUNGIS!A29))+(COUNTIF(SCEAUX!$G$7:$G$50,RUNGIS!A29))+(COUNTIF('INSTANCE C1'!$G$7:$G$50,RUNGIS!A29))+(COUNTIF('INSTANCE C2'!$G$7:$G$50,RUNGIS!A29))+(COUNTIF(INTERNES!$G$7:$G$50,RUNGIS!A29))+(COUNTIF('EN PANNE'!$G$7:$G$50,RUNGIS!A29))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EXPRESS'!$G$7:$G$50,RUNGIS!G29))+(COUNTIF('2 ZT'!$G$7:$G$50,RUNGIS!G29))+(COUNTIF('GO TRANSPORT'!$G$7:$G$50,RUNGIS!G29))+(COUNTIF('HMZ - KAIS'!$G$7:$G$50,RUNGIS!G29))+(COUNTIF('IB TRANSPORT'!$G$7:$G$50,RUNGIS!G29))+(COUNTIF(JSL!$G$7:$G$50,RUNGIS!G29))+(COUNTIF(KIFAITOUT!$G$7:$G$50,RUNGIS!G29))+(COUNTIF('LUXE DRIVE'!$G$7:$G$50,RUNGIS!G29))+(COUNTIF(SSN!$G$7:$G$50,RUNGIS!G29))+(COUNTIF('W3'!$G$7:$G$50,RUNGIS!G29))+(COUNTIF('ATHIS MONS'!$G$7:$G$50,RUNGIS!G29))+(COUNTIF('L HAY LES ROSES'!$G$7:$G$50,RUNGIS!G29))+(COUNTIF(RUNGIS!$G$7:$G$50,RUNGIS!G29))+(COUNTIF(SCEAUX!$G$7:$G$50,RUNGIS!G29))+(COUNTIF('INSTANCE C1'!$G$7:$G$50,RUNGIS!G29))+(COUNTIF('INSTANCE C2'!$G$7:$G$50,RUNGIS!G29))+(COUNTIF(INTERNES!$G$7:$G$50,RUNGIS!G29))+(COUNTIF('EN PANNE'!$G$7:$G$50,RUNGIS!G29))-I29</f>
        <v>0</v>
      </c>
      <c r="I29" s="23">
        <f>(COUNTIF('2S EXPRESS'!$A$7:$A$50,RUNGIS!G29))+(COUNTIF('2 ZT'!$A$7:$A$50,RUNGIS!G29))+(COUNTIF('GO TRANSPORT'!$A$7:$A$50,RUNGIS!G29))+(COUNTIF('HMZ - KAIS'!$A$7:$A$50,RUNGIS!G29))+(COUNTIF('IB TRANSPORT'!$A$7:$A$50,RUNGIS!G29))+(COUNTIF(JSL!$A$7:$A$50,RUNGIS!G29))+(COUNTIF(KIFAITOUT!$A$7:$A$50,RUNGIS!G29))+(COUNTIF('LUXE DRIVE'!$A$7:$A$50,RUNGIS!G29))+(COUNTIF(SSN!$A$7:$A$50,RUNGIS!G29))+(COUNTIF('W3'!$A$7:$A$50,RUNGIS!G29))+(COUNTIF('ATHIS MONS'!$A$7:$A$50,RUNGIS!G29))+(COUNTIF('L HAY LES ROSES'!$A$7:$A$50,RUNGIS!G29))+(COUNTIF(RUNGIS!$A$7:$A$50,RUNGIS!G29))+(COUNTIF(SCEAUX!$A$7:$A$50,RUNGIS!G29))+(COUNTIF('INSTANCE C1'!$A$7:$A$50,RUNGIS!G29))+(COUNTIF('INSTANCE C2'!$A$7:$A$50,RUNGIS!G29))+(COUNTIF(INTERNES!$A$7:$A$50,RUNGIS!G29))+(COUNTIF('EN PANNE'!$A$7:$A$50,RUNGIS!G29))</f>
        <v>0</v>
      </c>
      <c r="J29" s="28">
        <f t="shared" si="4"/>
        <v>0</v>
      </c>
      <c r="K29" s="2"/>
      <c r="L29" s="47"/>
      <c r="S29" s="60">
        <f t="shared" si="1"/>
        <v>0</v>
      </c>
      <c r="T29" s="67">
        <f t="shared" si="2"/>
        <v>0</v>
      </c>
    </row>
    <row r="30" spans="1:20" ht="24.95" customHeight="1" x14ac:dyDescent="0.2">
      <c r="A30" s="20"/>
      <c r="B30" s="23">
        <f>(COUNTIF('2S EXPRESS'!$A$7:$A$50,RUNGIS!A30))+(COUNTIF('2 ZT'!$A$7:$A$50,RUNGIS!A30))+(COUNTIF('GO TRANSPORT'!$A$7:$A$50,RUNGIS!A30))+(COUNTIF('HMZ - KAIS'!$A$7:$A$50,RUNGIS!A30))+(COUNTIF('IB TRANSPORT'!$A$7:$A$50,RUNGIS!A30))+(COUNTIF(JSL!$A$7:$A$50,RUNGIS!A30))+(COUNTIF(KIFAITOUT!$A$7:$A$50,RUNGIS!A30))+(COUNTIF('LUXE DRIVE'!$A$7:$A$50,RUNGIS!A30))+(COUNTIF(SSN!$A$7:$A$50,RUNGIS!A30))+(COUNTIF('W3'!$A$7:$A$50,RUNGIS!A30))+(COUNTIF('ATHIS MONS'!$A$7:$A$50,RUNGIS!A30))+(COUNTIF('L HAY LES ROSES'!$A$7:$A$50,RUNGIS!A30))+(COUNTIF(RUNGIS!$A$7:$A$50,RUNGIS!A30))+(COUNTIF(SCEAUX!$A$7:$A$50,RUNGIS!A30))+(COUNTIF('INSTANCE C1'!$A$7:$A$50,RUNGIS!A30))+(COUNTIF('INSTANCE C2'!$A$7:$A$50,RUNGIS!A30))+(COUNTIF(INTERNES!$A$7:$A$50,RUNGIS!A30))+(COUNTIF('EN PANNE'!$A$7:$A$50,RUNGIS!A30))-C30</f>
        <v>0</v>
      </c>
      <c r="C30" s="23">
        <f>(COUNTIF('2S EXPRESS'!$G$7:$G$50,RUNGIS!A30))+(COUNTIF('2 ZT'!$G$7:$G$50,RUNGIS!A30))+(COUNTIF('GO TRANSPORT'!$G$7:$G$50,RUNGIS!A30))+(COUNTIF(RUNGIS!$G$7:$G$50,RUNGIS!A30))+(COUNTIF('IB TRANSPORT'!$G$7:$G$50,RUNGIS!A30))+(COUNTIF(JSL!$G$7:$G$50,RUNGIS!A30))+(COUNTIF(KIFAITOUT!$G$7:$G$50,RUNGIS!A30))+(COUNTIF('LUXE DRIVE'!$G$7:$G$50,RUNGIS!A30))+(COUNTIF(SSN!$G$7:$G$50,RUNGIS!A30))+(COUNTIF('W3'!$G$7:$G$50,RUNGIS!A30))+(COUNTIF('ATHIS MONS'!$G$7:$G$50,RUNGIS!A30))+(COUNTIF('L HAY LES ROSES'!$G$7:$G$50,RUNGIS!A30))+(COUNTIF(RUNGIS!$G$7:$G$50,RUNGIS!A30))+(COUNTIF(SCEAUX!$G$7:$G$50,RUNGIS!A30))+(COUNTIF('INSTANCE C1'!$G$7:$G$50,RUNGIS!A30))+(COUNTIF('INSTANCE C2'!$G$7:$G$50,RUNGIS!A30))+(COUNTIF(INTERNES!$G$7:$G$50,RUNGIS!A30))+(COUNTIF('EN PANNE'!$G$7:$G$50,RUNGIS!A30))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EXPRESS'!$G$7:$G$50,RUNGIS!G30))+(COUNTIF('2 ZT'!$G$7:$G$50,RUNGIS!G30))+(COUNTIF('GO TRANSPORT'!$G$7:$G$50,RUNGIS!G30))+(COUNTIF('HMZ - KAIS'!$G$7:$G$50,RUNGIS!G30))+(COUNTIF('IB TRANSPORT'!$G$7:$G$50,RUNGIS!G30))+(COUNTIF(JSL!$G$7:$G$50,RUNGIS!G30))+(COUNTIF(KIFAITOUT!$G$7:$G$50,RUNGIS!G30))+(COUNTIF('LUXE DRIVE'!$G$7:$G$50,RUNGIS!G30))+(COUNTIF(SSN!$G$7:$G$50,RUNGIS!G30))+(COUNTIF('W3'!$G$7:$G$50,RUNGIS!G30))+(COUNTIF('ATHIS MONS'!$G$7:$G$50,RUNGIS!G30))+(COUNTIF('L HAY LES ROSES'!$G$7:$G$50,RUNGIS!G30))+(COUNTIF(RUNGIS!$G$7:$G$50,RUNGIS!G30))+(COUNTIF(SCEAUX!$G$7:$G$50,RUNGIS!G30))+(COUNTIF('INSTANCE C1'!$G$7:$G$50,RUNGIS!G30))+(COUNTIF('INSTANCE C2'!$G$7:$G$50,RUNGIS!G30))+(COUNTIF(INTERNES!$G$7:$G$50,RUNGIS!G30))+(COUNTIF('EN PANNE'!$G$7:$G$50,RUNGIS!G30))-I30</f>
        <v>0</v>
      </c>
      <c r="I30" s="23">
        <f>(COUNTIF('2S EXPRESS'!$A$7:$A$50,RUNGIS!G30))+(COUNTIF('2 ZT'!$A$7:$A$50,RUNGIS!G30))+(COUNTIF('GO TRANSPORT'!$A$7:$A$50,RUNGIS!G30))+(COUNTIF('HMZ - KAIS'!$A$7:$A$50,RUNGIS!G30))+(COUNTIF('IB TRANSPORT'!$A$7:$A$50,RUNGIS!G30))+(COUNTIF(JSL!$A$7:$A$50,RUNGIS!G30))+(COUNTIF(KIFAITOUT!$A$7:$A$50,RUNGIS!G30))+(COUNTIF('LUXE DRIVE'!$A$7:$A$50,RUNGIS!G30))+(COUNTIF(SSN!$A$7:$A$50,RUNGIS!G30))+(COUNTIF('W3'!$A$7:$A$50,RUNGIS!G30))+(COUNTIF('ATHIS MONS'!$A$7:$A$50,RUNGIS!G30))+(COUNTIF('L HAY LES ROSES'!$A$7:$A$50,RUNGIS!G30))+(COUNTIF(RUNGIS!$A$7:$A$50,RUNGIS!G30))+(COUNTIF(SCEAUX!$A$7:$A$50,RUNGIS!G30))+(COUNTIF('INSTANCE C1'!$A$7:$A$50,RUNGIS!G30))+(COUNTIF('INSTANCE C2'!$A$7:$A$50,RUNGIS!G30))+(COUNTIF(INTERNES!$A$7:$A$50,RUNGIS!G30))+(COUNTIF('EN PANNE'!$A$7:$A$50,RUNGIS!G30))</f>
        <v>0</v>
      </c>
      <c r="J30" s="28">
        <f t="shared" si="4"/>
        <v>0</v>
      </c>
      <c r="K30" s="2"/>
      <c r="L30" s="47"/>
      <c r="S30" s="60">
        <f t="shared" si="1"/>
        <v>0</v>
      </c>
      <c r="T30" s="67">
        <f t="shared" si="2"/>
        <v>0</v>
      </c>
    </row>
    <row r="31" spans="1:20" ht="24.95" customHeight="1" x14ac:dyDescent="0.2">
      <c r="A31" s="20"/>
      <c r="B31" s="23">
        <f>(COUNTIF('2S EXPRESS'!$A$7:$A$50,RUNGIS!A31))+(COUNTIF('2 ZT'!$A$7:$A$50,RUNGIS!A31))+(COUNTIF('GO TRANSPORT'!$A$7:$A$50,RUNGIS!A31))+(COUNTIF('HMZ - KAIS'!$A$7:$A$50,RUNGIS!A31))+(COUNTIF('IB TRANSPORT'!$A$7:$A$50,RUNGIS!A31))+(COUNTIF(JSL!$A$7:$A$50,RUNGIS!A31))+(COUNTIF(KIFAITOUT!$A$7:$A$50,RUNGIS!A31))+(COUNTIF('LUXE DRIVE'!$A$7:$A$50,RUNGIS!A31))+(COUNTIF(SSN!$A$7:$A$50,RUNGIS!A31))+(COUNTIF('W3'!$A$7:$A$50,RUNGIS!A31))+(COUNTIF('ATHIS MONS'!$A$7:$A$50,RUNGIS!A31))+(COUNTIF('L HAY LES ROSES'!$A$7:$A$50,RUNGIS!A31))+(COUNTIF(RUNGIS!$A$7:$A$50,RUNGIS!A31))+(COUNTIF(SCEAUX!$A$7:$A$50,RUNGIS!A31))+(COUNTIF('INSTANCE C1'!$A$7:$A$50,RUNGIS!A31))+(COUNTIF('INSTANCE C2'!$A$7:$A$50,RUNGIS!A31))+(COUNTIF(INTERNES!$A$7:$A$50,RUNGIS!A31))+(COUNTIF('EN PANNE'!$A$7:$A$50,RUNGIS!A31))-C31</f>
        <v>0</v>
      </c>
      <c r="C31" s="23">
        <f>(COUNTIF('2S EXPRESS'!$G$7:$G$50,RUNGIS!A31))+(COUNTIF('2 ZT'!$G$7:$G$50,RUNGIS!A31))+(COUNTIF('GO TRANSPORT'!$G$7:$G$50,RUNGIS!A31))+(COUNTIF(RUNGIS!$G$7:$G$50,RUNGIS!A31))+(COUNTIF('IB TRANSPORT'!$G$7:$G$50,RUNGIS!A31))+(COUNTIF(JSL!$G$7:$G$50,RUNGIS!A31))+(COUNTIF(KIFAITOUT!$G$7:$G$50,RUNGIS!A31))+(COUNTIF('LUXE DRIVE'!$G$7:$G$50,RUNGIS!A31))+(COUNTIF(SSN!$G$7:$G$50,RUNGIS!A31))+(COUNTIF('W3'!$G$7:$G$50,RUNGIS!A31))+(COUNTIF('ATHIS MONS'!$G$7:$G$50,RUNGIS!A31))+(COUNTIF('L HAY LES ROSES'!$G$7:$G$50,RUNGIS!A31))+(COUNTIF(RUNGIS!$G$7:$G$50,RUNGIS!A31))+(COUNTIF(SCEAUX!$G$7:$G$50,RUNGIS!A31))+(COUNTIF('INSTANCE C1'!$G$7:$G$50,RUNGIS!A31))+(COUNTIF('INSTANCE C2'!$G$7:$G$50,RUNGIS!A31))+(COUNTIF(INTERNES!$G$7:$G$50,RUNGIS!A31))+(COUNTIF('EN PANNE'!$G$7:$G$50,RUNGIS!A31))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EXPRESS'!$G$7:$G$50,RUNGIS!G31))+(COUNTIF('2 ZT'!$G$7:$G$50,RUNGIS!G31))+(COUNTIF('GO TRANSPORT'!$G$7:$G$50,RUNGIS!G31))+(COUNTIF('HMZ - KAIS'!$G$7:$G$50,RUNGIS!G31))+(COUNTIF('IB TRANSPORT'!$G$7:$G$50,RUNGIS!G31))+(COUNTIF(JSL!$G$7:$G$50,RUNGIS!G31))+(COUNTIF(KIFAITOUT!$G$7:$G$50,RUNGIS!G31))+(COUNTIF('LUXE DRIVE'!$G$7:$G$50,RUNGIS!G31))+(COUNTIF(SSN!$G$7:$G$50,RUNGIS!G31))+(COUNTIF('W3'!$G$7:$G$50,RUNGIS!G31))+(COUNTIF('ATHIS MONS'!$G$7:$G$50,RUNGIS!G31))+(COUNTIF('L HAY LES ROSES'!$G$7:$G$50,RUNGIS!G31))+(COUNTIF(RUNGIS!$G$7:$G$50,RUNGIS!G31))+(COUNTIF(SCEAUX!$G$7:$G$50,RUNGIS!G31))+(COUNTIF('INSTANCE C1'!$G$7:$G$50,RUNGIS!G31))+(COUNTIF('INSTANCE C2'!$G$7:$G$50,RUNGIS!G31))+(COUNTIF(INTERNES!$G$7:$G$50,RUNGIS!G31))+(COUNTIF('EN PANNE'!$G$7:$G$50,RUNGIS!G31))-I31</f>
        <v>0</v>
      </c>
      <c r="I31" s="23">
        <f>(COUNTIF('2S EXPRESS'!$A$7:$A$50,RUNGIS!G31))+(COUNTIF('2 ZT'!$A$7:$A$50,RUNGIS!G31))+(COUNTIF('GO TRANSPORT'!$A$7:$A$50,RUNGIS!G31))+(COUNTIF('HMZ - KAIS'!$A$7:$A$50,RUNGIS!G31))+(COUNTIF('IB TRANSPORT'!$A$7:$A$50,RUNGIS!G31))+(COUNTIF(JSL!$A$7:$A$50,RUNGIS!G31))+(COUNTIF(KIFAITOUT!$A$7:$A$50,RUNGIS!G31))+(COUNTIF('LUXE DRIVE'!$A$7:$A$50,RUNGIS!G31))+(COUNTIF(SSN!$A$7:$A$50,RUNGIS!G31))+(COUNTIF('W3'!$A$7:$A$50,RUNGIS!G31))+(COUNTIF('ATHIS MONS'!$A$7:$A$50,RUNGIS!G31))+(COUNTIF('L HAY LES ROSES'!$A$7:$A$50,RUNGIS!G31))+(COUNTIF(RUNGIS!$A$7:$A$50,RUNGIS!G31))+(COUNTIF(SCEAUX!$A$7:$A$50,RUNGIS!G31))+(COUNTIF('INSTANCE C1'!$A$7:$A$50,RUNGIS!G31))+(COUNTIF('INSTANCE C2'!$A$7:$A$50,RUNGIS!G31))+(COUNTIF(INTERNES!$A$7:$A$50,RUNGIS!G31))+(COUNTIF('EN PANNE'!$A$7:$A$50,RUNGIS!G31))</f>
        <v>0</v>
      </c>
      <c r="J31" s="28">
        <f t="shared" si="4"/>
        <v>0</v>
      </c>
      <c r="K31" s="2"/>
      <c r="L31" s="47"/>
      <c r="S31" s="60">
        <f t="shared" si="1"/>
        <v>0</v>
      </c>
      <c r="T31" s="67">
        <f t="shared" si="2"/>
        <v>0</v>
      </c>
    </row>
    <row r="32" spans="1:20" ht="24.95" customHeight="1" x14ac:dyDescent="0.2">
      <c r="A32" s="20"/>
      <c r="B32" s="23">
        <f>(COUNTIF('2S EXPRESS'!$A$7:$A$50,RUNGIS!A32))+(COUNTIF('2 ZT'!$A$7:$A$50,RUNGIS!A32))+(COUNTIF('GO TRANSPORT'!$A$7:$A$50,RUNGIS!A32))+(COUNTIF('HMZ - KAIS'!$A$7:$A$50,RUNGIS!A32))+(COUNTIF('IB TRANSPORT'!$A$7:$A$50,RUNGIS!A32))+(COUNTIF(JSL!$A$7:$A$50,RUNGIS!A32))+(COUNTIF(KIFAITOUT!$A$7:$A$50,RUNGIS!A32))+(COUNTIF('LUXE DRIVE'!$A$7:$A$50,RUNGIS!A32))+(COUNTIF(SSN!$A$7:$A$50,RUNGIS!A32))+(COUNTIF('W3'!$A$7:$A$50,RUNGIS!A32))+(COUNTIF('ATHIS MONS'!$A$7:$A$50,RUNGIS!A32))+(COUNTIF('L HAY LES ROSES'!$A$7:$A$50,RUNGIS!A32))+(COUNTIF(RUNGIS!$A$7:$A$50,RUNGIS!A32))+(COUNTIF(SCEAUX!$A$7:$A$50,RUNGIS!A32))+(COUNTIF('INSTANCE C1'!$A$7:$A$50,RUNGIS!A32))+(COUNTIF('INSTANCE C2'!$A$7:$A$50,RUNGIS!A32))+(COUNTIF(INTERNES!$A$7:$A$50,RUNGIS!A32))+(COUNTIF('EN PANNE'!$A$7:$A$50,RUNGIS!A32))-C32</f>
        <v>0</v>
      </c>
      <c r="C32" s="23">
        <f>(COUNTIF('2S EXPRESS'!$G$7:$G$50,RUNGIS!A32))+(COUNTIF('2 ZT'!$G$7:$G$50,RUNGIS!A32))+(COUNTIF('GO TRANSPORT'!$G$7:$G$50,RUNGIS!A32))+(COUNTIF(RUNGIS!$G$7:$G$50,RUNGIS!A32))+(COUNTIF('IB TRANSPORT'!$G$7:$G$50,RUNGIS!A32))+(COUNTIF(JSL!$G$7:$G$50,RUNGIS!A32))+(COUNTIF(KIFAITOUT!$G$7:$G$50,RUNGIS!A32))+(COUNTIF('LUXE DRIVE'!$G$7:$G$50,RUNGIS!A32))+(COUNTIF(SSN!$G$7:$G$50,RUNGIS!A32))+(COUNTIF('W3'!$G$7:$G$50,RUNGIS!A32))+(COUNTIF('ATHIS MONS'!$G$7:$G$50,RUNGIS!A32))+(COUNTIF('L HAY LES ROSES'!$G$7:$G$50,RUNGIS!A32))+(COUNTIF(RUNGIS!$G$7:$G$50,RUNGIS!A32))+(COUNTIF(SCEAUX!$G$7:$G$50,RUNGIS!A32))+(COUNTIF('INSTANCE C1'!$G$7:$G$50,RUNGIS!A32))+(COUNTIF('INSTANCE C2'!$G$7:$G$50,RUNGIS!A32))+(COUNTIF(INTERNES!$G$7:$G$50,RUNGIS!A32))+(COUNTIF('EN PANNE'!$G$7:$G$50,RUNGIS!A32))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EXPRESS'!$G$7:$G$50,RUNGIS!G32))+(COUNTIF('2 ZT'!$G$7:$G$50,RUNGIS!G32))+(COUNTIF('GO TRANSPORT'!$G$7:$G$50,RUNGIS!G32))+(COUNTIF('HMZ - KAIS'!$G$7:$G$50,RUNGIS!G32))+(COUNTIF('IB TRANSPORT'!$G$7:$G$50,RUNGIS!G32))+(COUNTIF(JSL!$G$7:$G$50,RUNGIS!G32))+(COUNTIF(KIFAITOUT!$G$7:$G$50,RUNGIS!G32))+(COUNTIF('LUXE DRIVE'!$G$7:$G$50,RUNGIS!G32))+(COUNTIF(SSN!$G$7:$G$50,RUNGIS!G32))+(COUNTIF('W3'!$G$7:$G$50,RUNGIS!G32))+(COUNTIF('ATHIS MONS'!$G$7:$G$50,RUNGIS!G32))+(COUNTIF('L HAY LES ROSES'!$G$7:$G$50,RUNGIS!G32))+(COUNTIF(RUNGIS!$G$7:$G$50,RUNGIS!G32))+(COUNTIF(SCEAUX!$G$7:$G$50,RUNGIS!G32))+(COUNTIF('INSTANCE C1'!$G$7:$G$50,RUNGIS!G32))+(COUNTIF('INSTANCE C2'!$G$7:$G$50,RUNGIS!G32))+(COUNTIF(INTERNES!$G$7:$G$50,RUNGIS!G32))+(COUNTIF('EN PANNE'!$G$7:$G$50,RUNGIS!G32))-I32</f>
        <v>0</v>
      </c>
      <c r="I32" s="23">
        <f>(COUNTIF('2S EXPRESS'!$A$7:$A$50,RUNGIS!G32))+(COUNTIF('2 ZT'!$A$7:$A$50,RUNGIS!G32))+(COUNTIF('GO TRANSPORT'!$A$7:$A$50,RUNGIS!G32))+(COUNTIF('HMZ - KAIS'!$A$7:$A$50,RUNGIS!G32))+(COUNTIF('IB TRANSPORT'!$A$7:$A$50,RUNGIS!G32))+(COUNTIF(JSL!$A$7:$A$50,RUNGIS!G32))+(COUNTIF(KIFAITOUT!$A$7:$A$50,RUNGIS!G32))+(COUNTIF('LUXE DRIVE'!$A$7:$A$50,RUNGIS!G32))+(COUNTIF(SSN!$A$7:$A$50,RUNGIS!G32))+(COUNTIF('W3'!$A$7:$A$50,RUNGIS!G32))+(COUNTIF('ATHIS MONS'!$A$7:$A$50,RUNGIS!G32))+(COUNTIF('L HAY LES ROSES'!$A$7:$A$50,RUNGIS!G32))+(COUNTIF(RUNGIS!$A$7:$A$50,RUNGIS!G32))+(COUNTIF(SCEAUX!$A$7:$A$50,RUNGIS!G32))+(COUNTIF('INSTANCE C1'!$A$7:$A$50,RUNGIS!G32))+(COUNTIF('INSTANCE C2'!$A$7:$A$50,RUNGIS!G32))+(COUNTIF(INTERNES!$A$7:$A$50,RUNGIS!G32))+(COUNTIF('EN PANNE'!$A$7:$A$50,RUNGIS!G32))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S32" s="60">
        <f t="shared" si="1"/>
        <v>0</v>
      </c>
      <c r="T32" s="67">
        <f t="shared" si="2"/>
        <v>0</v>
      </c>
    </row>
    <row r="33" spans="1:20" ht="24.95" customHeight="1" x14ac:dyDescent="0.2">
      <c r="A33" s="20"/>
      <c r="B33" s="23">
        <f>(COUNTIF('2S EXPRESS'!$A$7:$A$50,RUNGIS!A33))+(COUNTIF('2 ZT'!$A$7:$A$50,RUNGIS!A33))+(COUNTIF('GO TRANSPORT'!$A$7:$A$50,RUNGIS!A33))+(COUNTIF('HMZ - KAIS'!$A$7:$A$50,RUNGIS!A33))+(COUNTIF('IB TRANSPORT'!$A$7:$A$50,RUNGIS!A33))+(COUNTIF(JSL!$A$7:$A$50,RUNGIS!A33))+(COUNTIF(KIFAITOUT!$A$7:$A$50,RUNGIS!A33))+(COUNTIF('LUXE DRIVE'!$A$7:$A$50,RUNGIS!A33))+(COUNTIF(SSN!$A$7:$A$50,RUNGIS!A33))+(COUNTIF('W3'!$A$7:$A$50,RUNGIS!A33))+(COUNTIF('ATHIS MONS'!$A$7:$A$50,RUNGIS!A33))+(COUNTIF('L HAY LES ROSES'!$A$7:$A$50,RUNGIS!A33))+(COUNTIF(RUNGIS!$A$7:$A$50,RUNGIS!A33))+(COUNTIF(SCEAUX!$A$7:$A$50,RUNGIS!A33))+(COUNTIF('INSTANCE C1'!$A$7:$A$50,RUNGIS!A33))+(COUNTIF('INSTANCE C2'!$A$7:$A$50,RUNGIS!A33))+(COUNTIF(INTERNES!$A$7:$A$50,RUNGIS!A33))+(COUNTIF('EN PANNE'!$A$7:$A$50,RUNGIS!A33))-C33</f>
        <v>0</v>
      </c>
      <c r="C33" s="23">
        <f>(COUNTIF('2S EXPRESS'!$G$7:$G$50,RUNGIS!A33))+(COUNTIF('2 ZT'!$G$7:$G$50,RUNGIS!A33))+(COUNTIF('GO TRANSPORT'!$G$7:$G$50,RUNGIS!A33))+(COUNTIF(RUNGIS!$G$7:$G$50,RUNGIS!A33))+(COUNTIF('IB TRANSPORT'!$G$7:$G$50,RUNGIS!A33))+(COUNTIF(JSL!$G$7:$G$50,RUNGIS!A33))+(COUNTIF(KIFAITOUT!$G$7:$G$50,RUNGIS!A33))+(COUNTIF('LUXE DRIVE'!$G$7:$G$50,RUNGIS!A33))+(COUNTIF(SSN!$G$7:$G$50,RUNGIS!A33))+(COUNTIF('W3'!$G$7:$G$50,RUNGIS!A33))+(COUNTIF('ATHIS MONS'!$G$7:$G$50,RUNGIS!A33))+(COUNTIF('L HAY LES ROSES'!$G$7:$G$50,RUNGIS!A33))+(COUNTIF(RUNGIS!$G$7:$G$50,RUNGIS!A33))+(COUNTIF(SCEAUX!$G$7:$G$50,RUNGIS!A33))+(COUNTIF('INSTANCE C1'!$G$7:$G$50,RUNGIS!A33))+(COUNTIF('INSTANCE C2'!$G$7:$G$50,RUNGIS!A33))+(COUNTIF(INTERNES!$G$7:$G$50,RUNGIS!A33))+(COUNTIF('EN PANNE'!$G$7:$G$50,RUNGIS!A33))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EXPRESS'!$G$7:$G$50,RUNGIS!G33))+(COUNTIF('2 ZT'!$G$7:$G$50,RUNGIS!G33))+(COUNTIF('GO TRANSPORT'!$G$7:$G$50,RUNGIS!G33))+(COUNTIF('HMZ - KAIS'!$G$7:$G$50,RUNGIS!G33))+(COUNTIF('IB TRANSPORT'!$G$7:$G$50,RUNGIS!G33))+(COUNTIF(JSL!$G$7:$G$50,RUNGIS!G33))+(COUNTIF(KIFAITOUT!$G$7:$G$50,RUNGIS!G33))+(COUNTIF('LUXE DRIVE'!$G$7:$G$50,RUNGIS!G33))+(COUNTIF(SSN!$G$7:$G$50,RUNGIS!G33))+(COUNTIF('W3'!$G$7:$G$50,RUNGIS!G33))+(COUNTIF('ATHIS MONS'!$G$7:$G$50,RUNGIS!G33))+(COUNTIF('L HAY LES ROSES'!$G$7:$G$50,RUNGIS!G33))+(COUNTIF(RUNGIS!$G$7:$G$50,RUNGIS!G33))+(COUNTIF(SCEAUX!$G$7:$G$50,RUNGIS!G33))+(COUNTIF('INSTANCE C1'!$G$7:$G$50,RUNGIS!G33))+(COUNTIF('INSTANCE C2'!$G$7:$G$50,RUNGIS!G33))+(COUNTIF(INTERNES!$G$7:$G$50,RUNGIS!G33))+(COUNTIF('EN PANNE'!$G$7:$G$50,RUNGIS!G33))-I33</f>
        <v>0</v>
      </c>
      <c r="I33" s="23">
        <f>(COUNTIF('2S EXPRESS'!$A$7:$A$50,RUNGIS!G33))+(COUNTIF('2 ZT'!$A$7:$A$50,RUNGIS!G33))+(COUNTIF('GO TRANSPORT'!$A$7:$A$50,RUNGIS!G33))+(COUNTIF('HMZ - KAIS'!$A$7:$A$50,RUNGIS!G33))+(COUNTIF('IB TRANSPORT'!$A$7:$A$50,RUNGIS!G33))+(COUNTIF(JSL!$A$7:$A$50,RUNGIS!G33))+(COUNTIF(KIFAITOUT!$A$7:$A$50,RUNGIS!G33))+(COUNTIF('LUXE DRIVE'!$A$7:$A$50,RUNGIS!G33))+(COUNTIF(SSN!$A$7:$A$50,RUNGIS!G33))+(COUNTIF('W3'!$A$7:$A$50,RUNGIS!G33))+(COUNTIF('ATHIS MONS'!$A$7:$A$50,RUNGIS!G33))+(COUNTIF('L HAY LES ROSES'!$A$7:$A$50,RUNGIS!G33))+(COUNTIF(RUNGIS!$A$7:$A$50,RUNGIS!G33))+(COUNTIF(SCEAUX!$A$7:$A$50,RUNGIS!G33))+(COUNTIF('INSTANCE C1'!$A$7:$A$50,RUNGIS!G33))+(COUNTIF('INSTANCE C2'!$A$7:$A$50,RUNGIS!G33))+(COUNTIF(INTERNES!$A$7:$A$50,RUNGIS!G33))+(COUNTIF('EN PANNE'!$A$7:$A$50,RUNGIS!G33))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S33" s="60">
        <f t="shared" si="1"/>
        <v>0</v>
      </c>
      <c r="T33" s="67">
        <f t="shared" si="2"/>
        <v>0</v>
      </c>
    </row>
    <row r="34" spans="1:20" ht="24.95" customHeight="1" x14ac:dyDescent="0.2">
      <c r="A34" s="20"/>
      <c r="B34" s="23">
        <f>(COUNTIF('2S EXPRESS'!$A$7:$A$50,RUNGIS!A34))+(COUNTIF('2 ZT'!$A$7:$A$50,RUNGIS!A34))+(COUNTIF('GO TRANSPORT'!$A$7:$A$50,RUNGIS!A34))+(COUNTIF('HMZ - KAIS'!$A$7:$A$50,RUNGIS!A34))+(COUNTIF('IB TRANSPORT'!$A$7:$A$50,RUNGIS!A34))+(COUNTIF(JSL!$A$7:$A$50,RUNGIS!A34))+(COUNTIF(KIFAITOUT!$A$7:$A$50,RUNGIS!A34))+(COUNTIF('LUXE DRIVE'!$A$7:$A$50,RUNGIS!A34))+(COUNTIF(SSN!$A$7:$A$50,RUNGIS!A34))+(COUNTIF('W3'!$A$7:$A$50,RUNGIS!A34))+(COUNTIF('ATHIS MONS'!$A$7:$A$50,RUNGIS!A34))+(COUNTIF('L HAY LES ROSES'!$A$7:$A$50,RUNGIS!A34))+(COUNTIF(RUNGIS!$A$7:$A$50,RUNGIS!A34))+(COUNTIF(SCEAUX!$A$7:$A$50,RUNGIS!A34))+(COUNTIF('INSTANCE C1'!$A$7:$A$50,RUNGIS!A34))+(COUNTIF('INSTANCE C2'!$A$7:$A$50,RUNGIS!A34))+(COUNTIF(INTERNES!$A$7:$A$50,RUNGIS!A34))+(COUNTIF('EN PANNE'!$A$7:$A$50,RUNGIS!A34))-C34</f>
        <v>0</v>
      </c>
      <c r="C34" s="23">
        <f>(COUNTIF('2S EXPRESS'!$G$7:$G$50,RUNGIS!A34))+(COUNTIF('2 ZT'!$G$7:$G$50,RUNGIS!A34))+(COUNTIF('GO TRANSPORT'!$G$7:$G$50,RUNGIS!A34))+(COUNTIF(RUNGIS!$G$7:$G$50,RUNGIS!A34))+(COUNTIF('IB TRANSPORT'!$G$7:$G$50,RUNGIS!A34))+(COUNTIF(JSL!$G$7:$G$50,RUNGIS!A34))+(COUNTIF(KIFAITOUT!$G$7:$G$50,RUNGIS!A34))+(COUNTIF('LUXE DRIVE'!$G$7:$G$50,RUNGIS!A34))+(COUNTIF(SSN!$G$7:$G$50,RUNGIS!A34))+(COUNTIF('W3'!$G$7:$G$50,RUNGIS!A34))+(COUNTIF('ATHIS MONS'!$G$7:$G$50,RUNGIS!A34))+(COUNTIF('L HAY LES ROSES'!$G$7:$G$50,RUNGIS!A34))+(COUNTIF(RUNGIS!$G$7:$G$50,RUNGIS!A34))+(COUNTIF(SCEAUX!$G$7:$G$50,RUNGIS!A34))+(COUNTIF('INSTANCE C1'!$G$7:$G$50,RUNGIS!A34))+(COUNTIF('INSTANCE C2'!$G$7:$G$50,RUNGIS!A34))+(COUNTIF(INTERNES!$G$7:$G$50,RUNGIS!A34))+(COUNTIF('EN PANNE'!$G$7:$G$50,RUNGIS!A34))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EXPRESS'!$G$7:$G$50,RUNGIS!G34))+(COUNTIF('2 ZT'!$G$7:$G$50,RUNGIS!G34))+(COUNTIF('GO TRANSPORT'!$G$7:$G$50,RUNGIS!G34))+(COUNTIF('HMZ - KAIS'!$G$7:$G$50,RUNGIS!G34))+(COUNTIF('IB TRANSPORT'!$G$7:$G$50,RUNGIS!G34))+(COUNTIF(JSL!$G$7:$G$50,RUNGIS!G34))+(COUNTIF(KIFAITOUT!$G$7:$G$50,RUNGIS!G34))+(COUNTIF('LUXE DRIVE'!$G$7:$G$50,RUNGIS!G34))+(COUNTIF(SSN!$G$7:$G$50,RUNGIS!G34))+(COUNTIF('W3'!$G$7:$G$50,RUNGIS!G34))+(COUNTIF('ATHIS MONS'!$G$7:$G$50,RUNGIS!G34))+(COUNTIF('L HAY LES ROSES'!$G$7:$G$50,RUNGIS!G34))+(COUNTIF(RUNGIS!$G$7:$G$50,RUNGIS!G34))+(COUNTIF(SCEAUX!$G$7:$G$50,RUNGIS!G34))+(COUNTIF('INSTANCE C1'!$G$7:$G$50,RUNGIS!G34))+(COUNTIF('INSTANCE C2'!$G$7:$G$50,RUNGIS!G34))+(COUNTIF(INTERNES!$G$7:$G$50,RUNGIS!G34))+(COUNTIF('EN PANNE'!$G$7:$G$50,RUNGIS!G34))-I34</f>
        <v>0</v>
      </c>
      <c r="I34" s="23">
        <f>(COUNTIF('2S EXPRESS'!$A$7:$A$50,RUNGIS!G34))+(COUNTIF('2 ZT'!$A$7:$A$50,RUNGIS!G34))+(COUNTIF('GO TRANSPORT'!$A$7:$A$50,RUNGIS!G34))+(COUNTIF('HMZ - KAIS'!$A$7:$A$50,RUNGIS!G34))+(COUNTIF('IB TRANSPORT'!$A$7:$A$50,RUNGIS!G34))+(COUNTIF(JSL!$A$7:$A$50,RUNGIS!G34))+(COUNTIF(KIFAITOUT!$A$7:$A$50,RUNGIS!G34))+(COUNTIF('LUXE DRIVE'!$A$7:$A$50,RUNGIS!G34))+(COUNTIF(SSN!$A$7:$A$50,RUNGIS!G34))+(COUNTIF('W3'!$A$7:$A$50,RUNGIS!G34))+(COUNTIF('ATHIS MONS'!$A$7:$A$50,RUNGIS!G34))+(COUNTIF('L HAY LES ROSES'!$A$7:$A$50,RUNGIS!G34))+(COUNTIF(RUNGIS!$A$7:$A$50,RUNGIS!G34))+(COUNTIF(SCEAUX!$A$7:$A$50,RUNGIS!G34))+(COUNTIF('INSTANCE C1'!$A$7:$A$50,RUNGIS!G34))+(COUNTIF('INSTANCE C2'!$A$7:$A$50,RUNGIS!G34))+(COUNTIF(INTERNES!$A$7:$A$50,RUNGIS!G34))+(COUNTIF('EN PANNE'!$A$7:$A$50,RUNGIS!G34))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S34" s="60">
        <f t="shared" si="1"/>
        <v>0</v>
      </c>
      <c r="T34" s="67">
        <f t="shared" si="2"/>
        <v>0</v>
      </c>
    </row>
    <row r="35" spans="1:20" ht="24.95" customHeight="1" x14ac:dyDescent="0.2">
      <c r="A35" s="20"/>
      <c r="B35" s="23">
        <f>(COUNTIF('2S EXPRESS'!$A$7:$A$50,RUNGIS!A35))+(COUNTIF('2 ZT'!$A$7:$A$50,RUNGIS!A35))+(COUNTIF('GO TRANSPORT'!$A$7:$A$50,RUNGIS!A35))+(COUNTIF('HMZ - KAIS'!$A$7:$A$50,RUNGIS!A35))+(COUNTIF('IB TRANSPORT'!$A$7:$A$50,RUNGIS!A35))+(COUNTIF(JSL!$A$7:$A$50,RUNGIS!A35))+(COUNTIF(KIFAITOUT!$A$7:$A$50,RUNGIS!A35))+(COUNTIF('LUXE DRIVE'!$A$7:$A$50,RUNGIS!A35))+(COUNTIF(SSN!$A$7:$A$50,RUNGIS!A35))+(COUNTIF('W3'!$A$7:$A$50,RUNGIS!A35))+(COUNTIF('ATHIS MONS'!$A$7:$A$50,RUNGIS!A35))+(COUNTIF('L HAY LES ROSES'!$A$7:$A$50,RUNGIS!A35))+(COUNTIF(RUNGIS!$A$7:$A$50,RUNGIS!A35))+(COUNTIF(SCEAUX!$A$7:$A$50,RUNGIS!A35))+(COUNTIF('INSTANCE C1'!$A$7:$A$50,RUNGIS!A35))+(COUNTIF('INSTANCE C2'!$A$7:$A$50,RUNGIS!A35))+(COUNTIF(INTERNES!$A$7:$A$50,RUNGIS!A35))+(COUNTIF('EN PANNE'!$A$7:$A$50,RUNGIS!A35))-C35</f>
        <v>0</v>
      </c>
      <c r="C35" s="23">
        <f>(COUNTIF('2S EXPRESS'!$G$7:$G$50,RUNGIS!A35))+(COUNTIF('2 ZT'!$G$7:$G$50,RUNGIS!A35))+(COUNTIF('GO TRANSPORT'!$G$7:$G$50,RUNGIS!A35))+(COUNTIF(RUNGIS!$G$7:$G$50,RUNGIS!A35))+(COUNTIF('IB TRANSPORT'!$G$7:$G$50,RUNGIS!A35))+(COUNTIF(JSL!$G$7:$G$50,RUNGIS!A35))+(COUNTIF(KIFAITOUT!$G$7:$G$50,RUNGIS!A35))+(COUNTIF('LUXE DRIVE'!$G$7:$G$50,RUNGIS!A35))+(COUNTIF(SSN!$G$7:$G$50,RUNGIS!A35))+(COUNTIF('W3'!$G$7:$G$50,RUNGIS!A35))+(COUNTIF('ATHIS MONS'!$G$7:$G$50,RUNGIS!A35))+(COUNTIF('L HAY LES ROSES'!$G$7:$G$50,RUNGIS!A35))+(COUNTIF(RUNGIS!$G$7:$G$50,RUNGIS!A35))+(COUNTIF(SCEAUX!$G$7:$G$50,RUNGIS!A35))+(COUNTIF('INSTANCE C1'!$G$7:$G$50,RUNGIS!A35))+(COUNTIF('INSTANCE C2'!$G$7:$G$50,RUNGIS!A35))+(COUNTIF(INTERNES!$G$7:$G$50,RUNGIS!A35))+(COUNTIF('EN PANNE'!$G$7:$G$50,RUNGIS!A35))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EXPRESS'!$G$7:$G$50,RUNGIS!G35))+(COUNTIF('2 ZT'!$G$7:$G$50,RUNGIS!G35))+(COUNTIF('GO TRANSPORT'!$G$7:$G$50,RUNGIS!G35))+(COUNTIF('HMZ - KAIS'!$G$7:$G$50,RUNGIS!G35))+(COUNTIF('IB TRANSPORT'!$G$7:$G$50,RUNGIS!G35))+(COUNTIF(JSL!$G$7:$G$50,RUNGIS!G35))+(COUNTIF(KIFAITOUT!$G$7:$G$50,RUNGIS!G35))+(COUNTIF('LUXE DRIVE'!$G$7:$G$50,RUNGIS!G35))+(COUNTIF(SSN!$G$7:$G$50,RUNGIS!G35))+(COUNTIF('W3'!$G$7:$G$50,RUNGIS!G35))+(COUNTIF('ATHIS MONS'!$G$7:$G$50,RUNGIS!G35))+(COUNTIF('L HAY LES ROSES'!$G$7:$G$50,RUNGIS!G35))+(COUNTIF(RUNGIS!$G$7:$G$50,RUNGIS!G35))+(COUNTIF(SCEAUX!$G$7:$G$50,RUNGIS!G35))+(COUNTIF('INSTANCE C1'!$G$7:$G$50,RUNGIS!G35))+(COUNTIF('INSTANCE C2'!$G$7:$G$50,RUNGIS!G35))+(COUNTIF(INTERNES!$G$7:$G$50,RUNGIS!G35))+(COUNTIF('EN PANNE'!$G$7:$G$50,RUNGIS!G35))-I35</f>
        <v>0</v>
      </c>
      <c r="I35" s="23">
        <f>(COUNTIF('2S EXPRESS'!$A$7:$A$50,RUNGIS!G35))+(COUNTIF('2 ZT'!$A$7:$A$50,RUNGIS!G35))+(COUNTIF('GO TRANSPORT'!$A$7:$A$50,RUNGIS!G35))+(COUNTIF('HMZ - KAIS'!$A$7:$A$50,RUNGIS!G35))+(COUNTIF('IB TRANSPORT'!$A$7:$A$50,RUNGIS!G35))+(COUNTIF(JSL!$A$7:$A$50,RUNGIS!G35))+(COUNTIF(KIFAITOUT!$A$7:$A$50,RUNGIS!G35))+(COUNTIF('LUXE DRIVE'!$A$7:$A$50,RUNGIS!G35))+(COUNTIF(SSN!$A$7:$A$50,RUNGIS!G35))+(COUNTIF('W3'!$A$7:$A$50,RUNGIS!G35))+(COUNTIF('ATHIS MONS'!$A$7:$A$50,RUNGIS!G35))+(COUNTIF('L HAY LES ROSES'!$A$7:$A$50,RUNGIS!G35))+(COUNTIF(RUNGIS!$A$7:$A$50,RUNGIS!G35))+(COUNTIF(SCEAUX!$A$7:$A$50,RUNGIS!G35))+(COUNTIF('INSTANCE C1'!$A$7:$A$50,RUNGIS!G35))+(COUNTIF('INSTANCE C2'!$A$7:$A$50,RUNGIS!G35))+(COUNTIF(INTERNES!$A$7:$A$50,RUNGIS!G35))+(COUNTIF('EN PANNE'!$A$7:$A$50,RUNGIS!G35))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S35" s="60">
        <f t="shared" si="1"/>
        <v>0</v>
      </c>
      <c r="T35" s="67">
        <f t="shared" si="2"/>
        <v>0</v>
      </c>
    </row>
    <row r="36" spans="1:20" ht="24.95" customHeight="1" x14ac:dyDescent="0.2">
      <c r="A36" s="20"/>
      <c r="B36" s="23">
        <f>(COUNTIF('2S EXPRESS'!$A$7:$A$50,RUNGIS!A36))+(COUNTIF('2 ZT'!$A$7:$A$50,RUNGIS!A36))+(COUNTIF('GO TRANSPORT'!$A$7:$A$50,RUNGIS!A36))+(COUNTIF('HMZ - KAIS'!$A$7:$A$50,RUNGIS!A36))+(COUNTIF('IB TRANSPORT'!$A$7:$A$50,RUNGIS!A36))+(COUNTIF(JSL!$A$7:$A$50,RUNGIS!A36))+(COUNTIF(KIFAITOUT!$A$7:$A$50,RUNGIS!A36))+(COUNTIF('LUXE DRIVE'!$A$7:$A$50,RUNGIS!A36))+(COUNTIF(SSN!$A$7:$A$50,RUNGIS!A36))+(COUNTIF('W3'!$A$7:$A$50,RUNGIS!A36))+(COUNTIF('ATHIS MONS'!$A$7:$A$50,RUNGIS!A36))+(COUNTIF('L HAY LES ROSES'!$A$7:$A$50,RUNGIS!A36))+(COUNTIF(RUNGIS!$A$7:$A$50,RUNGIS!A36))+(COUNTIF(SCEAUX!$A$7:$A$50,RUNGIS!A36))+(COUNTIF('INSTANCE C1'!$A$7:$A$50,RUNGIS!A36))+(COUNTIF('INSTANCE C2'!$A$7:$A$50,RUNGIS!A36))+(COUNTIF(INTERNES!$A$7:$A$50,RUNGIS!A36))+(COUNTIF('EN PANNE'!$A$7:$A$50,RUNGIS!A36))-C36</f>
        <v>0</v>
      </c>
      <c r="C36" s="23">
        <f>(COUNTIF('2S EXPRESS'!$G$7:$G$50,RUNGIS!A36))+(COUNTIF('2 ZT'!$G$7:$G$50,RUNGIS!A36))+(COUNTIF('GO TRANSPORT'!$G$7:$G$50,RUNGIS!A36))+(COUNTIF(RUNGIS!$G$7:$G$50,RUNGIS!A36))+(COUNTIF('IB TRANSPORT'!$G$7:$G$50,RUNGIS!A36))+(COUNTIF(JSL!$G$7:$G$50,RUNGIS!A36))+(COUNTIF(KIFAITOUT!$G$7:$G$50,RUNGIS!A36))+(COUNTIF('LUXE DRIVE'!$G$7:$G$50,RUNGIS!A36))+(COUNTIF(SSN!$G$7:$G$50,RUNGIS!A36))+(COUNTIF('W3'!$G$7:$G$50,RUNGIS!A36))+(COUNTIF('ATHIS MONS'!$G$7:$G$50,RUNGIS!A36))+(COUNTIF('L HAY LES ROSES'!$G$7:$G$50,RUNGIS!A36))+(COUNTIF(RUNGIS!$G$7:$G$50,RUNGIS!A36))+(COUNTIF(SCEAUX!$G$7:$G$50,RUNGIS!A36))+(COUNTIF('INSTANCE C1'!$G$7:$G$50,RUNGIS!A36))+(COUNTIF('INSTANCE C2'!$G$7:$G$50,RUNGIS!A36))+(COUNTIF(INTERNES!$G$7:$G$50,RUNGIS!A36))+(COUNTIF('EN PANNE'!$G$7:$G$50,RUNGIS!A36))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EXPRESS'!$G$7:$G$50,RUNGIS!G36))+(COUNTIF('2 ZT'!$G$7:$G$50,RUNGIS!G36))+(COUNTIF('GO TRANSPORT'!$G$7:$G$50,RUNGIS!G36))+(COUNTIF('HMZ - KAIS'!$G$7:$G$50,RUNGIS!G36))+(COUNTIF('IB TRANSPORT'!$G$7:$G$50,RUNGIS!G36))+(COUNTIF(JSL!$G$7:$G$50,RUNGIS!G36))+(COUNTIF(KIFAITOUT!$G$7:$G$50,RUNGIS!G36))+(COUNTIF('LUXE DRIVE'!$G$7:$G$50,RUNGIS!G36))+(COUNTIF(SSN!$G$7:$G$50,RUNGIS!G36))+(COUNTIF('W3'!$G$7:$G$50,RUNGIS!G36))+(COUNTIF('ATHIS MONS'!$G$7:$G$50,RUNGIS!G36))+(COUNTIF('L HAY LES ROSES'!$G$7:$G$50,RUNGIS!G36))+(COUNTIF(RUNGIS!$G$7:$G$50,RUNGIS!G36))+(COUNTIF(SCEAUX!$G$7:$G$50,RUNGIS!G36))+(COUNTIF('INSTANCE C1'!$G$7:$G$50,RUNGIS!G36))+(COUNTIF('INSTANCE C2'!$G$7:$G$50,RUNGIS!G36))+(COUNTIF(INTERNES!$G$7:$G$50,RUNGIS!G36))+(COUNTIF('EN PANNE'!$G$7:$G$50,RUNGIS!G36))-I36</f>
        <v>0</v>
      </c>
      <c r="I36" s="23">
        <f>(COUNTIF('2S EXPRESS'!$A$7:$A$50,RUNGIS!G36))+(COUNTIF('2 ZT'!$A$7:$A$50,RUNGIS!G36))+(COUNTIF('GO TRANSPORT'!$A$7:$A$50,RUNGIS!G36))+(COUNTIF('HMZ - KAIS'!$A$7:$A$50,RUNGIS!G36))+(COUNTIF('IB TRANSPORT'!$A$7:$A$50,RUNGIS!G36))+(COUNTIF(JSL!$A$7:$A$50,RUNGIS!G36))+(COUNTIF(KIFAITOUT!$A$7:$A$50,RUNGIS!G36))+(COUNTIF('LUXE DRIVE'!$A$7:$A$50,RUNGIS!G36))+(COUNTIF(SSN!$A$7:$A$50,RUNGIS!G36))+(COUNTIF('W3'!$A$7:$A$50,RUNGIS!G36))+(COUNTIF('ATHIS MONS'!$A$7:$A$50,RUNGIS!G36))+(COUNTIF('L HAY LES ROSES'!$A$7:$A$50,RUNGIS!G36))+(COUNTIF(RUNGIS!$A$7:$A$50,RUNGIS!G36))+(COUNTIF(SCEAUX!$A$7:$A$50,RUNGIS!G36))+(COUNTIF('INSTANCE C1'!$A$7:$A$50,RUNGIS!G36))+(COUNTIF('INSTANCE C2'!$A$7:$A$50,RUNGIS!G36))+(COUNTIF(INTERNES!$A$7:$A$50,RUNGIS!G36))+(COUNTIF('EN PANNE'!$A$7:$A$50,RUNGIS!G36))</f>
        <v>0</v>
      </c>
      <c r="J36" s="28">
        <f t="shared" si="4"/>
        <v>0</v>
      </c>
      <c r="K36" s="2"/>
      <c r="L36" s="47"/>
      <c r="S36" s="60">
        <f t="shared" si="1"/>
        <v>0</v>
      </c>
      <c r="T36" s="67">
        <f t="shared" si="2"/>
        <v>0</v>
      </c>
    </row>
    <row r="37" spans="1:20" ht="24.95" customHeight="1" x14ac:dyDescent="0.2">
      <c r="A37" s="20"/>
      <c r="B37" s="23">
        <f>(COUNTIF('2S EXPRESS'!$A$7:$A$50,RUNGIS!A37))+(COUNTIF('2 ZT'!$A$7:$A$50,RUNGIS!A37))+(COUNTIF('GO TRANSPORT'!$A$7:$A$50,RUNGIS!A37))+(COUNTIF('HMZ - KAIS'!$A$7:$A$50,RUNGIS!A37))+(COUNTIF('IB TRANSPORT'!$A$7:$A$50,RUNGIS!A37))+(COUNTIF(JSL!$A$7:$A$50,RUNGIS!A37))+(COUNTIF(KIFAITOUT!$A$7:$A$50,RUNGIS!A37))+(COUNTIF('LUXE DRIVE'!$A$7:$A$50,RUNGIS!A37))+(COUNTIF(SSN!$A$7:$A$50,RUNGIS!A37))+(COUNTIF('W3'!$A$7:$A$50,RUNGIS!A37))+(COUNTIF('ATHIS MONS'!$A$7:$A$50,RUNGIS!A37))+(COUNTIF('L HAY LES ROSES'!$A$7:$A$50,RUNGIS!A37))+(COUNTIF(RUNGIS!$A$7:$A$50,RUNGIS!A37))+(COUNTIF(SCEAUX!$A$7:$A$50,RUNGIS!A37))+(COUNTIF('INSTANCE C1'!$A$7:$A$50,RUNGIS!A37))+(COUNTIF('INSTANCE C2'!$A$7:$A$50,RUNGIS!A37))+(COUNTIF(INTERNES!$A$7:$A$50,RUNGIS!A37))+(COUNTIF('EN PANNE'!$A$7:$A$50,RUNGIS!A37))-C37</f>
        <v>0</v>
      </c>
      <c r="C37" s="23">
        <f>(COUNTIF('2S EXPRESS'!$G$7:$G$50,RUNGIS!A37))+(COUNTIF('2 ZT'!$G$7:$G$50,RUNGIS!A37))+(COUNTIF('GO TRANSPORT'!$G$7:$G$50,RUNGIS!A37))+(COUNTIF(RUNGIS!$G$7:$G$50,RUNGIS!A37))+(COUNTIF('IB TRANSPORT'!$G$7:$G$50,RUNGIS!A37))+(COUNTIF(JSL!$G$7:$G$50,RUNGIS!A37))+(COUNTIF(KIFAITOUT!$G$7:$G$50,RUNGIS!A37))+(COUNTIF('LUXE DRIVE'!$G$7:$G$50,RUNGIS!A37))+(COUNTIF(SSN!$G$7:$G$50,RUNGIS!A37))+(COUNTIF('W3'!$G$7:$G$50,RUNGIS!A37))+(COUNTIF('ATHIS MONS'!$G$7:$G$50,RUNGIS!A37))+(COUNTIF('L HAY LES ROSES'!$G$7:$G$50,RUNGIS!A37))+(COUNTIF(RUNGIS!$G$7:$G$50,RUNGIS!A37))+(COUNTIF(SCEAUX!$G$7:$G$50,RUNGIS!A37))+(COUNTIF('INSTANCE C1'!$G$7:$G$50,RUNGIS!A37))+(COUNTIF('INSTANCE C2'!$G$7:$G$50,RUNGIS!A37))+(COUNTIF(INTERNES!$G$7:$G$50,RUNGIS!A37))+(COUNTIF('EN PANNE'!$G$7:$G$50,RUNGIS!A37))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EXPRESS'!$G$7:$G$50,RUNGIS!G37))+(COUNTIF('2 ZT'!$G$7:$G$50,RUNGIS!G37))+(COUNTIF('GO TRANSPORT'!$G$7:$G$50,RUNGIS!G37))+(COUNTIF('HMZ - KAIS'!$G$7:$G$50,RUNGIS!G37))+(COUNTIF('IB TRANSPORT'!$G$7:$G$50,RUNGIS!G37))+(COUNTIF(JSL!$G$7:$G$50,RUNGIS!G37))+(COUNTIF(KIFAITOUT!$G$7:$G$50,RUNGIS!G37))+(COUNTIF('LUXE DRIVE'!$G$7:$G$50,RUNGIS!G37))+(COUNTIF(SSN!$G$7:$G$50,RUNGIS!G37))+(COUNTIF('W3'!$G$7:$G$50,RUNGIS!G37))+(COUNTIF('ATHIS MONS'!$G$7:$G$50,RUNGIS!G37))+(COUNTIF('L HAY LES ROSES'!$G$7:$G$50,RUNGIS!G37))+(COUNTIF(RUNGIS!$G$7:$G$50,RUNGIS!G37))+(COUNTIF(SCEAUX!$G$7:$G$50,RUNGIS!G37))+(COUNTIF('INSTANCE C1'!$G$7:$G$50,RUNGIS!G37))+(COUNTIF('INSTANCE C2'!$G$7:$G$50,RUNGIS!G37))+(COUNTIF(INTERNES!$G$7:$G$50,RUNGIS!G37))+(COUNTIF('EN PANNE'!$G$7:$G$50,RUNGIS!G37))-I37</f>
        <v>0</v>
      </c>
      <c r="I37" s="23">
        <f>(COUNTIF('2S EXPRESS'!$A$7:$A$50,RUNGIS!G37))+(COUNTIF('2 ZT'!$A$7:$A$50,RUNGIS!G37))+(COUNTIF('GO TRANSPORT'!$A$7:$A$50,RUNGIS!G37))+(COUNTIF('HMZ - KAIS'!$A$7:$A$50,RUNGIS!G37))+(COUNTIF('IB TRANSPORT'!$A$7:$A$50,RUNGIS!G37))+(COUNTIF(JSL!$A$7:$A$50,RUNGIS!G37))+(COUNTIF(KIFAITOUT!$A$7:$A$50,RUNGIS!G37))+(COUNTIF('LUXE DRIVE'!$A$7:$A$50,RUNGIS!G37))+(COUNTIF(SSN!$A$7:$A$50,RUNGIS!G37))+(COUNTIF('W3'!$A$7:$A$50,RUNGIS!G37))+(COUNTIF('ATHIS MONS'!$A$7:$A$50,RUNGIS!G37))+(COUNTIF('L HAY LES ROSES'!$A$7:$A$50,RUNGIS!G37))+(COUNTIF(RUNGIS!$A$7:$A$50,RUNGIS!G37))+(COUNTIF(SCEAUX!$A$7:$A$50,RUNGIS!G37))+(COUNTIF('INSTANCE C1'!$A$7:$A$50,RUNGIS!G37))+(COUNTIF('INSTANCE C2'!$A$7:$A$50,RUNGIS!G37))+(COUNTIF(INTERNES!$A$7:$A$50,RUNGIS!G37))+(COUNTIF('EN PANNE'!$A$7:$A$50,RUNGIS!G37))</f>
        <v>0</v>
      </c>
      <c r="J37" s="28">
        <f t="shared" si="4"/>
        <v>0</v>
      </c>
      <c r="K37" s="2"/>
      <c r="L37" s="47"/>
      <c r="S37" s="60">
        <f t="shared" si="1"/>
        <v>0</v>
      </c>
      <c r="T37" s="67">
        <f t="shared" si="2"/>
        <v>0</v>
      </c>
    </row>
    <row r="38" spans="1:20" ht="24.95" customHeight="1" x14ac:dyDescent="0.2">
      <c r="A38" s="20"/>
      <c r="B38" s="23">
        <f>(COUNTIF('2S EXPRESS'!$A$7:$A$50,RUNGIS!A38))+(COUNTIF('2 ZT'!$A$7:$A$50,RUNGIS!A38))+(COUNTIF('GO TRANSPORT'!$A$7:$A$50,RUNGIS!A38))+(COUNTIF('HMZ - KAIS'!$A$7:$A$50,RUNGIS!A38))+(COUNTIF('IB TRANSPORT'!$A$7:$A$50,RUNGIS!A38))+(COUNTIF(JSL!$A$7:$A$50,RUNGIS!A38))+(COUNTIF(KIFAITOUT!$A$7:$A$50,RUNGIS!A38))+(COUNTIF('LUXE DRIVE'!$A$7:$A$50,RUNGIS!A38))+(COUNTIF(SSN!$A$7:$A$50,RUNGIS!A38))+(COUNTIF('W3'!$A$7:$A$50,RUNGIS!A38))+(COUNTIF('ATHIS MONS'!$A$7:$A$50,RUNGIS!A38))+(COUNTIF('L HAY LES ROSES'!$A$7:$A$50,RUNGIS!A38))+(COUNTIF(RUNGIS!$A$7:$A$50,RUNGIS!A38))+(COUNTIF(SCEAUX!$A$7:$A$50,RUNGIS!A38))+(COUNTIF('INSTANCE C1'!$A$7:$A$50,RUNGIS!A38))+(COUNTIF('INSTANCE C2'!$A$7:$A$50,RUNGIS!A38))+(COUNTIF(INTERNES!$A$7:$A$50,RUNGIS!A38))+(COUNTIF('EN PANNE'!$A$7:$A$50,RUNGIS!A38))-C38</f>
        <v>0</v>
      </c>
      <c r="C38" s="23">
        <f>(COUNTIF('2S EXPRESS'!$G$7:$G$50,RUNGIS!A38))+(COUNTIF('2 ZT'!$G$7:$G$50,RUNGIS!A38))+(COUNTIF('GO TRANSPORT'!$G$7:$G$50,RUNGIS!A38))+(COUNTIF(RUNGIS!$G$7:$G$50,RUNGIS!A38))+(COUNTIF('IB TRANSPORT'!$G$7:$G$50,RUNGIS!A38))+(COUNTIF(JSL!$G$7:$G$50,RUNGIS!A38))+(COUNTIF(KIFAITOUT!$G$7:$G$50,RUNGIS!A38))+(COUNTIF('LUXE DRIVE'!$G$7:$G$50,RUNGIS!A38))+(COUNTIF(SSN!$G$7:$G$50,RUNGIS!A38))+(COUNTIF('W3'!$G$7:$G$50,RUNGIS!A38))+(COUNTIF('ATHIS MONS'!$G$7:$G$50,RUNGIS!A38))+(COUNTIF('L HAY LES ROSES'!$G$7:$G$50,RUNGIS!A38))+(COUNTIF(RUNGIS!$G$7:$G$50,RUNGIS!A38))+(COUNTIF(SCEAUX!$G$7:$G$50,RUNGIS!A38))+(COUNTIF('INSTANCE C1'!$G$7:$G$50,RUNGIS!A38))+(COUNTIF('INSTANCE C2'!$G$7:$G$50,RUNGIS!A38))+(COUNTIF(INTERNES!$G$7:$G$50,RUNGIS!A38))+(COUNTIF('EN PANNE'!$G$7:$G$50,RUNGIS!A38))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EXPRESS'!$G$7:$G$50,RUNGIS!G38))+(COUNTIF('2 ZT'!$G$7:$G$50,RUNGIS!G38))+(COUNTIF('GO TRANSPORT'!$G$7:$G$50,RUNGIS!G38))+(COUNTIF('HMZ - KAIS'!$G$7:$G$50,RUNGIS!G38))+(COUNTIF('IB TRANSPORT'!$G$7:$G$50,RUNGIS!G38))+(COUNTIF(JSL!$G$7:$G$50,RUNGIS!G38))+(COUNTIF(KIFAITOUT!$G$7:$G$50,RUNGIS!G38))+(COUNTIF('LUXE DRIVE'!$G$7:$G$50,RUNGIS!G38))+(COUNTIF(SSN!$G$7:$G$50,RUNGIS!G38))+(COUNTIF('W3'!$G$7:$G$50,RUNGIS!G38))+(COUNTIF('ATHIS MONS'!$G$7:$G$50,RUNGIS!G38))+(COUNTIF('L HAY LES ROSES'!$G$7:$G$50,RUNGIS!G38))+(COUNTIF(RUNGIS!$G$7:$G$50,RUNGIS!G38))+(COUNTIF(SCEAUX!$G$7:$G$50,RUNGIS!G38))+(COUNTIF('INSTANCE C1'!$G$7:$G$50,RUNGIS!G38))+(COUNTIF('INSTANCE C2'!$G$7:$G$50,RUNGIS!G38))+(COUNTIF(INTERNES!$G$7:$G$50,RUNGIS!G38))+(COUNTIF('EN PANNE'!$G$7:$G$50,RUNGIS!G38))-I38</f>
        <v>0</v>
      </c>
      <c r="I38" s="23">
        <f>(COUNTIF('2S EXPRESS'!$A$7:$A$50,RUNGIS!G38))+(COUNTIF('2 ZT'!$A$7:$A$50,RUNGIS!G38))+(COUNTIF('GO TRANSPORT'!$A$7:$A$50,RUNGIS!G38))+(COUNTIF('HMZ - KAIS'!$A$7:$A$50,RUNGIS!G38))+(COUNTIF('IB TRANSPORT'!$A$7:$A$50,RUNGIS!G38))+(COUNTIF(JSL!$A$7:$A$50,RUNGIS!G38))+(COUNTIF(KIFAITOUT!$A$7:$A$50,RUNGIS!G38))+(COUNTIF('LUXE DRIVE'!$A$7:$A$50,RUNGIS!G38))+(COUNTIF(SSN!$A$7:$A$50,RUNGIS!G38))+(COUNTIF('W3'!$A$7:$A$50,RUNGIS!G38))+(COUNTIF('ATHIS MONS'!$A$7:$A$50,RUNGIS!G38))+(COUNTIF('L HAY LES ROSES'!$A$7:$A$50,RUNGIS!G38))+(COUNTIF(RUNGIS!$A$7:$A$50,RUNGIS!G38))+(COUNTIF(SCEAUX!$A$7:$A$50,RUNGIS!G38))+(COUNTIF('INSTANCE C1'!$A$7:$A$50,RUNGIS!G38))+(COUNTIF('INSTANCE C2'!$A$7:$A$50,RUNGIS!G38))+(COUNTIF(INTERNES!$A$7:$A$50,RUNGIS!G38))+(COUNTIF('EN PANNE'!$A$7:$A$50,RUNGIS!G38))</f>
        <v>0</v>
      </c>
      <c r="J38" s="28">
        <f t="shared" si="4"/>
        <v>0</v>
      </c>
      <c r="K38" s="2"/>
      <c r="L38" s="47"/>
      <c r="S38" s="60">
        <f t="shared" si="1"/>
        <v>0</v>
      </c>
      <c r="T38" s="67">
        <f t="shared" si="2"/>
        <v>0</v>
      </c>
    </row>
    <row r="39" spans="1:20" ht="24.95" customHeight="1" x14ac:dyDescent="0.2">
      <c r="A39" s="20"/>
      <c r="B39" s="23">
        <f>(COUNTIF('2S EXPRESS'!$A$7:$A$50,RUNGIS!A39))+(COUNTIF('2 ZT'!$A$7:$A$50,RUNGIS!A39))+(COUNTIF('GO TRANSPORT'!$A$7:$A$50,RUNGIS!A39))+(COUNTIF('HMZ - KAIS'!$A$7:$A$50,RUNGIS!A39))+(COUNTIF('IB TRANSPORT'!$A$7:$A$50,RUNGIS!A39))+(COUNTIF(JSL!$A$7:$A$50,RUNGIS!A39))+(COUNTIF(KIFAITOUT!$A$7:$A$50,RUNGIS!A39))+(COUNTIF('LUXE DRIVE'!$A$7:$A$50,RUNGIS!A39))+(COUNTIF(SSN!$A$7:$A$50,RUNGIS!A39))+(COUNTIF('W3'!$A$7:$A$50,RUNGIS!A39))+(COUNTIF('ATHIS MONS'!$A$7:$A$50,RUNGIS!A39))+(COUNTIF('L HAY LES ROSES'!$A$7:$A$50,RUNGIS!A39))+(COUNTIF(RUNGIS!$A$7:$A$50,RUNGIS!A39))+(COUNTIF(SCEAUX!$A$7:$A$50,RUNGIS!A39))+(COUNTIF('INSTANCE C1'!$A$7:$A$50,RUNGIS!A39))+(COUNTIF('INSTANCE C2'!$A$7:$A$50,RUNGIS!A39))+(COUNTIF(INTERNES!$A$7:$A$50,RUNGIS!A39))+(COUNTIF('EN PANNE'!$A$7:$A$50,RUNGIS!A39))-C39</f>
        <v>0</v>
      </c>
      <c r="C39" s="23">
        <f>(COUNTIF('2S EXPRESS'!$G$7:$G$50,RUNGIS!A39))+(COUNTIF('2 ZT'!$G$7:$G$50,RUNGIS!A39))+(COUNTIF('GO TRANSPORT'!$G$7:$G$50,RUNGIS!A39))+(COUNTIF(RUNGIS!$G$7:$G$50,RUNGIS!A39))+(COUNTIF('IB TRANSPORT'!$G$7:$G$50,RUNGIS!A39))+(COUNTIF(JSL!$G$7:$G$50,RUNGIS!A39))+(COUNTIF(KIFAITOUT!$G$7:$G$50,RUNGIS!A39))+(COUNTIF('LUXE DRIVE'!$G$7:$G$50,RUNGIS!A39))+(COUNTIF(SSN!$G$7:$G$50,RUNGIS!A39))+(COUNTIF('W3'!$G$7:$G$50,RUNGIS!A39))+(COUNTIF('ATHIS MONS'!$G$7:$G$50,RUNGIS!A39))+(COUNTIF('L HAY LES ROSES'!$G$7:$G$50,RUNGIS!A39))+(COUNTIF(RUNGIS!$G$7:$G$50,RUNGIS!A39))+(COUNTIF(SCEAUX!$G$7:$G$50,RUNGIS!A39))+(COUNTIF('INSTANCE C1'!$G$7:$G$50,RUNGIS!A39))+(COUNTIF('INSTANCE C2'!$G$7:$G$50,RUNGIS!A39))+(COUNTIF(INTERNES!$G$7:$G$50,RUNGIS!A39))+(COUNTIF('EN PANNE'!$G$7:$G$50,RUNGIS!A39))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EXPRESS'!$G$7:$G$50,RUNGIS!G39))+(COUNTIF('2 ZT'!$G$7:$G$50,RUNGIS!G39))+(COUNTIF('GO TRANSPORT'!$G$7:$G$50,RUNGIS!G39))+(COUNTIF('HMZ - KAIS'!$G$7:$G$50,RUNGIS!G39))+(COUNTIF('IB TRANSPORT'!$G$7:$G$50,RUNGIS!G39))+(COUNTIF(JSL!$G$7:$G$50,RUNGIS!G39))+(COUNTIF(KIFAITOUT!$G$7:$G$50,RUNGIS!G39))+(COUNTIF('LUXE DRIVE'!$G$7:$G$50,RUNGIS!G39))+(COUNTIF(SSN!$G$7:$G$50,RUNGIS!G39))+(COUNTIF('W3'!$G$7:$G$50,RUNGIS!G39))+(COUNTIF('ATHIS MONS'!$G$7:$G$50,RUNGIS!G39))+(COUNTIF('L HAY LES ROSES'!$G$7:$G$50,RUNGIS!G39))+(COUNTIF(RUNGIS!$G$7:$G$50,RUNGIS!G39))+(COUNTIF(SCEAUX!$G$7:$G$50,RUNGIS!G39))+(COUNTIF('INSTANCE C1'!$G$7:$G$50,RUNGIS!G39))+(COUNTIF('INSTANCE C2'!$G$7:$G$50,RUNGIS!G39))+(COUNTIF(INTERNES!$G$7:$G$50,RUNGIS!G39))+(COUNTIF('EN PANNE'!$G$7:$G$50,RUNGIS!G39))-I39</f>
        <v>0</v>
      </c>
      <c r="I39" s="23">
        <f>(COUNTIF('2S EXPRESS'!$A$7:$A$50,RUNGIS!G39))+(COUNTIF('2 ZT'!$A$7:$A$50,RUNGIS!G39))+(COUNTIF('GO TRANSPORT'!$A$7:$A$50,RUNGIS!G39))+(COUNTIF('HMZ - KAIS'!$A$7:$A$50,RUNGIS!G39))+(COUNTIF('IB TRANSPORT'!$A$7:$A$50,RUNGIS!G39))+(COUNTIF(JSL!$A$7:$A$50,RUNGIS!G39))+(COUNTIF(KIFAITOUT!$A$7:$A$50,RUNGIS!G39))+(COUNTIF('LUXE DRIVE'!$A$7:$A$50,RUNGIS!G39))+(COUNTIF(SSN!$A$7:$A$50,RUNGIS!G39))+(COUNTIF('W3'!$A$7:$A$50,RUNGIS!G39))+(COUNTIF('ATHIS MONS'!$A$7:$A$50,RUNGIS!G39))+(COUNTIF('L HAY LES ROSES'!$A$7:$A$50,RUNGIS!G39))+(COUNTIF(RUNGIS!$A$7:$A$50,RUNGIS!G39))+(COUNTIF(SCEAUX!$A$7:$A$50,RUNGIS!G39))+(COUNTIF('INSTANCE C1'!$A$7:$A$50,RUNGIS!G39))+(COUNTIF('INSTANCE C2'!$A$7:$A$50,RUNGIS!G39))+(COUNTIF(INTERNES!$A$7:$A$50,RUNGIS!G39))+(COUNTIF('EN PANNE'!$A$7:$A$50,RUNGIS!G39))</f>
        <v>0</v>
      </c>
      <c r="J39" s="28">
        <f t="shared" si="4"/>
        <v>0</v>
      </c>
      <c r="K39" s="2"/>
      <c r="L39" s="47"/>
      <c r="S39" s="60">
        <f t="shared" si="1"/>
        <v>0</v>
      </c>
      <c r="T39" s="67">
        <f t="shared" si="2"/>
        <v>0</v>
      </c>
    </row>
    <row r="40" spans="1:20" ht="24.95" customHeight="1" x14ac:dyDescent="0.2">
      <c r="A40" s="20"/>
      <c r="B40" s="23">
        <f>(COUNTIF('2S EXPRESS'!$A$7:$A$50,RUNGIS!A40))+(COUNTIF('2 ZT'!$A$7:$A$50,RUNGIS!A40))+(COUNTIF('GO TRANSPORT'!$A$7:$A$50,RUNGIS!A40))+(COUNTIF('HMZ - KAIS'!$A$7:$A$50,RUNGIS!A40))+(COUNTIF('IB TRANSPORT'!$A$7:$A$50,RUNGIS!A40))+(COUNTIF(JSL!$A$7:$A$50,RUNGIS!A40))+(COUNTIF(KIFAITOUT!$A$7:$A$50,RUNGIS!A40))+(COUNTIF('LUXE DRIVE'!$A$7:$A$50,RUNGIS!A40))+(COUNTIF(SSN!$A$7:$A$50,RUNGIS!A40))+(COUNTIF('W3'!$A$7:$A$50,RUNGIS!A40))+(COUNTIF('ATHIS MONS'!$A$7:$A$50,RUNGIS!A40))+(COUNTIF('L HAY LES ROSES'!$A$7:$A$50,RUNGIS!A40))+(COUNTIF(RUNGIS!$A$7:$A$50,RUNGIS!A40))+(COUNTIF(SCEAUX!$A$7:$A$50,RUNGIS!A40))+(COUNTIF('INSTANCE C1'!$A$7:$A$50,RUNGIS!A40))+(COUNTIF('INSTANCE C2'!$A$7:$A$50,RUNGIS!A40))+(COUNTIF(INTERNES!$A$7:$A$50,RUNGIS!A40))+(COUNTIF('EN PANNE'!$A$7:$A$50,RUNGIS!A40))-C40</f>
        <v>0</v>
      </c>
      <c r="C40" s="23">
        <f>(COUNTIF('2S EXPRESS'!$G$7:$G$50,RUNGIS!A40))+(COUNTIF('2 ZT'!$G$7:$G$50,RUNGIS!A40))+(COUNTIF('GO TRANSPORT'!$G$7:$G$50,RUNGIS!A40))+(COUNTIF(RUNGIS!$G$7:$G$50,RUNGIS!A40))+(COUNTIF('IB TRANSPORT'!$G$7:$G$50,RUNGIS!A40))+(COUNTIF(JSL!$G$7:$G$50,RUNGIS!A40))+(COUNTIF(KIFAITOUT!$G$7:$G$50,RUNGIS!A40))+(COUNTIF('LUXE DRIVE'!$G$7:$G$50,RUNGIS!A40))+(COUNTIF(SSN!$G$7:$G$50,RUNGIS!A40))+(COUNTIF('W3'!$G$7:$G$50,RUNGIS!A40))+(COUNTIF('ATHIS MONS'!$G$7:$G$50,RUNGIS!A40))+(COUNTIF('L HAY LES ROSES'!$G$7:$G$50,RUNGIS!A40))+(COUNTIF(RUNGIS!$G$7:$G$50,RUNGIS!A40))+(COUNTIF(SCEAUX!$G$7:$G$50,RUNGIS!A40))+(COUNTIF('INSTANCE C1'!$G$7:$G$50,RUNGIS!A40))+(COUNTIF('INSTANCE C2'!$G$7:$G$50,RUNGIS!A40))+(COUNTIF(INTERNES!$G$7:$G$50,RUNGIS!A40))+(COUNTIF('EN PANNE'!$G$7:$G$50,RUNGIS!A40))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EXPRESS'!$G$7:$G$50,RUNGIS!G40))+(COUNTIF('2 ZT'!$G$7:$G$50,RUNGIS!G40))+(COUNTIF('GO TRANSPORT'!$G$7:$G$50,RUNGIS!G40))+(COUNTIF('HMZ - KAIS'!$G$7:$G$50,RUNGIS!G40))+(COUNTIF('IB TRANSPORT'!$G$7:$G$50,RUNGIS!G40))+(COUNTIF(JSL!$G$7:$G$50,RUNGIS!G40))+(COUNTIF(KIFAITOUT!$G$7:$G$50,RUNGIS!G40))+(COUNTIF('LUXE DRIVE'!$G$7:$G$50,RUNGIS!G40))+(COUNTIF(SSN!$G$7:$G$50,RUNGIS!G40))+(COUNTIF('W3'!$G$7:$G$50,RUNGIS!G40))+(COUNTIF('ATHIS MONS'!$G$7:$G$50,RUNGIS!G40))+(COUNTIF('L HAY LES ROSES'!$G$7:$G$50,RUNGIS!G40))+(COUNTIF(RUNGIS!$G$7:$G$50,RUNGIS!G40))+(COUNTIF(SCEAUX!$G$7:$G$50,RUNGIS!G40))+(COUNTIF('INSTANCE C1'!$G$7:$G$50,RUNGIS!G40))+(COUNTIF('INSTANCE C2'!$G$7:$G$50,RUNGIS!G40))+(COUNTIF(INTERNES!$G$7:$G$50,RUNGIS!G40))+(COUNTIF('EN PANNE'!$G$7:$G$50,RUNGIS!G40))-I40</f>
        <v>0</v>
      </c>
      <c r="I40" s="23">
        <f>(COUNTIF('2S EXPRESS'!$A$7:$A$50,RUNGIS!G40))+(COUNTIF('2 ZT'!$A$7:$A$50,RUNGIS!G40))+(COUNTIF('GO TRANSPORT'!$A$7:$A$50,RUNGIS!G40))+(COUNTIF('HMZ - KAIS'!$A$7:$A$50,RUNGIS!G40))+(COUNTIF('IB TRANSPORT'!$A$7:$A$50,RUNGIS!G40))+(COUNTIF(JSL!$A$7:$A$50,RUNGIS!G40))+(COUNTIF(KIFAITOUT!$A$7:$A$50,RUNGIS!G40))+(COUNTIF('LUXE DRIVE'!$A$7:$A$50,RUNGIS!G40))+(COUNTIF(SSN!$A$7:$A$50,RUNGIS!G40))+(COUNTIF('W3'!$A$7:$A$50,RUNGIS!G40))+(COUNTIF('ATHIS MONS'!$A$7:$A$50,RUNGIS!G40))+(COUNTIF('L HAY LES ROSES'!$A$7:$A$50,RUNGIS!G40))+(COUNTIF(RUNGIS!$A$7:$A$50,RUNGIS!G40))+(COUNTIF(SCEAUX!$A$7:$A$50,RUNGIS!G40))+(COUNTIF('INSTANCE C1'!$A$7:$A$50,RUNGIS!G40))+(COUNTIF('INSTANCE C2'!$A$7:$A$50,RUNGIS!G40))+(COUNTIF(INTERNES!$A$7:$A$50,RUNGIS!G40))+(COUNTIF('EN PANNE'!$A$7:$A$50,RUNGIS!G40))</f>
        <v>0</v>
      </c>
      <c r="J40" s="28">
        <f t="shared" si="4"/>
        <v>0</v>
      </c>
      <c r="K40" s="2"/>
      <c r="L40" s="47"/>
      <c r="S40" s="60">
        <f t="shared" si="1"/>
        <v>0</v>
      </c>
      <c r="T40" s="67">
        <f t="shared" si="2"/>
        <v>0</v>
      </c>
    </row>
    <row r="41" spans="1:20" ht="24.95" customHeight="1" x14ac:dyDescent="0.2">
      <c r="A41" s="20"/>
      <c r="B41" s="23">
        <f>(COUNTIF('2S EXPRESS'!$A$7:$A$50,RUNGIS!A41))+(COUNTIF('2 ZT'!$A$7:$A$50,RUNGIS!A41))+(COUNTIF('GO TRANSPORT'!$A$7:$A$50,RUNGIS!A41))+(COUNTIF('HMZ - KAIS'!$A$7:$A$50,RUNGIS!A41))+(COUNTIF('IB TRANSPORT'!$A$7:$A$50,RUNGIS!A41))+(COUNTIF(JSL!$A$7:$A$50,RUNGIS!A41))+(COUNTIF(KIFAITOUT!$A$7:$A$50,RUNGIS!A41))+(COUNTIF('LUXE DRIVE'!$A$7:$A$50,RUNGIS!A41))+(COUNTIF(SSN!$A$7:$A$50,RUNGIS!A41))+(COUNTIF('W3'!$A$7:$A$50,RUNGIS!A41))+(COUNTIF('ATHIS MONS'!$A$7:$A$50,RUNGIS!A41))+(COUNTIF('L HAY LES ROSES'!$A$7:$A$50,RUNGIS!A41))+(COUNTIF(RUNGIS!$A$7:$A$50,RUNGIS!A41))+(COUNTIF(SCEAUX!$A$7:$A$50,RUNGIS!A41))+(COUNTIF('INSTANCE C1'!$A$7:$A$50,RUNGIS!A41))+(COUNTIF('INSTANCE C2'!$A$7:$A$50,RUNGIS!A41))+(COUNTIF(INTERNES!$A$7:$A$50,RUNGIS!A41))+(COUNTIF('EN PANNE'!$A$7:$A$50,RUNGIS!A41))-C41</f>
        <v>0</v>
      </c>
      <c r="C41" s="23">
        <f>(COUNTIF('2S EXPRESS'!$G$7:$G$50,RUNGIS!A41))+(COUNTIF('2 ZT'!$G$7:$G$50,RUNGIS!A41))+(COUNTIF('GO TRANSPORT'!$G$7:$G$50,RUNGIS!A41))+(COUNTIF(RUNGIS!$G$7:$G$50,RUNGIS!A41))+(COUNTIF('IB TRANSPORT'!$G$7:$G$50,RUNGIS!A41))+(COUNTIF(JSL!$G$7:$G$50,RUNGIS!A41))+(COUNTIF(KIFAITOUT!$G$7:$G$50,RUNGIS!A41))+(COUNTIF('LUXE DRIVE'!$G$7:$G$50,RUNGIS!A41))+(COUNTIF(SSN!$G$7:$G$50,RUNGIS!A41))+(COUNTIF('W3'!$G$7:$G$50,RUNGIS!A41))+(COUNTIF('ATHIS MONS'!$G$7:$G$50,RUNGIS!A41))+(COUNTIF('L HAY LES ROSES'!$G$7:$G$50,RUNGIS!A41))+(COUNTIF(RUNGIS!$G$7:$G$50,RUNGIS!A41))+(COUNTIF(SCEAUX!$G$7:$G$50,RUNGIS!A41))+(COUNTIF('INSTANCE C1'!$G$7:$G$50,RUNGIS!A41))+(COUNTIF('INSTANCE C2'!$G$7:$G$50,RUNGIS!A41))+(COUNTIF(INTERNES!$G$7:$G$50,RUNGIS!A41))+(COUNTIF('EN PANNE'!$G$7:$G$50,RUNGIS!A41))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EXPRESS'!$G$7:$G$50,RUNGIS!G41))+(COUNTIF('2 ZT'!$G$7:$G$50,RUNGIS!G41))+(COUNTIF('GO TRANSPORT'!$G$7:$G$50,RUNGIS!G41))+(COUNTIF('HMZ - KAIS'!$G$7:$G$50,RUNGIS!G41))+(COUNTIF('IB TRANSPORT'!$G$7:$G$50,RUNGIS!G41))+(COUNTIF(JSL!$G$7:$G$50,RUNGIS!G41))+(COUNTIF(KIFAITOUT!$G$7:$G$50,RUNGIS!G41))+(COUNTIF('LUXE DRIVE'!$G$7:$G$50,RUNGIS!G41))+(COUNTIF(SSN!$G$7:$G$50,RUNGIS!G41))+(COUNTIF('W3'!$G$7:$G$50,RUNGIS!G41))+(COUNTIF('ATHIS MONS'!$G$7:$G$50,RUNGIS!G41))+(COUNTIF('L HAY LES ROSES'!$G$7:$G$50,RUNGIS!G41))+(COUNTIF(RUNGIS!$G$7:$G$50,RUNGIS!G41))+(COUNTIF(SCEAUX!$G$7:$G$50,RUNGIS!G41))+(COUNTIF('INSTANCE C1'!$G$7:$G$50,RUNGIS!G41))+(COUNTIF('INSTANCE C2'!$G$7:$G$50,RUNGIS!G41))+(COUNTIF(INTERNES!$G$7:$G$50,RUNGIS!G41))+(COUNTIF('EN PANNE'!$G$7:$G$50,RUNGIS!G41))-I41</f>
        <v>0</v>
      </c>
      <c r="I41" s="23">
        <f>(COUNTIF('2S EXPRESS'!$A$7:$A$50,RUNGIS!G41))+(COUNTIF('2 ZT'!$A$7:$A$50,RUNGIS!G41))+(COUNTIF('GO TRANSPORT'!$A$7:$A$50,RUNGIS!G41))+(COUNTIF('HMZ - KAIS'!$A$7:$A$50,RUNGIS!G41))+(COUNTIF('IB TRANSPORT'!$A$7:$A$50,RUNGIS!G41))+(COUNTIF(JSL!$A$7:$A$50,RUNGIS!G41))+(COUNTIF(KIFAITOUT!$A$7:$A$50,RUNGIS!G41))+(COUNTIF('LUXE DRIVE'!$A$7:$A$50,RUNGIS!G41))+(COUNTIF(SSN!$A$7:$A$50,RUNGIS!G41))+(COUNTIF('W3'!$A$7:$A$50,RUNGIS!G41))+(COUNTIF('ATHIS MONS'!$A$7:$A$50,RUNGIS!G41))+(COUNTIF('L HAY LES ROSES'!$A$7:$A$50,RUNGIS!G41))+(COUNTIF(RUNGIS!$A$7:$A$50,RUNGIS!G41))+(COUNTIF(SCEAUX!$A$7:$A$50,RUNGIS!G41))+(COUNTIF('INSTANCE C1'!$A$7:$A$50,RUNGIS!G41))+(COUNTIF('INSTANCE C2'!$A$7:$A$50,RUNGIS!G41))+(COUNTIF(INTERNES!$A$7:$A$50,RUNGIS!G41))+(COUNTIF('EN PANNE'!$A$7:$A$50,RUNGIS!G41))</f>
        <v>0</v>
      </c>
      <c r="J41" s="28">
        <f t="shared" si="4"/>
        <v>0</v>
      </c>
      <c r="K41" s="2"/>
      <c r="L41" s="47"/>
      <c r="S41" s="60">
        <f t="shared" si="1"/>
        <v>0</v>
      </c>
      <c r="T41" s="67">
        <f t="shared" si="2"/>
        <v>0</v>
      </c>
    </row>
    <row r="42" spans="1:20" ht="24.95" customHeight="1" x14ac:dyDescent="0.2">
      <c r="A42" s="20"/>
      <c r="B42" s="23">
        <f>(COUNTIF('2S EXPRESS'!$A$7:$A$50,RUNGIS!A42))+(COUNTIF('2 ZT'!$A$7:$A$50,RUNGIS!A42))+(COUNTIF('GO TRANSPORT'!$A$7:$A$50,RUNGIS!A42))+(COUNTIF('HMZ - KAIS'!$A$7:$A$50,RUNGIS!A42))+(COUNTIF('IB TRANSPORT'!$A$7:$A$50,RUNGIS!A42))+(COUNTIF(JSL!$A$7:$A$50,RUNGIS!A42))+(COUNTIF(KIFAITOUT!$A$7:$A$50,RUNGIS!A42))+(COUNTIF('LUXE DRIVE'!$A$7:$A$50,RUNGIS!A42))+(COUNTIF(SSN!$A$7:$A$50,RUNGIS!A42))+(COUNTIF('W3'!$A$7:$A$50,RUNGIS!A42))+(COUNTIF('ATHIS MONS'!$A$7:$A$50,RUNGIS!A42))+(COUNTIF('L HAY LES ROSES'!$A$7:$A$50,RUNGIS!A42))+(COUNTIF(RUNGIS!$A$7:$A$50,RUNGIS!A42))+(COUNTIF(SCEAUX!$A$7:$A$50,RUNGIS!A42))+(COUNTIF('INSTANCE C1'!$A$7:$A$50,RUNGIS!A42))+(COUNTIF('INSTANCE C2'!$A$7:$A$50,RUNGIS!A42))+(COUNTIF(INTERNES!$A$7:$A$50,RUNGIS!A42))+(COUNTIF('EN PANNE'!$A$7:$A$50,RUNGIS!A42))-C42</f>
        <v>0</v>
      </c>
      <c r="C42" s="23">
        <f>(COUNTIF('2S EXPRESS'!$G$7:$G$50,RUNGIS!A42))+(COUNTIF('2 ZT'!$G$7:$G$50,RUNGIS!A42))+(COUNTIF('GO TRANSPORT'!$G$7:$G$50,RUNGIS!A42))+(COUNTIF(RUNGIS!$G$7:$G$50,RUNGIS!A42))+(COUNTIF('IB TRANSPORT'!$G$7:$G$50,RUNGIS!A42))+(COUNTIF(JSL!$G$7:$G$50,RUNGIS!A42))+(COUNTIF(KIFAITOUT!$G$7:$G$50,RUNGIS!A42))+(COUNTIF('LUXE DRIVE'!$G$7:$G$50,RUNGIS!A42))+(COUNTIF(SSN!$G$7:$G$50,RUNGIS!A42))+(COUNTIF('W3'!$G$7:$G$50,RUNGIS!A42))+(COUNTIF('ATHIS MONS'!$G$7:$G$50,RUNGIS!A42))+(COUNTIF('L HAY LES ROSES'!$G$7:$G$50,RUNGIS!A42))+(COUNTIF(RUNGIS!$G$7:$G$50,RUNGIS!A42))+(COUNTIF(SCEAUX!$G$7:$G$50,RUNGIS!A42))+(COUNTIF('INSTANCE C1'!$G$7:$G$50,RUNGIS!A42))+(COUNTIF('INSTANCE C2'!$G$7:$G$50,RUNGIS!A42))+(COUNTIF(INTERNES!$G$7:$G$50,RUNGIS!A42))+(COUNTIF('EN PANNE'!$G$7:$G$50,RUNGIS!A42))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EXPRESS'!$G$7:$G$50,RUNGIS!G42))+(COUNTIF('2 ZT'!$G$7:$G$50,RUNGIS!G42))+(COUNTIF('GO TRANSPORT'!$G$7:$G$50,RUNGIS!G42))+(COUNTIF('HMZ - KAIS'!$G$7:$G$50,RUNGIS!G42))+(COUNTIF('IB TRANSPORT'!$G$7:$G$50,RUNGIS!G42))+(COUNTIF(JSL!$G$7:$G$50,RUNGIS!G42))+(COUNTIF(KIFAITOUT!$G$7:$G$50,RUNGIS!G42))+(COUNTIF('LUXE DRIVE'!$G$7:$G$50,RUNGIS!G42))+(COUNTIF(SSN!$G$7:$G$50,RUNGIS!G42))+(COUNTIF('W3'!$G$7:$G$50,RUNGIS!G42))+(COUNTIF('ATHIS MONS'!$G$7:$G$50,RUNGIS!G42))+(COUNTIF('L HAY LES ROSES'!$G$7:$G$50,RUNGIS!G42))+(COUNTIF(RUNGIS!$G$7:$G$50,RUNGIS!G42))+(COUNTIF(SCEAUX!$G$7:$G$50,RUNGIS!G42))+(COUNTIF('INSTANCE C1'!$G$7:$G$50,RUNGIS!G42))+(COUNTIF('INSTANCE C2'!$G$7:$G$50,RUNGIS!G42))+(COUNTIF(INTERNES!$G$7:$G$50,RUNGIS!G42))+(COUNTIF('EN PANNE'!$G$7:$G$50,RUNGIS!G42))-I42</f>
        <v>0</v>
      </c>
      <c r="I42" s="23">
        <f>(COUNTIF('2S EXPRESS'!$A$7:$A$50,RUNGIS!G42))+(COUNTIF('2 ZT'!$A$7:$A$50,RUNGIS!G42))+(COUNTIF('GO TRANSPORT'!$A$7:$A$50,RUNGIS!G42))+(COUNTIF('HMZ - KAIS'!$A$7:$A$50,RUNGIS!G42))+(COUNTIF('IB TRANSPORT'!$A$7:$A$50,RUNGIS!G42))+(COUNTIF(JSL!$A$7:$A$50,RUNGIS!G42))+(COUNTIF(KIFAITOUT!$A$7:$A$50,RUNGIS!G42))+(COUNTIF('LUXE DRIVE'!$A$7:$A$50,RUNGIS!G42))+(COUNTIF(SSN!$A$7:$A$50,RUNGIS!G42))+(COUNTIF('W3'!$A$7:$A$50,RUNGIS!G42))+(COUNTIF('ATHIS MONS'!$A$7:$A$50,RUNGIS!G42))+(COUNTIF('L HAY LES ROSES'!$A$7:$A$50,RUNGIS!G42))+(COUNTIF(RUNGIS!$A$7:$A$50,RUNGIS!G42))+(COUNTIF(SCEAUX!$A$7:$A$50,RUNGIS!G42))+(COUNTIF('INSTANCE C1'!$A$7:$A$50,RUNGIS!G42))+(COUNTIF('INSTANCE C2'!$A$7:$A$50,RUNGIS!G42))+(COUNTIF(INTERNES!$A$7:$A$50,RUNGIS!G42))+(COUNTIF('EN PANNE'!$A$7:$A$50,RUNGIS!G42))</f>
        <v>0</v>
      </c>
      <c r="J42" s="28">
        <f t="shared" si="4"/>
        <v>0</v>
      </c>
      <c r="K42" s="2"/>
      <c r="L42" s="47"/>
      <c r="S42" s="60">
        <f t="shared" si="1"/>
        <v>0</v>
      </c>
      <c r="T42" s="67">
        <f t="shared" si="2"/>
        <v>0</v>
      </c>
    </row>
    <row r="43" spans="1:20" ht="24.95" customHeight="1" x14ac:dyDescent="0.2">
      <c r="A43" s="20"/>
      <c r="B43" s="23">
        <f>(COUNTIF('2S EXPRESS'!$A$7:$A$50,RUNGIS!A43))+(COUNTIF('2 ZT'!$A$7:$A$50,RUNGIS!A43))+(COUNTIF('GO TRANSPORT'!$A$7:$A$50,RUNGIS!A43))+(COUNTIF('HMZ - KAIS'!$A$7:$A$50,RUNGIS!A43))+(COUNTIF('IB TRANSPORT'!$A$7:$A$50,RUNGIS!A43))+(COUNTIF(JSL!$A$7:$A$50,RUNGIS!A43))+(COUNTIF(KIFAITOUT!$A$7:$A$50,RUNGIS!A43))+(COUNTIF('LUXE DRIVE'!$A$7:$A$50,RUNGIS!A43))+(COUNTIF(SSN!$A$7:$A$50,RUNGIS!A43))+(COUNTIF('W3'!$A$7:$A$50,RUNGIS!A43))+(COUNTIF('ATHIS MONS'!$A$7:$A$50,RUNGIS!A43))+(COUNTIF('L HAY LES ROSES'!$A$7:$A$50,RUNGIS!A43))+(COUNTIF(RUNGIS!$A$7:$A$50,RUNGIS!A43))+(COUNTIF(SCEAUX!$A$7:$A$50,RUNGIS!A43))+(COUNTIF('INSTANCE C1'!$A$7:$A$50,RUNGIS!A43))+(COUNTIF('INSTANCE C2'!$A$7:$A$50,RUNGIS!A43))+(COUNTIF(INTERNES!$A$7:$A$50,RUNGIS!A43))+(COUNTIF('EN PANNE'!$A$7:$A$50,RUNGIS!A43))-C43</f>
        <v>0</v>
      </c>
      <c r="C43" s="23">
        <f>(COUNTIF('2S EXPRESS'!$G$7:$G$50,RUNGIS!A43))+(COUNTIF('2 ZT'!$G$7:$G$50,RUNGIS!A43))+(COUNTIF('GO TRANSPORT'!$G$7:$G$50,RUNGIS!A43))+(COUNTIF(RUNGIS!$G$7:$G$50,RUNGIS!A43))+(COUNTIF('IB TRANSPORT'!$G$7:$G$50,RUNGIS!A43))+(COUNTIF(JSL!$G$7:$G$50,RUNGIS!A43))+(COUNTIF(KIFAITOUT!$G$7:$G$50,RUNGIS!A43))+(COUNTIF('LUXE DRIVE'!$G$7:$G$50,RUNGIS!A43))+(COUNTIF(SSN!$G$7:$G$50,RUNGIS!A43))+(COUNTIF('W3'!$G$7:$G$50,RUNGIS!A43))+(COUNTIF('ATHIS MONS'!$G$7:$G$50,RUNGIS!A43))+(COUNTIF('L HAY LES ROSES'!$G$7:$G$50,RUNGIS!A43))+(COUNTIF(RUNGIS!$G$7:$G$50,RUNGIS!A43))+(COUNTIF(SCEAUX!$G$7:$G$50,RUNGIS!A43))+(COUNTIF('INSTANCE C1'!$G$7:$G$50,RUNGIS!A43))+(COUNTIF('INSTANCE C2'!$G$7:$G$50,RUNGIS!A43))+(COUNTIF(INTERNES!$G$7:$G$50,RUNGIS!A43))+(COUNTIF('EN PANNE'!$G$7:$G$50,RUNGIS!A43))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EXPRESS'!$G$7:$G$50,RUNGIS!G43))+(COUNTIF('2 ZT'!$G$7:$G$50,RUNGIS!G43))+(COUNTIF('GO TRANSPORT'!$G$7:$G$50,RUNGIS!G43))+(COUNTIF('HMZ - KAIS'!$G$7:$G$50,RUNGIS!G43))+(COUNTIF('IB TRANSPORT'!$G$7:$G$50,RUNGIS!G43))+(COUNTIF(JSL!$G$7:$G$50,RUNGIS!G43))+(COUNTIF(KIFAITOUT!$G$7:$G$50,RUNGIS!G43))+(COUNTIF('LUXE DRIVE'!$G$7:$G$50,RUNGIS!G43))+(COUNTIF(SSN!$G$7:$G$50,RUNGIS!G43))+(COUNTIF('W3'!$G$7:$G$50,RUNGIS!G43))+(COUNTIF('ATHIS MONS'!$G$7:$G$50,RUNGIS!G43))+(COUNTIF('L HAY LES ROSES'!$G$7:$G$50,RUNGIS!G43))+(COUNTIF(RUNGIS!$G$7:$G$50,RUNGIS!G43))+(COUNTIF(SCEAUX!$G$7:$G$50,RUNGIS!G43))+(COUNTIF('INSTANCE C1'!$G$7:$G$50,RUNGIS!G43))+(COUNTIF('INSTANCE C2'!$G$7:$G$50,RUNGIS!G43))+(COUNTIF(INTERNES!$G$7:$G$50,RUNGIS!G43))+(COUNTIF('EN PANNE'!$G$7:$G$50,RUNGIS!G43))-I43</f>
        <v>0</v>
      </c>
      <c r="I43" s="23">
        <f>(COUNTIF('2S EXPRESS'!$A$7:$A$50,RUNGIS!G43))+(COUNTIF('2 ZT'!$A$7:$A$50,RUNGIS!G43))+(COUNTIF('GO TRANSPORT'!$A$7:$A$50,RUNGIS!G43))+(COUNTIF('HMZ - KAIS'!$A$7:$A$50,RUNGIS!G43))+(COUNTIF('IB TRANSPORT'!$A$7:$A$50,RUNGIS!G43))+(COUNTIF(JSL!$A$7:$A$50,RUNGIS!G43))+(COUNTIF(KIFAITOUT!$A$7:$A$50,RUNGIS!G43))+(COUNTIF('LUXE DRIVE'!$A$7:$A$50,RUNGIS!G43))+(COUNTIF(SSN!$A$7:$A$50,RUNGIS!G43))+(COUNTIF('W3'!$A$7:$A$50,RUNGIS!G43))+(COUNTIF('ATHIS MONS'!$A$7:$A$50,RUNGIS!G43))+(COUNTIF('L HAY LES ROSES'!$A$7:$A$50,RUNGIS!G43))+(COUNTIF(RUNGIS!$A$7:$A$50,RUNGIS!G43))+(COUNTIF(SCEAUX!$A$7:$A$50,RUNGIS!G43))+(COUNTIF('INSTANCE C1'!$A$7:$A$50,RUNGIS!G43))+(COUNTIF('INSTANCE C2'!$A$7:$A$50,RUNGIS!G43))+(COUNTIF(INTERNES!$A$7:$A$50,RUNGIS!G43))+(COUNTIF('EN PANNE'!$A$7:$A$50,RUNGIS!G43))</f>
        <v>0</v>
      </c>
      <c r="J43" s="28">
        <f t="shared" si="4"/>
        <v>0</v>
      </c>
      <c r="K43" s="2"/>
      <c r="L43" s="47"/>
      <c r="S43" s="60">
        <f t="shared" si="1"/>
        <v>0</v>
      </c>
      <c r="T43" s="67">
        <f t="shared" si="2"/>
        <v>0</v>
      </c>
    </row>
    <row r="44" spans="1:20" ht="24.95" customHeight="1" x14ac:dyDescent="0.2">
      <c r="A44" s="20"/>
      <c r="B44" s="23">
        <f>(COUNTIF('2S EXPRESS'!$A$7:$A$50,RUNGIS!A44))+(COUNTIF('2 ZT'!$A$7:$A$50,RUNGIS!A44))+(COUNTIF('GO TRANSPORT'!$A$7:$A$50,RUNGIS!A44))+(COUNTIF('HMZ - KAIS'!$A$7:$A$50,RUNGIS!A44))+(COUNTIF('IB TRANSPORT'!$A$7:$A$50,RUNGIS!A44))+(COUNTIF(JSL!$A$7:$A$50,RUNGIS!A44))+(COUNTIF(KIFAITOUT!$A$7:$A$50,RUNGIS!A44))+(COUNTIF('LUXE DRIVE'!$A$7:$A$50,RUNGIS!A44))+(COUNTIF(SSN!$A$7:$A$50,RUNGIS!A44))+(COUNTIF('W3'!$A$7:$A$50,RUNGIS!A44))+(COUNTIF('ATHIS MONS'!$A$7:$A$50,RUNGIS!A44))+(COUNTIF('L HAY LES ROSES'!$A$7:$A$50,RUNGIS!A44))+(COUNTIF(RUNGIS!$A$7:$A$50,RUNGIS!A44))+(COUNTIF(SCEAUX!$A$7:$A$50,RUNGIS!A44))+(COUNTIF('INSTANCE C1'!$A$7:$A$50,RUNGIS!A44))+(COUNTIF('INSTANCE C2'!$A$7:$A$50,RUNGIS!A44))+(COUNTIF(INTERNES!$A$7:$A$50,RUNGIS!A44))+(COUNTIF('EN PANNE'!$A$7:$A$50,RUNGIS!A44))-C44</f>
        <v>0</v>
      </c>
      <c r="C44" s="23">
        <f>(COUNTIF('2S EXPRESS'!$G$7:$G$50,RUNGIS!A44))+(COUNTIF('2 ZT'!$G$7:$G$50,RUNGIS!A44))+(COUNTIF('GO TRANSPORT'!$G$7:$G$50,RUNGIS!A44))+(COUNTIF(RUNGIS!$G$7:$G$50,RUNGIS!A44))+(COUNTIF('IB TRANSPORT'!$G$7:$G$50,RUNGIS!A44))+(COUNTIF(JSL!$G$7:$G$50,RUNGIS!A44))+(COUNTIF(KIFAITOUT!$G$7:$G$50,RUNGIS!A44))+(COUNTIF('LUXE DRIVE'!$G$7:$G$50,RUNGIS!A44))+(COUNTIF(SSN!$G$7:$G$50,RUNGIS!A44))+(COUNTIF('W3'!$G$7:$G$50,RUNGIS!A44))+(COUNTIF('ATHIS MONS'!$G$7:$G$50,RUNGIS!A44))+(COUNTIF('L HAY LES ROSES'!$G$7:$G$50,RUNGIS!A44))+(COUNTIF(RUNGIS!$G$7:$G$50,RUNGIS!A44))+(COUNTIF(SCEAUX!$G$7:$G$50,RUNGIS!A44))+(COUNTIF('INSTANCE C1'!$G$7:$G$50,RUNGIS!A44))+(COUNTIF('INSTANCE C2'!$G$7:$G$50,RUNGIS!A44))+(COUNTIF(INTERNES!$G$7:$G$50,RUNGIS!A44))+(COUNTIF('EN PANNE'!$G$7:$G$50,RUNGIS!A44))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EXPRESS'!$G$7:$G$50,RUNGIS!G44))+(COUNTIF('2 ZT'!$G$7:$G$50,RUNGIS!G44))+(COUNTIF('GO TRANSPORT'!$G$7:$G$50,RUNGIS!G44))+(COUNTIF('HMZ - KAIS'!$G$7:$G$50,RUNGIS!G44))+(COUNTIF('IB TRANSPORT'!$G$7:$G$50,RUNGIS!G44))+(COUNTIF(JSL!$G$7:$G$50,RUNGIS!G44))+(COUNTIF(KIFAITOUT!$G$7:$G$50,RUNGIS!G44))+(COUNTIF('LUXE DRIVE'!$G$7:$G$50,RUNGIS!G44))+(COUNTIF(SSN!$G$7:$G$50,RUNGIS!G44))+(COUNTIF('W3'!$G$7:$G$50,RUNGIS!G44))+(COUNTIF('ATHIS MONS'!$G$7:$G$50,RUNGIS!G44))+(COUNTIF('L HAY LES ROSES'!$G$7:$G$50,RUNGIS!G44))+(COUNTIF(RUNGIS!$G$7:$G$50,RUNGIS!G44))+(COUNTIF(SCEAUX!$G$7:$G$50,RUNGIS!G44))+(COUNTIF('INSTANCE C1'!$G$7:$G$50,RUNGIS!G44))+(COUNTIF('INSTANCE C2'!$G$7:$G$50,RUNGIS!G44))+(COUNTIF(INTERNES!$G$7:$G$50,RUNGIS!G44))+(COUNTIF('EN PANNE'!$G$7:$G$50,RUNGIS!G44))-I44</f>
        <v>0</v>
      </c>
      <c r="I44" s="23">
        <f>(COUNTIF('2S EXPRESS'!$A$7:$A$50,RUNGIS!G44))+(COUNTIF('2 ZT'!$A$7:$A$50,RUNGIS!G44))+(COUNTIF('GO TRANSPORT'!$A$7:$A$50,RUNGIS!G44))+(COUNTIF('HMZ - KAIS'!$A$7:$A$50,RUNGIS!G44))+(COUNTIF('IB TRANSPORT'!$A$7:$A$50,RUNGIS!G44))+(COUNTIF(JSL!$A$7:$A$50,RUNGIS!G44))+(COUNTIF(KIFAITOUT!$A$7:$A$50,RUNGIS!G44))+(COUNTIF('LUXE DRIVE'!$A$7:$A$50,RUNGIS!G44))+(COUNTIF(SSN!$A$7:$A$50,RUNGIS!G44))+(COUNTIF('W3'!$A$7:$A$50,RUNGIS!G44))+(COUNTIF('ATHIS MONS'!$A$7:$A$50,RUNGIS!G44))+(COUNTIF('L HAY LES ROSES'!$A$7:$A$50,RUNGIS!G44))+(COUNTIF(RUNGIS!$A$7:$A$50,RUNGIS!G44))+(COUNTIF(SCEAUX!$A$7:$A$50,RUNGIS!G44))+(COUNTIF('INSTANCE C1'!$A$7:$A$50,RUNGIS!G44))+(COUNTIF('INSTANCE C2'!$A$7:$A$50,RUNGIS!G44))+(COUNTIF(INTERNES!$A$7:$A$50,RUNGIS!G44))+(COUNTIF('EN PANNE'!$A$7:$A$50,RUNGIS!G44))</f>
        <v>0</v>
      </c>
      <c r="J44" s="28">
        <f t="shared" si="4"/>
        <v>0</v>
      </c>
      <c r="K44" s="2"/>
      <c r="L44" s="47"/>
      <c r="S44" s="60">
        <f t="shared" si="1"/>
        <v>0</v>
      </c>
      <c r="T44" s="67">
        <f t="shared" si="2"/>
        <v>0</v>
      </c>
    </row>
    <row r="45" spans="1:20" ht="24.95" customHeight="1" x14ac:dyDescent="0.2">
      <c r="A45" s="20"/>
      <c r="B45" s="23">
        <f>(COUNTIF('2S EXPRESS'!$A$7:$A$50,RUNGIS!A45))+(COUNTIF('2 ZT'!$A$7:$A$50,RUNGIS!A45))+(COUNTIF('GO TRANSPORT'!$A$7:$A$50,RUNGIS!A45))+(COUNTIF('HMZ - KAIS'!$A$7:$A$50,RUNGIS!A45))+(COUNTIF('IB TRANSPORT'!$A$7:$A$50,RUNGIS!A45))+(COUNTIF(JSL!$A$7:$A$50,RUNGIS!A45))+(COUNTIF(KIFAITOUT!$A$7:$A$50,RUNGIS!A45))+(COUNTIF('LUXE DRIVE'!$A$7:$A$50,RUNGIS!A45))+(COUNTIF(SSN!$A$7:$A$50,RUNGIS!A45))+(COUNTIF('W3'!$A$7:$A$50,RUNGIS!A45))+(COUNTIF('ATHIS MONS'!$A$7:$A$50,RUNGIS!A45))+(COUNTIF('L HAY LES ROSES'!$A$7:$A$50,RUNGIS!A45))+(COUNTIF(RUNGIS!$A$7:$A$50,RUNGIS!A45))+(COUNTIF(SCEAUX!$A$7:$A$50,RUNGIS!A45))+(COUNTIF('INSTANCE C1'!$A$7:$A$50,RUNGIS!A45))+(COUNTIF('INSTANCE C2'!$A$7:$A$50,RUNGIS!A45))+(COUNTIF(INTERNES!$A$7:$A$50,RUNGIS!A45))+(COUNTIF('EN PANNE'!$A$7:$A$50,RUNGIS!A45))-C45</f>
        <v>0</v>
      </c>
      <c r="C45" s="23">
        <f>(COUNTIF('2S EXPRESS'!$G$7:$G$50,RUNGIS!A45))+(COUNTIF('2 ZT'!$G$7:$G$50,RUNGIS!A45))+(COUNTIF('GO TRANSPORT'!$G$7:$G$50,RUNGIS!A45))+(COUNTIF(RUNGIS!$G$7:$G$50,RUNGIS!A45))+(COUNTIF('IB TRANSPORT'!$G$7:$G$50,RUNGIS!A45))+(COUNTIF(JSL!$G$7:$G$50,RUNGIS!A45))+(COUNTIF(KIFAITOUT!$G$7:$G$50,RUNGIS!A45))+(COUNTIF('LUXE DRIVE'!$G$7:$G$50,RUNGIS!A45))+(COUNTIF(SSN!$G$7:$G$50,RUNGIS!A45))+(COUNTIF('W3'!$G$7:$G$50,RUNGIS!A45))+(COUNTIF('ATHIS MONS'!$G$7:$G$50,RUNGIS!A45))+(COUNTIF('L HAY LES ROSES'!$G$7:$G$50,RUNGIS!A45))+(COUNTIF(RUNGIS!$G$7:$G$50,RUNGIS!A45))+(COUNTIF(SCEAUX!$G$7:$G$50,RUNGIS!A45))+(COUNTIF('INSTANCE C1'!$G$7:$G$50,RUNGIS!A45))+(COUNTIF('INSTANCE C2'!$G$7:$G$50,RUNGIS!A45))+(COUNTIF(INTERNES!$G$7:$G$50,RUNGIS!A45))+(COUNTIF('EN PANNE'!$G$7:$G$50,RUNGIS!A45))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EXPRESS'!$G$7:$G$50,RUNGIS!G45))+(COUNTIF('2 ZT'!$G$7:$G$50,RUNGIS!G45))+(COUNTIF('GO TRANSPORT'!$G$7:$G$50,RUNGIS!G45))+(COUNTIF('HMZ - KAIS'!$G$7:$G$50,RUNGIS!G45))+(COUNTIF('IB TRANSPORT'!$G$7:$G$50,RUNGIS!G45))+(COUNTIF(JSL!$G$7:$G$50,RUNGIS!G45))+(COUNTIF(KIFAITOUT!$G$7:$G$50,RUNGIS!G45))+(COUNTIF('LUXE DRIVE'!$G$7:$G$50,RUNGIS!G45))+(COUNTIF(SSN!$G$7:$G$50,RUNGIS!G45))+(COUNTIF('W3'!$G$7:$G$50,RUNGIS!G45))+(COUNTIF('ATHIS MONS'!$G$7:$G$50,RUNGIS!G45))+(COUNTIF('L HAY LES ROSES'!$G$7:$G$50,RUNGIS!G45))+(COUNTIF(RUNGIS!$G$7:$G$50,RUNGIS!G45))+(COUNTIF(SCEAUX!$G$7:$G$50,RUNGIS!G45))+(COUNTIF('INSTANCE C1'!$G$7:$G$50,RUNGIS!G45))+(COUNTIF('INSTANCE C2'!$G$7:$G$50,RUNGIS!G45))+(COUNTIF(INTERNES!$G$7:$G$50,RUNGIS!G45))+(COUNTIF('EN PANNE'!$G$7:$G$50,RUNGIS!G45))-I45</f>
        <v>0</v>
      </c>
      <c r="I45" s="23">
        <f>(COUNTIF('2S EXPRESS'!$A$7:$A$50,RUNGIS!G45))+(COUNTIF('2 ZT'!$A$7:$A$50,RUNGIS!G45))+(COUNTIF('GO TRANSPORT'!$A$7:$A$50,RUNGIS!G45))+(COUNTIF('HMZ - KAIS'!$A$7:$A$50,RUNGIS!G45))+(COUNTIF('IB TRANSPORT'!$A$7:$A$50,RUNGIS!G45))+(COUNTIF(JSL!$A$7:$A$50,RUNGIS!G45))+(COUNTIF(KIFAITOUT!$A$7:$A$50,RUNGIS!G45))+(COUNTIF('LUXE DRIVE'!$A$7:$A$50,RUNGIS!G45))+(COUNTIF(SSN!$A$7:$A$50,RUNGIS!G45))+(COUNTIF('W3'!$A$7:$A$50,RUNGIS!G45))+(COUNTIF('ATHIS MONS'!$A$7:$A$50,RUNGIS!G45))+(COUNTIF('L HAY LES ROSES'!$A$7:$A$50,RUNGIS!G45))+(COUNTIF(RUNGIS!$A$7:$A$50,RUNGIS!G45))+(COUNTIF(SCEAUX!$A$7:$A$50,RUNGIS!G45))+(COUNTIF('INSTANCE C1'!$A$7:$A$50,RUNGIS!G45))+(COUNTIF('INSTANCE C2'!$A$7:$A$50,RUNGIS!G45))+(COUNTIF(INTERNES!$A$7:$A$50,RUNGIS!G45))+(COUNTIF('EN PANNE'!$A$7:$A$50,RUNGIS!G45))</f>
        <v>0</v>
      </c>
      <c r="J45" s="28">
        <f t="shared" si="4"/>
        <v>0</v>
      </c>
      <c r="K45" s="2"/>
      <c r="L45" s="47"/>
      <c r="S45" s="60">
        <f t="shared" si="1"/>
        <v>0</v>
      </c>
      <c r="T45" s="67">
        <f t="shared" si="2"/>
        <v>0</v>
      </c>
    </row>
    <row r="46" spans="1:20" ht="24.95" customHeight="1" x14ac:dyDescent="0.2">
      <c r="A46" s="20"/>
      <c r="B46" s="23">
        <f>(COUNTIF('2S EXPRESS'!$A$7:$A$50,RUNGIS!A46))+(COUNTIF('2 ZT'!$A$7:$A$50,RUNGIS!A46))+(COUNTIF('GO TRANSPORT'!$A$7:$A$50,RUNGIS!A46))+(COUNTIF('HMZ - KAIS'!$A$7:$A$50,RUNGIS!A46))+(COUNTIF('IB TRANSPORT'!$A$7:$A$50,RUNGIS!A46))+(COUNTIF(JSL!$A$7:$A$50,RUNGIS!A46))+(COUNTIF(KIFAITOUT!$A$7:$A$50,RUNGIS!A46))+(COUNTIF('LUXE DRIVE'!$A$7:$A$50,RUNGIS!A46))+(COUNTIF(SSN!$A$7:$A$50,RUNGIS!A46))+(COUNTIF('W3'!$A$7:$A$50,RUNGIS!A46))+(COUNTIF('ATHIS MONS'!$A$7:$A$50,RUNGIS!A46))+(COUNTIF('L HAY LES ROSES'!$A$7:$A$50,RUNGIS!A46))+(COUNTIF(RUNGIS!$A$7:$A$50,RUNGIS!A46))+(COUNTIF(SCEAUX!$A$7:$A$50,RUNGIS!A46))+(COUNTIF('INSTANCE C1'!$A$7:$A$50,RUNGIS!A46))+(COUNTIF('INSTANCE C2'!$A$7:$A$50,RUNGIS!A46))+(COUNTIF(INTERNES!$A$7:$A$50,RUNGIS!A46))+(COUNTIF('EN PANNE'!$A$7:$A$50,RUNGIS!A46))-C46</f>
        <v>0</v>
      </c>
      <c r="C46" s="23">
        <f>(COUNTIF('2S EXPRESS'!$G$7:$G$50,RUNGIS!A46))+(COUNTIF('2 ZT'!$G$7:$G$50,RUNGIS!A46))+(COUNTIF('GO TRANSPORT'!$G$7:$G$50,RUNGIS!A46))+(COUNTIF(RUNGIS!$G$7:$G$50,RUNGIS!A46))+(COUNTIF('IB TRANSPORT'!$G$7:$G$50,RUNGIS!A46))+(COUNTIF(JSL!$G$7:$G$50,RUNGIS!A46))+(COUNTIF(KIFAITOUT!$G$7:$G$50,RUNGIS!A46))+(COUNTIF('LUXE DRIVE'!$G$7:$G$50,RUNGIS!A46))+(COUNTIF(SSN!$G$7:$G$50,RUNGIS!A46))+(COUNTIF('W3'!$G$7:$G$50,RUNGIS!A46))+(COUNTIF('ATHIS MONS'!$G$7:$G$50,RUNGIS!A46))+(COUNTIF('L HAY LES ROSES'!$G$7:$G$50,RUNGIS!A46))+(COUNTIF(RUNGIS!$G$7:$G$50,RUNGIS!A46))+(COUNTIF(SCEAUX!$G$7:$G$50,RUNGIS!A46))+(COUNTIF('INSTANCE C1'!$G$7:$G$50,RUNGIS!A46))+(COUNTIF('INSTANCE C2'!$G$7:$G$50,RUNGIS!A46))+(COUNTIF(INTERNES!$G$7:$G$50,RUNGIS!A46))+(COUNTIF('EN PANNE'!$G$7:$G$50,RUNGIS!A46))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EXPRESS'!$G$7:$G$50,RUNGIS!G46))+(COUNTIF('2 ZT'!$G$7:$G$50,RUNGIS!G46))+(COUNTIF('GO TRANSPORT'!$G$7:$G$50,RUNGIS!G46))+(COUNTIF('HMZ - KAIS'!$G$7:$G$50,RUNGIS!G46))+(COUNTIF('IB TRANSPORT'!$G$7:$G$50,RUNGIS!G46))+(COUNTIF(JSL!$G$7:$G$50,RUNGIS!G46))+(COUNTIF(KIFAITOUT!$G$7:$G$50,RUNGIS!G46))+(COUNTIF('LUXE DRIVE'!$G$7:$G$50,RUNGIS!G46))+(COUNTIF(SSN!$G$7:$G$50,RUNGIS!G46))+(COUNTIF('W3'!$G$7:$G$50,RUNGIS!G46))+(COUNTIF('ATHIS MONS'!$G$7:$G$50,RUNGIS!G46))+(COUNTIF('L HAY LES ROSES'!$G$7:$G$50,RUNGIS!G46))+(COUNTIF(RUNGIS!$G$7:$G$50,RUNGIS!G46))+(COUNTIF(SCEAUX!$G$7:$G$50,RUNGIS!G46))+(COUNTIF('INSTANCE C1'!$G$7:$G$50,RUNGIS!G46))+(COUNTIF('INSTANCE C2'!$G$7:$G$50,RUNGIS!G46))+(COUNTIF(INTERNES!$G$7:$G$50,RUNGIS!G46))+(COUNTIF('EN PANNE'!$G$7:$G$50,RUNGIS!G46))-I46</f>
        <v>0</v>
      </c>
      <c r="I46" s="23">
        <f>(COUNTIF('2S EXPRESS'!$A$7:$A$50,RUNGIS!G46))+(COUNTIF('2 ZT'!$A$7:$A$50,RUNGIS!G46))+(COUNTIF('GO TRANSPORT'!$A$7:$A$50,RUNGIS!G46))+(COUNTIF('HMZ - KAIS'!$A$7:$A$50,RUNGIS!G46))+(COUNTIF('IB TRANSPORT'!$A$7:$A$50,RUNGIS!G46))+(COUNTIF(JSL!$A$7:$A$50,RUNGIS!G46))+(COUNTIF(KIFAITOUT!$A$7:$A$50,RUNGIS!G46))+(COUNTIF('LUXE DRIVE'!$A$7:$A$50,RUNGIS!G46))+(COUNTIF(SSN!$A$7:$A$50,RUNGIS!G46))+(COUNTIF('W3'!$A$7:$A$50,RUNGIS!G46))+(COUNTIF('ATHIS MONS'!$A$7:$A$50,RUNGIS!G46))+(COUNTIF('L HAY LES ROSES'!$A$7:$A$50,RUNGIS!G46))+(COUNTIF(RUNGIS!$A$7:$A$50,RUNGIS!G46))+(COUNTIF(SCEAUX!$A$7:$A$50,RUNGIS!G46))+(COUNTIF('INSTANCE C1'!$A$7:$A$50,RUNGIS!G46))+(COUNTIF('INSTANCE C2'!$A$7:$A$50,RUNGIS!G46))+(COUNTIF(INTERNES!$A$7:$A$50,RUNGIS!G46))+(COUNTIF('EN PANNE'!$A$7:$A$50,RUNGIS!G46))</f>
        <v>0</v>
      </c>
      <c r="J46" s="28">
        <f t="shared" si="4"/>
        <v>0</v>
      </c>
      <c r="K46" s="2"/>
      <c r="L46" s="47"/>
      <c r="S46" s="60">
        <f t="shared" si="1"/>
        <v>0</v>
      </c>
      <c r="T46" s="67">
        <f t="shared" si="2"/>
        <v>0</v>
      </c>
    </row>
    <row r="47" spans="1:20" ht="24.95" customHeight="1" x14ac:dyDescent="0.2">
      <c r="A47" s="20"/>
      <c r="B47" s="23">
        <f>(COUNTIF('2S EXPRESS'!$A$7:$A$50,RUNGIS!A47))+(COUNTIF('2 ZT'!$A$7:$A$50,RUNGIS!A47))+(COUNTIF('GO TRANSPORT'!$A$7:$A$50,RUNGIS!A47))+(COUNTIF('HMZ - KAIS'!$A$7:$A$50,RUNGIS!A47))+(COUNTIF('IB TRANSPORT'!$A$7:$A$50,RUNGIS!A47))+(COUNTIF(JSL!$A$7:$A$50,RUNGIS!A47))+(COUNTIF(KIFAITOUT!$A$7:$A$50,RUNGIS!A47))+(COUNTIF('LUXE DRIVE'!$A$7:$A$50,RUNGIS!A47))+(COUNTIF(SSN!$A$7:$A$50,RUNGIS!A47))+(COUNTIF('W3'!$A$7:$A$50,RUNGIS!A47))+(COUNTIF('ATHIS MONS'!$A$7:$A$50,RUNGIS!A47))+(COUNTIF('L HAY LES ROSES'!$A$7:$A$50,RUNGIS!A47))+(COUNTIF(RUNGIS!$A$7:$A$50,RUNGIS!A47))+(COUNTIF(SCEAUX!$A$7:$A$50,RUNGIS!A47))+(COUNTIF('INSTANCE C1'!$A$7:$A$50,RUNGIS!A47))+(COUNTIF('INSTANCE C2'!$A$7:$A$50,RUNGIS!A47))+(COUNTIF(INTERNES!$A$7:$A$50,RUNGIS!A47))+(COUNTIF('EN PANNE'!$A$7:$A$50,RUNGIS!A47))-C47</f>
        <v>0</v>
      </c>
      <c r="C47" s="23">
        <f>(COUNTIF('2S EXPRESS'!$G$7:$G$50,RUNGIS!A47))+(COUNTIF('2 ZT'!$G$7:$G$50,RUNGIS!A47))+(COUNTIF('GO TRANSPORT'!$G$7:$G$50,RUNGIS!A47))+(COUNTIF(RUNGIS!$G$7:$G$50,RUNGIS!A47))+(COUNTIF('IB TRANSPORT'!$G$7:$G$50,RUNGIS!A47))+(COUNTIF(JSL!$G$7:$G$50,RUNGIS!A47))+(COUNTIF(KIFAITOUT!$G$7:$G$50,RUNGIS!A47))+(COUNTIF('LUXE DRIVE'!$G$7:$G$50,RUNGIS!A47))+(COUNTIF(SSN!$G$7:$G$50,RUNGIS!A47))+(COUNTIF('W3'!$G$7:$G$50,RUNGIS!A47))+(COUNTIF('ATHIS MONS'!$G$7:$G$50,RUNGIS!A47))+(COUNTIF('L HAY LES ROSES'!$G$7:$G$50,RUNGIS!A47))+(COUNTIF(RUNGIS!$G$7:$G$50,RUNGIS!A47))+(COUNTIF(SCEAUX!$G$7:$G$50,RUNGIS!A47))+(COUNTIF('INSTANCE C1'!$G$7:$G$50,RUNGIS!A47))+(COUNTIF('INSTANCE C2'!$G$7:$G$50,RUNGIS!A47))+(COUNTIF(INTERNES!$G$7:$G$50,RUNGIS!A47))+(COUNTIF('EN PANNE'!$G$7:$G$50,RUNGIS!A47))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EXPRESS'!$G$7:$G$50,RUNGIS!G47))+(COUNTIF('2 ZT'!$G$7:$G$50,RUNGIS!G47))+(COUNTIF('GO TRANSPORT'!$G$7:$G$50,RUNGIS!G47))+(COUNTIF('HMZ - KAIS'!$G$7:$G$50,RUNGIS!G47))+(COUNTIF('IB TRANSPORT'!$G$7:$G$50,RUNGIS!G47))+(COUNTIF(JSL!$G$7:$G$50,RUNGIS!G47))+(COUNTIF(KIFAITOUT!$G$7:$G$50,RUNGIS!G47))+(COUNTIF('LUXE DRIVE'!$G$7:$G$50,RUNGIS!G47))+(COUNTIF(SSN!$G$7:$G$50,RUNGIS!G47))+(COUNTIF('W3'!$G$7:$G$50,RUNGIS!G47))+(COUNTIF('ATHIS MONS'!$G$7:$G$50,RUNGIS!G47))+(COUNTIF('L HAY LES ROSES'!$G$7:$G$50,RUNGIS!G47))+(COUNTIF(RUNGIS!$G$7:$G$50,RUNGIS!G47))+(COUNTIF(SCEAUX!$G$7:$G$50,RUNGIS!G47))+(COUNTIF('INSTANCE C1'!$G$7:$G$50,RUNGIS!G47))+(COUNTIF('INSTANCE C2'!$G$7:$G$50,RUNGIS!G47))+(COUNTIF(INTERNES!$G$7:$G$50,RUNGIS!G47))+(COUNTIF('EN PANNE'!$G$7:$G$50,RUNGIS!G47))-I47</f>
        <v>0</v>
      </c>
      <c r="I47" s="23">
        <f>(COUNTIF('2S EXPRESS'!$A$7:$A$50,RUNGIS!G47))+(COUNTIF('2 ZT'!$A$7:$A$50,RUNGIS!G47))+(COUNTIF('GO TRANSPORT'!$A$7:$A$50,RUNGIS!G47))+(COUNTIF('HMZ - KAIS'!$A$7:$A$50,RUNGIS!G47))+(COUNTIF('IB TRANSPORT'!$A$7:$A$50,RUNGIS!G47))+(COUNTIF(JSL!$A$7:$A$50,RUNGIS!G47))+(COUNTIF(KIFAITOUT!$A$7:$A$50,RUNGIS!G47))+(COUNTIF('LUXE DRIVE'!$A$7:$A$50,RUNGIS!G47))+(COUNTIF(SSN!$A$7:$A$50,RUNGIS!G47))+(COUNTIF('W3'!$A$7:$A$50,RUNGIS!G47))+(COUNTIF('ATHIS MONS'!$A$7:$A$50,RUNGIS!G47))+(COUNTIF('L HAY LES ROSES'!$A$7:$A$50,RUNGIS!G47))+(COUNTIF(RUNGIS!$A$7:$A$50,RUNGIS!G47))+(COUNTIF(SCEAUX!$A$7:$A$50,RUNGIS!G47))+(COUNTIF('INSTANCE C1'!$A$7:$A$50,RUNGIS!G47))+(COUNTIF('INSTANCE C2'!$A$7:$A$50,RUNGIS!G47))+(COUNTIF(INTERNES!$A$7:$A$50,RUNGIS!G47))+(COUNTIF('EN PANNE'!$A$7:$A$50,RUNGIS!G47))</f>
        <v>0</v>
      </c>
      <c r="J47" s="28">
        <f t="shared" si="4"/>
        <v>0</v>
      </c>
      <c r="K47" s="2"/>
      <c r="L47" s="47"/>
      <c r="S47" s="60">
        <f t="shared" si="1"/>
        <v>0</v>
      </c>
      <c r="T47" s="67">
        <f t="shared" si="2"/>
        <v>0</v>
      </c>
    </row>
    <row r="48" spans="1:20" ht="24.95" customHeight="1" x14ac:dyDescent="0.2">
      <c r="A48" s="20"/>
      <c r="B48" s="23">
        <f>(COUNTIF('2S EXPRESS'!$A$7:$A$50,RUNGIS!A48))+(COUNTIF('2 ZT'!$A$7:$A$50,RUNGIS!A48))+(COUNTIF('GO TRANSPORT'!$A$7:$A$50,RUNGIS!A48))+(COUNTIF('HMZ - KAIS'!$A$7:$A$50,RUNGIS!A48))+(COUNTIF('IB TRANSPORT'!$A$7:$A$50,RUNGIS!A48))+(COUNTIF(JSL!$A$7:$A$50,RUNGIS!A48))+(COUNTIF(KIFAITOUT!$A$7:$A$50,RUNGIS!A48))+(COUNTIF('LUXE DRIVE'!$A$7:$A$50,RUNGIS!A48))+(COUNTIF(SSN!$A$7:$A$50,RUNGIS!A48))+(COUNTIF('W3'!$A$7:$A$50,RUNGIS!A48))+(COUNTIF('ATHIS MONS'!$A$7:$A$50,RUNGIS!A48))+(COUNTIF('L HAY LES ROSES'!$A$7:$A$50,RUNGIS!A48))+(COUNTIF(RUNGIS!$A$7:$A$50,RUNGIS!A48))+(COUNTIF(SCEAUX!$A$7:$A$50,RUNGIS!A48))+(COUNTIF('INSTANCE C1'!$A$7:$A$50,RUNGIS!A48))+(COUNTIF('INSTANCE C2'!$A$7:$A$50,RUNGIS!A48))+(COUNTIF(INTERNES!$A$7:$A$50,RUNGIS!A48))+(COUNTIF('EN PANNE'!$A$7:$A$50,RUNGIS!A48))-C48</f>
        <v>0</v>
      </c>
      <c r="C48" s="23">
        <f>(COUNTIF('2S EXPRESS'!$G$7:$G$50,RUNGIS!A48))+(COUNTIF('2 ZT'!$G$7:$G$50,RUNGIS!A48))+(COUNTIF('GO TRANSPORT'!$G$7:$G$50,RUNGIS!A48))+(COUNTIF(RUNGIS!$G$7:$G$50,RUNGIS!A48))+(COUNTIF('IB TRANSPORT'!$G$7:$G$50,RUNGIS!A48))+(COUNTIF(JSL!$G$7:$G$50,RUNGIS!A48))+(COUNTIF(KIFAITOUT!$G$7:$G$50,RUNGIS!A48))+(COUNTIF('LUXE DRIVE'!$G$7:$G$50,RUNGIS!A48))+(COUNTIF(SSN!$G$7:$G$50,RUNGIS!A48))+(COUNTIF('W3'!$G$7:$G$50,RUNGIS!A48))+(COUNTIF('ATHIS MONS'!$G$7:$G$50,RUNGIS!A48))+(COUNTIF('L HAY LES ROSES'!$G$7:$G$50,RUNGIS!A48))+(COUNTIF(RUNGIS!$G$7:$G$50,RUNGIS!A48))+(COUNTIF(SCEAUX!$G$7:$G$50,RUNGIS!A48))+(COUNTIF('INSTANCE C1'!$G$7:$G$50,RUNGIS!A48))+(COUNTIF('INSTANCE C2'!$G$7:$G$50,RUNGIS!A48))+(COUNTIF(INTERNES!$G$7:$G$50,RUNGIS!A48))+(COUNTIF('EN PANNE'!$G$7:$G$50,RUNGIS!A48))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EXPRESS'!$G$7:$G$50,RUNGIS!G48))+(COUNTIF('2 ZT'!$G$7:$G$50,RUNGIS!G48))+(COUNTIF('GO TRANSPORT'!$G$7:$G$50,RUNGIS!G48))+(COUNTIF('HMZ - KAIS'!$G$7:$G$50,RUNGIS!G48))+(COUNTIF('IB TRANSPORT'!$G$7:$G$50,RUNGIS!G48))+(COUNTIF(JSL!$G$7:$G$50,RUNGIS!G48))+(COUNTIF(KIFAITOUT!$G$7:$G$50,RUNGIS!G48))+(COUNTIF('LUXE DRIVE'!$G$7:$G$50,RUNGIS!G48))+(COUNTIF(SSN!$G$7:$G$50,RUNGIS!G48))+(COUNTIF('W3'!$G$7:$G$50,RUNGIS!G48))+(COUNTIF('ATHIS MONS'!$G$7:$G$50,RUNGIS!G48))+(COUNTIF('L HAY LES ROSES'!$G$7:$G$50,RUNGIS!G48))+(COUNTIF(RUNGIS!$G$7:$G$50,RUNGIS!G48))+(COUNTIF(SCEAUX!$G$7:$G$50,RUNGIS!G48))+(COUNTIF('INSTANCE C1'!$G$7:$G$50,RUNGIS!G48))+(COUNTIF('INSTANCE C2'!$G$7:$G$50,RUNGIS!G48))+(COUNTIF(INTERNES!$G$7:$G$50,RUNGIS!G48))+(COUNTIF('EN PANNE'!$G$7:$G$50,RUNGIS!G48))-I48</f>
        <v>0</v>
      </c>
      <c r="I48" s="23">
        <f>(COUNTIF('2S EXPRESS'!$A$7:$A$50,RUNGIS!G48))+(COUNTIF('2 ZT'!$A$7:$A$50,RUNGIS!G48))+(COUNTIF('GO TRANSPORT'!$A$7:$A$50,RUNGIS!G48))+(COUNTIF('HMZ - KAIS'!$A$7:$A$50,RUNGIS!G48))+(COUNTIF('IB TRANSPORT'!$A$7:$A$50,RUNGIS!G48))+(COUNTIF(JSL!$A$7:$A$50,RUNGIS!G48))+(COUNTIF(KIFAITOUT!$A$7:$A$50,RUNGIS!G48))+(COUNTIF('LUXE DRIVE'!$A$7:$A$50,RUNGIS!G48))+(COUNTIF(SSN!$A$7:$A$50,RUNGIS!G48))+(COUNTIF('W3'!$A$7:$A$50,RUNGIS!G48))+(COUNTIF('ATHIS MONS'!$A$7:$A$50,RUNGIS!G48))+(COUNTIF('L HAY LES ROSES'!$A$7:$A$50,RUNGIS!G48))+(COUNTIF(RUNGIS!$A$7:$A$50,RUNGIS!G48))+(COUNTIF(SCEAUX!$A$7:$A$50,RUNGIS!G48))+(COUNTIF('INSTANCE C1'!$A$7:$A$50,RUNGIS!G48))+(COUNTIF('INSTANCE C2'!$A$7:$A$50,RUNGIS!G48))+(COUNTIF(INTERNES!$A$7:$A$50,RUNGIS!G48))+(COUNTIF('EN PANNE'!$A$7:$A$50,RUNGIS!G48))</f>
        <v>0</v>
      </c>
      <c r="J48" s="28">
        <f t="shared" si="4"/>
        <v>0</v>
      </c>
      <c r="K48" s="2"/>
      <c r="L48" s="47"/>
      <c r="S48" s="60">
        <f t="shared" si="1"/>
        <v>0</v>
      </c>
      <c r="T48" s="67">
        <f t="shared" si="2"/>
        <v>0</v>
      </c>
    </row>
    <row r="49" spans="1:20" ht="24.95" customHeight="1" x14ac:dyDescent="0.2">
      <c r="A49" s="20"/>
      <c r="B49" s="23">
        <f>(COUNTIF('2S EXPRESS'!$A$7:$A$50,RUNGIS!A49))+(COUNTIF('2 ZT'!$A$7:$A$50,RUNGIS!A49))+(COUNTIF('GO TRANSPORT'!$A$7:$A$50,RUNGIS!A49))+(COUNTIF('HMZ - KAIS'!$A$7:$A$50,RUNGIS!A49))+(COUNTIF('IB TRANSPORT'!$A$7:$A$50,RUNGIS!A49))+(COUNTIF(JSL!$A$7:$A$50,RUNGIS!A49))+(COUNTIF(KIFAITOUT!$A$7:$A$50,RUNGIS!A49))+(COUNTIF('LUXE DRIVE'!$A$7:$A$50,RUNGIS!A49))+(COUNTIF(SSN!$A$7:$A$50,RUNGIS!A49))+(COUNTIF('W3'!$A$7:$A$50,RUNGIS!A49))+(COUNTIF('ATHIS MONS'!$A$7:$A$50,RUNGIS!A49))+(COUNTIF('L HAY LES ROSES'!$A$7:$A$50,RUNGIS!A49))+(COUNTIF(RUNGIS!$A$7:$A$50,RUNGIS!A49))+(COUNTIF(SCEAUX!$A$7:$A$50,RUNGIS!A49))+(COUNTIF('INSTANCE C1'!$A$7:$A$50,RUNGIS!A49))+(COUNTIF('INSTANCE C2'!$A$7:$A$50,RUNGIS!A49))+(COUNTIF(INTERNES!$A$7:$A$50,RUNGIS!A49))+(COUNTIF('EN PANNE'!$A$7:$A$50,RUNGIS!A49))-C49</f>
        <v>0</v>
      </c>
      <c r="C49" s="23">
        <f>(COUNTIF('2S EXPRESS'!$G$7:$G$50,RUNGIS!A49))+(COUNTIF('2 ZT'!$G$7:$G$50,RUNGIS!A49))+(COUNTIF('GO TRANSPORT'!$G$7:$G$50,RUNGIS!A49))+(COUNTIF(RUNGIS!$G$7:$G$50,RUNGIS!A49))+(COUNTIF('IB TRANSPORT'!$G$7:$G$50,RUNGIS!A49))+(COUNTIF(JSL!$G$7:$G$50,RUNGIS!A49))+(COUNTIF(KIFAITOUT!$G$7:$G$50,RUNGIS!A49))+(COUNTIF('LUXE DRIVE'!$G$7:$G$50,RUNGIS!A49))+(COUNTIF(SSN!$G$7:$G$50,RUNGIS!A49))+(COUNTIF('W3'!$G$7:$G$50,RUNGIS!A49))+(COUNTIF('ATHIS MONS'!$G$7:$G$50,RUNGIS!A49))+(COUNTIF('L HAY LES ROSES'!$G$7:$G$50,RUNGIS!A49))+(COUNTIF(RUNGIS!$G$7:$G$50,RUNGIS!A49))+(COUNTIF(SCEAUX!$G$7:$G$50,RUNGIS!A49))+(COUNTIF('INSTANCE C1'!$G$7:$G$50,RUNGIS!A49))+(COUNTIF('INSTANCE C2'!$G$7:$G$50,RUNGIS!A49))+(COUNTIF(INTERNES!$G$7:$G$50,RUNGIS!A49))+(COUNTIF('EN PANNE'!$G$7:$G$50,RUNGIS!A49))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EXPRESS'!$G$7:$G$50,RUNGIS!G49))+(COUNTIF('2 ZT'!$G$7:$G$50,RUNGIS!G49))+(COUNTIF('GO TRANSPORT'!$G$7:$G$50,RUNGIS!G49))+(COUNTIF('HMZ - KAIS'!$G$7:$G$50,RUNGIS!G49))+(COUNTIF('IB TRANSPORT'!$G$7:$G$50,RUNGIS!G49))+(COUNTIF(JSL!$G$7:$G$50,RUNGIS!G49))+(COUNTIF(KIFAITOUT!$G$7:$G$50,RUNGIS!G49))+(COUNTIF('LUXE DRIVE'!$G$7:$G$50,RUNGIS!G49))+(COUNTIF(SSN!$G$7:$G$50,RUNGIS!G49))+(COUNTIF('W3'!$G$7:$G$50,RUNGIS!G49))+(COUNTIF('ATHIS MONS'!$G$7:$G$50,RUNGIS!G49))+(COUNTIF('L HAY LES ROSES'!$G$7:$G$50,RUNGIS!G49))+(COUNTIF(RUNGIS!$G$7:$G$50,RUNGIS!G49))+(COUNTIF(SCEAUX!$G$7:$G$50,RUNGIS!G49))+(COUNTIF('INSTANCE C1'!$G$7:$G$50,RUNGIS!G49))+(COUNTIF('INSTANCE C2'!$G$7:$G$50,RUNGIS!G49))+(COUNTIF(INTERNES!$G$7:$G$50,RUNGIS!G49))+(COUNTIF('EN PANNE'!$G$7:$G$50,RUNGIS!G49))-I49</f>
        <v>0</v>
      </c>
      <c r="I49" s="23">
        <f>(COUNTIF('2S EXPRESS'!$A$7:$A$50,RUNGIS!G49))+(COUNTIF('2 ZT'!$A$7:$A$50,RUNGIS!G49))+(COUNTIF('GO TRANSPORT'!$A$7:$A$50,RUNGIS!G49))+(COUNTIF('HMZ - KAIS'!$A$7:$A$50,RUNGIS!G49))+(COUNTIF('IB TRANSPORT'!$A$7:$A$50,RUNGIS!G49))+(COUNTIF(JSL!$A$7:$A$50,RUNGIS!G49))+(COUNTIF(KIFAITOUT!$A$7:$A$50,RUNGIS!G49))+(COUNTIF('LUXE DRIVE'!$A$7:$A$50,RUNGIS!G49))+(COUNTIF(SSN!$A$7:$A$50,RUNGIS!G49))+(COUNTIF('W3'!$A$7:$A$50,RUNGIS!G49))+(COUNTIF('ATHIS MONS'!$A$7:$A$50,RUNGIS!G49))+(COUNTIF('L HAY LES ROSES'!$A$7:$A$50,RUNGIS!G49))+(COUNTIF(RUNGIS!$A$7:$A$50,RUNGIS!G49))+(COUNTIF(SCEAUX!$A$7:$A$50,RUNGIS!G49))+(COUNTIF('INSTANCE C1'!$A$7:$A$50,RUNGIS!G49))+(COUNTIF('INSTANCE C2'!$A$7:$A$50,RUNGIS!G49))+(COUNTIF(INTERNES!$A$7:$A$50,RUNGIS!G49))+(COUNTIF('EN PANNE'!$A$7:$A$50,RUNGIS!G49))</f>
        <v>0</v>
      </c>
      <c r="J49" s="28">
        <f t="shared" si="4"/>
        <v>0</v>
      </c>
      <c r="K49" s="2"/>
      <c r="L49" s="47"/>
      <c r="S49" s="60">
        <f t="shared" si="1"/>
        <v>0</v>
      </c>
      <c r="T49" s="67">
        <f t="shared" si="2"/>
        <v>0</v>
      </c>
    </row>
    <row r="50" spans="1:20" ht="24.95" customHeight="1" thickBot="1" x14ac:dyDescent="0.25">
      <c r="A50" s="21"/>
      <c r="B50" s="25">
        <f>(COUNTIF('2S EXPRESS'!$A$7:$A$50,RUNGIS!A50))+(COUNTIF('2 ZT'!$A$7:$A$50,RUNGIS!A50))+(COUNTIF('GO TRANSPORT'!$A$7:$A$50,RUNGIS!A50))+(COUNTIF('HMZ - KAIS'!$A$7:$A$50,RUNGIS!A50))+(COUNTIF('IB TRANSPORT'!$A$7:$A$50,RUNGIS!A50))+(COUNTIF(JSL!$A$7:$A$50,RUNGIS!A50))+(COUNTIF(KIFAITOUT!$A$7:$A$50,RUNGIS!A50))+(COUNTIF('LUXE DRIVE'!$A$7:$A$50,RUNGIS!A50))+(COUNTIF(SSN!$A$7:$A$50,RUNGIS!A50))+(COUNTIF('W3'!$A$7:$A$50,RUNGIS!A50))+(COUNTIF('ATHIS MONS'!$A$7:$A$50,RUNGIS!A50))+(COUNTIF('L HAY LES ROSES'!$A$7:$A$50,RUNGIS!A50))+(COUNTIF(RUNGIS!$A$7:$A$50,RUNGIS!A50))+(COUNTIF(SCEAUX!$A$7:$A$50,RUNGIS!A50))+(COUNTIF('INSTANCE C1'!$A$7:$A$50,RUNGIS!A50))+(COUNTIF('INSTANCE C2'!$A$7:$A$50,RUNGIS!A50))+(COUNTIF(INTERNES!$A$7:$A$50,RUNGIS!A50))+(COUNTIF('EN PANNE'!$A$7:$A$50,RUNGIS!A50))-C50</f>
        <v>0</v>
      </c>
      <c r="C50" s="23">
        <f>(COUNTIF('2S EXPRESS'!$G$7:$G$50,'HMZ - KAIS'!A50))+(COUNTIF('2 ZT'!$G$7:$G$50,'HMZ - KAIS'!A50))+(COUNTIF('GO TRANSPORT'!$G$7:$G$50,'HMZ - KAIS'!A50))+(COUNTIF('HMZ - KAIS'!$G$7:$G$50,'HMZ - KAIS'!A50))+(COUNTIF('IB TRANSPORT'!$G$7:$G$50,'HMZ - KAIS'!A50))+(COUNTIF(JSL!$G$7:$G$50,'HMZ - KAIS'!A50))+(COUNTIF(KIFAITOUT!$G$7:$G$50,'HMZ - KAIS'!A50))+(COUNTIF('LUXE DRIVE'!$G$7:$G$50,'HMZ - KAIS'!A50))+(COUNTIF(SSN!$G$7:$G$50,'HMZ - KAIS'!A50))+(COUNTIF('W3'!$G$7:$G$50,'HMZ - KAIS'!A50))+(COUNTIF('ATHIS MONS'!$G$7:$G$50,'HMZ - KAIS'!A50))+(COUNTIF('L HAY LES ROSES'!$G$7:$G$50,'HMZ - KAIS'!A50))+(COUNTIF(RUNGIS!$G$7:$G$50,'HMZ - KAIS'!A50))+(COUNTIF(SCEAUX!$G$7:$G$50,'HMZ - KAIS'!A50))+(COUNTIF('INSTANCE C1'!$G$7:$G$50,'HMZ - KAIS'!A50))+(COUNTIF('INSTANCE C2'!$G$7:$G$50,'HMZ - KAIS'!A50))+(COUNTIF(INTERNES!$G$7:$G$50,'HMZ - KAIS'!A50))+(COUNTIF('EN PANNE'!$G$7:$G$50,'HMZ - KAIS'!A50))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EXPRESS'!$G$7:$G$50,RUNGIS!G50))+(COUNTIF('2 ZT'!$G$7:$G$50,RUNGIS!G50))+(COUNTIF('GO TRANSPORT'!$G$7:$G$50,RUNGIS!G50))+(COUNTIF('HMZ - KAIS'!$G$7:$G$50,RUNGIS!G50))+(COUNTIF('IB TRANSPORT'!$G$7:$G$50,RUNGIS!G50))+(COUNTIF(JSL!$G$7:$G$50,RUNGIS!G50))+(COUNTIF(KIFAITOUT!$G$7:$G$50,RUNGIS!G50))+(COUNTIF('LUXE DRIVE'!$G$7:$G$50,RUNGIS!G50))+(COUNTIF(SSN!$G$7:$G$50,RUNGIS!G50))+(COUNTIF('W3'!$G$7:$G$50,RUNGIS!G50))+(COUNTIF('ATHIS MONS'!$G$7:$G$50,RUNGIS!G50))+(COUNTIF('L HAY LES ROSES'!$G$7:$G$50,RUNGIS!G50))+(COUNTIF(RUNGIS!$G$7:$G$50,RUNGIS!G50))+(COUNTIF(SCEAUX!$G$7:$G$50,RUNGIS!G50))+(COUNTIF('INSTANCE C1'!$G$7:$G$50,RUNGIS!G50))+(COUNTIF('INSTANCE C2'!$G$7:$G$50,RUNGIS!G50))+(COUNTIF(INTERNES!$G$7:$G$50,RUNGIS!G50))+(COUNTIF('EN PANNE'!$G$7:$G$50,RUNGIS!G50))-I50</f>
        <v>0</v>
      </c>
      <c r="I50" s="25">
        <f>(COUNTIF('2S EXPRESS'!$A$7:$A$50,RUNGIS!G50))+(COUNTIF('2 ZT'!$A$7:$A$50,RUNGIS!G50))+(COUNTIF('GO TRANSPORT'!$A$7:$A$50,RUNGIS!G50))+(COUNTIF('HMZ - KAIS'!$A$7:$A$50,RUNGIS!G50))+(COUNTIF('IB TRANSPORT'!$A$7:$A$50,RUNGIS!G50))+(COUNTIF(JSL!$A$7:$A$50,RUNGIS!G50))+(COUNTIF(KIFAITOUT!$A$7:$A$50,RUNGIS!G50))+(COUNTIF('LUXE DRIVE'!$A$7:$A$50,RUNGIS!G50))+(COUNTIF(SSN!$A$7:$A$50,RUNGIS!G50))+(COUNTIF('W3'!$A$7:$A$50,RUNGIS!G50))+(COUNTIF('ATHIS MONS'!$A$7:$A$50,RUNGIS!G50))+(COUNTIF('L HAY LES ROSES'!$A$7:$A$50,RUNGIS!G50))+(COUNTIF(RUNGIS!$A$7:$A$50,RUNGIS!G50))+(COUNTIF(SCEAUX!$A$7:$A$50,RUNGIS!G50))+(COUNTIF('INSTANCE C1'!$A$7:$A$50,RUNGIS!G50))+(COUNTIF('INSTANCE C2'!$A$7:$A$50,RUNGIS!G50))+(COUNTIF(INTERNES!$A$7:$A$50,RUNGIS!G50))+(COUNTIF('EN PANNE'!$A$7:$A$50,RUNGIS!G50))</f>
        <v>0</v>
      </c>
      <c r="J50" s="29">
        <f t="shared" si="4"/>
        <v>0</v>
      </c>
      <c r="K50" s="3"/>
      <c r="L50" s="47"/>
      <c r="S50" s="60">
        <f t="shared" si="1"/>
        <v>0</v>
      </c>
      <c r="T50" s="67">
        <f t="shared" si="2"/>
        <v>0</v>
      </c>
    </row>
    <row r="51" spans="1:20" x14ac:dyDescent="0.2">
      <c r="A51" s="9"/>
    </row>
    <row r="52" spans="1:20" x14ac:dyDescent="0.2">
      <c r="A52" s="9"/>
    </row>
    <row r="53" spans="1:20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</row>
  </sheetData>
  <mergeCells count="13">
    <mergeCell ref="M12:P12"/>
    <mergeCell ref="B2:E3"/>
    <mergeCell ref="G2:K3"/>
    <mergeCell ref="A4:E4"/>
    <mergeCell ref="G4:K4"/>
    <mergeCell ref="G5:G6"/>
    <mergeCell ref="K5:K6"/>
    <mergeCell ref="M8:P8"/>
    <mergeCell ref="M9:P9"/>
    <mergeCell ref="M11:P11"/>
    <mergeCell ref="F5:F6"/>
    <mergeCell ref="A5:A6"/>
    <mergeCell ref="E5:E6"/>
  </mergeCells>
  <conditionalFormatting sqref="F7:F50">
    <cfRule type="cellIs" dxfId="61" priority="10" operator="equal">
      <formula>1</formula>
    </cfRule>
  </conditionalFormatting>
  <conditionalFormatting sqref="A7:A50">
    <cfRule type="duplicateValues" dxfId="60" priority="8"/>
  </conditionalFormatting>
  <conditionalFormatting sqref="L7:L50">
    <cfRule type="cellIs" dxfId="59" priority="7" operator="greaterThan">
      <formula>0</formula>
    </cfRule>
  </conditionalFormatting>
  <conditionalFormatting sqref="D7">
    <cfRule type="cellIs" dxfId="58" priority="6" operator="greaterThan">
      <formula>0</formula>
    </cfRule>
  </conditionalFormatting>
  <conditionalFormatting sqref="D8:D50">
    <cfRule type="cellIs" dxfId="57" priority="5" operator="greaterThan">
      <formula>0</formula>
    </cfRule>
  </conditionalFormatting>
  <conditionalFormatting sqref="G7:G50">
    <cfRule type="duplicateValues" dxfId="56" priority="4"/>
  </conditionalFormatting>
  <conditionalFormatting sqref="J7">
    <cfRule type="cellIs" dxfId="55" priority="3" operator="greaterThan">
      <formula>0</formula>
    </cfRule>
  </conditionalFormatting>
  <conditionalFormatting sqref="J8:J50">
    <cfRule type="cellIs" dxfId="54" priority="2" operator="greaterThan">
      <formula>0</formula>
    </cfRule>
  </conditionalFormatting>
  <conditionalFormatting sqref="S7:S50">
    <cfRule type="cellIs" dxfId="53" priority="1" operator="greaterThan">
      <formula>0</formula>
    </cfRule>
  </conditionalFormatting>
  <dataValidations count="1">
    <dataValidation type="list" allowBlank="1" showInputMessage="1" showErrorMessage="1" sqref="K7:K50 E7:E50" xr:uid="{94BF6EFB-3353-4786-9641-7494E02F1B3D}">
      <formula1>$Q$9:$Q$17</formula1>
    </dataValidation>
  </dataValidations>
  <pageMargins left="0.25" right="0.25" top="0.75" bottom="0.75" header="0.3" footer="0.3"/>
  <pageSetup paperSize="9" scale="88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09712FD9-0FC3-4375-A855-084CBC4F1A72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18ECA-C602-41E5-AD4A-3AFC6359DFE0}">
  <sheetPr codeName="Feuil16">
    <tabColor rgb="FF92D050"/>
    <pageSetUpPr fitToPage="1"/>
  </sheetPr>
  <dimension ref="A1:Z53"/>
  <sheetViews>
    <sheetView showGridLines="0" zoomScaleNormal="100" workbookViewId="0">
      <selection activeCell="X19" sqref="X19"/>
    </sheetView>
  </sheetViews>
  <sheetFormatPr baseColWidth="10" defaultColWidth="11.42578125" defaultRowHeight="12.75" x14ac:dyDescent="0.2"/>
  <cols>
    <col min="1" max="1" width="25.7109375" style="53" customWidth="1"/>
    <col min="2" max="3" width="10.7109375" style="9" hidden="1" customWidth="1"/>
    <col min="4" max="4" width="7.7109375" style="9" customWidth="1"/>
    <col min="5" max="5" width="50.7109375" style="9" customWidth="1"/>
    <col min="6" max="6" width="13.7109375" style="9" customWidth="1"/>
    <col min="7" max="7" width="25.7109375" style="9" customWidth="1"/>
    <col min="8" max="9" width="10.7109375" style="9" hidden="1" customWidth="1"/>
    <col min="10" max="10" width="7.7109375" style="9" customWidth="1"/>
    <col min="11" max="11" width="50.7109375" style="9" customWidth="1"/>
    <col min="12" max="16" width="7.7109375" style="9" customWidth="1"/>
    <col min="17" max="17" width="22.7109375" style="9" hidden="1" customWidth="1"/>
    <col min="18" max="18" width="19.5703125" style="56" hidden="1" customWidth="1"/>
    <col min="19" max="20" width="11.42578125" style="56" hidden="1" customWidth="1"/>
    <col min="21" max="21" width="11.42578125" style="56" customWidth="1"/>
    <col min="22" max="26" width="11.42578125" style="56"/>
    <col min="27" max="16384" width="11.42578125" style="9"/>
  </cols>
  <sheetData>
    <row r="1" spans="1:26" ht="13.5" thickBot="1" x14ac:dyDescent="0.25">
      <c r="A1" s="33"/>
      <c r="B1" s="35"/>
      <c r="C1" s="35"/>
      <c r="D1" s="35"/>
      <c r="E1" s="10"/>
      <c r="F1" s="34"/>
      <c r="I1" s="10"/>
    </row>
    <row r="2" spans="1:26" s="39" customFormat="1" ht="24.95" customHeight="1" x14ac:dyDescent="0.2">
      <c r="A2" s="36"/>
      <c r="B2" s="194" t="s">
        <v>46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1"/>
      <c r="S2" s="71"/>
      <c r="T2" s="71"/>
      <c r="U2" s="71"/>
      <c r="V2" s="71"/>
      <c r="W2" s="71"/>
      <c r="X2" s="71"/>
      <c r="Y2" s="71"/>
      <c r="Z2" s="71"/>
    </row>
    <row r="3" spans="1:26" s="39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1"/>
      <c r="S3" s="71"/>
      <c r="T3" s="71"/>
      <c r="U3" s="71"/>
      <c r="V3" s="71"/>
      <c r="W3" s="71"/>
      <c r="X3" s="71"/>
      <c r="Y3" s="71"/>
      <c r="Z3" s="71"/>
    </row>
    <row r="4" spans="1:26" s="39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1"/>
      <c r="T4" s="71"/>
      <c r="U4" s="71"/>
      <c r="V4" s="71"/>
      <c r="W4" s="71"/>
      <c r="X4" s="71"/>
      <c r="Y4" s="71"/>
      <c r="Z4" s="71"/>
    </row>
    <row r="5" spans="1:26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</row>
    <row r="6" spans="1:26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</row>
    <row r="7" spans="1:26" ht="24.95" customHeight="1" thickBot="1" x14ac:dyDescent="0.25">
      <c r="A7" s="19"/>
      <c r="B7" s="22">
        <f>(COUNTIF('2S EXPRESS'!$A$7:$A$50,SCEAUX!A7))+(COUNTIF('2 ZT'!$A$7:$A$50,SCEAUX!A7))+(COUNTIF('GO TRANSPORT'!$A$7:$A$50,SCEAUX!A7))+(COUNTIF('HMZ - KAIS'!$A$7:$A$50,SCEAUX!A7))+(COUNTIF('IB TRANSPORT'!$A$7:$A$50,SCEAUX!A7))+(COUNTIF(JSL!$A$7:$A$50,SCEAUX!A7))+(COUNTIF(KIFAITOUT!$A$7:$A$50,SCEAUX!A7))+(COUNTIF('LUXE DRIVE'!$A$7:$A$50,SCEAUX!A7))+(COUNTIF(SSN!$A$7:$A$50,SCEAUX!A7))+(COUNTIF('W3'!$A$7:$A$50,SCEAUX!A7))+(COUNTIF('ATHIS MONS'!$A$7:$A$50,SCEAUX!A7))+(COUNTIF('L HAY LES ROSES'!$A$7:$A$50,SCEAUX!A7))+(COUNTIF(RUNGIS!$A$7:$A$50,SCEAUX!A7))+(COUNTIF(SCEAUX!$A$7:$A$50,SCEAUX!A7))+(COUNTIF('INSTANCE C1'!$A$7:$A$50,SCEAUX!A7))+(COUNTIF('INSTANCE C2'!$A$7:$A$50,SCEAUX!A7))+(COUNTIF(INTERNES!$A$7:$A$50,SCEAUX!A7))+(COUNTIF('EN PANNE'!$A$7:$A$50,SCEAUX!A7))-C7</f>
        <v>0</v>
      </c>
      <c r="C7" s="23">
        <f>(COUNTIF('2S EXPRESS'!$G$7:$G$50,SCEAUX!A7))+(COUNTIF('2 ZT'!$G$7:$G$50,SCEAUX!A7))+(COUNTIF('GO TRANSPORT'!$G$7:$G$50,SCEAUX!A7))+(COUNTIF(SCEAUX!$G$7:$G$50,SCEAUX!A7))+(COUNTIF('IB TRANSPORT'!$G$7:$G$50,SCEAUX!A7))+(COUNTIF(JSL!$G$7:$G$50,SCEAUX!A7))+(COUNTIF(KIFAITOUT!$G$7:$G$50,SCEAUX!A7))+(COUNTIF('LUXE DRIVE'!$G$7:$G$50,SCEAUX!A7))+(COUNTIF(SSN!$G$7:$G$50,SCEAUX!A7))+(COUNTIF('W3'!$G$7:$G$50,SCEAUX!A7))+(COUNTIF('ATHIS MONS'!$G$7:$G$50,SCEAUX!A7))+(COUNTIF('L HAY LES ROSES'!$G$7:$G$50,SCEAUX!A7))+(COUNTIF(RUNGIS!$G$7:$G$50,SCEAUX!A7))+(COUNTIF(SCEAUX!$G$7:$G$50,SCEAUX!A7))+(COUNTIF('INSTANCE C1'!$G$7:$G$50,SCEAUX!A7))+(COUNTIF('INSTANCE C2'!$G$7:$G$50,SCEAUX!A7))+(COUNTIF(INTERNES!$G$7:$G$50,SCEAUX!A7))+(COUNTIF('EN PANNE'!$G$7:$G$50,SCEAUX!A7))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EXPRESS'!$G$7:$G$50,SCEAUX!G7))+(COUNTIF('2 ZT'!$G$7:$G$50,SCEAUX!G7))+(COUNTIF('GO TRANSPORT'!$G$7:$G$50,SCEAUX!G7))+(COUNTIF('HMZ - KAIS'!$G$7:$G$50,SCEAUX!G7))+(COUNTIF('IB TRANSPORT'!$G$7:$G$50,SCEAUX!G7))+(COUNTIF(JSL!$G$7:$G$50,SCEAUX!G7))+(COUNTIF(KIFAITOUT!$G$7:$G$50,SCEAUX!G7))+(COUNTIF('LUXE DRIVE'!$G$7:$G$50,SCEAUX!G7))+(COUNTIF(SSN!$G$7:$G$50,SCEAUX!G7))+(COUNTIF('W3'!$G$7:$G$50,SCEAUX!G7))+(COUNTIF('ATHIS MONS'!$G$7:$G$50,SCEAUX!G7))+(COUNTIF('L HAY LES ROSES'!$G$7:$G$50,SCEAUX!G7))+(COUNTIF(RUNGIS!$G$7:$G$50,SCEAUX!G7))+(COUNTIF(SCEAUX!$G$7:$G$50,SCEAUX!G7))+(COUNTIF('INSTANCE C1'!$G$7:$G$50,SCEAUX!G7))+(COUNTIF('INSTANCE C2'!$G$7:$G$50,SCEAUX!G7))+(COUNTIF(INTERNES!$G$7:$G$50,SCEAUX!G7))+(COUNTIF('EN PANNE'!$G$7:$G$50,SCEAUX!G7))-I7</f>
        <v>0</v>
      </c>
      <c r="I7" s="22">
        <f>(COUNTIF('2S EXPRESS'!$A$7:$A$50,SCEAUX!G7))+(COUNTIF('2 ZT'!$A$7:$A$50,SCEAUX!G7))+(COUNTIF('GO TRANSPORT'!$A$7:$A$50,SCEAUX!G7))+(COUNTIF('HMZ - KAIS'!$A$7:$A$50,SCEAUX!G7))+(COUNTIF('IB TRANSPORT'!$A$7:$A$50,SCEAUX!G7))+(COUNTIF(JSL!$A$7:$A$50,SCEAUX!G7))+(COUNTIF(KIFAITOUT!$A$7:$A$50,SCEAUX!G7))+(COUNTIF('LUXE DRIVE'!$A$7:$A$50,SCEAUX!G7))+(COUNTIF(SSN!$A$7:$A$50,SCEAUX!G7))+(COUNTIF('W3'!$A$7:$A$50,SCEAUX!G7))+(COUNTIF('ATHIS MONS'!$A$7:$A$50,SCEAUX!G7))+(COUNTIF('L HAY LES ROSES'!$A$7:$A$50,SCEAUX!G7))+(COUNTIF(RUNGIS!$A$7:$A$50,SCEAUX!G7))+(COUNTIF(SCEAUX!$A$7:$A$50,SCEAUX!G7))+(COUNTIF('INSTANCE C1'!$A$7:$A$50,SCEAUX!G7))+(COUNTIF('INSTANCE C2'!$A$7:$A$50,SCEAUX!G7))+(COUNTIF(INTERNES!$A$7:$A$50,SCEAUX!G7))+(COUNTIF('EN PANNE'!$A$7:$A$50,SCEAUX!G7))</f>
        <v>0</v>
      </c>
      <c r="J7" s="27">
        <f>IF(H7&gt;=2,1,0)</f>
        <v>0</v>
      </c>
      <c r="K7" s="1"/>
      <c r="L7" s="47"/>
      <c r="M7" s="48"/>
      <c r="O7" s="48"/>
      <c r="P7" s="48"/>
      <c r="Q7" s="48"/>
      <c r="R7" s="50"/>
      <c r="S7" s="60">
        <f t="shared" ref="S7:S50" si="1">COUNTIF($G$7:$G$50,$A7)</f>
        <v>0</v>
      </c>
      <c r="T7" s="67">
        <f t="shared" ref="T7:T50" si="2">IF($S7=1,"",$A7)</f>
        <v>0</v>
      </c>
    </row>
    <row r="8" spans="1:26" ht="24.95" customHeight="1" thickBot="1" x14ac:dyDescent="0.25">
      <c r="A8" s="20"/>
      <c r="B8" s="23">
        <f>(COUNTIF('2S EXPRESS'!$A$7:$A$50,SCEAUX!A8))+(COUNTIF('2 ZT'!$A$7:$A$50,SCEAUX!A8))+(COUNTIF('GO TRANSPORT'!$A$7:$A$50,SCEAUX!A8))+(COUNTIF('HMZ - KAIS'!$A$7:$A$50,SCEAUX!A8))+(COUNTIF('IB TRANSPORT'!$A$7:$A$50,SCEAUX!A8))+(COUNTIF(JSL!$A$7:$A$50,SCEAUX!A8))+(COUNTIF(KIFAITOUT!$A$7:$A$50,SCEAUX!A8))+(COUNTIF('LUXE DRIVE'!$A$7:$A$50,SCEAUX!A8))+(COUNTIF(SSN!$A$7:$A$50,SCEAUX!A8))+(COUNTIF('W3'!$A$7:$A$50,SCEAUX!A8))+(COUNTIF('ATHIS MONS'!$A$7:$A$50,SCEAUX!A8))+(COUNTIF('L HAY LES ROSES'!$A$7:$A$50,SCEAUX!A8))+(COUNTIF(RUNGIS!$A$7:$A$50,SCEAUX!A8))+(COUNTIF(SCEAUX!$A$7:$A$50,SCEAUX!A8))+(COUNTIF('INSTANCE C1'!$A$7:$A$50,SCEAUX!A8))+(COUNTIF('INSTANCE C2'!$A$7:$A$50,SCEAUX!A8))+(COUNTIF(INTERNES!$A$7:$A$50,SCEAUX!A8))+(COUNTIF('EN PANNE'!$A$7:$A$50,SCEAUX!A8))-C8</f>
        <v>0</v>
      </c>
      <c r="C8" s="23">
        <f>(COUNTIF('2S EXPRESS'!$G$7:$G$50,SCEAUX!A8))+(COUNTIF('2 ZT'!$G$7:$G$50,SCEAUX!A8))+(COUNTIF('GO TRANSPORT'!$G$7:$G$50,SCEAUX!A8))+(COUNTIF(SCEAUX!$G$7:$G$50,SCEAUX!A8))+(COUNTIF('IB TRANSPORT'!$G$7:$G$50,SCEAUX!A8))+(COUNTIF(JSL!$G$7:$G$50,SCEAUX!A8))+(COUNTIF(KIFAITOUT!$G$7:$G$50,SCEAUX!A8))+(COUNTIF('LUXE DRIVE'!$G$7:$G$50,SCEAUX!A8))+(COUNTIF(SSN!$G$7:$G$50,SCEAUX!A8))+(COUNTIF('W3'!$G$7:$G$50,SCEAUX!A8))+(COUNTIF('ATHIS MONS'!$G$7:$G$50,SCEAUX!A8))+(COUNTIF('L HAY LES ROSES'!$G$7:$G$50,SCEAUX!A8))+(COUNTIF(RUNGIS!$G$7:$G$50,SCEAUX!A8))+(COUNTIF(SCEAUX!$G$7:$G$50,SCEAUX!A8))+(COUNTIF('INSTANCE C1'!$G$7:$G$50,SCEAUX!A8))+(COUNTIF('INSTANCE C2'!$G$7:$G$50,SCEAUX!A8))+(COUNTIF(INTERNES!$G$7:$G$50,SCEAUX!A8))+(COUNTIF('EN PANNE'!$G$7:$G$50,SCEAUX!A8))</f>
        <v>0</v>
      </c>
      <c r="D8" s="28">
        <f t="shared" ref="D8:D50" si="3">IF(B8&gt;=2,1,0)</f>
        <v>0</v>
      </c>
      <c r="E8" s="2"/>
      <c r="F8" s="5">
        <f t="shared" si="0"/>
        <v>0</v>
      </c>
      <c r="G8" s="114"/>
      <c r="H8" s="23">
        <f>(COUNTIF('2S EXPRESS'!$G$7:$G$50,SCEAUX!G8))+(COUNTIF('2 ZT'!$G$7:$G$50,SCEAUX!G8))+(COUNTIF('GO TRANSPORT'!$G$7:$G$50,SCEAUX!G8))+(COUNTIF('HMZ - KAIS'!$G$7:$G$50,SCEAUX!G8))+(COUNTIF('IB TRANSPORT'!$G$7:$G$50,SCEAUX!G8))+(COUNTIF(JSL!$G$7:$G$50,SCEAUX!G8))+(COUNTIF(KIFAITOUT!$G$7:$G$50,SCEAUX!G8))+(COUNTIF('LUXE DRIVE'!$G$7:$G$50,SCEAUX!G8))+(COUNTIF(SSN!$G$7:$G$50,SCEAUX!G8))+(COUNTIF('W3'!$G$7:$G$50,SCEAUX!G8))+(COUNTIF('ATHIS MONS'!$G$7:$G$50,SCEAUX!G8))+(COUNTIF('L HAY LES ROSES'!$G$7:$G$50,SCEAUX!G8))+(COUNTIF(RUNGIS!$G$7:$G$50,SCEAUX!G8))+(COUNTIF(SCEAUX!$G$7:$G$50,SCEAUX!G8))+(COUNTIF('INSTANCE C1'!$G$7:$G$50,SCEAUX!G8))+(COUNTIF('INSTANCE C2'!$G$7:$G$50,SCEAUX!G8))+(COUNTIF(INTERNES!$G$7:$G$50,SCEAUX!G8))+(COUNTIF('EN PANNE'!$G$7:$G$50,SCEAUX!G8))-I8</f>
        <v>0</v>
      </c>
      <c r="I8" s="23">
        <f>(COUNTIF('2S EXPRESS'!$A$7:$A$50,SCEAUX!G8))+(COUNTIF('2 ZT'!$A$7:$A$50,SCEAUX!G8))+(COUNTIF('GO TRANSPORT'!$A$7:$A$50,SCEAUX!G8))+(COUNTIF('HMZ - KAIS'!$A$7:$A$50,SCEAUX!G8))+(COUNTIF('IB TRANSPORT'!$A$7:$A$50,SCEAUX!G8))+(COUNTIF(JSL!$A$7:$A$50,SCEAUX!G8))+(COUNTIF(KIFAITOUT!$A$7:$A$50,SCEAUX!G8))+(COUNTIF('LUXE DRIVE'!$A$7:$A$50,SCEAUX!G8))+(COUNTIF(SSN!$A$7:$A$50,SCEAUX!G8))+(COUNTIF('W3'!$A$7:$A$50,SCEAUX!G8))+(COUNTIF('ATHIS MONS'!$A$7:$A$50,SCEAUX!G8))+(COUNTIF('L HAY LES ROSES'!$A$7:$A$50,SCEAUX!G8))+(COUNTIF(RUNGIS!$A$7:$A$50,SCEAUX!G8))+(COUNTIF(SCEAUX!$A$7:$A$50,SCEAUX!G8))+(COUNTIF('INSTANCE C1'!$A$7:$A$50,SCEAUX!G8))+(COUNTIF('INSTANCE C2'!$A$7:$A$50,SCEAUX!G8))+(COUNTIF(INTERNES!$A$7:$A$50,SCEAUX!G8))+(COUNTIF('EN PANNE'!$A$7:$A$50,SCEAUX!G8))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50"/>
      <c r="S8" s="60">
        <f t="shared" si="1"/>
        <v>0</v>
      </c>
      <c r="T8" s="67">
        <f t="shared" si="2"/>
        <v>0</v>
      </c>
    </row>
    <row r="9" spans="1:26" ht="24.95" customHeight="1" thickBot="1" x14ac:dyDescent="0.25">
      <c r="A9" s="20"/>
      <c r="B9" s="23">
        <f>(COUNTIF('2S EXPRESS'!$A$7:$A$50,SCEAUX!A9))+(COUNTIF('2 ZT'!$A$7:$A$50,SCEAUX!A9))+(COUNTIF('GO TRANSPORT'!$A$7:$A$50,SCEAUX!A9))+(COUNTIF('HMZ - KAIS'!$A$7:$A$50,SCEAUX!A9))+(COUNTIF('IB TRANSPORT'!$A$7:$A$50,SCEAUX!A9))+(COUNTIF(JSL!$A$7:$A$50,SCEAUX!A9))+(COUNTIF(KIFAITOUT!$A$7:$A$50,SCEAUX!A9))+(COUNTIF('LUXE DRIVE'!$A$7:$A$50,SCEAUX!A9))+(COUNTIF(SSN!$A$7:$A$50,SCEAUX!A9))+(COUNTIF('W3'!$A$7:$A$50,SCEAUX!A9))+(COUNTIF('ATHIS MONS'!$A$7:$A$50,SCEAUX!A9))+(COUNTIF('L HAY LES ROSES'!$A$7:$A$50,SCEAUX!A9))+(COUNTIF(RUNGIS!$A$7:$A$50,SCEAUX!A9))+(COUNTIF(SCEAUX!$A$7:$A$50,SCEAUX!A9))+(COUNTIF('INSTANCE C1'!$A$7:$A$50,SCEAUX!A9))+(COUNTIF('INSTANCE C2'!$A$7:$A$50,SCEAUX!A9))+(COUNTIF(INTERNES!$A$7:$A$50,SCEAUX!A9))+(COUNTIF('EN PANNE'!$A$7:$A$50,SCEAUX!A9))-C9</f>
        <v>0</v>
      </c>
      <c r="C9" s="23">
        <f>(COUNTIF('2S EXPRESS'!$G$7:$G$50,SCEAUX!A9))+(COUNTIF('2 ZT'!$G$7:$G$50,SCEAUX!A9))+(COUNTIF('GO TRANSPORT'!$G$7:$G$50,SCEAUX!A9))+(COUNTIF(SCEAUX!$G$7:$G$50,SCEAUX!A9))+(COUNTIF('IB TRANSPORT'!$G$7:$G$50,SCEAUX!A9))+(COUNTIF(JSL!$G$7:$G$50,SCEAUX!A9))+(COUNTIF(KIFAITOUT!$G$7:$G$50,SCEAUX!A9))+(COUNTIF('LUXE DRIVE'!$G$7:$G$50,SCEAUX!A9))+(COUNTIF(SSN!$G$7:$G$50,SCEAUX!A9))+(COUNTIF('W3'!$G$7:$G$50,SCEAUX!A9))+(COUNTIF('ATHIS MONS'!$G$7:$G$50,SCEAUX!A9))+(COUNTIF('L HAY LES ROSES'!$G$7:$G$50,SCEAUX!A9))+(COUNTIF(RUNGIS!$G$7:$G$50,SCEAUX!A9))+(COUNTIF(SCEAUX!$G$7:$G$50,SCEAUX!A9))+(COUNTIF('INSTANCE C1'!$G$7:$G$50,SCEAUX!A9))+(COUNTIF('INSTANCE C2'!$G$7:$G$50,SCEAUX!A9))+(COUNTIF(INTERNES!$G$7:$G$50,SCEAUX!A9))+(COUNTIF('EN PANNE'!$G$7:$G$50,SCEAUX!A9))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EXPRESS'!$G$7:$G$50,SCEAUX!G9))+(COUNTIF('2 ZT'!$G$7:$G$50,SCEAUX!G9))+(COUNTIF('GO TRANSPORT'!$G$7:$G$50,SCEAUX!G9))+(COUNTIF('HMZ - KAIS'!$G$7:$G$50,SCEAUX!G9))+(COUNTIF('IB TRANSPORT'!$G$7:$G$50,SCEAUX!G9))+(COUNTIF(JSL!$G$7:$G$50,SCEAUX!G9))+(COUNTIF(KIFAITOUT!$G$7:$G$50,SCEAUX!G9))+(COUNTIF('LUXE DRIVE'!$G$7:$G$50,SCEAUX!G9))+(COUNTIF(SSN!$G$7:$G$50,SCEAUX!G9))+(COUNTIF('W3'!$G$7:$G$50,SCEAUX!G9))+(COUNTIF('ATHIS MONS'!$G$7:$G$50,SCEAUX!G9))+(COUNTIF('L HAY LES ROSES'!$G$7:$G$50,SCEAUX!G9))+(COUNTIF(RUNGIS!$G$7:$G$50,SCEAUX!G9))+(COUNTIF(SCEAUX!$G$7:$G$50,SCEAUX!G9))+(COUNTIF('INSTANCE C1'!$G$7:$G$50,SCEAUX!G9))+(COUNTIF('INSTANCE C2'!$G$7:$G$50,SCEAUX!G9))+(COUNTIF(INTERNES!$G$7:$G$50,SCEAUX!G9))+(COUNTIF('EN PANNE'!$G$7:$G$50,SCEAUX!G9))-I9</f>
        <v>0</v>
      </c>
      <c r="I9" s="23">
        <f>(COUNTIF('2S EXPRESS'!$A$7:$A$50,SCEAUX!G9))+(COUNTIF('2 ZT'!$A$7:$A$50,SCEAUX!G9))+(COUNTIF('GO TRANSPORT'!$A$7:$A$50,SCEAUX!G9))+(COUNTIF('HMZ - KAIS'!$A$7:$A$50,SCEAUX!G9))+(COUNTIF('IB TRANSPORT'!$A$7:$A$50,SCEAUX!G9))+(COUNTIF(JSL!$A$7:$A$50,SCEAUX!G9))+(COUNTIF(KIFAITOUT!$A$7:$A$50,SCEAUX!G9))+(COUNTIF('LUXE DRIVE'!$A$7:$A$50,SCEAUX!G9))+(COUNTIF(SSN!$A$7:$A$50,SCEAUX!G9))+(COUNTIF('W3'!$A$7:$A$50,SCEAUX!G9))+(COUNTIF('ATHIS MONS'!$A$7:$A$50,SCEAUX!G9))+(COUNTIF('L HAY LES ROSES'!$A$7:$A$50,SCEAUX!G9))+(COUNTIF(RUNGIS!$A$7:$A$50,SCEAUX!G9))+(COUNTIF(SCEAUX!$A$7:$A$50,SCEAUX!G9))+(COUNTIF('INSTANCE C1'!$A$7:$A$50,SCEAUX!G9))+(COUNTIF('INSTANCE C2'!$A$7:$A$50,SCEAUX!G9))+(COUNTIF(INTERNES!$A$7:$A$50,SCEAUX!G9))+(COUNTIF('EN PANNE'!$A$7:$A$50,SCEAUX!G9))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S9" s="60">
        <f t="shared" si="1"/>
        <v>0</v>
      </c>
      <c r="T9" s="67">
        <f t="shared" si="2"/>
        <v>0</v>
      </c>
    </row>
    <row r="10" spans="1:26" ht="24.95" customHeight="1" thickBot="1" x14ac:dyDescent="0.25">
      <c r="A10" s="20"/>
      <c r="B10" s="23">
        <f>(COUNTIF('2S EXPRESS'!$A$7:$A$50,SCEAUX!A10))+(COUNTIF('2 ZT'!$A$7:$A$50,SCEAUX!A10))+(COUNTIF('GO TRANSPORT'!$A$7:$A$50,SCEAUX!A10))+(COUNTIF('HMZ - KAIS'!$A$7:$A$50,SCEAUX!A10))+(COUNTIF('IB TRANSPORT'!$A$7:$A$50,SCEAUX!A10))+(COUNTIF(JSL!$A$7:$A$50,SCEAUX!A10))+(COUNTIF(KIFAITOUT!$A$7:$A$50,SCEAUX!A10))+(COUNTIF('LUXE DRIVE'!$A$7:$A$50,SCEAUX!A10))+(COUNTIF(SSN!$A$7:$A$50,SCEAUX!A10))+(COUNTIF('W3'!$A$7:$A$50,SCEAUX!A10))+(COUNTIF('ATHIS MONS'!$A$7:$A$50,SCEAUX!A10))+(COUNTIF('L HAY LES ROSES'!$A$7:$A$50,SCEAUX!A10))+(COUNTIF(RUNGIS!$A$7:$A$50,SCEAUX!A10))+(COUNTIF(SCEAUX!$A$7:$A$50,SCEAUX!A10))+(COUNTIF('INSTANCE C1'!$A$7:$A$50,SCEAUX!A10))+(COUNTIF('INSTANCE C2'!$A$7:$A$50,SCEAUX!A10))+(COUNTIF(INTERNES!$A$7:$A$50,SCEAUX!A10))+(COUNTIF('EN PANNE'!$A$7:$A$50,SCEAUX!A10))-C10</f>
        <v>0</v>
      </c>
      <c r="C10" s="23">
        <f>(COUNTIF('2S EXPRESS'!$G$7:$G$50,SCEAUX!A10))+(COUNTIF('2 ZT'!$G$7:$G$50,SCEAUX!A10))+(COUNTIF('GO TRANSPORT'!$G$7:$G$50,SCEAUX!A10))+(COUNTIF(SCEAUX!$G$7:$G$50,SCEAUX!A10))+(COUNTIF('IB TRANSPORT'!$G$7:$G$50,SCEAUX!A10))+(COUNTIF(JSL!$G$7:$G$50,SCEAUX!A10))+(COUNTIF(KIFAITOUT!$G$7:$G$50,SCEAUX!A10))+(COUNTIF('LUXE DRIVE'!$G$7:$G$50,SCEAUX!A10))+(COUNTIF(SSN!$G$7:$G$50,SCEAUX!A10))+(COUNTIF('W3'!$G$7:$G$50,SCEAUX!A10))+(COUNTIF('ATHIS MONS'!$G$7:$G$50,SCEAUX!A10))+(COUNTIF('L HAY LES ROSES'!$G$7:$G$50,SCEAUX!A10))+(COUNTIF(RUNGIS!$G$7:$G$50,SCEAUX!A10))+(COUNTIF(SCEAUX!$G$7:$G$50,SCEAUX!A10))+(COUNTIF('INSTANCE C1'!$G$7:$G$50,SCEAUX!A10))+(COUNTIF('INSTANCE C2'!$G$7:$G$50,SCEAUX!A10))+(COUNTIF(INTERNES!$G$7:$G$50,SCEAUX!A10))+(COUNTIF('EN PANNE'!$G$7:$G$50,SCEAUX!A10))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EXPRESS'!$G$7:$G$50,SCEAUX!G10))+(COUNTIF('2 ZT'!$G$7:$G$50,SCEAUX!G10))+(COUNTIF('GO TRANSPORT'!$G$7:$G$50,SCEAUX!G10))+(COUNTIF('HMZ - KAIS'!$G$7:$G$50,SCEAUX!G10))+(COUNTIF('IB TRANSPORT'!$G$7:$G$50,SCEAUX!G10))+(COUNTIF(JSL!$G$7:$G$50,SCEAUX!G10))+(COUNTIF(KIFAITOUT!$G$7:$G$50,SCEAUX!G10))+(COUNTIF('LUXE DRIVE'!$G$7:$G$50,SCEAUX!G10))+(COUNTIF(SSN!$G$7:$G$50,SCEAUX!G10))+(COUNTIF('W3'!$G$7:$G$50,SCEAUX!G10))+(COUNTIF('ATHIS MONS'!$G$7:$G$50,SCEAUX!G10))+(COUNTIF('L HAY LES ROSES'!$G$7:$G$50,SCEAUX!G10))+(COUNTIF(RUNGIS!$G$7:$G$50,SCEAUX!G10))+(COUNTIF(SCEAUX!$G$7:$G$50,SCEAUX!G10))+(COUNTIF('INSTANCE C1'!$G$7:$G$50,SCEAUX!G10))+(COUNTIF('INSTANCE C2'!$G$7:$G$50,SCEAUX!G10))+(COUNTIF(INTERNES!$G$7:$G$50,SCEAUX!G10))+(COUNTIF('EN PANNE'!$G$7:$G$50,SCEAUX!G10))-I10</f>
        <v>0</v>
      </c>
      <c r="I10" s="23">
        <f>(COUNTIF('2S EXPRESS'!$A$7:$A$50,SCEAUX!G10))+(COUNTIF('2 ZT'!$A$7:$A$50,SCEAUX!G10))+(COUNTIF('GO TRANSPORT'!$A$7:$A$50,SCEAUX!G10))+(COUNTIF('HMZ - KAIS'!$A$7:$A$50,SCEAUX!G10))+(COUNTIF('IB TRANSPORT'!$A$7:$A$50,SCEAUX!G10))+(COUNTIF(JSL!$A$7:$A$50,SCEAUX!G10))+(COUNTIF(KIFAITOUT!$A$7:$A$50,SCEAUX!G10))+(COUNTIF('LUXE DRIVE'!$A$7:$A$50,SCEAUX!G10))+(COUNTIF(SSN!$A$7:$A$50,SCEAUX!G10))+(COUNTIF('W3'!$A$7:$A$50,SCEAUX!G10))+(COUNTIF('ATHIS MONS'!$A$7:$A$50,SCEAUX!G10))+(COUNTIF('L HAY LES ROSES'!$A$7:$A$50,SCEAUX!G10))+(COUNTIF(RUNGIS!$A$7:$A$50,SCEAUX!G10))+(COUNTIF(SCEAUX!$A$7:$A$50,SCEAUX!G10))+(COUNTIF('INSTANCE C1'!$A$7:$A$50,SCEAUX!G10))+(COUNTIF('INSTANCE C2'!$A$7:$A$50,SCEAUX!G10))+(COUNTIF(INTERNES!$A$7:$A$50,SCEAUX!G10))+(COUNTIF('EN PANNE'!$A$7:$A$50,SCEAUX!G10))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S10" s="60">
        <f t="shared" si="1"/>
        <v>0</v>
      </c>
      <c r="T10" s="67">
        <f t="shared" si="2"/>
        <v>0</v>
      </c>
    </row>
    <row r="11" spans="1:26" ht="24.95" customHeight="1" thickBot="1" x14ac:dyDescent="0.25">
      <c r="A11" s="20"/>
      <c r="B11" s="23">
        <f>(COUNTIF('2S EXPRESS'!$A$7:$A$50,SCEAUX!A11))+(COUNTIF('2 ZT'!$A$7:$A$50,SCEAUX!A11))+(COUNTIF('GO TRANSPORT'!$A$7:$A$50,SCEAUX!A11))+(COUNTIF('HMZ - KAIS'!$A$7:$A$50,SCEAUX!A11))+(COUNTIF('IB TRANSPORT'!$A$7:$A$50,SCEAUX!A11))+(COUNTIF(JSL!$A$7:$A$50,SCEAUX!A11))+(COUNTIF(KIFAITOUT!$A$7:$A$50,SCEAUX!A11))+(COUNTIF('LUXE DRIVE'!$A$7:$A$50,SCEAUX!A11))+(COUNTIF(SSN!$A$7:$A$50,SCEAUX!A11))+(COUNTIF('W3'!$A$7:$A$50,SCEAUX!A11))+(COUNTIF('ATHIS MONS'!$A$7:$A$50,SCEAUX!A11))+(COUNTIF('L HAY LES ROSES'!$A$7:$A$50,SCEAUX!A11))+(COUNTIF(RUNGIS!$A$7:$A$50,SCEAUX!A11))+(COUNTIF(SCEAUX!$A$7:$A$50,SCEAUX!A11))+(COUNTIF('INSTANCE C1'!$A$7:$A$50,SCEAUX!A11))+(COUNTIF('INSTANCE C2'!$A$7:$A$50,SCEAUX!A11))+(COUNTIF(INTERNES!$A$7:$A$50,SCEAUX!A11))+(COUNTIF('EN PANNE'!$A$7:$A$50,SCEAUX!A11))-C11</f>
        <v>0</v>
      </c>
      <c r="C11" s="23">
        <f>(COUNTIF('2S EXPRESS'!$G$7:$G$50,SCEAUX!A11))+(COUNTIF('2 ZT'!$G$7:$G$50,SCEAUX!A11))+(COUNTIF('GO TRANSPORT'!$G$7:$G$50,SCEAUX!A11))+(COUNTIF(SCEAUX!$G$7:$G$50,SCEAUX!A11))+(COUNTIF('IB TRANSPORT'!$G$7:$G$50,SCEAUX!A11))+(COUNTIF(JSL!$G$7:$G$50,SCEAUX!A11))+(COUNTIF(KIFAITOUT!$G$7:$G$50,SCEAUX!A11))+(COUNTIF('LUXE DRIVE'!$G$7:$G$50,SCEAUX!A11))+(COUNTIF(SSN!$G$7:$G$50,SCEAUX!A11))+(COUNTIF('W3'!$G$7:$G$50,SCEAUX!A11))+(COUNTIF('ATHIS MONS'!$G$7:$G$50,SCEAUX!A11))+(COUNTIF('L HAY LES ROSES'!$G$7:$G$50,SCEAUX!A11))+(COUNTIF(RUNGIS!$G$7:$G$50,SCEAUX!A11))+(COUNTIF(SCEAUX!$G$7:$G$50,SCEAUX!A11))+(COUNTIF('INSTANCE C1'!$G$7:$G$50,SCEAUX!A11))+(COUNTIF('INSTANCE C2'!$G$7:$G$50,SCEAUX!A11))+(COUNTIF(INTERNES!$G$7:$G$50,SCEAUX!A11))+(COUNTIF('EN PANNE'!$G$7:$G$50,SCEAUX!A11))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EXPRESS'!$G$7:$G$50,SCEAUX!G11))+(COUNTIF('2 ZT'!$G$7:$G$50,SCEAUX!G11))+(COUNTIF('GO TRANSPORT'!$G$7:$G$50,SCEAUX!G11))+(COUNTIF('HMZ - KAIS'!$G$7:$G$50,SCEAUX!G11))+(COUNTIF('IB TRANSPORT'!$G$7:$G$50,SCEAUX!G11))+(COUNTIF(JSL!$G$7:$G$50,SCEAUX!G11))+(COUNTIF(KIFAITOUT!$G$7:$G$50,SCEAUX!G11))+(COUNTIF('LUXE DRIVE'!$G$7:$G$50,SCEAUX!G11))+(COUNTIF(SSN!$G$7:$G$50,SCEAUX!G11))+(COUNTIF('W3'!$G$7:$G$50,SCEAUX!G11))+(COUNTIF('ATHIS MONS'!$G$7:$G$50,SCEAUX!G11))+(COUNTIF('L HAY LES ROSES'!$G$7:$G$50,SCEAUX!G11))+(COUNTIF(RUNGIS!$G$7:$G$50,SCEAUX!G11))+(COUNTIF(SCEAUX!$G$7:$G$50,SCEAUX!G11))+(COUNTIF('INSTANCE C1'!$G$7:$G$50,SCEAUX!G11))+(COUNTIF('INSTANCE C2'!$G$7:$G$50,SCEAUX!G11))+(COUNTIF(INTERNES!$G$7:$G$50,SCEAUX!G11))+(COUNTIF('EN PANNE'!$G$7:$G$50,SCEAUX!G11))-I11</f>
        <v>0</v>
      </c>
      <c r="I11" s="23">
        <f>(COUNTIF('2S EXPRESS'!$A$7:$A$50,SCEAUX!G11))+(COUNTIF('2 ZT'!$A$7:$A$50,SCEAUX!G11))+(COUNTIF('GO TRANSPORT'!$A$7:$A$50,SCEAUX!G11))+(COUNTIF('HMZ - KAIS'!$A$7:$A$50,SCEAUX!G11))+(COUNTIF('IB TRANSPORT'!$A$7:$A$50,SCEAUX!G11))+(COUNTIF(JSL!$A$7:$A$50,SCEAUX!G11))+(COUNTIF(KIFAITOUT!$A$7:$A$50,SCEAUX!G11))+(COUNTIF('LUXE DRIVE'!$A$7:$A$50,SCEAUX!G11))+(COUNTIF(SSN!$A$7:$A$50,SCEAUX!G11))+(COUNTIF('W3'!$A$7:$A$50,SCEAUX!G11))+(COUNTIF('ATHIS MONS'!$A$7:$A$50,SCEAUX!G11))+(COUNTIF('L HAY LES ROSES'!$A$7:$A$50,SCEAUX!G11))+(COUNTIF(RUNGIS!$A$7:$A$50,SCEAUX!G11))+(COUNTIF(SCEAUX!$A$7:$A$50,SCEAUX!G11))+(COUNTIF('INSTANCE C1'!$A$7:$A$50,SCEAUX!G11))+(COUNTIF('INSTANCE C2'!$A$7:$A$50,SCEAUX!G11))+(COUNTIF(INTERNES!$A$7:$A$50,SCEAUX!G11))+(COUNTIF('EN PANNE'!$A$7:$A$50,SCEAUX!G11))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S11" s="60">
        <f t="shared" si="1"/>
        <v>0</v>
      </c>
      <c r="T11" s="67">
        <f t="shared" si="2"/>
        <v>0</v>
      </c>
    </row>
    <row r="12" spans="1:26" ht="24.95" customHeight="1" thickBot="1" x14ac:dyDescent="0.25">
      <c r="A12" s="20"/>
      <c r="B12" s="23">
        <f>(COUNTIF('2S EXPRESS'!$A$7:$A$50,SCEAUX!A12))+(COUNTIF('2 ZT'!$A$7:$A$50,SCEAUX!A12))+(COUNTIF('GO TRANSPORT'!$A$7:$A$50,SCEAUX!A12))+(COUNTIF('HMZ - KAIS'!$A$7:$A$50,SCEAUX!A12))+(COUNTIF('IB TRANSPORT'!$A$7:$A$50,SCEAUX!A12))+(COUNTIF(JSL!$A$7:$A$50,SCEAUX!A12))+(COUNTIF(KIFAITOUT!$A$7:$A$50,SCEAUX!A12))+(COUNTIF('LUXE DRIVE'!$A$7:$A$50,SCEAUX!A12))+(COUNTIF(SSN!$A$7:$A$50,SCEAUX!A12))+(COUNTIF('W3'!$A$7:$A$50,SCEAUX!A12))+(COUNTIF('ATHIS MONS'!$A$7:$A$50,SCEAUX!A12))+(COUNTIF('L HAY LES ROSES'!$A$7:$A$50,SCEAUX!A12))+(COUNTIF(RUNGIS!$A$7:$A$50,SCEAUX!A12))+(COUNTIF(SCEAUX!$A$7:$A$50,SCEAUX!A12))+(COUNTIF('INSTANCE C1'!$A$7:$A$50,SCEAUX!A12))+(COUNTIF('INSTANCE C2'!$A$7:$A$50,SCEAUX!A12))+(COUNTIF(INTERNES!$A$7:$A$50,SCEAUX!A12))+(COUNTIF('EN PANNE'!$A$7:$A$50,SCEAUX!A12))-C12</f>
        <v>0</v>
      </c>
      <c r="C12" s="23">
        <f>(COUNTIF('2S EXPRESS'!$G$7:$G$50,SCEAUX!A12))+(COUNTIF('2 ZT'!$G$7:$G$50,SCEAUX!A12))+(COUNTIF('GO TRANSPORT'!$G$7:$G$50,SCEAUX!A12))+(COUNTIF(SCEAUX!$G$7:$G$50,SCEAUX!A12))+(COUNTIF('IB TRANSPORT'!$G$7:$G$50,SCEAUX!A12))+(COUNTIF(JSL!$G$7:$G$50,SCEAUX!A12))+(COUNTIF(KIFAITOUT!$G$7:$G$50,SCEAUX!A12))+(COUNTIF('LUXE DRIVE'!$G$7:$G$50,SCEAUX!A12))+(COUNTIF(SSN!$G$7:$G$50,SCEAUX!A12))+(COUNTIF('W3'!$G$7:$G$50,SCEAUX!A12))+(COUNTIF('ATHIS MONS'!$G$7:$G$50,SCEAUX!A12))+(COUNTIF('L HAY LES ROSES'!$G$7:$G$50,SCEAUX!A12))+(COUNTIF(RUNGIS!$G$7:$G$50,SCEAUX!A12))+(COUNTIF(SCEAUX!$G$7:$G$50,SCEAUX!A12))+(COUNTIF('INSTANCE C1'!$G$7:$G$50,SCEAUX!A12))+(COUNTIF('INSTANCE C2'!$G$7:$G$50,SCEAUX!A12))+(COUNTIF(INTERNES!$G$7:$G$50,SCEAUX!A12))+(COUNTIF('EN PANNE'!$G$7:$G$50,SCEAUX!A12))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EXPRESS'!$G$7:$G$50,SCEAUX!G12))+(COUNTIF('2 ZT'!$G$7:$G$50,SCEAUX!G12))+(COUNTIF('GO TRANSPORT'!$G$7:$G$50,SCEAUX!G12))+(COUNTIF('HMZ - KAIS'!$G$7:$G$50,SCEAUX!G12))+(COUNTIF('IB TRANSPORT'!$G$7:$G$50,SCEAUX!G12))+(COUNTIF(JSL!$G$7:$G$50,SCEAUX!G12))+(COUNTIF(KIFAITOUT!$G$7:$G$50,SCEAUX!G12))+(COUNTIF('LUXE DRIVE'!$G$7:$G$50,SCEAUX!G12))+(COUNTIF(SSN!$G$7:$G$50,SCEAUX!G12))+(COUNTIF('W3'!$G$7:$G$50,SCEAUX!G12))+(COUNTIF('ATHIS MONS'!$G$7:$G$50,SCEAUX!G12))+(COUNTIF('L HAY LES ROSES'!$G$7:$G$50,SCEAUX!G12))+(COUNTIF(RUNGIS!$G$7:$G$50,SCEAUX!G12))+(COUNTIF(SCEAUX!$G$7:$G$50,SCEAUX!G12))+(COUNTIF('INSTANCE C1'!$G$7:$G$50,SCEAUX!G12))+(COUNTIF('INSTANCE C2'!$G$7:$G$50,SCEAUX!G12))+(COUNTIF(INTERNES!$G$7:$G$50,SCEAUX!G12))+(COUNTIF('EN PANNE'!$G$7:$G$50,SCEAUX!G12))-I12</f>
        <v>0</v>
      </c>
      <c r="I12" s="23">
        <f>(COUNTIF('2S EXPRESS'!$A$7:$A$50,SCEAUX!G12))+(COUNTIF('2 ZT'!$A$7:$A$50,SCEAUX!G12))+(COUNTIF('GO TRANSPORT'!$A$7:$A$50,SCEAUX!G12))+(COUNTIF('HMZ - KAIS'!$A$7:$A$50,SCEAUX!G12))+(COUNTIF('IB TRANSPORT'!$A$7:$A$50,SCEAUX!G12))+(COUNTIF(JSL!$A$7:$A$50,SCEAUX!G12))+(COUNTIF(KIFAITOUT!$A$7:$A$50,SCEAUX!G12))+(COUNTIF('LUXE DRIVE'!$A$7:$A$50,SCEAUX!G12))+(COUNTIF(SSN!$A$7:$A$50,SCEAUX!G12))+(COUNTIF('W3'!$A$7:$A$50,SCEAUX!G12))+(COUNTIF('ATHIS MONS'!$A$7:$A$50,SCEAUX!G12))+(COUNTIF('L HAY LES ROSES'!$A$7:$A$50,SCEAUX!G12))+(COUNTIF(RUNGIS!$A$7:$A$50,SCEAUX!G12))+(COUNTIF(SCEAUX!$A$7:$A$50,SCEAUX!G12))+(COUNTIF('INSTANCE C1'!$A$7:$A$50,SCEAUX!G12))+(COUNTIF('INSTANCE C2'!$A$7:$A$50,SCEAUX!G12))+(COUNTIF(INTERNES!$A$7:$A$50,SCEAUX!G12))+(COUNTIF('EN PANNE'!$A$7:$A$50,SCEAUX!G12))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S12" s="60">
        <f t="shared" si="1"/>
        <v>0</v>
      </c>
      <c r="T12" s="67">
        <f t="shared" si="2"/>
        <v>0</v>
      </c>
    </row>
    <row r="13" spans="1:26" ht="24.95" customHeight="1" x14ac:dyDescent="0.2">
      <c r="A13" s="20"/>
      <c r="B13" s="23">
        <f>(COUNTIF('2S EXPRESS'!$A$7:$A$50,SCEAUX!A13))+(COUNTIF('2 ZT'!$A$7:$A$50,SCEAUX!A13))+(COUNTIF('GO TRANSPORT'!$A$7:$A$50,SCEAUX!A13))+(COUNTIF('HMZ - KAIS'!$A$7:$A$50,SCEAUX!A13))+(COUNTIF('IB TRANSPORT'!$A$7:$A$50,SCEAUX!A13))+(COUNTIF(JSL!$A$7:$A$50,SCEAUX!A13))+(COUNTIF(KIFAITOUT!$A$7:$A$50,SCEAUX!A13))+(COUNTIF('LUXE DRIVE'!$A$7:$A$50,SCEAUX!A13))+(COUNTIF(SSN!$A$7:$A$50,SCEAUX!A13))+(COUNTIF('W3'!$A$7:$A$50,SCEAUX!A13))+(COUNTIF('ATHIS MONS'!$A$7:$A$50,SCEAUX!A13))+(COUNTIF('L HAY LES ROSES'!$A$7:$A$50,SCEAUX!A13))+(COUNTIF(RUNGIS!$A$7:$A$50,SCEAUX!A13))+(COUNTIF(SCEAUX!$A$7:$A$50,SCEAUX!A13))+(COUNTIF('INSTANCE C1'!$A$7:$A$50,SCEAUX!A13))+(COUNTIF('INSTANCE C2'!$A$7:$A$50,SCEAUX!A13))+(COUNTIF(INTERNES!$A$7:$A$50,SCEAUX!A13))+(COUNTIF('EN PANNE'!$A$7:$A$50,SCEAUX!A13))-C13</f>
        <v>0</v>
      </c>
      <c r="C13" s="23">
        <f>(COUNTIF('2S EXPRESS'!$G$7:$G$50,SCEAUX!A13))+(COUNTIF('2 ZT'!$G$7:$G$50,SCEAUX!A13))+(COUNTIF('GO TRANSPORT'!$G$7:$G$50,SCEAUX!A13))+(COUNTIF(SCEAUX!$G$7:$G$50,SCEAUX!A13))+(COUNTIF('IB TRANSPORT'!$G$7:$G$50,SCEAUX!A13))+(COUNTIF(JSL!$G$7:$G$50,SCEAUX!A13))+(COUNTIF(KIFAITOUT!$G$7:$G$50,SCEAUX!A13))+(COUNTIF('LUXE DRIVE'!$G$7:$G$50,SCEAUX!A13))+(COUNTIF(SSN!$G$7:$G$50,SCEAUX!A13))+(COUNTIF('W3'!$G$7:$G$50,SCEAUX!A13))+(COUNTIF('ATHIS MONS'!$G$7:$G$50,SCEAUX!A13))+(COUNTIF('L HAY LES ROSES'!$G$7:$G$50,SCEAUX!A13))+(COUNTIF(RUNGIS!$G$7:$G$50,SCEAUX!A13))+(COUNTIF(SCEAUX!$G$7:$G$50,SCEAUX!A13))+(COUNTIF('INSTANCE C1'!$G$7:$G$50,SCEAUX!A13))+(COUNTIF('INSTANCE C2'!$G$7:$G$50,SCEAUX!A13))+(COUNTIF(INTERNES!$G$7:$G$50,SCEAUX!A13))+(COUNTIF('EN PANNE'!$G$7:$G$50,SCEAUX!A13))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EXPRESS'!$G$7:$G$50,SCEAUX!G13))+(COUNTIF('2 ZT'!$G$7:$G$50,SCEAUX!G13))+(COUNTIF('GO TRANSPORT'!$G$7:$G$50,SCEAUX!G13))+(COUNTIF('HMZ - KAIS'!$G$7:$G$50,SCEAUX!G13))+(COUNTIF('IB TRANSPORT'!$G$7:$G$50,SCEAUX!G13))+(COUNTIF(JSL!$G$7:$G$50,SCEAUX!G13))+(COUNTIF(KIFAITOUT!$G$7:$G$50,SCEAUX!G13))+(COUNTIF('LUXE DRIVE'!$G$7:$G$50,SCEAUX!G13))+(COUNTIF(SSN!$G$7:$G$50,SCEAUX!G13))+(COUNTIF('W3'!$G$7:$G$50,SCEAUX!G13))+(COUNTIF('ATHIS MONS'!$G$7:$G$50,SCEAUX!G13))+(COUNTIF('L HAY LES ROSES'!$G$7:$G$50,SCEAUX!G13))+(COUNTIF(RUNGIS!$G$7:$G$50,SCEAUX!G13))+(COUNTIF(SCEAUX!$G$7:$G$50,SCEAUX!G13))+(COUNTIF('INSTANCE C1'!$G$7:$G$50,SCEAUX!G13))+(COUNTIF('INSTANCE C2'!$G$7:$G$50,SCEAUX!G13))+(COUNTIF(INTERNES!$G$7:$G$50,SCEAUX!G13))+(COUNTIF('EN PANNE'!$G$7:$G$50,SCEAUX!G13))-I13</f>
        <v>0</v>
      </c>
      <c r="I13" s="23">
        <f>(COUNTIF('2S EXPRESS'!$A$7:$A$50,SCEAUX!G13))+(COUNTIF('2 ZT'!$A$7:$A$50,SCEAUX!G13))+(COUNTIF('GO TRANSPORT'!$A$7:$A$50,SCEAUX!G13))+(COUNTIF('HMZ - KAIS'!$A$7:$A$50,SCEAUX!G13))+(COUNTIF('IB TRANSPORT'!$A$7:$A$50,SCEAUX!G13))+(COUNTIF(JSL!$A$7:$A$50,SCEAUX!G13))+(COUNTIF(KIFAITOUT!$A$7:$A$50,SCEAUX!G13))+(COUNTIF('LUXE DRIVE'!$A$7:$A$50,SCEAUX!G13))+(COUNTIF(SSN!$A$7:$A$50,SCEAUX!G13))+(COUNTIF('W3'!$A$7:$A$50,SCEAUX!G13))+(COUNTIF('ATHIS MONS'!$A$7:$A$50,SCEAUX!G13))+(COUNTIF('L HAY LES ROSES'!$A$7:$A$50,SCEAUX!G13))+(COUNTIF(RUNGIS!$A$7:$A$50,SCEAUX!G13))+(COUNTIF(SCEAUX!$A$7:$A$50,SCEAUX!G13))+(COUNTIF('INSTANCE C1'!$A$7:$A$50,SCEAUX!G13))+(COUNTIF('INSTANCE C2'!$A$7:$A$50,SCEAUX!G13))+(COUNTIF(INTERNES!$A$7:$A$50,SCEAUX!G13))+(COUNTIF('EN PANNE'!$A$7:$A$50,SCEAUX!G13))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S13" s="60">
        <f t="shared" si="1"/>
        <v>0</v>
      </c>
      <c r="T13" s="67">
        <f t="shared" si="2"/>
        <v>0</v>
      </c>
    </row>
    <row r="14" spans="1:26" ht="24.95" customHeight="1" x14ac:dyDescent="0.2">
      <c r="A14" s="20"/>
      <c r="B14" s="23">
        <f>(COUNTIF('2S EXPRESS'!$A$7:$A$50,SCEAUX!A14))+(COUNTIF('2 ZT'!$A$7:$A$50,SCEAUX!A14))+(COUNTIF('GO TRANSPORT'!$A$7:$A$50,SCEAUX!A14))+(COUNTIF('HMZ - KAIS'!$A$7:$A$50,SCEAUX!A14))+(COUNTIF('IB TRANSPORT'!$A$7:$A$50,SCEAUX!A14))+(COUNTIF(JSL!$A$7:$A$50,SCEAUX!A14))+(COUNTIF(KIFAITOUT!$A$7:$A$50,SCEAUX!A14))+(COUNTIF('LUXE DRIVE'!$A$7:$A$50,SCEAUX!A14))+(COUNTIF(SSN!$A$7:$A$50,SCEAUX!A14))+(COUNTIF('W3'!$A$7:$A$50,SCEAUX!A14))+(COUNTIF('ATHIS MONS'!$A$7:$A$50,SCEAUX!A14))+(COUNTIF('L HAY LES ROSES'!$A$7:$A$50,SCEAUX!A14))+(COUNTIF(RUNGIS!$A$7:$A$50,SCEAUX!A14))+(COUNTIF(SCEAUX!$A$7:$A$50,SCEAUX!A14))+(COUNTIF('INSTANCE C1'!$A$7:$A$50,SCEAUX!A14))+(COUNTIF('INSTANCE C2'!$A$7:$A$50,SCEAUX!A14))+(COUNTIF(INTERNES!$A$7:$A$50,SCEAUX!A14))+(COUNTIF('EN PANNE'!$A$7:$A$50,SCEAUX!A14))-C14</f>
        <v>0</v>
      </c>
      <c r="C14" s="23">
        <f>(COUNTIF('2S EXPRESS'!$G$7:$G$50,SCEAUX!A14))+(COUNTIF('2 ZT'!$G$7:$G$50,SCEAUX!A14))+(COUNTIF('GO TRANSPORT'!$G$7:$G$50,SCEAUX!A14))+(COUNTIF(SCEAUX!$G$7:$G$50,SCEAUX!A14))+(COUNTIF('IB TRANSPORT'!$G$7:$G$50,SCEAUX!A14))+(COUNTIF(JSL!$G$7:$G$50,SCEAUX!A14))+(COUNTIF(KIFAITOUT!$G$7:$G$50,SCEAUX!A14))+(COUNTIF('LUXE DRIVE'!$G$7:$G$50,SCEAUX!A14))+(COUNTIF(SSN!$G$7:$G$50,SCEAUX!A14))+(COUNTIF('W3'!$G$7:$G$50,SCEAUX!A14))+(COUNTIF('ATHIS MONS'!$G$7:$G$50,SCEAUX!A14))+(COUNTIF('L HAY LES ROSES'!$G$7:$G$50,SCEAUX!A14))+(COUNTIF(RUNGIS!$G$7:$G$50,SCEAUX!A14))+(COUNTIF(SCEAUX!$G$7:$G$50,SCEAUX!A14))+(COUNTIF('INSTANCE C1'!$G$7:$G$50,SCEAUX!A14))+(COUNTIF('INSTANCE C2'!$G$7:$G$50,SCEAUX!A14))+(COUNTIF(INTERNES!$G$7:$G$50,SCEAUX!A14))+(COUNTIF('EN PANNE'!$G$7:$G$50,SCEAUX!A14))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EXPRESS'!$G$7:$G$50,SCEAUX!G14))+(COUNTIF('2 ZT'!$G$7:$G$50,SCEAUX!G14))+(COUNTIF('GO TRANSPORT'!$G$7:$G$50,SCEAUX!G14))+(COUNTIF('HMZ - KAIS'!$G$7:$G$50,SCEAUX!G14))+(COUNTIF('IB TRANSPORT'!$G$7:$G$50,SCEAUX!G14))+(COUNTIF(JSL!$G$7:$G$50,SCEAUX!G14))+(COUNTIF(KIFAITOUT!$G$7:$G$50,SCEAUX!G14))+(COUNTIF('LUXE DRIVE'!$G$7:$G$50,SCEAUX!G14))+(COUNTIF(SSN!$G$7:$G$50,SCEAUX!G14))+(COUNTIF('W3'!$G$7:$G$50,SCEAUX!G14))+(COUNTIF('ATHIS MONS'!$G$7:$G$50,SCEAUX!G14))+(COUNTIF('L HAY LES ROSES'!$G$7:$G$50,SCEAUX!G14))+(COUNTIF(RUNGIS!$G$7:$G$50,SCEAUX!G14))+(COUNTIF(SCEAUX!$G$7:$G$50,SCEAUX!G14))+(COUNTIF('INSTANCE C1'!$G$7:$G$50,SCEAUX!G14))+(COUNTIF('INSTANCE C2'!$G$7:$G$50,SCEAUX!G14))+(COUNTIF(INTERNES!$G$7:$G$50,SCEAUX!G14))+(COUNTIF('EN PANNE'!$G$7:$G$50,SCEAUX!G14))-I14</f>
        <v>0</v>
      </c>
      <c r="I14" s="23">
        <f>(COUNTIF('2S EXPRESS'!$A$7:$A$50,SCEAUX!G14))+(COUNTIF('2 ZT'!$A$7:$A$50,SCEAUX!G14))+(COUNTIF('GO TRANSPORT'!$A$7:$A$50,SCEAUX!G14))+(COUNTIF('HMZ - KAIS'!$A$7:$A$50,SCEAUX!G14))+(COUNTIF('IB TRANSPORT'!$A$7:$A$50,SCEAUX!G14))+(COUNTIF(JSL!$A$7:$A$50,SCEAUX!G14))+(COUNTIF(KIFAITOUT!$A$7:$A$50,SCEAUX!G14))+(COUNTIF('LUXE DRIVE'!$A$7:$A$50,SCEAUX!G14))+(COUNTIF(SSN!$A$7:$A$50,SCEAUX!G14))+(COUNTIF('W3'!$A$7:$A$50,SCEAUX!G14))+(COUNTIF('ATHIS MONS'!$A$7:$A$50,SCEAUX!G14))+(COUNTIF('L HAY LES ROSES'!$A$7:$A$50,SCEAUX!G14))+(COUNTIF(RUNGIS!$A$7:$A$50,SCEAUX!G14))+(COUNTIF(SCEAUX!$A$7:$A$50,SCEAUX!G14))+(COUNTIF('INSTANCE C1'!$A$7:$A$50,SCEAUX!G14))+(COUNTIF('INSTANCE C2'!$A$7:$A$50,SCEAUX!G14))+(COUNTIF(INTERNES!$A$7:$A$50,SCEAUX!G14))+(COUNTIF('EN PANNE'!$A$7:$A$50,SCEAUX!G14))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S14" s="60">
        <f t="shared" si="1"/>
        <v>0</v>
      </c>
      <c r="T14" s="67">
        <f t="shared" si="2"/>
        <v>0</v>
      </c>
    </row>
    <row r="15" spans="1:26" ht="24.95" customHeight="1" x14ac:dyDescent="0.2">
      <c r="A15" s="20"/>
      <c r="B15" s="23">
        <f>(COUNTIF('2S EXPRESS'!$A$7:$A$50,SCEAUX!A15))+(COUNTIF('2 ZT'!$A$7:$A$50,SCEAUX!A15))+(COUNTIF('GO TRANSPORT'!$A$7:$A$50,SCEAUX!A15))+(COUNTIF('HMZ - KAIS'!$A$7:$A$50,SCEAUX!A15))+(COUNTIF('IB TRANSPORT'!$A$7:$A$50,SCEAUX!A15))+(COUNTIF(JSL!$A$7:$A$50,SCEAUX!A15))+(COUNTIF(KIFAITOUT!$A$7:$A$50,SCEAUX!A15))+(COUNTIF('LUXE DRIVE'!$A$7:$A$50,SCEAUX!A15))+(COUNTIF(SSN!$A$7:$A$50,SCEAUX!A15))+(COUNTIF('W3'!$A$7:$A$50,SCEAUX!A15))+(COUNTIF('ATHIS MONS'!$A$7:$A$50,SCEAUX!A15))+(COUNTIF('L HAY LES ROSES'!$A$7:$A$50,SCEAUX!A15))+(COUNTIF(RUNGIS!$A$7:$A$50,SCEAUX!A15))+(COUNTIF(SCEAUX!$A$7:$A$50,SCEAUX!A15))+(COUNTIF('INSTANCE C1'!$A$7:$A$50,SCEAUX!A15))+(COUNTIF('INSTANCE C2'!$A$7:$A$50,SCEAUX!A15))+(COUNTIF(INTERNES!$A$7:$A$50,SCEAUX!A15))+(COUNTIF('EN PANNE'!$A$7:$A$50,SCEAUX!A15))-C15</f>
        <v>0</v>
      </c>
      <c r="C15" s="23">
        <f>(COUNTIF('2S EXPRESS'!$G$7:$G$50,SCEAUX!A15))+(COUNTIF('2 ZT'!$G$7:$G$50,SCEAUX!A15))+(COUNTIF('GO TRANSPORT'!$G$7:$G$50,SCEAUX!A15))+(COUNTIF(SCEAUX!$G$7:$G$50,SCEAUX!A15))+(COUNTIF('IB TRANSPORT'!$G$7:$G$50,SCEAUX!A15))+(COUNTIF(JSL!$G$7:$G$50,SCEAUX!A15))+(COUNTIF(KIFAITOUT!$G$7:$G$50,SCEAUX!A15))+(COUNTIF('LUXE DRIVE'!$G$7:$G$50,SCEAUX!A15))+(COUNTIF(SSN!$G$7:$G$50,SCEAUX!A15))+(COUNTIF('W3'!$G$7:$G$50,SCEAUX!A15))+(COUNTIF('ATHIS MONS'!$G$7:$G$50,SCEAUX!A15))+(COUNTIF('L HAY LES ROSES'!$G$7:$G$50,SCEAUX!A15))+(COUNTIF(RUNGIS!$G$7:$G$50,SCEAUX!A15))+(COUNTIF(SCEAUX!$G$7:$G$50,SCEAUX!A15))+(COUNTIF('INSTANCE C1'!$G$7:$G$50,SCEAUX!A15))+(COUNTIF('INSTANCE C2'!$G$7:$G$50,SCEAUX!A15))+(COUNTIF(INTERNES!$G$7:$G$50,SCEAUX!A15))+(COUNTIF('EN PANNE'!$G$7:$G$50,SCEAUX!A15))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EXPRESS'!$G$7:$G$50,SCEAUX!G15))+(COUNTIF('2 ZT'!$G$7:$G$50,SCEAUX!G15))+(COUNTIF('GO TRANSPORT'!$G$7:$G$50,SCEAUX!G15))+(COUNTIF('HMZ - KAIS'!$G$7:$G$50,SCEAUX!G15))+(COUNTIF('IB TRANSPORT'!$G$7:$G$50,SCEAUX!G15))+(COUNTIF(JSL!$G$7:$G$50,SCEAUX!G15))+(COUNTIF(KIFAITOUT!$G$7:$G$50,SCEAUX!G15))+(COUNTIF('LUXE DRIVE'!$G$7:$G$50,SCEAUX!G15))+(COUNTIF(SSN!$G$7:$G$50,SCEAUX!G15))+(COUNTIF('W3'!$G$7:$G$50,SCEAUX!G15))+(COUNTIF('ATHIS MONS'!$G$7:$G$50,SCEAUX!G15))+(COUNTIF('L HAY LES ROSES'!$G$7:$G$50,SCEAUX!G15))+(COUNTIF(RUNGIS!$G$7:$G$50,SCEAUX!G15))+(COUNTIF(SCEAUX!$G$7:$G$50,SCEAUX!G15))+(COUNTIF('INSTANCE C1'!$G$7:$G$50,SCEAUX!G15))+(COUNTIF('INSTANCE C2'!$G$7:$G$50,SCEAUX!G15))+(COUNTIF(INTERNES!$G$7:$G$50,SCEAUX!G15))+(COUNTIF('EN PANNE'!$G$7:$G$50,SCEAUX!G15))-I15</f>
        <v>0</v>
      </c>
      <c r="I15" s="23">
        <f>(COUNTIF('2S EXPRESS'!$A$7:$A$50,SCEAUX!G15))+(COUNTIF('2 ZT'!$A$7:$A$50,SCEAUX!G15))+(COUNTIF('GO TRANSPORT'!$A$7:$A$50,SCEAUX!G15))+(COUNTIF('HMZ - KAIS'!$A$7:$A$50,SCEAUX!G15))+(COUNTIF('IB TRANSPORT'!$A$7:$A$50,SCEAUX!G15))+(COUNTIF(JSL!$A$7:$A$50,SCEAUX!G15))+(COUNTIF(KIFAITOUT!$A$7:$A$50,SCEAUX!G15))+(COUNTIF('LUXE DRIVE'!$A$7:$A$50,SCEAUX!G15))+(COUNTIF(SSN!$A$7:$A$50,SCEAUX!G15))+(COUNTIF('W3'!$A$7:$A$50,SCEAUX!G15))+(COUNTIF('ATHIS MONS'!$A$7:$A$50,SCEAUX!G15))+(COUNTIF('L HAY LES ROSES'!$A$7:$A$50,SCEAUX!G15))+(COUNTIF(RUNGIS!$A$7:$A$50,SCEAUX!G15))+(COUNTIF(SCEAUX!$A$7:$A$50,SCEAUX!G15))+(COUNTIF('INSTANCE C1'!$A$7:$A$50,SCEAUX!G15))+(COUNTIF('INSTANCE C2'!$A$7:$A$50,SCEAUX!G15))+(COUNTIF(INTERNES!$A$7:$A$50,SCEAUX!G15))+(COUNTIF('EN PANNE'!$A$7:$A$50,SCEAUX!G15))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S15" s="60">
        <f t="shared" si="1"/>
        <v>0</v>
      </c>
      <c r="T15" s="67">
        <f t="shared" si="2"/>
        <v>0</v>
      </c>
    </row>
    <row r="16" spans="1:26" ht="24.95" customHeight="1" x14ac:dyDescent="0.2">
      <c r="A16" s="20"/>
      <c r="B16" s="23">
        <f>(COUNTIF('2S EXPRESS'!$A$7:$A$50,SCEAUX!A16))+(COUNTIF('2 ZT'!$A$7:$A$50,SCEAUX!A16))+(COUNTIF('GO TRANSPORT'!$A$7:$A$50,SCEAUX!A16))+(COUNTIF('HMZ - KAIS'!$A$7:$A$50,SCEAUX!A16))+(COUNTIF('IB TRANSPORT'!$A$7:$A$50,SCEAUX!A16))+(COUNTIF(JSL!$A$7:$A$50,SCEAUX!A16))+(COUNTIF(KIFAITOUT!$A$7:$A$50,SCEAUX!A16))+(COUNTIF('LUXE DRIVE'!$A$7:$A$50,SCEAUX!A16))+(COUNTIF(SSN!$A$7:$A$50,SCEAUX!A16))+(COUNTIF('W3'!$A$7:$A$50,SCEAUX!A16))+(COUNTIF('ATHIS MONS'!$A$7:$A$50,SCEAUX!A16))+(COUNTIF('L HAY LES ROSES'!$A$7:$A$50,SCEAUX!A16))+(COUNTIF(RUNGIS!$A$7:$A$50,SCEAUX!A16))+(COUNTIF(SCEAUX!$A$7:$A$50,SCEAUX!A16))+(COUNTIF('INSTANCE C1'!$A$7:$A$50,SCEAUX!A16))+(COUNTIF('INSTANCE C2'!$A$7:$A$50,SCEAUX!A16))+(COUNTIF(INTERNES!$A$7:$A$50,SCEAUX!A16))+(COUNTIF('EN PANNE'!$A$7:$A$50,SCEAUX!A16))-C16</f>
        <v>0</v>
      </c>
      <c r="C16" s="23">
        <f>(COUNTIF('2S EXPRESS'!$G$7:$G$50,SCEAUX!A16))+(COUNTIF('2 ZT'!$G$7:$G$50,SCEAUX!A16))+(COUNTIF('GO TRANSPORT'!$G$7:$G$50,SCEAUX!A16))+(COUNTIF(SCEAUX!$G$7:$G$50,SCEAUX!A16))+(COUNTIF('IB TRANSPORT'!$G$7:$G$50,SCEAUX!A16))+(COUNTIF(JSL!$G$7:$G$50,SCEAUX!A16))+(COUNTIF(KIFAITOUT!$G$7:$G$50,SCEAUX!A16))+(COUNTIF('LUXE DRIVE'!$G$7:$G$50,SCEAUX!A16))+(COUNTIF(SSN!$G$7:$G$50,SCEAUX!A16))+(COUNTIF('W3'!$G$7:$G$50,SCEAUX!A16))+(COUNTIF('ATHIS MONS'!$G$7:$G$50,SCEAUX!A16))+(COUNTIF('L HAY LES ROSES'!$G$7:$G$50,SCEAUX!A16))+(COUNTIF(RUNGIS!$G$7:$G$50,SCEAUX!A16))+(COUNTIF(SCEAUX!$G$7:$G$50,SCEAUX!A16))+(COUNTIF('INSTANCE C1'!$G$7:$G$50,SCEAUX!A16))+(COUNTIF('INSTANCE C2'!$G$7:$G$50,SCEAUX!A16))+(COUNTIF(INTERNES!$G$7:$G$50,SCEAUX!A16))+(COUNTIF('EN PANNE'!$G$7:$G$50,SCEAUX!A16))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EXPRESS'!$G$7:$G$50,SCEAUX!G16))+(COUNTIF('2 ZT'!$G$7:$G$50,SCEAUX!G16))+(COUNTIF('GO TRANSPORT'!$G$7:$G$50,SCEAUX!G16))+(COUNTIF('HMZ - KAIS'!$G$7:$G$50,SCEAUX!G16))+(COUNTIF('IB TRANSPORT'!$G$7:$G$50,SCEAUX!G16))+(COUNTIF(JSL!$G$7:$G$50,SCEAUX!G16))+(COUNTIF(KIFAITOUT!$G$7:$G$50,SCEAUX!G16))+(COUNTIF('LUXE DRIVE'!$G$7:$G$50,SCEAUX!G16))+(COUNTIF(SSN!$G$7:$G$50,SCEAUX!G16))+(COUNTIF('W3'!$G$7:$G$50,SCEAUX!G16))+(COUNTIF('ATHIS MONS'!$G$7:$G$50,SCEAUX!G16))+(COUNTIF('L HAY LES ROSES'!$G$7:$G$50,SCEAUX!G16))+(COUNTIF(RUNGIS!$G$7:$G$50,SCEAUX!G16))+(COUNTIF(SCEAUX!$G$7:$G$50,SCEAUX!G16))+(COUNTIF('INSTANCE C1'!$G$7:$G$50,SCEAUX!G16))+(COUNTIF('INSTANCE C2'!$G$7:$G$50,SCEAUX!G16))+(COUNTIF(INTERNES!$G$7:$G$50,SCEAUX!G16))+(COUNTIF('EN PANNE'!$G$7:$G$50,SCEAUX!G16))-I16</f>
        <v>0</v>
      </c>
      <c r="I16" s="23">
        <f>(COUNTIF('2S EXPRESS'!$A$7:$A$50,SCEAUX!G16))+(COUNTIF('2 ZT'!$A$7:$A$50,SCEAUX!G16))+(COUNTIF('GO TRANSPORT'!$A$7:$A$50,SCEAUX!G16))+(COUNTIF('HMZ - KAIS'!$A$7:$A$50,SCEAUX!G16))+(COUNTIF('IB TRANSPORT'!$A$7:$A$50,SCEAUX!G16))+(COUNTIF(JSL!$A$7:$A$50,SCEAUX!G16))+(COUNTIF(KIFAITOUT!$A$7:$A$50,SCEAUX!G16))+(COUNTIF('LUXE DRIVE'!$A$7:$A$50,SCEAUX!G16))+(COUNTIF(SSN!$A$7:$A$50,SCEAUX!G16))+(COUNTIF('W3'!$A$7:$A$50,SCEAUX!G16))+(COUNTIF('ATHIS MONS'!$A$7:$A$50,SCEAUX!G16))+(COUNTIF('L HAY LES ROSES'!$A$7:$A$50,SCEAUX!G16))+(COUNTIF(RUNGIS!$A$7:$A$50,SCEAUX!G16))+(COUNTIF(SCEAUX!$A$7:$A$50,SCEAUX!G16))+(COUNTIF('INSTANCE C1'!$A$7:$A$50,SCEAUX!G16))+(COUNTIF('INSTANCE C2'!$A$7:$A$50,SCEAUX!G16))+(COUNTIF(INTERNES!$A$7:$A$50,SCEAUX!G16))+(COUNTIF('EN PANNE'!$A$7:$A$50,SCEAUX!G16))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S16" s="60">
        <f t="shared" si="1"/>
        <v>0</v>
      </c>
      <c r="T16" s="67">
        <f t="shared" si="2"/>
        <v>0</v>
      </c>
    </row>
    <row r="17" spans="1:20" ht="24.95" customHeight="1" x14ac:dyDescent="0.2">
      <c r="A17" s="20"/>
      <c r="B17" s="23">
        <f>(COUNTIF('2S EXPRESS'!$A$7:$A$50,SCEAUX!A17))+(COUNTIF('2 ZT'!$A$7:$A$50,SCEAUX!A17))+(COUNTIF('GO TRANSPORT'!$A$7:$A$50,SCEAUX!A17))+(COUNTIF('HMZ - KAIS'!$A$7:$A$50,SCEAUX!A17))+(COUNTIF('IB TRANSPORT'!$A$7:$A$50,SCEAUX!A17))+(COUNTIF(JSL!$A$7:$A$50,SCEAUX!A17))+(COUNTIF(KIFAITOUT!$A$7:$A$50,SCEAUX!A17))+(COUNTIF('LUXE DRIVE'!$A$7:$A$50,SCEAUX!A17))+(COUNTIF(SSN!$A$7:$A$50,SCEAUX!A17))+(COUNTIF('W3'!$A$7:$A$50,SCEAUX!A17))+(COUNTIF('ATHIS MONS'!$A$7:$A$50,SCEAUX!A17))+(COUNTIF('L HAY LES ROSES'!$A$7:$A$50,SCEAUX!A17))+(COUNTIF(RUNGIS!$A$7:$A$50,SCEAUX!A17))+(COUNTIF(SCEAUX!$A$7:$A$50,SCEAUX!A17))+(COUNTIF('INSTANCE C1'!$A$7:$A$50,SCEAUX!A17))+(COUNTIF('INSTANCE C2'!$A$7:$A$50,SCEAUX!A17))+(COUNTIF(INTERNES!$A$7:$A$50,SCEAUX!A17))+(COUNTIF('EN PANNE'!$A$7:$A$50,SCEAUX!A17))-C17</f>
        <v>0</v>
      </c>
      <c r="C17" s="23">
        <f>(COUNTIF('2S EXPRESS'!$G$7:$G$50,SCEAUX!A17))+(COUNTIF('2 ZT'!$G$7:$G$50,SCEAUX!A17))+(COUNTIF('GO TRANSPORT'!$G$7:$G$50,SCEAUX!A17))+(COUNTIF(SCEAUX!$G$7:$G$50,SCEAUX!A17))+(COUNTIF('IB TRANSPORT'!$G$7:$G$50,SCEAUX!A17))+(COUNTIF(JSL!$G$7:$G$50,SCEAUX!A17))+(COUNTIF(KIFAITOUT!$G$7:$G$50,SCEAUX!A17))+(COUNTIF('LUXE DRIVE'!$G$7:$G$50,SCEAUX!A17))+(COUNTIF(SSN!$G$7:$G$50,SCEAUX!A17))+(COUNTIF('W3'!$G$7:$G$50,SCEAUX!A17))+(COUNTIF('ATHIS MONS'!$G$7:$G$50,SCEAUX!A17))+(COUNTIF('L HAY LES ROSES'!$G$7:$G$50,SCEAUX!A17))+(COUNTIF(RUNGIS!$G$7:$G$50,SCEAUX!A17))+(COUNTIF(SCEAUX!$G$7:$G$50,SCEAUX!A17))+(COUNTIF('INSTANCE C1'!$G$7:$G$50,SCEAUX!A17))+(COUNTIF('INSTANCE C2'!$G$7:$G$50,SCEAUX!A17))+(COUNTIF(INTERNES!$G$7:$G$50,SCEAUX!A17))+(COUNTIF('EN PANNE'!$G$7:$G$50,SCEAUX!A17))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EXPRESS'!$G$7:$G$50,SCEAUX!G17))+(COUNTIF('2 ZT'!$G$7:$G$50,SCEAUX!G17))+(COUNTIF('GO TRANSPORT'!$G$7:$G$50,SCEAUX!G17))+(COUNTIF('HMZ - KAIS'!$G$7:$G$50,SCEAUX!G17))+(COUNTIF('IB TRANSPORT'!$G$7:$G$50,SCEAUX!G17))+(COUNTIF(JSL!$G$7:$G$50,SCEAUX!G17))+(COUNTIF(KIFAITOUT!$G$7:$G$50,SCEAUX!G17))+(COUNTIF('LUXE DRIVE'!$G$7:$G$50,SCEAUX!G17))+(COUNTIF(SSN!$G$7:$G$50,SCEAUX!G17))+(COUNTIF('W3'!$G$7:$G$50,SCEAUX!G17))+(COUNTIF('ATHIS MONS'!$G$7:$G$50,SCEAUX!G17))+(COUNTIF('L HAY LES ROSES'!$G$7:$G$50,SCEAUX!G17))+(COUNTIF(RUNGIS!$G$7:$G$50,SCEAUX!G17))+(COUNTIF(SCEAUX!$G$7:$G$50,SCEAUX!G17))+(COUNTIF('INSTANCE C1'!$G$7:$G$50,SCEAUX!G17))+(COUNTIF('INSTANCE C2'!$G$7:$G$50,SCEAUX!G17))+(COUNTIF(INTERNES!$G$7:$G$50,SCEAUX!G17))+(COUNTIF('EN PANNE'!$G$7:$G$50,SCEAUX!G17))-I17</f>
        <v>0</v>
      </c>
      <c r="I17" s="23">
        <f>(COUNTIF('2S EXPRESS'!$A$7:$A$50,SCEAUX!G17))+(COUNTIF('2 ZT'!$A$7:$A$50,SCEAUX!G17))+(COUNTIF('GO TRANSPORT'!$A$7:$A$50,SCEAUX!G17))+(COUNTIF('HMZ - KAIS'!$A$7:$A$50,SCEAUX!G17))+(COUNTIF('IB TRANSPORT'!$A$7:$A$50,SCEAUX!G17))+(COUNTIF(JSL!$A$7:$A$50,SCEAUX!G17))+(COUNTIF(KIFAITOUT!$A$7:$A$50,SCEAUX!G17))+(COUNTIF('LUXE DRIVE'!$A$7:$A$50,SCEAUX!G17))+(COUNTIF(SSN!$A$7:$A$50,SCEAUX!G17))+(COUNTIF('W3'!$A$7:$A$50,SCEAUX!G17))+(COUNTIF('ATHIS MONS'!$A$7:$A$50,SCEAUX!G17))+(COUNTIF('L HAY LES ROSES'!$A$7:$A$50,SCEAUX!G17))+(COUNTIF(RUNGIS!$A$7:$A$50,SCEAUX!G17))+(COUNTIF(SCEAUX!$A$7:$A$50,SCEAUX!G17))+(COUNTIF('INSTANCE C1'!$A$7:$A$50,SCEAUX!G17))+(COUNTIF('INSTANCE C2'!$A$7:$A$50,SCEAUX!G17))+(COUNTIF(INTERNES!$A$7:$A$50,SCEAUX!G17))+(COUNTIF('EN PANNE'!$A$7:$A$50,SCEAUX!G17))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S17" s="60">
        <f t="shared" si="1"/>
        <v>0</v>
      </c>
      <c r="T17" s="67">
        <f t="shared" si="2"/>
        <v>0</v>
      </c>
    </row>
    <row r="18" spans="1:20" ht="24.95" customHeight="1" x14ac:dyDescent="0.2">
      <c r="A18" s="20"/>
      <c r="B18" s="23">
        <f>(COUNTIF('2S EXPRESS'!$A$7:$A$50,SCEAUX!A18))+(COUNTIF('2 ZT'!$A$7:$A$50,SCEAUX!A18))+(COUNTIF('GO TRANSPORT'!$A$7:$A$50,SCEAUX!A18))+(COUNTIF('HMZ - KAIS'!$A$7:$A$50,SCEAUX!A18))+(COUNTIF('IB TRANSPORT'!$A$7:$A$50,SCEAUX!A18))+(COUNTIF(JSL!$A$7:$A$50,SCEAUX!A18))+(COUNTIF(KIFAITOUT!$A$7:$A$50,SCEAUX!A18))+(COUNTIF('LUXE DRIVE'!$A$7:$A$50,SCEAUX!A18))+(COUNTIF(SSN!$A$7:$A$50,SCEAUX!A18))+(COUNTIF('W3'!$A$7:$A$50,SCEAUX!A18))+(COUNTIF('ATHIS MONS'!$A$7:$A$50,SCEAUX!A18))+(COUNTIF('L HAY LES ROSES'!$A$7:$A$50,SCEAUX!A18))+(COUNTIF(RUNGIS!$A$7:$A$50,SCEAUX!A18))+(COUNTIF(SCEAUX!$A$7:$A$50,SCEAUX!A18))+(COUNTIF('INSTANCE C1'!$A$7:$A$50,SCEAUX!A18))+(COUNTIF('INSTANCE C2'!$A$7:$A$50,SCEAUX!A18))+(COUNTIF(INTERNES!$A$7:$A$50,SCEAUX!A18))+(COUNTIF('EN PANNE'!$A$7:$A$50,SCEAUX!A18))-C18</f>
        <v>0</v>
      </c>
      <c r="C18" s="23">
        <f>(COUNTIF('2S EXPRESS'!$G$7:$G$50,SCEAUX!A18))+(COUNTIF('2 ZT'!$G$7:$G$50,SCEAUX!A18))+(COUNTIF('GO TRANSPORT'!$G$7:$G$50,SCEAUX!A18))+(COUNTIF(SCEAUX!$G$7:$G$50,SCEAUX!A18))+(COUNTIF('IB TRANSPORT'!$G$7:$G$50,SCEAUX!A18))+(COUNTIF(JSL!$G$7:$G$50,SCEAUX!A18))+(COUNTIF(KIFAITOUT!$G$7:$G$50,SCEAUX!A18))+(COUNTIF('LUXE DRIVE'!$G$7:$G$50,SCEAUX!A18))+(COUNTIF(SSN!$G$7:$G$50,SCEAUX!A18))+(COUNTIF('W3'!$G$7:$G$50,SCEAUX!A18))+(COUNTIF('ATHIS MONS'!$G$7:$G$50,SCEAUX!A18))+(COUNTIF('L HAY LES ROSES'!$G$7:$G$50,SCEAUX!A18))+(COUNTIF(RUNGIS!$G$7:$G$50,SCEAUX!A18))+(COUNTIF(SCEAUX!$G$7:$G$50,SCEAUX!A18))+(COUNTIF('INSTANCE C1'!$G$7:$G$50,SCEAUX!A18))+(COUNTIF('INSTANCE C2'!$G$7:$G$50,SCEAUX!A18))+(COUNTIF(INTERNES!$G$7:$G$50,SCEAUX!A18))+(COUNTIF('EN PANNE'!$G$7:$G$50,SCEAUX!A18))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EXPRESS'!$G$7:$G$50,SCEAUX!G18))+(COUNTIF('2 ZT'!$G$7:$G$50,SCEAUX!G18))+(COUNTIF('GO TRANSPORT'!$G$7:$G$50,SCEAUX!G18))+(COUNTIF('HMZ - KAIS'!$G$7:$G$50,SCEAUX!G18))+(COUNTIF('IB TRANSPORT'!$G$7:$G$50,SCEAUX!G18))+(COUNTIF(JSL!$G$7:$G$50,SCEAUX!G18))+(COUNTIF(KIFAITOUT!$G$7:$G$50,SCEAUX!G18))+(COUNTIF('LUXE DRIVE'!$G$7:$G$50,SCEAUX!G18))+(COUNTIF(SSN!$G$7:$G$50,SCEAUX!G18))+(COUNTIF('W3'!$G$7:$G$50,SCEAUX!G18))+(COUNTIF('ATHIS MONS'!$G$7:$G$50,SCEAUX!G18))+(COUNTIF('L HAY LES ROSES'!$G$7:$G$50,SCEAUX!G18))+(COUNTIF(RUNGIS!$G$7:$G$50,SCEAUX!G18))+(COUNTIF(SCEAUX!$G$7:$G$50,SCEAUX!G18))+(COUNTIF('INSTANCE C1'!$G$7:$G$50,SCEAUX!G18))+(COUNTIF('INSTANCE C2'!$G$7:$G$50,SCEAUX!G18))+(COUNTIF(INTERNES!$G$7:$G$50,SCEAUX!G18))+(COUNTIF('EN PANNE'!$G$7:$G$50,SCEAUX!G18))-I18</f>
        <v>0</v>
      </c>
      <c r="I18" s="23">
        <f>(COUNTIF('2S EXPRESS'!$A$7:$A$50,SCEAUX!G18))+(COUNTIF('2 ZT'!$A$7:$A$50,SCEAUX!G18))+(COUNTIF('GO TRANSPORT'!$A$7:$A$50,SCEAUX!G18))+(COUNTIF('HMZ - KAIS'!$A$7:$A$50,SCEAUX!G18))+(COUNTIF('IB TRANSPORT'!$A$7:$A$50,SCEAUX!G18))+(COUNTIF(JSL!$A$7:$A$50,SCEAUX!G18))+(COUNTIF(KIFAITOUT!$A$7:$A$50,SCEAUX!G18))+(COUNTIF('LUXE DRIVE'!$A$7:$A$50,SCEAUX!G18))+(COUNTIF(SSN!$A$7:$A$50,SCEAUX!G18))+(COUNTIF('W3'!$A$7:$A$50,SCEAUX!G18))+(COUNTIF('ATHIS MONS'!$A$7:$A$50,SCEAUX!G18))+(COUNTIF('L HAY LES ROSES'!$A$7:$A$50,SCEAUX!G18))+(COUNTIF(RUNGIS!$A$7:$A$50,SCEAUX!G18))+(COUNTIF(SCEAUX!$A$7:$A$50,SCEAUX!G18))+(COUNTIF('INSTANCE C1'!$A$7:$A$50,SCEAUX!G18))+(COUNTIF('INSTANCE C2'!$A$7:$A$50,SCEAUX!G18))+(COUNTIF(INTERNES!$A$7:$A$50,SCEAUX!G18))+(COUNTIF('EN PANNE'!$A$7:$A$50,SCEAUX!G18))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S18" s="60">
        <f t="shared" si="1"/>
        <v>0</v>
      </c>
      <c r="T18" s="67">
        <f t="shared" si="2"/>
        <v>0</v>
      </c>
    </row>
    <row r="19" spans="1:20" ht="24.95" customHeight="1" x14ac:dyDescent="0.2">
      <c r="A19" s="20"/>
      <c r="B19" s="23">
        <f>(COUNTIF('2S EXPRESS'!$A$7:$A$50,SCEAUX!A19))+(COUNTIF('2 ZT'!$A$7:$A$50,SCEAUX!A19))+(COUNTIF('GO TRANSPORT'!$A$7:$A$50,SCEAUX!A19))+(COUNTIF('HMZ - KAIS'!$A$7:$A$50,SCEAUX!A19))+(COUNTIF('IB TRANSPORT'!$A$7:$A$50,SCEAUX!A19))+(COUNTIF(JSL!$A$7:$A$50,SCEAUX!A19))+(COUNTIF(KIFAITOUT!$A$7:$A$50,SCEAUX!A19))+(COUNTIF('LUXE DRIVE'!$A$7:$A$50,SCEAUX!A19))+(COUNTIF(SSN!$A$7:$A$50,SCEAUX!A19))+(COUNTIF('W3'!$A$7:$A$50,SCEAUX!A19))+(COUNTIF('ATHIS MONS'!$A$7:$A$50,SCEAUX!A19))+(COUNTIF('L HAY LES ROSES'!$A$7:$A$50,SCEAUX!A19))+(COUNTIF(RUNGIS!$A$7:$A$50,SCEAUX!A19))+(COUNTIF(SCEAUX!$A$7:$A$50,SCEAUX!A19))+(COUNTIF('INSTANCE C1'!$A$7:$A$50,SCEAUX!A19))+(COUNTIF('INSTANCE C2'!$A$7:$A$50,SCEAUX!A19))+(COUNTIF(INTERNES!$A$7:$A$50,SCEAUX!A19))+(COUNTIF('EN PANNE'!$A$7:$A$50,SCEAUX!A19))-C19</f>
        <v>0</v>
      </c>
      <c r="C19" s="23">
        <f>(COUNTIF('2S EXPRESS'!$G$7:$G$50,SCEAUX!A19))+(COUNTIF('2 ZT'!$G$7:$G$50,SCEAUX!A19))+(COUNTIF('GO TRANSPORT'!$G$7:$G$50,SCEAUX!A19))+(COUNTIF(SCEAUX!$G$7:$G$50,SCEAUX!A19))+(COUNTIF('IB TRANSPORT'!$G$7:$G$50,SCEAUX!A19))+(COUNTIF(JSL!$G$7:$G$50,SCEAUX!A19))+(COUNTIF(KIFAITOUT!$G$7:$G$50,SCEAUX!A19))+(COUNTIF('LUXE DRIVE'!$G$7:$G$50,SCEAUX!A19))+(COUNTIF(SSN!$G$7:$G$50,SCEAUX!A19))+(COUNTIF('W3'!$G$7:$G$50,SCEAUX!A19))+(COUNTIF('ATHIS MONS'!$G$7:$G$50,SCEAUX!A19))+(COUNTIF('L HAY LES ROSES'!$G$7:$G$50,SCEAUX!A19))+(COUNTIF(RUNGIS!$G$7:$G$50,SCEAUX!A19))+(COUNTIF(SCEAUX!$G$7:$G$50,SCEAUX!A19))+(COUNTIF('INSTANCE C1'!$G$7:$G$50,SCEAUX!A19))+(COUNTIF('INSTANCE C2'!$G$7:$G$50,SCEAUX!A19))+(COUNTIF(INTERNES!$G$7:$G$50,SCEAUX!A19))+(COUNTIF('EN PANNE'!$G$7:$G$50,SCEAUX!A19))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EXPRESS'!$G$7:$G$50,SCEAUX!G19))+(COUNTIF('2 ZT'!$G$7:$G$50,SCEAUX!G19))+(COUNTIF('GO TRANSPORT'!$G$7:$G$50,SCEAUX!G19))+(COUNTIF('HMZ - KAIS'!$G$7:$G$50,SCEAUX!G19))+(COUNTIF('IB TRANSPORT'!$G$7:$G$50,SCEAUX!G19))+(COUNTIF(JSL!$G$7:$G$50,SCEAUX!G19))+(COUNTIF(KIFAITOUT!$G$7:$G$50,SCEAUX!G19))+(COUNTIF('LUXE DRIVE'!$G$7:$G$50,SCEAUX!G19))+(COUNTIF(SSN!$G$7:$G$50,SCEAUX!G19))+(COUNTIF('W3'!$G$7:$G$50,SCEAUX!G19))+(COUNTIF('ATHIS MONS'!$G$7:$G$50,SCEAUX!G19))+(COUNTIF('L HAY LES ROSES'!$G$7:$G$50,SCEAUX!G19))+(COUNTIF(RUNGIS!$G$7:$G$50,SCEAUX!G19))+(COUNTIF(SCEAUX!$G$7:$G$50,SCEAUX!G19))+(COUNTIF('INSTANCE C1'!$G$7:$G$50,SCEAUX!G19))+(COUNTIF('INSTANCE C2'!$G$7:$G$50,SCEAUX!G19))+(COUNTIF(INTERNES!$G$7:$G$50,SCEAUX!G19))+(COUNTIF('EN PANNE'!$G$7:$G$50,SCEAUX!G19))-I19</f>
        <v>0</v>
      </c>
      <c r="I19" s="23">
        <f>(COUNTIF('2S EXPRESS'!$A$7:$A$50,SCEAUX!G19))+(COUNTIF('2 ZT'!$A$7:$A$50,SCEAUX!G19))+(COUNTIF('GO TRANSPORT'!$A$7:$A$50,SCEAUX!G19))+(COUNTIF('HMZ - KAIS'!$A$7:$A$50,SCEAUX!G19))+(COUNTIF('IB TRANSPORT'!$A$7:$A$50,SCEAUX!G19))+(COUNTIF(JSL!$A$7:$A$50,SCEAUX!G19))+(COUNTIF(KIFAITOUT!$A$7:$A$50,SCEAUX!G19))+(COUNTIF('LUXE DRIVE'!$A$7:$A$50,SCEAUX!G19))+(COUNTIF(SSN!$A$7:$A$50,SCEAUX!G19))+(COUNTIF('W3'!$A$7:$A$50,SCEAUX!G19))+(COUNTIF('ATHIS MONS'!$A$7:$A$50,SCEAUX!G19))+(COUNTIF('L HAY LES ROSES'!$A$7:$A$50,SCEAUX!G19))+(COUNTIF(RUNGIS!$A$7:$A$50,SCEAUX!G19))+(COUNTIF(SCEAUX!$A$7:$A$50,SCEAUX!G19))+(COUNTIF('INSTANCE C1'!$A$7:$A$50,SCEAUX!G19))+(COUNTIF('INSTANCE C2'!$A$7:$A$50,SCEAUX!G19))+(COUNTIF(INTERNES!$A$7:$A$50,SCEAUX!G19))+(COUNTIF('EN PANNE'!$A$7:$A$50,SCEAUX!G19))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S19" s="60">
        <f t="shared" si="1"/>
        <v>0</v>
      </c>
      <c r="T19" s="67">
        <f t="shared" si="2"/>
        <v>0</v>
      </c>
    </row>
    <row r="20" spans="1:20" ht="24.95" customHeight="1" x14ac:dyDescent="0.2">
      <c r="A20" s="20"/>
      <c r="B20" s="23">
        <f>(COUNTIF('2S EXPRESS'!$A$7:$A$50,SCEAUX!A20))+(COUNTIF('2 ZT'!$A$7:$A$50,SCEAUX!A20))+(COUNTIF('GO TRANSPORT'!$A$7:$A$50,SCEAUX!A20))+(COUNTIF('HMZ - KAIS'!$A$7:$A$50,SCEAUX!A20))+(COUNTIF('IB TRANSPORT'!$A$7:$A$50,SCEAUX!A20))+(COUNTIF(JSL!$A$7:$A$50,SCEAUX!A20))+(COUNTIF(KIFAITOUT!$A$7:$A$50,SCEAUX!A20))+(COUNTIF('LUXE DRIVE'!$A$7:$A$50,SCEAUX!A20))+(COUNTIF(SSN!$A$7:$A$50,SCEAUX!A20))+(COUNTIF('W3'!$A$7:$A$50,SCEAUX!A20))+(COUNTIF('ATHIS MONS'!$A$7:$A$50,SCEAUX!A20))+(COUNTIF('L HAY LES ROSES'!$A$7:$A$50,SCEAUX!A20))+(COUNTIF(RUNGIS!$A$7:$A$50,SCEAUX!A20))+(COUNTIF(SCEAUX!$A$7:$A$50,SCEAUX!A20))+(COUNTIF('INSTANCE C1'!$A$7:$A$50,SCEAUX!A20))+(COUNTIF('INSTANCE C2'!$A$7:$A$50,SCEAUX!A20))+(COUNTIF(INTERNES!$A$7:$A$50,SCEAUX!A20))+(COUNTIF('EN PANNE'!$A$7:$A$50,SCEAUX!A20))-C20</f>
        <v>0</v>
      </c>
      <c r="C20" s="23">
        <f>(COUNTIF('2S EXPRESS'!$G$7:$G$50,SCEAUX!A20))+(COUNTIF('2 ZT'!$G$7:$G$50,SCEAUX!A20))+(COUNTIF('GO TRANSPORT'!$G$7:$G$50,SCEAUX!A20))+(COUNTIF(SCEAUX!$G$7:$G$50,SCEAUX!A20))+(COUNTIF('IB TRANSPORT'!$G$7:$G$50,SCEAUX!A20))+(COUNTIF(JSL!$G$7:$G$50,SCEAUX!A20))+(COUNTIF(KIFAITOUT!$G$7:$G$50,SCEAUX!A20))+(COUNTIF('LUXE DRIVE'!$G$7:$G$50,SCEAUX!A20))+(COUNTIF(SSN!$G$7:$G$50,SCEAUX!A20))+(COUNTIF('W3'!$G$7:$G$50,SCEAUX!A20))+(COUNTIF('ATHIS MONS'!$G$7:$G$50,SCEAUX!A20))+(COUNTIF('L HAY LES ROSES'!$G$7:$G$50,SCEAUX!A20))+(COUNTIF(RUNGIS!$G$7:$G$50,SCEAUX!A20))+(COUNTIF(SCEAUX!$G$7:$G$50,SCEAUX!A20))+(COUNTIF('INSTANCE C1'!$G$7:$G$50,SCEAUX!A20))+(COUNTIF('INSTANCE C2'!$G$7:$G$50,SCEAUX!A20))+(COUNTIF(INTERNES!$G$7:$G$50,SCEAUX!A20))+(COUNTIF('EN PANNE'!$G$7:$G$50,SCEAUX!A20))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EXPRESS'!$G$7:$G$50,SCEAUX!G20))+(COUNTIF('2 ZT'!$G$7:$G$50,SCEAUX!G20))+(COUNTIF('GO TRANSPORT'!$G$7:$G$50,SCEAUX!G20))+(COUNTIF('HMZ - KAIS'!$G$7:$G$50,SCEAUX!G20))+(COUNTIF('IB TRANSPORT'!$G$7:$G$50,SCEAUX!G20))+(COUNTIF(JSL!$G$7:$G$50,SCEAUX!G20))+(COUNTIF(KIFAITOUT!$G$7:$G$50,SCEAUX!G20))+(COUNTIF('LUXE DRIVE'!$G$7:$G$50,SCEAUX!G20))+(COUNTIF(SSN!$G$7:$G$50,SCEAUX!G20))+(COUNTIF('W3'!$G$7:$G$50,SCEAUX!G20))+(COUNTIF('ATHIS MONS'!$G$7:$G$50,SCEAUX!G20))+(COUNTIF('L HAY LES ROSES'!$G$7:$G$50,SCEAUX!G20))+(COUNTIF(RUNGIS!$G$7:$G$50,SCEAUX!G20))+(COUNTIF(SCEAUX!$G$7:$G$50,SCEAUX!G20))+(COUNTIF('INSTANCE C1'!$G$7:$G$50,SCEAUX!G20))+(COUNTIF('INSTANCE C2'!$G$7:$G$50,SCEAUX!G20))+(COUNTIF(INTERNES!$G$7:$G$50,SCEAUX!G20))+(COUNTIF('EN PANNE'!$G$7:$G$50,SCEAUX!G20))-I20</f>
        <v>0</v>
      </c>
      <c r="I20" s="23">
        <f>(COUNTIF('2S EXPRESS'!$A$7:$A$50,SCEAUX!G20))+(COUNTIF('2 ZT'!$A$7:$A$50,SCEAUX!G20))+(COUNTIF('GO TRANSPORT'!$A$7:$A$50,SCEAUX!G20))+(COUNTIF('HMZ - KAIS'!$A$7:$A$50,SCEAUX!G20))+(COUNTIF('IB TRANSPORT'!$A$7:$A$50,SCEAUX!G20))+(COUNTIF(JSL!$A$7:$A$50,SCEAUX!G20))+(COUNTIF(KIFAITOUT!$A$7:$A$50,SCEAUX!G20))+(COUNTIF('LUXE DRIVE'!$A$7:$A$50,SCEAUX!G20))+(COUNTIF(SSN!$A$7:$A$50,SCEAUX!G20))+(COUNTIF('W3'!$A$7:$A$50,SCEAUX!G20))+(COUNTIF('ATHIS MONS'!$A$7:$A$50,SCEAUX!G20))+(COUNTIF('L HAY LES ROSES'!$A$7:$A$50,SCEAUX!G20))+(COUNTIF(RUNGIS!$A$7:$A$50,SCEAUX!G20))+(COUNTIF(SCEAUX!$A$7:$A$50,SCEAUX!G20))+(COUNTIF('INSTANCE C1'!$A$7:$A$50,SCEAUX!G20))+(COUNTIF('INSTANCE C2'!$A$7:$A$50,SCEAUX!G20))+(COUNTIF(INTERNES!$A$7:$A$50,SCEAUX!G20))+(COUNTIF('EN PANNE'!$A$7:$A$50,SCEAUX!G20))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S20" s="60">
        <f t="shared" si="1"/>
        <v>0</v>
      </c>
      <c r="T20" s="67">
        <f t="shared" si="2"/>
        <v>0</v>
      </c>
    </row>
    <row r="21" spans="1:20" ht="24.95" customHeight="1" x14ac:dyDescent="0.2">
      <c r="A21" s="20"/>
      <c r="B21" s="23">
        <f>(COUNTIF('2S EXPRESS'!$A$7:$A$50,SCEAUX!A21))+(COUNTIF('2 ZT'!$A$7:$A$50,SCEAUX!A21))+(COUNTIF('GO TRANSPORT'!$A$7:$A$50,SCEAUX!A21))+(COUNTIF('HMZ - KAIS'!$A$7:$A$50,SCEAUX!A21))+(COUNTIF('IB TRANSPORT'!$A$7:$A$50,SCEAUX!A21))+(COUNTIF(JSL!$A$7:$A$50,SCEAUX!A21))+(COUNTIF(KIFAITOUT!$A$7:$A$50,SCEAUX!A21))+(COUNTIF('LUXE DRIVE'!$A$7:$A$50,SCEAUX!A21))+(COUNTIF(SSN!$A$7:$A$50,SCEAUX!A21))+(COUNTIF('W3'!$A$7:$A$50,SCEAUX!A21))+(COUNTIF('ATHIS MONS'!$A$7:$A$50,SCEAUX!A21))+(COUNTIF('L HAY LES ROSES'!$A$7:$A$50,SCEAUX!A21))+(COUNTIF(RUNGIS!$A$7:$A$50,SCEAUX!A21))+(COUNTIF(SCEAUX!$A$7:$A$50,SCEAUX!A21))+(COUNTIF('INSTANCE C1'!$A$7:$A$50,SCEAUX!A21))+(COUNTIF('INSTANCE C2'!$A$7:$A$50,SCEAUX!A21))+(COUNTIF(INTERNES!$A$7:$A$50,SCEAUX!A21))+(COUNTIF('EN PANNE'!$A$7:$A$50,SCEAUX!A21))-C21</f>
        <v>0</v>
      </c>
      <c r="C21" s="23">
        <f>(COUNTIF('2S EXPRESS'!$G$7:$G$50,SCEAUX!A21))+(COUNTIF('2 ZT'!$G$7:$G$50,SCEAUX!A21))+(COUNTIF('GO TRANSPORT'!$G$7:$G$50,SCEAUX!A21))+(COUNTIF(SCEAUX!$G$7:$G$50,SCEAUX!A21))+(COUNTIF('IB TRANSPORT'!$G$7:$G$50,SCEAUX!A21))+(COUNTIF(JSL!$G$7:$G$50,SCEAUX!A21))+(COUNTIF(KIFAITOUT!$G$7:$G$50,SCEAUX!A21))+(COUNTIF('LUXE DRIVE'!$G$7:$G$50,SCEAUX!A21))+(COUNTIF(SSN!$G$7:$G$50,SCEAUX!A21))+(COUNTIF('W3'!$G$7:$G$50,SCEAUX!A21))+(COUNTIF('ATHIS MONS'!$G$7:$G$50,SCEAUX!A21))+(COUNTIF('L HAY LES ROSES'!$G$7:$G$50,SCEAUX!A21))+(COUNTIF(RUNGIS!$G$7:$G$50,SCEAUX!A21))+(COUNTIF(SCEAUX!$G$7:$G$50,SCEAUX!A21))+(COUNTIF('INSTANCE C1'!$G$7:$G$50,SCEAUX!A21))+(COUNTIF('INSTANCE C2'!$G$7:$G$50,SCEAUX!A21))+(COUNTIF(INTERNES!$G$7:$G$50,SCEAUX!A21))+(COUNTIF('EN PANNE'!$G$7:$G$50,SCEAUX!A21))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EXPRESS'!$G$7:$G$50,SCEAUX!G21))+(COUNTIF('2 ZT'!$G$7:$G$50,SCEAUX!G21))+(COUNTIF('GO TRANSPORT'!$G$7:$G$50,SCEAUX!G21))+(COUNTIF('HMZ - KAIS'!$G$7:$G$50,SCEAUX!G21))+(COUNTIF('IB TRANSPORT'!$G$7:$G$50,SCEAUX!G21))+(COUNTIF(JSL!$G$7:$G$50,SCEAUX!G21))+(COUNTIF(KIFAITOUT!$G$7:$G$50,SCEAUX!G21))+(COUNTIF('LUXE DRIVE'!$G$7:$G$50,SCEAUX!G21))+(COUNTIF(SSN!$G$7:$G$50,SCEAUX!G21))+(COUNTIF('W3'!$G$7:$G$50,SCEAUX!G21))+(COUNTIF('ATHIS MONS'!$G$7:$G$50,SCEAUX!G21))+(COUNTIF('L HAY LES ROSES'!$G$7:$G$50,SCEAUX!G21))+(COUNTIF(RUNGIS!$G$7:$G$50,SCEAUX!G21))+(COUNTIF(SCEAUX!$G$7:$G$50,SCEAUX!G21))+(COUNTIF('INSTANCE C1'!$G$7:$G$50,SCEAUX!G21))+(COUNTIF('INSTANCE C2'!$G$7:$G$50,SCEAUX!G21))+(COUNTIF(INTERNES!$G$7:$G$50,SCEAUX!G21))+(COUNTIF('EN PANNE'!$G$7:$G$50,SCEAUX!G21))-I21</f>
        <v>0</v>
      </c>
      <c r="I21" s="23">
        <f>(COUNTIF('2S EXPRESS'!$A$7:$A$50,SCEAUX!G21))+(COUNTIF('2 ZT'!$A$7:$A$50,SCEAUX!G21))+(COUNTIF('GO TRANSPORT'!$A$7:$A$50,SCEAUX!G21))+(COUNTIF('HMZ - KAIS'!$A$7:$A$50,SCEAUX!G21))+(COUNTIF('IB TRANSPORT'!$A$7:$A$50,SCEAUX!G21))+(COUNTIF(JSL!$A$7:$A$50,SCEAUX!G21))+(COUNTIF(KIFAITOUT!$A$7:$A$50,SCEAUX!G21))+(COUNTIF('LUXE DRIVE'!$A$7:$A$50,SCEAUX!G21))+(COUNTIF(SSN!$A$7:$A$50,SCEAUX!G21))+(COUNTIF('W3'!$A$7:$A$50,SCEAUX!G21))+(COUNTIF('ATHIS MONS'!$A$7:$A$50,SCEAUX!G21))+(COUNTIF('L HAY LES ROSES'!$A$7:$A$50,SCEAUX!G21))+(COUNTIF(RUNGIS!$A$7:$A$50,SCEAUX!G21))+(COUNTIF(SCEAUX!$A$7:$A$50,SCEAUX!G21))+(COUNTIF('INSTANCE C1'!$A$7:$A$50,SCEAUX!G21))+(COUNTIF('INSTANCE C2'!$A$7:$A$50,SCEAUX!G21))+(COUNTIF(INTERNES!$A$7:$A$50,SCEAUX!G21))+(COUNTIF('EN PANNE'!$A$7:$A$50,SCEAUX!G21))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S21" s="60">
        <f t="shared" si="1"/>
        <v>0</v>
      </c>
      <c r="T21" s="67">
        <f t="shared" si="2"/>
        <v>0</v>
      </c>
    </row>
    <row r="22" spans="1:20" ht="24.95" customHeight="1" x14ac:dyDescent="0.2">
      <c r="A22" s="20"/>
      <c r="B22" s="23">
        <f>(COUNTIF('2S EXPRESS'!$A$7:$A$50,SCEAUX!A22))+(COUNTIF('2 ZT'!$A$7:$A$50,SCEAUX!A22))+(COUNTIF('GO TRANSPORT'!$A$7:$A$50,SCEAUX!A22))+(COUNTIF('HMZ - KAIS'!$A$7:$A$50,SCEAUX!A22))+(COUNTIF('IB TRANSPORT'!$A$7:$A$50,SCEAUX!A22))+(COUNTIF(JSL!$A$7:$A$50,SCEAUX!A22))+(COUNTIF(KIFAITOUT!$A$7:$A$50,SCEAUX!A22))+(COUNTIF('LUXE DRIVE'!$A$7:$A$50,SCEAUX!A22))+(COUNTIF(SSN!$A$7:$A$50,SCEAUX!A22))+(COUNTIF('W3'!$A$7:$A$50,SCEAUX!A22))+(COUNTIF('ATHIS MONS'!$A$7:$A$50,SCEAUX!A22))+(COUNTIF('L HAY LES ROSES'!$A$7:$A$50,SCEAUX!A22))+(COUNTIF(RUNGIS!$A$7:$A$50,SCEAUX!A22))+(COUNTIF(SCEAUX!$A$7:$A$50,SCEAUX!A22))+(COUNTIF('INSTANCE C1'!$A$7:$A$50,SCEAUX!A22))+(COUNTIF('INSTANCE C2'!$A$7:$A$50,SCEAUX!A22))+(COUNTIF(INTERNES!$A$7:$A$50,SCEAUX!A22))+(COUNTIF('EN PANNE'!$A$7:$A$50,SCEAUX!A22))-C22</f>
        <v>0</v>
      </c>
      <c r="C22" s="23">
        <f>(COUNTIF('2S EXPRESS'!$G$7:$G$50,SCEAUX!A22))+(COUNTIF('2 ZT'!$G$7:$G$50,SCEAUX!A22))+(COUNTIF('GO TRANSPORT'!$G$7:$G$50,SCEAUX!A22))+(COUNTIF(SCEAUX!$G$7:$G$50,SCEAUX!A22))+(COUNTIF('IB TRANSPORT'!$G$7:$G$50,SCEAUX!A22))+(COUNTIF(JSL!$G$7:$G$50,SCEAUX!A22))+(COUNTIF(KIFAITOUT!$G$7:$G$50,SCEAUX!A22))+(COUNTIF('LUXE DRIVE'!$G$7:$G$50,SCEAUX!A22))+(COUNTIF(SSN!$G$7:$G$50,SCEAUX!A22))+(COUNTIF('W3'!$G$7:$G$50,SCEAUX!A22))+(COUNTIF('ATHIS MONS'!$G$7:$G$50,SCEAUX!A22))+(COUNTIF('L HAY LES ROSES'!$G$7:$G$50,SCEAUX!A22))+(COUNTIF(RUNGIS!$G$7:$G$50,SCEAUX!A22))+(COUNTIF(SCEAUX!$G$7:$G$50,SCEAUX!A22))+(COUNTIF('INSTANCE C1'!$G$7:$G$50,SCEAUX!A22))+(COUNTIF('INSTANCE C2'!$G$7:$G$50,SCEAUX!A22))+(COUNTIF(INTERNES!$G$7:$G$50,SCEAUX!A22))+(COUNTIF('EN PANNE'!$G$7:$G$50,SCEAUX!A22))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EXPRESS'!$G$7:$G$50,SCEAUX!G22))+(COUNTIF('2 ZT'!$G$7:$G$50,SCEAUX!G22))+(COUNTIF('GO TRANSPORT'!$G$7:$G$50,SCEAUX!G22))+(COUNTIF('HMZ - KAIS'!$G$7:$G$50,SCEAUX!G22))+(COUNTIF('IB TRANSPORT'!$G$7:$G$50,SCEAUX!G22))+(COUNTIF(JSL!$G$7:$G$50,SCEAUX!G22))+(COUNTIF(KIFAITOUT!$G$7:$G$50,SCEAUX!G22))+(COUNTIF('LUXE DRIVE'!$G$7:$G$50,SCEAUX!G22))+(COUNTIF(SSN!$G$7:$G$50,SCEAUX!G22))+(COUNTIF('W3'!$G$7:$G$50,SCEAUX!G22))+(COUNTIF('ATHIS MONS'!$G$7:$G$50,SCEAUX!G22))+(COUNTIF('L HAY LES ROSES'!$G$7:$G$50,SCEAUX!G22))+(COUNTIF(RUNGIS!$G$7:$G$50,SCEAUX!G22))+(COUNTIF(SCEAUX!$G$7:$G$50,SCEAUX!G22))+(COUNTIF('INSTANCE C1'!$G$7:$G$50,SCEAUX!G22))+(COUNTIF('INSTANCE C2'!$G$7:$G$50,SCEAUX!G22))+(COUNTIF(INTERNES!$G$7:$G$50,SCEAUX!G22))+(COUNTIF('EN PANNE'!$G$7:$G$50,SCEAUX!G22))-I22</f>
        <v>0</v>
      </c>
      <c r="I22" s="23">
        <f>(COUNTIF('2S EXPRESS'!$A$7:$A$50,SCEAUX!G22))+(COUNTIF('2 ZT'!$A$7:$A$50,SCEAUX!G22))+(COUNTIF('GO TRANSPORT'!$A$7:$A$50,SCEAUX!G22))+(COUNTIF('HMZ - KAIS'!$A$7:$A$50,SCEAUX!G22))+(COUNTIF('IB TRANSPORT'!$A$7:$A$50,SCEAUX!G22))+(COUNTIF(JSL!$A$7:$A$50,SCEAUX!G22))+(COUNTIF(KIFAITOUT!$A$7:$A$50,SCEAUX!G22))+(COUNTIF('LUXE DRIVE'!$A$7:$A$50,SCEAUX!G22))+(COUNTIF(SSN!$A$7:$A$50,SCEAUX!G22))+(COUNTIF('W3'!$A$7:$A$50,SCEAUX!G22))+(COUNTIF('ATHIS MONS'!$A$7:$A$50,SCEAUX!G22))+(COUNTIF('L HAY LES ROSES'!$A$7:$A$50,SCEAUX!G22))+(COUNTIF(RUNGIS!$A$7:$A$50,SCEAUX!G22))+(COUNTIF(SCEAUX!$A$7:$A$50,SCEAUX!G22))+(COUNTIF('INSTANCE C1'!$A$7:$A$50,SCEAUX!G22))+(COUNTIF('INSTANCE C2'!$A$7:$A$50,SCEAUX!G22))+(COUNTIF(INTERNES!$A$7:$A$50,SCEAUX!G22))+(COUNTIF('EN PANNE'!$A$7:$A$50,SCEAUX!G22))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S22" s="60">
        <f t="shared" si="1"/>
        <v>0</v>
      </c>
      <c r="T22" s="67">
        <f t="shared" si="2"/>
        <v>0</v>
      </c>
    </row>
    <row r="23" spans="1:20" ht="24.95" customHeight="1" x14ac:dyDescent="0.2">
      <c r="A23" s="20"/>
      <c r="B23" s="23">
        <f>(COUNTIF('2S EXPRESS'!$A$7:$A$50,SCEAUX!A23))+(COUNTIF('2 ZT'!$A$7:$A$50,SCEAUX!A23))+(COUNTIF('GO TRANSPORT'!$A$7:$A$50,SCEAUX!A23))+(COUNTIF('HMZ - KAIS'!$A$7:$A$50,SCEAUX!A23))+(COUNTIF('IB TRANSPORT'!$A$7:$A$50,SCEAUX!A23))+(COUNTIF(JSL!$A$7:$A$50,SCEAUX!A23))+(COUNTIF(KIFAITOUT!$A$7:$A$50,SCEAUX!A23))+(COUNTIF('LUXE DRIVE'!$A$7:$A$50,SCEAUX!A23))+(COUNTIF(SSN!$A$7:$A$50,SCEAUX!A23))+(COUNTIF('W3'!$A$7:$A$50,SCEAUX!A23))+(COUNTIF('ATHIS MONS'!$A$7:$A$50,SCEAUX!A23))+(COUNTIF('L HAY LES ROSES'!$A$7:$A$50,SCEAUX!A23))+(COUNTIF(RUNGIS!$A$7:$A$50,SCEAUX!A23))+(COUNTIF(SCEAUX!$A$7:$A$50,SCEAUX!A23))+(COUNTIF('INSTANCE C1'!$A$7:$A$50,SCEAUX!A23))+(COUNTIF('INSTANCE C2'!$A$7:$A$50,SCEAUX!A23))+(COUNTIF(INTERNES!$A$7:$A$50,SCEAUX!A23))+(COUNTIF('EN PANNE'!$A$7:$A$50,SCEAUX!A23))-C23</f>
        <v>0</v>
      </c>
      <c r="C23" s="23">
        <f>(COUNTIF('2S EXPRESS'!$G$7:$G$50,SCEAUX!A23))+(COUNTIF('2 ZT'!$G$7:$G$50,SCEAUX!A23))+(COUNTIF('GO TRANSPORT'!$G$7:$G$50,SCEAUX!A23))+(COUNTIF(SCEAUX!$G$7:$G$50,SCEAUX!A23))+(COUNTIF('IB TRANSPORT'!$G$7:$G$50,SCEAUX!A23))+(COUNTIF(JSL!$G$7:$G$50,SCEAUX!A23))+(COUNTIF(KIFAITOUT!$G$7:$G$50,SCEAUX!A23))+(COUNTIF('LUXE DRIVE'!$G$7:$G$50,SCEAUX!A23))+(COUNTIF(SSN!$G$7:$G$50,SCEAUX!A23))+(COUNTIF('W3'!$G$7:$G$50,SCEAUX!A23))+(COUNTIF('ATHIS MONS'!$G$7:$G$50,SCEAUX!A23))+(COUNTIF('L HAY LES ROSES'!$G$7:$G$50,SCEAUX!A23))+(COUNTIF(RUNGIS!$G$7:$G$50,SCEAUX!A23))+(COUNTIF(SCEAUX!$G$7:$G$50,SCEAUX!A23))+(COUNTIF('INSTANCE C1'!$G$7:$G$50,SCEAUX!A23))+(COUNTIF('INSTANCE C2'!$G$7:$G$50,SCEAUX!A23))+(COUNTIF(INTERNES!$G$7:$G$50,SCEAUX!A23))+(COUNTIF('EN PANNE'!$G$7:$G$50,SCEAUX!A23))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EXPRESS'!$G$7:$G$50,SCEAUX!G23))+(COUNTIF('2 ZT'!$G$7:$G$50,SCEAUX!G23))+(COUNTIF('GO TRANSPORT'!$G$7:$G$50,SCEAUX!G23))+(COUNTIF('HMZ - KAIS'!$G$7:$G$50,SCEAUX!G23))+(COUNTIF('IB TRANSPORT'!$G$7:$G$50,SCEAUX!G23))+(COUNTIF(JSL!$G$7:$G$50,SCEAUX!G23))+(COUNTIF(KIFAITOUT!$G$7:$G$50,SCEAUX!G23))+(COUNTIF('LUXE DRIVE'!$G$7:$G$50,SCEAUX!G23))+(COUNTIF(SSN!$G$7:$G$50,SCEAUX!G23))+(COUNTIF('W3'!$G$7:$G$50,SCEAUX!G23))+(COUNTIF('ATHIS MONS'!$G$7:$G$50,SCEAUX!G23))+(COUNTIF('L HAY LES ROSES'!$G$7:$G$50,SCEAUX!G23))+(COUNTIF(RUNGIS!$G$7:$G$50,SCEAUX!G23))+(COUNTIF(SCEAUX!$G$7:$G$50,SCEAUX!G23))+(COUNTIF('INSTANCE C1'!$G$7:$G$50,SCEAUX!G23))+(COUNTIF('INSTANCE C2'!$G$7:$G$50,SCEAUX!G23))+(COUNTIF(INTERNES!$G$7:$G$50,SCEAUX!G23))+(COUNTIF('EN PANNE'!$G$7:$G$50,SCEAUX!G23))-I23</f>
        <v>0</v>
      </c>
      <c r="I23" s="23">
        <f>(COUNTIF('2S EXPRESS'!$A$7:$A$50,SCEAUX!G23))+(COUNTIF('2 ZT'!$A$7:$A$50,SCEAUX!G23))+(COUNTIF('GO TRANSPORT'!$A$7:$A$50,SCEAUX!G23))+(COUNTIF('HMZ - KAIS'!$A$7:$A$50,SCEAUX!G23))+(COUNTIF('IB TRANSPORT'!$A$7:$A$50,SCEAUX!G23))+(COUNTIF(JSL!$A$7:$A$50,SCEAUX!G23))+(COUNTIF(KIFAITOUT!$A$7:$A$50,SCEAUX!G23))+(COUNTIF('LUXE DRIVE'!$A$7:$A$50,SCEAUX!G23))+(COUNTIF(SSN!$A$7:$A$50,SCEAUX!G23))+(COUNTIF('W3'!$A$7:$A$50,SCEAUX!G23))+(COUNTIF('ATHIS MONS'!$A$7:$A$50,SCEAUX!G23))+(COUNTIF('L HAY LES ROSES'!$A$7:$A$50,SCEAUX!G23))+(COUNTIF(RUNGIS!$A$7:$A$50,SCEAUX!G23))+(COUNTIF(SCEAUX!$A$7:$A$50,SCEAUX!G23))+(COUNTIF('INSTANCE C1'!$A$7:$A$50,SCEAUX!G23))+(COUNTIF('INSTANCE C2'!$A$7:$A$50,SCEAUX!G23))+(COUNTIF(INTERNES!$A$7:$A$50,SCEAUX!G23))+(COUNTIF('EN PANNE'!$A$7:$A$50,SCEAUX!G23))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S23" s="60">
        <f t="shared" si="1"/>
        <v>0</v>
      </c>
      <c r="T23" s="67">
        <f t="shared" si="2"/>
        <v>0</v>
      </c>
    </row>
    <row r="24" spans="1:20" ht="24.95" customHeight="1" x14ac:dyDescent="0.2">
      <c r="A24" s="20"/>
      <c r="B24" s="23">
        <f>(COUNTIF('2S EXPRESS'!$A$7:$A$50,SCEAUX!A24))+(COUNTIF('2 ZT'!$A$7:$A$50,SCEAUX!A24))+(COUNTIF('GO TRANSPORT'!$A$7:$A$50,SCEAUX!A24))+(COUNTIF('HMZ - KAIS'!$A$7:$A$50,SCEAUX!A24))+(COUNTIF('IB TRANSPORT'!$A$7:$A$50,SCEAUX!A24))+(COUNTIF(JSL!$A$7:$A$50,SCEAUX!A24))+(COUNTIF(KIFAITOUT!$A$7:$A$50,SCEAUX!A24))+(COUNTIF('LUXE DRIVE'!$A$7:$A$50,SCEAUX!A24))+(COUNTIF(SSN!$A$7:$A$50,SCEAUX!A24))+(COUNTIF('W3'!$A$7:$A$50,SCEAUX!A24))+(COUNTIF('ATHIS MONS'!$A$7:$A$50,SCEAUX!A24))+(COUNTIF('L HAY LES ROSES'!$A$7:$A$50,SCEAUX!A24))+(COUNTIF(RUNGIS!$A$7:$A$50,SCEAUX!A24))+(COUNTIF(SCEAUX!$A$7:$A$50,SCEAUX!A24))+(COUNTIF('INSTANCE C1'!$A$7:$A$50,SCEAUX!A24))+(COUNTIF('INSTANCE C2'!$A$7:$A$50,SCEAUX!A24))+(COUNTIF(INTERNES!$A$7:$A$50,SCEAUX!A24))+(COUNTIF('EN PANNE'!$A$7:$A$50,SCEAUX!A24))-C24</f>
        <v>0</v>
      </c>
      <c r="C24" s="23">
        <f>(COUNTIF('2S EXPRESS'!$G$7:$G$50,SCEAUX!A24))+(COUNTIF('2 ZT'!$G$7:$G$50,SCEAUX!A24))+(COUNTIF('GO TRANSPORT'!$G$7:$G$50,SCEAUX!A24))+(COUNTIF(SCEAUX!$G$7:$G$50,SCEAUX!A24))+(COUNTIF('IB TRANSPORT'!$G$7:$G$50,SCEAUX!A24))+(COUNTIF(JSL!$G$7:$G$50,SCEAUX!A24))+(COUNTIF(KIFAITOUT!$G$7:$G$50,SCEAUX!A24))+(COUNTIF('LUXE DRIVE'!$G$7:$G$50,SCEAUX!A24))+(COUNTIF(SSN!$G$7:$G$50,SCEAUX!A24))+(COUNTIF('W3'!$G$7:$G$50,SCEAUX!A24))+(COUNTIF('ATHIS MONS'!$G$7:$G$50,SCEAUX!A24))+(COUNTIF('L HAY LES ROSES'!$G$7:$G$50,SCEAUX!A24))+(COUNTIF(RUNGIS!$G$7:$G$50,SCEAUX!A24))+(COUNTIF(SCEAUX!$G$7:$G$50,SCEAUX!A24))+(COUNTIF('INSTANCE C1'!$G$7:$G$50,SCEAUX!A24))+(COUNTIF('INSTANCE C2'!$G$7:$G$50,SCEAUX!A24))+(COUNTIF(INTERNES!$G$7:$G$50,SCEAUX!A24))+(COUNTIF('EN PANNE'!$G$7:$G$50,SCEAUX!A24))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EXPRESS'!$G$7:$G$50,SCEAUX!G24))+(COUNTIF('2 ZT'!$G$7:$G$50,SCEAUX!G24))+(COUNTIF('GO TRANSPORT'!$G$7:$G$50,SCEAUX!G24))+(COUNTIF('HMZ - KAIS'!$G$7:$G$50,SCEAUX!G24))+(COUNTIF('IB TRANSPORT'!$G$7:$G$50,SCEAUX!G24))+(COUNTIF(JSL!$G$7:$G$50,SCEAUX!G24))+(COUNTIF(KIFAITOUT!$G$7:$G$50,SCEAUX!G24))+(COUNTIF('LUXE DRIVE'!$G$7:$G$50,SCEAUX!G24))+(COUNTIF(SSN!$G$7:$G$50,SCEAUX!G24))+(COUNTIF('W3'!$G$7:$G$50,SCEAUX!G24))+(COUNTIF('ATHIS MONS'!$G$7:$G$50,SCEAUX!G24))+(COUNTIF('L HAY LES ROSES'!$G$7:$G$50,SCEAUX!G24))+(COUNTIF(RUNGIS!$G$7:$G$50,SCEAUX!G24))+(COUNTIF(SCEAUX!$G$7:$G$50,SCEAUX!G24))+(COUNTIF('INSTANCE C1'!$G$7:$G$50,SCEAUX!G24))+(COUNTIF('INSTANCE C2'!$G$7:$G$50,SCEAUX!G24))+(COUNTIF(INTERNES!$G$7:$G$50,SCEAUX!G24))+(COUNTIF('EN PANNE'!$G$7:$G$50,SCEAUX!G24))-I24</f>
        <v>0</v>
      </c>
      <c r="I24" s="23">
        <f>(COUNTIF('2S EXPRESS'!$A$7:$A$50,SCEAUX!G24))+(COUNTIF('2 ZT'!$A$7:$A$50,SCEAUX!G24))+(COUNTIF('GO TRANSPORT'!$A$7:$A$50,SCEAUX!G24))+(COUNTIF('HMZ - KAIS'!$A$7:$A$50,SCEAUX!G24))+(COUNTIF('IB TRANSPORT'!$A$7:$A$50,SCEAUX!G24))+(COUNTIF(JSL!$A$7:$A$50,SCEAUX!G24))+(COUNTIF(KIFAITOUT!$A$7:$A$50,SCEAUX!G24))+(COUNTIF('LUXE DRIVE'!$A$7:$A$50,SCEAUX!G24))+(COUNTIF(SSN!$A$7:$A$50,SCEAUX!G24))+(COUNTIF('W3'!$A$7:$A$50,SCEAUX!G24))+(COUNTIF('ATHIS MONS'!$A$7:$A$50,SCEAUX!G24))+(COUNTIF('L HAY LES ROSES'!$A$7:$A$50,SCEAUX!G24))+(COUNTIF(RUNGIS!$A$7:$A$50,SCEAUX!G24))+(COUNTIF(SCEAUX!$A$7:$A$50,SCEAUX!G24))+(COUNTIF('INSTANCE C1'!$A$7:$A$50,SCEAUX!G24))+(COUNTIF('INSTANCE C2'!$A$7:$A$50,SCEAUX!G24))+(COUNTIF(INTERNES!$A$7:$A$50,SCEAUX!G24))+(COUNTIF('EN PANNE'!$A$7:$A$50,SCEAUX!G24))</f>
        <v>0</v>
      </c>
      <c r="J24" s="28">
        <f t="shared" si="4"/>
        <v>0</v>
      </c>
      <c r="K24" s="2"/>
      <c r="L24" s="47"/>
      <c r="S24" s="60">
        <f t="shared" si="1"/>
        <v>0</v>
      </c>
      <c r="T24" s="67">
        <f t="shared" si="2"/>
        <v>0</v>
      </c>
    </row>
    <row r="25" spans="1:20" ht="24.95" customHeight="1" x14ac:dyDescent="0.2">
      <c r="A25" s="20"/>
      <c r="B25" s="23">
        <f>(COUNTIF('2S EXPRESS'!$A$7:$A$50,SCEAUX!A25))+(COUNTIF('2 ZT'!$A$7:$A$50,SCEAUX!A25))+(COUNTIF('GO TRANSPORT'!$A$7:$A$50,SCEAUX!A25))+(COUNTIF('HMZ - KAIS'!$A$7:$A$50,SCEAUX!A25))+(COUNTIF('IB TRANSPORT'!$A$7:$A$50,SCEAUX!A25))+(COUNTIF(JSL!$A$7:$A$50,SCEAUX!A25))+(COUNTIF(KIFAITOUT!$A$7:$A$50,SCEAUX!A25))+(COUNTIF('LUXE DRIVE'!$A$7:$A$50,SCEAUX!A25))+(COUNTIF(SSN!$A$7:$A$50,SCEAUX!A25))+(COUNTIF('W3'!$A$7:$A$50,SCEAUX!A25))+(COUNTIF('ATHIS MONS'!$A$7:$A$50,SCEAUX!A25))+(COUNTIF('L HAY LES ROSES'!$A$7:$A$50,SCEAUX!A25))+(COUNTIF(RUNGIS!$A$7:$A$50,SCEAUX!A25))+(COUNTIF(SCEAUX!$A$7:$A$50,SCEAUX!A25))+(COUNTIF('INSTANCE C1'!$A$7:$A$50,SCEAUX!A25))+(COUNTIF('INSTANCE C2'!$A$7:$A$50,SCEAUX!A25))+(COUNTIF(INTERNES!$A$7:$A$50,SCEAUX!A25))+(COUNTIF('EN PANNE'!$A$7:$A$50,SCEAUX!A25))-C25</f>
        <v>0</v>
      </c>
      <c r="C25" s="23">
        <f>(COUNTIF('2S EXPRESS'!$G$7:$G$50,SCEAUX!A25))+(COUNTIF('2 ZT'!$G$7:$G$50,SCEAUX!A25))+(COUNTIF('GO TRANSPORT'!$G$7:$G$50,SCEAUX!A25))+(COUNTIF(SCEAUX!$G$7:$G$50,SCEAUX!A25))+(COUNTIF('IB TRANSPORT'!$G$7:$G$50,SCEAUX!A25))+(COUNTIF(JSL!$G$7:$G$50,SCEAUX!A25))+(COUNTIF(KIFAITOUT!$G$7:$G$50,SCEAUX!A25))+(COUNTIF('LUXE DRIVE'!$G$7:$G$50,SCEAUX!A25))+(COUNTIF(SSN!$G$7:$G$50,SCEAUX!A25))+(COUNTIF('W3'!$G$7:$G$50,SCEAUX!A25))+(COUNTIF('ATHIS MONS'!$G$7:$G$50,SCEAUX!A25))+(COUNTIF('L HAY LES ROSES'!$G$7:$G$50,SCEAUX!A25))+(COUNTIF(RUNGIS!$G$7:$G$50,SCEAUX!A25))+(COUNTIF(SCEAUX!$G$7:$G$50,SCEAUX!A25))+(COUNTIF('INSTANCE C1'!$G$7:$G$50,SCEAUX!A25))+(COUNTIF('INSTANCE C2'!$G$7:$G$50,SCEAUX!A25))+(COUNTIF(INTERNES!$G$7:$G$50,SCEAUX!A25))+(COUNTIF('EN PANNE'!$G$7:$G$50,SCEAUX!A25))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EXPRESS'!$G$7:$G$50,SCEAUX!G25))+(COUNTIF('2 ZT'!$G$7:$G$50,SCEAUX!G25))+(COUNTIF('GO TRANSPORT'!$G$7:$G$50,SCEAUX!G25))+(COUNTIF('HMZ - KAIS'!$G$7:$G$50,SCEAUX!G25))+(COUNTIF('IB TRANSPORT'!$G$7:$G$50,SCEAUX!G25))+(COUNTIF(JSL!$G$7:$G$50,SCEAUX!G25))+(COUNTIF(KIFAITOUT!$G$7:$G$50,SCEAUX!G25))+(COUNTIF('LUXE DRIVE'!$G$7:$G$50,SCEAUX!G25))+(COUNTIF(SSN!$G$7:$G$50,SCEAUX!G25))+(COUNTIF('W3'!$G$7:$G$50,SCEAUX!G25))+(COUNTIF('ATHIS MONS'!$G$7:$G$50,SCEAUX!G25))+(COUNTIF('L HAY LES ROSES'!$G$7:$G$50,SCEAUX!G25))+(COUNTIF(RUNGIS!$G$7:$G$50,SCEAUX!G25))+(COUNTIF(SCEAUX!$G$7:$G$50,SCEAUX!G25))+(COUNTIF('INSTANCE C1'!$G$7:$G$50,SCEAUX!G25))+(COUNTIF('INSTANCE C2'!$G$7:$G$50,SCEAUX!G25))+(COUNTIF(INTERNES!$G$7:$G$50,SCEAUX!G25))+(COUNTIF('EN PANNE'!$G$7:$G$50,SCEAUX!G25))-I25</f>
        <v>0</v>
      </c>
      <c r="I25" s="23">
        <f>(COUNTIF('2S EXPRESS'!$A$7:$A$50,SCEAUX!G25))+(COUNTIF('2 ZT'!$A$7:$A$50,SCEAUX!G25))+(COUNTIF('GO TRANSPORT'!$A$7:$A$50,SCEAUX!G25))+(COUNTIF('HMZ - KAIS'!$A$7:$A$50,SCEAUX!G25))+(COUNTIF('IB TRANSPORT'!$A$7:$A$50,SCEAUX!G25))+(COUNTIF(JSL!$A$7:$A$50,SCEAUX!G25))+(COUNTIF(KIFAITOUT!$A$7:$A$50,SCEAUX!G25))+(COUNTIF('LUXE DRIVE'!$A$7:$A$50,SCEAUX!G25))+(COUNTIF(SSN!$A$7:$A$50,SCEAUX!G25))+(COUNTIF('W3'!$A$7:$A$50,SCEAUX!G25))+(COUNTIF('ATHIS MONS'!$A$7:$A$50,SCEAUX!G25))+(COUNTIF('L HAY LES ROSES'!$A$7:$A$50,SCEAUX!G25))+(COUNTIF(RUNGIS!$A$7:$A$50,SCEAUX!G25))+(COUNTIF(SCEAUX!$A$7:$A$50,SCEAUX!G25))+(COUNTIF('INSTANCE C1'!$A$7:$A$50,SCEAUX!G25))+(COUNTIF('INSTANCE C2'!$A$7:$A$50,SCEAUX!G25))+(COUNTIF(INTERNES!$A$7:$A$50,SCEAUX!G25))+(COUNTIF('EN PANNE'!$A$7:$A$50,SCEAUX!G25))</f>
        <v>0</v>
      </c>
      <c r="J25" s="28">
        <f t="shared" si="4"/>
        <v>0</v>
      </c>
      <c r="K25" s="2"/>
      <c r="L25" s="47"/>
      <c r="S25" s="60">
        <f t="shared" si="1"/>
        <v>0</v>
      </c>
      <c r="T25" s="67">
        <f t="shared" si="2"/>
        <v>0</v>
      </c>
    </row>
    <row r="26" spans="1:20" ht="24.95" customHeight="1" x14ac:dyDescent="0.2">
      <c r="A26" s="20"/>
      <c r="B26" s="23">
        <f>(COUNTIF('2S EXPRESS'!$A$7:$A$50,SCEAUX!A26))+(COUNTIF('2 ZT'!$A$7:$A$50,SCEAUX!A26))+(COUNTIF('GO TRANSPORT'!$A$7:$A$50,SCEAUX!A26))+(COUNTIF('HMZ - KAIS'!$A$7:$A$50,SCEAUX!A26))+(COUNTIF('IB TRANSPORT'!$A$7:$A$50,SCEAUX!A26))+(COUNTIF(JSL!$A$7:$A$50,SCEAUX!A26))+(COUNTIF(KIFAITOUT!$A$7:$A$50,SCEAUX!A26))+(COUNTIF('LUXE DRIVE'!$A$7:$A$50,SCEAUX!A26))+(COUNTIF(SSN!$A$7:$A$50,SCEAUX!A26))+(COUNTIF('W3'!$A$7:$A$50,SCEAUX!A26))+(COUNTIF('ATHIS MONS'!$A$7:$A$50,SCEAUX!A26))+(COUNTIF('L HAY LES ROSES'!$A$7:$A$50,SCEAUX!A26))+(COUNTIF(RUNGIS!$A$7:$A$50,SCEAUX!A26))+(COUNTIF(SCEAUX!$A$7:$A$50,SCEAUX!A26))+(COUNTIF('INSTANCE C1'!$A$7:$A$50,SCEAUX!A26))+(COUNTIF('INSTANCE C2'!$A$7:$A$50,SCEAUX!A26))+(COUNTIF(INTERNES!$A$7:$A$50,SCEAUX!A26))+(COUNTIF('EN PANNE'!$A$7:$A$50,SCEAUX!A26))-C26</f>
        <v>0</v>
      </c>
      <c r="C26" s="23">
        <f>(COUNTIF('2S EXPRESS'!$G$7:$G$50,SCEAUX!A26))+(COUNTIF('2 ZT'!$G$7:$G$50,SCEAUX!A26))+(COUNTIF('GO TRANSPORT'!$G$7:$G$50,SCEAUX!A26))+(COUNTIF(SCEAUX!$G$7:$G$50,SCEAUX!A26))+(COUNTIF('IB TRANSPORT'!$G$7:$G$50,SCEAUX!A26))+(COUNTIF(JSL!$G$7:$G$50,SCEAUX!A26))+(COUNTIF(KIFAITOUT!$G$7:$G$50,SCEAUX!A26))+(COUNTIF('LUXE DRIVE'!$G$7:$G$50,SCEAUX!A26))+(COUNTIF(SSN!$G$7:$G$50,SCEAUX!A26))+(COUNTIF('W3'!$G$7:$G$50,SCEAUX!A26))+(COUNTIF('ATHIS MONS'!$G$7:$G$50,SCEAUX!A26))+(COUNTIF('L HAY LES ROSES'!$G$7:$G$50,SCEAUX!A26))+(COUNTIF(RUNGIS!$G$7:$G$50,SCEAUX!A26))+(COUNTIF(SCEAUX!$G$7:$G$50,SCEAUX!A26))+(COUNTIF('INSTANCE C1'!$G$7:$G$50,SCEAUX!A26))+(COUNTIF('INSTANCE C2'!$G$7:$G$50,SCEAUX!A26))+(COUNTIF(INTERNES!$G$7:$G$50,SCEAUX!A26))+(COUNTIF('EN PANNE'!$G$7:$G$50,SCEAUX!A26))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EXPRESS'!$G$7:$G$50,SCEAUX!G26))+(COUNTIF('2 ZT'!$G$7:$G$50,SCEAUX!G26))+(COUNTIF('GO TRANSPORT'!$G$7:$G$50,SCEAUX!G26))+(COUNTIF('HMZ - KAIS'!$G$7:$G$50,SCEAUX!G26))+(COUNTIF('IB TRANSPORT'!$G$7:$G$50,SCEAUX!G26))+(COUNTIF(JSL!$G$7:$G$50,SCEAUX!G26))+(COUNTIF(KIFAITOUT!$G$7:$G$50,SCEAUX!G26))+(COUNTIF('LUXE DRIVE'!$G$7:$G$50,SCEAUX!G26))+(COUNTIF(SSN!$G$7:$G$50,SCEAUX!G26))+(COUNTIF('W3'!$G$7:$G$50,SCEAUX!G26))+(COUNTIF('ATHIS MONS'!$G$7:$G$50,SCEAUX!G26))+(COUNTIF('L HAY LES ROSES'!$G$7:$G$50,SCEAUX!G26))+(COUNTIF(RUNGIS!$G$7:$G$50,SCEAUX!G26))+(COUNTIF(SCEAUX!$G$7:$G$50,SCEAUX!G26))+(COUNTIF('INSTANCE C1'!$G$7:$G$50,SCEAUX!G26))+(COUNTIF('INSTANCE C2'!$G$7:$G$50,SCEAUX!G26))+(COUNTIF(INTERNES!$G$7:$G$50,SCEAUX!G26))+(COUNTIF('EN PANNE'!$G$7:$G$50,SCEAUX!G26))-I26</f>
        <v>0</v>
      </c>
      <c r="I26" s="23">
        <f>(COUNTIF('2S EXPRESS'!$A$7:$A$50,SCEAUX!G26))+(COUNTIF('2 ZT'!$A$7:$A$50,SCEAUX!G26))+(COUNTIF('GO TRANSPORT'!$A$7:$A$50,SCEAUX!G26))+(COUNTIF('HMZ - KAIS'!$A$7:$A$50,SCEAUX!G26))+(COUNTIF('IB TRANSPORT'!$A$7:$A$50,SCEAUX!G26))+(COUNTIF(JSL!$A$7:$A$50,SCEAUX!G26))+(COUNTIF(KIFAITOUT!$A$7:$A$50,SCEAUX!G26))+(COUNTIF('LUXE DRIVE'!$A$7:$A$50,SCEAUX!G26))+(COUNTIF(SSN!$A$7:$A$50,SCEAUX!G26))+(COUNTIF('W3'!$A$7:$A$50,SCEAUX!G26))+(COUNTIF('ATHIS MONS'!$A$7:$A$50,SCEAUX!G26))+(COUNTIF('L HAY LES ROSES'!$A$7:$A$50,SCEAUX!G26))+(COUNTIF(RUNGIS!$A$7:$A$50,SCEAUX!G26))+(COUNTIF(SCEAUX!$A$7:$A$50,SCEAUX!G26))+(COUNTIF('INSTANCE C1'!$A$7:$A$50,SCEAUX!G26))+(COUNTIF('INSTANCE C2'!$A$7:$A$50,SCEAUX!G26))+(COUNTIF(INTERNES!$A$7:$A$50,SCEAUX!G26))+(COUNTIF('EN PANNE'!$A$7:$A$50,SCEAUX!G26))</f>
        <v>0</v>
      </c>
      <c r="J26" s="28">
        <f t="shared" si="4"/>
        <v>0</v>
      </c>
      <c r="K26" s="2"/>
      <c r="L26" s="47"/>
      <c r="S26" s="60">
        <f t="shared" si="1"/>
        <v>0</v>
      </c>
      <c r="T26" s="67">
        <f t="shared" si="2"/>
        <v>0</v>
      </c>
    </row>
    <row r="27" spans="1:20" ht="24.95" customHeight="1" x14ac:dyDescent="0.2">
      <c r="A27" s="20"/>
      <c r="B27" s="23">
        <f>(COUNTIF('2S EXPRESS'!$A$7:$A$50,SCEAUX!A27))+(COUNTIF('2 ZT'!$A$7:$A$50,SCEAUX!A27))+(COUNTIF('GO TRANSPORT'!$A$7:$A$50,SCEAUX!A27))+(COUNTIF('HMZ - KAIS'!$A$7:$A$50,SCEAUX!A27))+(COUNTIF('IB TRANSPORT'!$A$7:$A$50,SCEAUX!A27))+(COUNTIF(JSL!$A$7:$A$50,SCEAUX!A27))+(COUNTIF(KIFAITOUT!$A$7:$A$50,SCEAUX!A27))+(COUNTIF('LUXE DRIVE'!$A$7:$A$50,SCEAUX!A27))+(COUNTIF(SSN!$A$7:$A$50,SCEAUX!A27))+(COUNTIF('W3'!$A$7:$A$50,SCEAUX!A27))+(COUNTIF('ATHIS MONS'!$A$7:$A$50,SCEAUX!A27))+(COUNTIF('L HAY LES ROSES'!$A$7:$A$50,SCEAUX!A27))+(COUNTIF(RUNGIS!$A$7:$A$50,SCEAUX!A27))+(COUNTIF(SCEAUX!$A$7:$A$50,SCEAUX!A27))+(COUNTIF('INSTANCE C1'!$A$7:$A$50,SCEAUX!A27))+(COUNTIF('INSTANCE C2'!$A$7:$A$50,SCEAUX!A27))+(COUNTIF(INTERNES!$A$7:$A$50,SCEAUX!A27))+(COUNTIF('EN PANNE'!$A$7:$A$50,SCEAUX!A27))-C27</f>
        <v>0</v>
      </c>
      <c r="C27" s="23">
        <f>(COUNTIF('2S EXPRESS'!$G$7:$G$50,SCEAUX!A27))+(COUNTIF('2 ZT'!$G$7:$G$50,SCEAUX!A27))+(COUNTIF('GO TRANSPORT'!$G$7:$G$50,SCEAUX!A27))+(COUNTIF(SCEAUX!$G$7:$G$50,SCEAUX!A27))+(COUNTIF('IB TRANSPORT'!$G$7:$G$50,SCEAUX!A27))+(COUNTIF(JSL!$G$7:$G$50,SCEAUX!A27))+(COUNTIF(KIFAITOUT!$G$7:$G$50,SCEAUX!A27))+(COUNTIF('LUXE DRIVE'!$G$7:$G$50,SCEAUX!A27))+(COUNTIF(SSN!$G$7:$G$50,SCEAUX!A27))+(COUNTIF('W3'!$G$7:$G$50,SCEAUX!A27))+(COUNTIF('ATHIS MONS'!$G$7:$G$50,SCEAUX!A27))+(COUNTIF('L HAY LES ROSES'!$G$7:$G$50,SCEAUX!A27))+(COUNTIF(RUNGIS!$G$7:$G$50,SCEAUX!A27))+(COUNTIF(SCEAUX!$G$7:$G$50,SCEAUX!A27))+(COUNTIF('INSTANCE C1'!$G$7:$G$50,SCEAUX!A27))+(COUNTIF('INSTANCE C2'!$G$7:$G$50,SCEAUX!A27))+(COUNTIF(INTERNES!$G$7:$G$50,SCEAUX!A27))+(COUNTIF('EN PANNE'!$G$7:$G$50,SCEAUX!A27))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EXPRESS'!$G$7:$G$50,SCEAUX!G27))+(COUNTIF('2 ZT'!$G$7:$G$50,SCEAUX!G27))+(COUNTIF('GO TRANSPORT'!$G$7:$G$50,SCEAUX!G27))+(COUNTIF('HMZ - KAIS'!$G$7:$G$50,SCEAUX!G27))+(COUNTIF('IB TRANSPORT'!$G$7:$G$50,SCEAUX!G27))+(COUNTIF(JSL!$G$7:$G$50,SCEAUX!G27))+(COUNTIF(KIFAITOUT!$G$7:$G$50,SCEAUX!G27))+(COUNTIF('LUXE DRIVE'!$G$7:$G$50,SCEAUX!G27))+(COUNTIF(SSN!$G$7:$G$50,SCEAUX!G27))+(COUNTIF('W3'!$G$7:$G$50,SCEAUX!G27))+(COUNTIF('ATHIS MONS'!$G$7:$G$50,SCEAUX!G27))+(COUNTIF('L HAY LES ROSES'!$G$7:$G$50,SCEAUX!G27))+(COUNTIF(RUNGIS!$G$7:$G$50,SCEAUX!G27))+(COUNTIF(SCEAUX!$G$7:$G$50,SCEAUX!G27))+(COUNTIF('INSTANCE C1'!$G$7:$G$50,SCEAUX!G27))+(COUNTIF('INSTANCE C2'!$G$7:$G$50,SCEAUX!G27))+(COUNTIF(INTERNES!$G$7:$G$50,SCEAUX!G27))+(COUNTIF('EN PANNE'!$G$7:$G$50,SCEAUX!G27))-I27</f>
        <v>0</v>
      </c>
      <c r="I27" s="23">
        <f>(COUNTIF('2S EXPRESS'!$A$7:$A$50,SCEAUX!G27))+(COUNTIF('2 ZT'!$A$7:$A$50,SCEAUX!G27))+(COUNTIF('GO TRANSPORT'!$A$7:$A$50,SCEAUX!G27))+(COUNTIF('HMZ - KAIS'!$A$7:$A$50,SCEAUX!G27))+(COUNTIF('IB TRANSPORT'!$A$7:$A$50,SCEAUX!G27))+(COUNTIF(JSL!$A$7:$A$50,SCEAUX!G27))+(COUNTIF(KIFAITOUT!$A$7:$A$50,SCEAUX!G27))+(COUNTIF('LUXE DRIVE'!$A$7:$A$50,SCEAUX!G27))+(COUNTIF(SSN!$A$7:$A$50,SCEAUX!G27))+(COUNTIF('W3'!$A$7:$A$50,SCEAUX!G27))+(COUNTIF('ATHIS MONS'!$A$7:$A$50,SCEAUX!G27))+(COUNTIF('L HAY LES ROSES'!$A$7:$A$50,SCEAUX!G27))+(COUNTIF(RUNGIS!$A$7:$A$50,SCEAUX!G27))+(COUNTIF(SCEAUX!$A$7:$A$50,SCEAUX!G27))+(COUNTIF('INSTANCE C1'!$A$7:$A$50,SCEAUX!G27))+(COUNTIF('INSTANCE C2'!$A$7:$A$50,SCEAUX!G27))+(COUNTIF(INTERNES!$A$7:$A$50,SCEAUX!G27))+(COUNTIF('EN PANNE'!$A$7:$A$50,SCEAUX!G27))</f>
        <v>0</v>
      </c>
      <c r="J27" s="28">
        <f t="shared" si="4"/>
        <v>0</v>
      </c>
      <c r="K27" s="2"/>
      <c r="L27" s="47"/>
      <c r="S27" s="60">
        <f t="shared" si="1"/>
        <v>0</v>
      </c>
      <c r="T27" s="67">
        <f t="shared" si="2"/>
        <v>0</v>
      </c>
    </row>
    <row r="28" spans="1:20" ht="24.95" customHeight="1" x14ac:dyDescent="0.2">
      <c r="A28" s="20"/>
      <c r="B28" s="23">
        <f>(COUNTIF('2S EXPRESS'!$A$7:$A$50,SCEAUX!A28))+(COUNTIF('2 ZT'!$A$7:$A$50,SCEAUX!A28))+(COUNTIF('GO TRANSPORT'!$A$7:$A$50,SCEAUX!A28))+(COUNTIF('HMZ - KAIS'!$A$7:$A$50,SCEAUX!A28))+(COUNTIF('IB TRANSPORT'!$A$7:$A$50,SCEAUX!A28))+(COUNTIF(JSL!$A$7:$A$50,SCEAUX!A28))+(COUNTIF(KIFAITOUT!$A$7:$A$50,SCEAUX!A28))+(COUNTIF('LUXE DRIVE'!$A$7:$A$50,SCEAUX!A28))+(COUNTIF(SSN!$A$7:$A$50,SCEAUX!A28))+(COUNTIF('W3'!$A$7:$A$50,SCEAUX!A28))+(COUNTIF('ATHIS MONS'!$A$7:$A$50,SCEAUX!A28))+(COUNTIF('L HAY LES ROSES'!$A$7:$A$50,SCEAUX!A28))+(COUNTIF(RUNGIS!$A$7:$A$50,SCEAUX!A28))+(COUNTIF(SCEAUX!$A$7:$A$50,SCEAUX!A28))+(COUNTIF('INSTANCE C1'!$A$7:$A$50,SCEAUX!A28))+(COUNTIF('INSTANCE C2'!$A$7:$A$50,SCEAUX!A28))+(COUNTIF(INTERNES!$A$7:$A$50,SCEAUX!A28))+(COUNTIF('EN PANNE'!$A$7:$A$50,SCEAUX!A28))-C28</f>
        <v>0</v>
      </c>
      <c r="C28" s="23">
        <f>(COUNTIF('2S EXPRESS'!$G$7:$G$50,SCEAUX!A28))+(COUNTIF('2 ZT'!$G$7:$G$50,SCEAUX!A28))+(COUNTIF('GO TRANSPORT'!$G$7:$G$50,SCEAUX!A28))+(COUNTIF(SCEAUX!$G$7:$G$50,SCEAUX!A28))+(COUNTIF('IB TRANSPORT'!$G$7:$G$50,SCEAUX!A28))+(COUNTIF(JSL!$G$7:$G$50,SCEAUX!A28))+(COUNTIF(KIFAITOUT!$G$7:$G$50,SCEAUX!A28))+(COUNTIF('LUXE DRIVE'!$G$7:$G$50,SCEAUX!A28))+(COUNTIF(SSN!$G$7:$G$50,SCEAUX!A28))+(COUNTIF('W3'!$G$7:$G$50,SCEAUX!A28))+(COUNTIF('ATHIS MONS'!$G$7:$G$50,SCEAUX!A28))+(COUNTIF('L HAY LES ROSES'!$G$7:$G$50,SCEAUX!A28))+(COUNTIF(RUNGIS!$G$7:$G$50,SCEAUX!A28))+(COUNTIF(SCEAUX!$G$7:$G$50,SCEAUX!A28))+(COUNTIF('INSTANCE C1'!$G$7:$G$50,SCEAUX!A28))+(COUNTIF('INSTANCE C2'!$G$7:$G$50,SCEAUX!A28))+(COUNTIF(INTERNES!$G$7:$G$50,SCEAUX!A28))+(COUNTIF('EN PANNE'!$G$7:$G$50,SCEAUX!A28))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EXPRESS'!$G$7:$G$50,SCEAUX!G28))+(COUNTIF('2 ZT'!$G$7:$G$50,SCEAUX!G28))+(COUNTIF('GO TRANSPORT'!$G$7:$G$50,SCEAUX!G28))+(COUNTIF('HMZ - KAIS'!$G$7:$G$50,SCEAUX!G28))+(COUNTIF('IB TRANSPORT'!$G$7:$G$50,SCEAUX!G28))+(COUNTIF(JSL!$G$7:$G$50,SCEAUX!G28))+(COUNTIF(KIFAITOUT!$G$7:$G$50,SCEAUX!G28))+(COUNTIF('LUXE DRIVE'!$G$7:$G$50,SCEAUX!G28))+(COUNTIF(SSN!$G$7:$G$50,SCEAUX!G28))+(COUNTIF('W3'!$G$7:$G$50,SCEAUX!G28))+(COUNTIF('ATHIS MONS'!$G$7:$G$50,SCEAUX!G28))+(COUNTIF('L HAY LES ROSES'!$G$7:$G$50,SCEAUX!G28))+(COUNTIF(RUNGIS!$G$7:$G$50,SCEAUX!G28))+(COUNTIF(SCEAUX!$G$7:$G$50,SCEAUX!G28))+(COUNTIF('INSTANCE C1'!$G$7:$G$50,SCEAUX!G28))+(COUNTIF('INSTANCE C2'!$G$7:$G$50,SCEAUX!G28))+(COUNTIF(INTERNES!$G$7:$G$50,SCEAUX!G28))+(COUNTIF('EN PANNE'!$G$7:$G$50,SCEAUX!G28))-I28</f>
        <v>0</v>
      </c>
      <c r="I28" s="23">
        <f>(COUNTIF('2S EXPRESS'!$A$7:$A$50,SCEAUX!G28))+(COUNTIF('2 ZT'!$A$7:$A$50,SCEAUX!G28))+(COUNTIF('GO TRANSPORT'!$A$7:$A$50,SCEAUX!G28))+(COUNTIF('HMZ - KAIS'!$A$7:$A$50,SCEAUX!G28))+(COUNTIF('IB TRANSPORT'!$A$7:$A$50,SCEAUX!G28))+(COUNTIF(JSL!$A$7:$A$50,SCEAUX!G28))+(COUNTIF(KIFAITOUT!$A$7:$A$50,SCEAUX!G28))+(COUNTIF('LUXE DRIVE'!$A$7:$A$50,SCEAUX!G28))+(COUNTIF(SSN!$A$7:$A$50,SCEAUX!G28))+(COUNTIF('W3'!$A$7:$A$50,SCEAUX!G28))+(COUNTIF('ATHIS MONS'!$A$7:$A$50,SCEAUX!G28))+(COUNTIF('L HAY LES ROSES'!$A$7:$A$50,SCEAUX!G28))+(COUNTIF(RUNGIS!$A$7:$A$50,SCEAUX!G28))+(COUNTIF(SCEAUX!$A$7:$A$50,SCEAUX!G28))+(COUNTIF('INSTANCE C1'!$A$7:$A$50,SCEAUX!G28))+(COUNTIF('INSTANCE C2'!$A$7:$A$50,SCEAUX!G28))+(COUNTIF(INTERNES!$A$7:$A$50,SCEAUX!G28))+(COUNTIF('EN PANNE'!$A$7:$A$50,SCEAUX!G28))</f>
        <v>0</v>
      </c>
      <c r="J28" s="28">
        <f t="shared" si="4"/>
        <v>0</v>
      </c>
      <c r="K28" s="2"/>
      <c r="L28" s="47"/>
      <c r="S28" s="60">
        <f t="shared" si="1"/>
        <v>0</v>
      </c>
      <c r="T28" s="67">
        <f t="shared" si="2"/>
        <v>0</v>
      </c>
    </row>
    <row r="29" spans="1:20" ht="24.95" customHeight="1" x14ac:dyDescent="0.2">
      <c r="A29" s="20"/>
      <c r="B29" s="23">
        <f>(COUNTIF('2S EXPRESS'!$A$7:$A$50,SCEAUX!A29))+(COUNTIF('2 ZT'!$A$7:$A$50,SCEAUX!A29))+(COUNTIF('GO TRANSPORT'!$A$7:$A$50,SCEAUX!A29))+(COUNTIF('HMZ - KAIS'!$A$7:$A$50,SCEAUX!A29))+(COUNTIF('IB TRANSPORT'!$A$7:$A$50,SCEAUX!A29))+(COUNTIF(JSL!$A$7:$A$50,SCEAUX!A29))+(COUNTIF(KIFAITOUT!$A$7:$A$50,SCEAUX!A29))+(COUNTIF('LUXE DRIVE'!$A$7:$A$50,SCEAUX!A29))+(COUNTIF(SSN!$A$7:$A$50,SCEAUX!A29))+(COUNTIF('W3'!$A$7:$A$50,SCEAUX!A29))+(COUNTIF('ATHIS MONS'!$A$7:$A$50,SCEAUX!A29))+(COUNTIF('L HAY LES ROSES'!$A$7:$A$50,SCEAUX!A29))+(COUNTIF(RUNGIS!$A$7:$A$50,SCEAUX!A29))+(COUNTIF(SCEAUX!$A$7:$A$50,SCEAUX!A29))+(COUNTIF('INSTANCE C1'!$A$7:$A$50,SCEAUX!A29))+(COUNTIF('INSTANCE C2'!$A$7:$A$50,SCEAUX!A29))+(COUNTIF(INTERNES!$A$7:$A$50,SCEAUX!A29))+(COUNTIF('EN PANNE'!$A$7:$A$50,SCEAUX!A29))-C29</f>
        <v>0</v>
      </c>
      <c r="C29" s="23">
        <f>(COUNTIF('2S EXPRESS'!$G$7:$G$50,SCEAUX!A29))+(COUNTIF('2 ZT'!$G$7:$G$50,SCEAUX!A29))+(COUNTIF('GO TRANSPORT'!$G$7:$G$50,SCEAUX!A29))+(COUNTIF(SCEAUX!$G$7:$G$50,SCEAUX!A29))+(COUNTIF('IB TRANSPORT'!$G$7:$G$50,SCEAUX!A29))+(COUNTIF(JSL!$G$7:$G$50,SCEAUX!A29))+(COUNTIF(KIFAITOUT!$G$7:$G$50,SCEAUX!A29))+(COUNTIF('LUXE DRIVE'!$G$7:$G$50,SCEAUX!A29))+(COUNTIF(SSN!$G$7:$G$50,SCEAUX!A29))+(COUNTIF('W3'!$G$7:$G$50,SCEAUX!A29))+(COUNTIF('ATHIS MONS'!$G$7:$G$50,SCEAUX!A29))+(COUNTIF('L HAY LES ROSES'!$G$7:$G$50,SCEAUX!A29))+(COUNTIF(RUNGIS!$G$7:$G$50,SCEAUX!A29))+(COUNTIF(SCEAUX!$G$7:$G$50,SCEAUX!A29))+(COUNTIF('INSTANCE C1'!$G$7:$G$50,SCEAUX!A29))+(COUNTIF('INSTANCE C2'!$G$7:$G$50,SCEAUX!A29))+(COUNTIF(INTERNES!$G$7:$G$50,SCEAUX!A29))+(COUNTIF('EN PANNE'!$G$7:$G$50,SCEAUX!A29))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EXPRESS'!$G$7:$G$50,SCEAUX!G29))+(COUNTIF('2 ZT'!$G$7:$G$50,SCEAUX!G29))+(COUNTIF('GO TRANSPORT'!$G$7:$G$50,SCEAUX!G29))+(COUNTIF('HMZ - KAIS'!$G$7:$G$50,SCEAUX!G29))+(COUNTIF('IB TRANSPORT'!$G$7:$G$50,SCEAUX!G29))+(COUNTIF(JSL!$G$7:$G$50,SCEAUX!G29))+(COUNTIF(KIFAITOUT!$G$7:$G$50,SCEAUX!G29))+(COUNTIF('LUXE DRIVE'!$G$7:$G$50,SCEAUX!G29))+(COUNTIF(SSN!$G$7:$G$50,SCEAUX!G29))+(COUNTIF('W3'!$G$7:$G$50,SCEAUX!G29))+(COUNTIF('ATHIS MONS'!$G$7:$G$50,SCEAUX!G29))+(COUNTIF('L HAY LES ROSES'!$G$7:$G$50,SCEAUX!G29))+(COUNTIF(RUNGIS!$G$7:$G$50,SCEAUX!G29))+(COUNTIF(SCEAUX!$G$7:$G$50,SCEAUX!G29))+(COUNTIF('INSTANCE C1'!$G$7:$G$50,SCEAUX!G29))+(COUNTIF('INSTANCE C2'!$G$7:$G$50,SCEAUX!G29))+(COUNTIF(INTERNES!$G$7:$G$50,SCEAUX!G29))+(COUNTIF('EN PANNE'!$G$7:$G$50,SCEAUX!G29))-I29</f>
        <v>0</v>
      </c>
      <c r="I29" s="23">
        <f>(COUNTIF('2S EXPRESS'!$A$7:$A$50,SCEAUX!G29))+(COUNTIF('2 ZT'!$A$7:$A$50,SCEAUX!G29))+(COUNTIF('GO TRANSPORT'!$A$7:$A$50,SCEAUX!G29))+(COUNTIF('HMZ - KAIS'!$A$7:$A$50,SCEAUX!G29))+(COUNTIF('IB TRANSPORT'!$A$7:$A$50,SCEAUX!G29))+(COUNTIF(JSL!$A$7:$A$50,SCEAUX!G29))+(COUNTIF(KIFAITOUT!$A$7:$A$50,SCEAUX!G29))+(COUNTIF('LUXE DRIVE'!$A$7:$A$50,SCEAUX!G29))+(COUNTIF(SSN!$A$7:$A$50,SCEAUX!G29))+(COUNTIF('W3'!$A$7:$A$50,SCEAUX!G29))+(COUNTIF('ATHIS MONS'!$A$7:$A$50,SCEAUX!G29))+(COUNTIF('L HAY LES ROSES'!$A$7:$A$50,SCEAUX!G29))+(COUNTIF(RUNGIS!$A$7:$A$50,SCEAUX!G29))+(COUNTIF(SCEAUX!$A$7:$A$50,SCEAUX!G29))+(COUNTIF('INSTANCE C1'!$A$7:$A$50,SCEAUX!G29))+(COUNTIF('INSTANCE C2'!$A$7:$A$50,SCEAUX!G29))+(COUNTIF(INTERNES!$A$7:$A$50,SCEAUX!G29))+(COUNTIF('EN PANNE'!$A$7:$A$50,SCEAUX!G29))</f>
        <v>0</v>
      </c>
      <c r="J29" s="28">
        <f t="shared" si="4"/>
        <v>0</v>
      </c>
      <c r="K29" s="2"/>
      <c r="L29" s="47"/>
      <c r="S29" s="60">
        <f t="shared" si="1"/>
        <v>0</v>
      </c>
      <c r="T29" s="67">
        <f t="shared" si="2"/>
        <v>0</v>
      </c>
    </row>
    <row r="30" spans="1:20" ht="24.95" customHeight="1" x14ac:dyDescent="0.2">
      <c r="A30" s="20"/>
      <c r="B30" s="23">
        <f>(COUNTIF('2S EXPRESS'!$A$7:$A$50,SCEAUX!A30))+(COUNTIF('2 ZT'!$A$7:$A$50,SCEAUX!A30))+(COUNTIF('GO TRANSPORT'!$A$7:$A$50,SCEAUX!A30))+(COUNTIF('HMZ - KAIS'!$A$7:$A$50,SCEAUX!A30))+(COUNTIF('IB TRANSPORT'!$A$7:$A$50,SCEAUX!A30))+(COUNTIF(JSL!$A$7:$A$50,SCEAUX!A30))+(COUNTIF(KIFAITOUT!$A$7:$A$50,SCEAUX!A30))+(COUNTIF('LUXE DRIVE'!$A$7:$A$50,SCEAUX!A30))+(COUNTIF(SSN!$A$7:$A$50,SCEAUX!A30))+(COUNTIF('W3'!$A$7:$A$50,SCEAUX!A30))+(COUNTIF('ATHIS MONS'!$A$7:$A$50,SCEAUX!A30))+(COUNTIF('L HAY LES ROSES'!$A$7:$A$50,SCEAUX!A30))+(COUNTIF(RUNGIS!$A$7:$A$50,SCEAUX!A30))+(COUNTIF(SCEAUX!$A$7:$A$50,SCEAUX!A30))+(COUNTIF('INSTANCE C1'!$A$7:$A$50,SCEAUX!A30))+(COUNTIF('INSTANCE C2'!$A$7:$A$50,SCEAUX!A30))+(COUNTIF(INTERNES!$A$7:$A$50,SCEAUX!A30))+(COUNTIF('EN PANNE'!$A$7:$A$50,SCEAUX!A30))-C30</f>
        <v>0</v>
      </c>
      <c r="C30" s="23">
        <f>(COUNTIF('2S EXPRESS'!$G$7:$G$50,SCEAUX!A30))+(COUNTIF('2 ZT'!$G$7:$G$50,SCEAUX!A30))+(COUNTIF('GO TRANSPORT'!$G$7:$G$50,SCEAUX!A30))+(COUNTIF(SCEAUX!$G$7:$G$50,SCEAUX!A30))+(COUNTIF('IB TRANSPORT'!$G$7:$G$50,SCEAUX!A30))+(COUNTIF(JSL!$G$7:$G$50,SCEAUX!A30))+(COUNTIF(KIFAITOUT!$G$7:$G$50,SCEAUX!A30))+(COUNTIF('LUXE DRIVE'!$G$7:$G$50,SCEAUX!A30))+(COUNTIF(SSN!$G$7:$G$50,SCEAUX!A30))+(COUNTIF('W3'!$G$7:$G$50,SCEAUX!A30))+(COUNTIF('ATHIS MONS'!$G$7:$G$50,SCEAUX!A30))+(COUNTIF('L HAY LES ROSES'!$G$7:$G$50,SCEAUX!A30))+(COUNTIF(RUNGIS!$G$7:$G$50,SCEAUX!A30))+(COUNTIF(SCEAUX!$G$7:$G$50,SCEAUX!A30))+(COUNTIF('INSTANCE C1'!$G$7:$G$50,SCEAUX!A30))+(COUNTIF('INSTANCE C2'!$G$7:$G$50,SCEAUX!A30))+(COUNTIF(INTERNES!$G$7:$G$50,SCEAUX!A30))+(COUNTIF('EN PANNE'!$G$7:$G$50,SCEAUX!A30))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EXPRESS'!$G$7:$G$50,SCEAUX!G30))+(COUNTIF('2 ZT'!$G$7:$G$50,SCEAUX!G30))+(COUNTIF('GO TRANSPORT'!$G$7:$G$50,SCEAUX!G30))+(COUNTIF('HMZ - KAIS'!$G$7:$G$50,SCEAUX!G30))+(COUNTIF('IB TRANSPORT'!$G$7:$G$50,SCEAUX!G30))+(COUNTIF(JSL!$G$7:$G$50,SCEAUX!G30))+(COUNTIF(KIFAITOUT!$G$7:$G$50,SCEAUX!G30))+(COUNTIF('LUXE DRIVE'!$G$7:$G$50,SCEAUX!G30))+(COUNTIF(SSN!$G$7:$G$50,SCEAUX!G30))+(COUNTIF('W3'!$G$7:$G$50,SCEAUX!G30))+(COUNTIF('ATHIS MONS'!$G$7:$G$50,SCEAUX!G30))+(COUNTIF('L HAY LES ROSES'!$G$7:$G$50,SCEAUX!G30))+(COUNTIF(RUNGIS!$G$7:$G$50,SCEAUX!G30))+(COUNTIF(SCEAUX!$G$7:$G$50,SCEAUX!G30))+(COUNTIF('INSTANCE C1'!$G$7:$G$50,SCEAUX!G30))+(COUNTIF('INSTANCE C2'!$G$7:$G$50,SCEAUX!G30))+(COUNTIF(INTERNES!$G$7:$G$50,SCEAUX!G30))+(COUNTIF('EN PANNE'!$G$7:$G$50,SCEAUX!G30))-I30</f>
        <v>0</v>
      </c>
      <c r="I30" s="23">
        <f>(COUNTIF('2S EXPRESS'!$A$7:$A$50,SCEAUX!G30))+(COUNTIF('2 ZT'!$A$7:$A$50,SCEAUX!G30))+(COUNTIF('GO TRANSPORT'!$A$7:$A$50,SCEAUX!G30))+(COUNTIF('HMZ - KAIS'!$A$7:$A$50,SCEAUX!G30))+(COUNTIF('IB TRANSPORT'!$A$7:$A$50,SCEAUX!G30))+(COUNTIF(JSL!$A$7:$A$50,SCEAUX!G30))+(COUNTIF(KIFAITOUT!$A$7:$A$50,SCEAUX!G30))+(COUNTIF('LUXE DRIVE'!$A$7:$A$50,SCEAUX!G30))+(COUNTIF(SSN!$A$7:$A$50,SCEAUX!G30))+(COUNTIF('W3'!$A$7:$A$50,SCEAUX!G30))+(COUNTIF('ATHIS MONS'!$A$7:$A$50,SCEAUX!G30))+(COUNTIF('L HAY LES ROSES'!$A$7:$A$50,SCEAUX!G30))+(COUNTIF(RUNGIS!$A$7:$A$50,SCEAUX!G30))+(COUNTIF(SCEAUX!$A$7:$A$50,SCEAUX!G30))+(COUNTIF('INSTANCE C1'!$A$7:$A$50,SCEAUX!G30))+(COUNTIF('INSTANCE C2'!$A$7:$A$50,SCEAUX!G30))+(COUNTIF(INTERNES!$A$7:$A$50,SCEAUX!G30))+(COUNTIF('EN PANNE'!$A$7:$A$50,SCEAUX!G30))</f>
        <v>0</v>
      </c>
      <c r="J30" s="28">
        <f t="shared" si="4"/>
        <v>0</v>
      </c>
      <c r="K30" s="2"/>
      <c r="L30" s="47"/>
      <c r="S30" s="60">
        <f t="shared" si="1"/>
        <v>0</v>
      </c>
      <c r="T30" s="67">
        <f t="shared" si="2"/>
        <v>0</v>
      </c>
    </row>
    <row r="31" spans="1:20" ht="24.95" customHeight="1" x14ac:dyDescent="0.2">
      <c r="A31" s="20"/>
      <c r="B31" s="23">
        <f>(COUNTIF('2S EXPRESS'!$A$7:$A$50,SCEAUX!A31))+(COUNTIF('2 ZT'!$A$7:$A$50,SCEAUX!A31))+(COUNTIF('GO TRANSPORT'!$A$7:$A$50,SCEAUX!A31))+(COUNTIF('HMZ - KAIS'!$A$7:$A$50,SCEAUX!A31))+(COUNTIF('IB TRANSPORT'!$A$7:$A$50,SCEAUX!A31))+(COUNTIF(JSL!$A$7:$A$50,SCEAUX!A31))+(COUNTIF(KIFAITOUT!$A$7:$A$50,SCEAUX!A31))+(COUNTIF('LUXE DRIVE'!$A$7:$A$50,SCEAUX!A31))+(COUNTIF(SSN!$A$7:$A$50,SCEAUX!A31))+(COUNTIF('W3'!$A$7:$A$50,SCEAUX!A31))+(COUNTIF('ATHIS MONS'!$A$7:$A$50,SCEAUX!A31))+(COUNTIF('L HAY LES ROSES'!$A$7:$A$50,SCEAUX!A31))+(COUNTIF(RUNGIS!$A$7:$A$50,SCEAUX!A31))+(COUNTIF(SCEAUX!$A$7:$A$50,SCEAUX!A31))+(COUNTIF('INSTANCE C1'!$A$7:$A$50,SCEAUX!A31))+(COUNTIF('INSTANCE C2'!$A$7:$A$50,SCEAUX!A31))+(COUNTIF(INTERNES!$A$7:$A$50,SCEAUX!A31))+(COUNTIF('EN PANNE'!$A$7:$A$50,SCEAUX!A31))-C31</f>
        <v>0</v>
      </c>
      <c r="C31" s="23">
        <f>(COUNTIF('2S EXPRESS'!$G$7:$G$50,SCEAUX!A31))+(COUNTIF('2 ZT'!$G$7:$G$50,SCEAUX!A31))+(COUNTIF('GO TRANSPORT'!$G$7:$G$50,SCEAUX!A31))+(COUNTIF(SCEAUX!$G$7:$G$50,SCEAUX!A31))+(COUNTIF('IB TRANSPORT'!$G$7:$G$50,SCEAUX!A31))+(COUNTIF(JSL!$G$7:$G$50,SCEAUX!A31))+(COUNTIF(KIFAITOUT!$G$7:$G$50,SCEAUX!A31))+(COUNTIF('LUXE DRIVE'!$G$7:$G$50,SCEAUX!A31))+(COUNTIF(SSN!$G$7:$G$50,SCEAUX!A31))+(COUNTIF('W3'!$G$7:$G$50,SCEAUX!A31))+(COUNTIF('ATHIS MONS'!$G$7:$G$50,SCEAUX!A31))+(COUNTIF('L HAY LES ROSES'!$G$7:$G$50,SCEAUX!A31))+(COUNTIF(RUNGIS!$G$7:$G$50,SCEAUX!A31))+(COUNTIF(SCEAUX!$G$7:$G$50,SCEAUX!A31))+(COUNTIF('INSTANCE C1'!$G$7:$G$50,SCEAUX!A31))+(COUNTIF('INSTANCE C2'!$G$7:$G$50,SCEAUX!A31))+(COUNTIF(INTERNES!$G$7:$G$50,SCEAUX!A31))+(COUNTIF('EN PANNE'!$G$7:$G$50,SCEAUX!A31))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EXPRESS'!$G$7:$G$50,SCEAUX!G31))+(COUNTIF('2 ZT'!$G$7:$G$50,SCEAUX!G31))+(COUNTIF('GO TRANSPORT'!$G$7:$G$50,SCEAUX!G31))+(COUNTIF('HMZ - KAIS'!$G$7:$G$50,SCEAUX!G31))+(COUNTIF('IB TRANSPORT'!$G$7:$G$50,SCEAUX!G31))+(COUNTIF(JSL!$G$7:$G$50,SCEAUX!G31))+(COUNTIF(KIFAITOUT!$G$7:$G$50,SCEAUX!G31))+(COUNTIF('LUXE DRIVE'!$G$7:$G$50,SCEAUX!G31))+(COUNTIF(SSN!$G$7:$G$50,SCEAUX!G31))+(COUNTIF('W3'!$G$7:$G$50,SCEAUX!G31))+(COUNTIF('ATHIS MONS'!$G$7:$G$50,SCEAUX!G31))+(COUNTIF('L HAY LES ROSES'!$G$7:$G$50,SCEAUX!G31))+(COUNTIF(RUNGIS!$G$7:$G$50,SCEAUX!G31))+(COUNTIF(SCEAUX!$G$7:$G$50,SCEAUX!G31))+(COUNTIF('INSTANCE C1'!$G$7:$G$50,SCEAUX!G31))+(COUNTIF('INSTANCE C2'!$G$7:$G$50,SCEAUX!G31))+(COUNTIF(INTERNES!$G$7:$G$50,SCEAUX!G31))+(COUNTIF('EN PANNE'!$G$7:$G$50,SCEAUX!G31))-I31</f>
        <v>0</v>
      </c>
      <c r="I31" s="23">
        <f>(COUNTIF('2S EXPRESS'!$A$7:$A$50,SCEAUX!G31))+(COUNTIF('2 ZT'!$A$7:$A$50,SCEAUX!G31))+(COUNTIF('GO TRANSPORT'!$A$7:$A$50,SCEAUX!G31))+(COUNTIF('HMZ - KAIS'!$A$7:$A$50,SCEAUX!G31))+(COUNTIF('IB TRANSPORT'!$A$7:$A$50,SCEAUX!G31))+(COUNTIF(JSL!$A$7:$A$50,SCEAUX!G31))+(COUNTIF(KIFAITOUT!$A$7:$A$50,SCEAUX!G31))+(COUNTIF('LUXE DRIVE'!$A$7:$A$50,SCEAUX!G31))+(COUNTIF(SSN!$A$7:$A$50,SCEAUX!G31))+(COUNTIF('W3'!$A$7:$A$50,SCEAUX!G31))+(COUNTIF('ATHIS MONS'!$A$7:$A$50,SCEAUX!G31))+(COUNTIF('L HAY LES ROSES'!$A$7:$A$50,SCEAUX!G31))+(COUNTIF(RUNGIS!$A$7:$A$50,SCEAUX!G31))+(COUNTIF(SCEAUX!$A$7:$A$50,SCEAUX!G31))+(COUNTIF('INSTANCE C1'!$A$7:$A$50,SCEAUX!G31))+(COUNTIF('INSTANCE C2'!$A$7:$A$50,SCEAUX!G31))+(COUNTIF(INTERNES!$A$7:$A$50,SCEAUX!G31))+(COUNTIF('EN PANNE'!$A$7:$A$50,SCEAUX!G31))</f>
        <v>0</v>
      </c>
      <c r="J31" s="28">
        <f t="shared" si="4"/>
        <v>0</v>
      </c>
      <c r="K31" s="2"/>
      <c r="L31" s="47"/>
      <c r="S31" s="60">
        <f t="shared" si="1"/>
        <v>0</v>
      </c>
      <c r="T31" s="67">
        <f t="shared" si="2"/>
        <v>0</v>
      </c>
    </row>
    <row r="32" spans="1:20" ht="24.95" customHeight="1" x14ac:dyDescent="0.2">
      <c r="A32" s="20"/>
      <c r="B32" s="23">
        <f>(COUNTIF('2S EXPRESS'!$A$7:$A$50,SCEAUX!A32))+(COUNTIF('2 ZT'!$A$7:$A$50,SCEAUX!A32))+(COUNTIF('GO TRANSPORT'!$A$7:$A$50,SCEAUX!A32))+(COUNTIF('HMZ - KAIS'!$A$7:$A$50,SCEAUX!A32))+(COUNTIF('IB TRANSPORT'!$A$7:$A$50,SCEAUX!A32))+(COUNTIF(JSL!$A$7:$A$50,SCEAUX!A32))+(COUNTIF(KIFAITOUT!$A$7:$A$50,SCEAUX!A32))+(COUNTIF('LUXE DRIVE'!$A$7:$A$50,SCEAUX!A32))+(COUNTIF(SSN!$A$7:$A$50,SCEAUX!A32))+(COUNTIF('W3'!$A$7:$A$50,SCEAUX!A32))+(COUNTIF('ATHIS MONS'!$A$7:$A$50,SCEAUX!A32))+(COUNTIF('L HAY LES ROSES'!$A$7:$A$50,SCEAUX!A32))+(COUNTIF(RUNGIS!$A$7:$A$50,SCEAUX!A32))+(COUNTIF(SCEAUX!$A$7:$A$50,SCEAUX!A32))+(COUNTIF('INSTANCE C1'!$A$7:$A$50,SCEAUX!A32))+(COUNTIF('INSTANCE C2'!$A$7:$A$50,SCEAUX!A32))+(COUNTIF(INTERNES!$A$7:$A$50,SCEAUX!A32))+(COUNTIF('EN PANNE'!$A$7:$A$50,SCEAUX!A32))-C32</f>
        <v>0</v>
      </c>
      <c r="C32" s="23">
        <f>(COUNTIF('2S EXPRESS'!$G$7:$G$50,SCEAUX!A32))+(COUNTIF('2 ZT'!$G$7:$G$50,SCEAUX!A32))+(COUNTIF('GO TRANSPORT'!$G$7:$G$50,SCEAUX!A32))+(COUNTIF(SCEAUX!$G$7:$G$50,SCEAUX!A32))+(COUNTIF('IB TRANSPORT'!$G$7:$G$50,SCEAUX!A32))+(COUNTIF(JSL!$G$7:$G$50,SCEAUX!A32))+(COUNTIF(KIFAITOUT!$G$7:$G$50,SCEAUX!A32))+(COUNTIF('LUXE DRIVE'!$G$7:$G$50,SCEAUX!A32))+(COUNTIF(SSN!$G$7:$G$50,SCEAUX!A32))+(COUNTIF('W3'!$G$7:$G$50,SCEAUX!A32))+(COUNTIF('ATHIS MONS'!$G$7:$G$50,SCEAUX!A32))+(COUNTIF('L HAY LES ROSES'!$G$7:$G$50,SCEAUX!A32))+(COUNTIF(RUNGIS!$G$7:$G$50,SCEAUX!A32))+(COUNTIF(SCEAUX!$G$7:$G$50,SCEAUX!A32))+(COUNTIF('INSTANCE C1'!$G$7:$G$50,SCEAUX!A32))+(COUNTIF('INSTANCE C2'!$G$7:$G$50,SCEAUX!A32))+(COUNTIF(INTERNES!$G$7:$G$50,SCEAUX!A32))+(COUNTIF('EN PANNE'!$G$7:$G$50,SCEAUX!A32))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EXPRESS'!$G$7:$G$50,SCEAUX!G32))+(COUNTIF('2 ZT'!$G$7:$G$50,SCEAUX!G32))+(COUNTIF('GO TRANSPORT'!$G$7:$G$50,SCEAUX!G32))+(COUNTIF('HMZ - KAIS'!$G$7:$G$50,SCEAUX!G32))+(COUNTIF('IB TRANSPORT'!$G$7:$G$50,SCEAUX!G32))+(COUNTIF(JSL!$G$7:$G$50,SCEAUX!G32))+(COUNTIF(KIFAITOUT!$G$7:$G$50,SCEAUX!G32))+(COUNTIF('LUXE DRIVE'!$G$7:$G$50,SCEAUX!G32))+(COUNTIF(SSN!$G$7:$G$50,SCEAUX!G32))+(COUNTIF('W3'!$G$7:$G$50,SCEAUX!G32))+(COUNTIF('ATHIS MONS'!$G$7:$G$50,SCEAUX!G32))+(COUNTIF('L HAY LES ROSES'!$G$7:$G$50,SCEAUX!G32))+(COUNTIF(RUNGIS!$G$7:$G$50,SCEAUX!G32))+(COUNTIF(SCEAUX!$G$7:$G$50,SCEAUX!G32))+(COUNTIF('INSTANCE C1'!$G$7:$G$50,SCEAUX!G32))+(COUNTIF('INSTANCE C2'!$G$7:$G$50,SCEAUX!G32))+(COUNTIF(INTERNES!$G$7:$G$50,SCEAUX!G32))+(COUNTIF('EN PANNE'!$G$7:$G$50,SCEAUX!G32))-I32</f>
        <v>0</v>
      </c>
      <c r="I32" s="23">
        <f>(COUNTIF('2S EXPRESS'!$A$7:$A$50,SCEAUX!G32))+(COUNTIF('2 ZT'!$A$7:$A$50,SCEAUX!G32))+(COUNTIF('GO TRANSPORT'!$A$7:$A$50,SCEAUX!G32))+(COUNTIF('HMZ - KAIS'!$A$7:$A$50,SCEAUX!G32))+(COUNTIF('IB TRANSPORT'!$A$7:$A$50,SCEAUX!G32))+(COUNTIF(JSL!$A$7:$A$50,SCEAUX!G32))+(COUNTIF(KIFAITOUT!$A$7:$A$50,SCEAUX!G32))+(COUNTIF('LUXE DRIVE'!$A$7:$A$50,SCEAUX!G32))+(COUNTIF(SSN!$A$7:$A$50,SCEAUX!G32))+(COUNTIF('W3'!$A$7:$A$50,SCEAUX!G32))+(COUNTIF('ATHIS MONS'!$A$7:$A$50,SCEAUX!G32))+(COUNTIF('L HAY LES ROSES'!$A$7:$A$50,SCEAUX!G32))+(COUNTIF(RUNGIS!$A$7:$A$50,SCEAUX!G32))+(COUNTIF(SCEAUX!$A$7:$A$50,SCEAUX!G32))+(COUNTIF('INSTANCE C1'!$A$7:$A$50,SCEAUX!G32))+(COUNTIF('INSTANCE C2'!$A$7:$A$50,SCEAUX!G32))+(COUNTIF(INTERNES!$A$7:$A$50,SCEAUX!G32))+(COUNTIF('EN PANNE'!$A$7:$A$50,SCEAUX!G32))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S32" s="60">
        <f t="shared" si="1"/>
        <v>0</v>
      </c>
      <c r="T32" s="67">
        <f t="shared" si="2"/>
        <v>0</v>
      </c>
    </row>
    <row r="33" spans="1:20" ht="24.95" customHeight="1" x14ac:dyDescent="0.2">
      <c r="A33" s="20"/>
      <c r="B33" s="23">
        <f>(COUNTIF('2S EXPRESS'!$A$7:$A$50,SCEAUX!A33))+(COUNTIF('2 ZT'!$A$7:$A$50,SCEAUX!A33))+(COUNTIF('GO TRANSPORT'!$A$7:$A$50,SCEAUX!A33))+(COUNTIF('HMZ - KAIS'!$A$7:$A$50,SCEAUX!A33))+(COUNTIF('IB TRANSPORT'!$A$7:$A$50,SCEAUX!A33))+(COUNTIF(JSL!$A$7:$A$50,SCEAUX!A33))+(COUNTIF(KIFAITOUT!$A$7:$A$50,SCEAUX!A33))+(COUNTIF('LUXE DRIVE'!$A$7:$A$50,SCEAUX!A33))+(COUNTIF(SSN!$A$7:$A$50,SCEAUX!A33))+(COUNTIF('W3'!$A$7:$A$50,SCEAUX!A33))+(COUNTIF('ATHIS MONS'!$A$7:$A$50,SCEAUX!A33))+(COUNTIF('L HAY LES ROSES'!$A$7:$A$50,SCEAUX!A33))+(COUNTIF(RUNGIS!$A$7:$A$50,SCEAUX!A33))+(COUNTIF(SCEAUX!$A$7:$A$50,SCEAUX!A33))+(COUNTIF('INSTANCE C1'!$A$7:$A$50,SCEAUX!A33))+(COUNTIF('INSTANCE C2'!$A$7:$A$50,SCEAUX!A33))+(COUNTIF(INTERNES!$A$7:$A$50,SCEAUX!A33))+(COUNTIF('EN PANNE'!$A$7:$A$50,SCEAUX!A33))-C33</f>
        <v>0</v>
      </c>
      <c r="C33" s="23">
        <f>(COUNTIF('2S EXPRESS'!$G$7:$G$50,SCEAUX!A33))+(COUNTIF('2 ZT'!$G$7:$G$50,SCEAUX!A33))+(COUNTIF('GO TRANSPORT'!$G$7:$G$50,SCEAUX!A33))+(COUNTIF(SCEAUX!$G$7:$G$50,SCEAUX!A33))+(COUNTIF('IB TRANSPORT'!$G$7:$G$50,SCEAUX!A33))+(COUNTIF(JSL!$G$7:$G$50,SCEAUX!A33))+(COUNTIF(KIFAITOUT!$G$7:$G$50,SCEAUX!A33))+(COUNTIF('LUXE DRIVE'!$G$7:$G$50,SCEAUX!A33))+(COUNTIF(SSN!$G$7:$G$50,SCEAUX!A33))+(COUNTIF('W3'!$G$7:$G$50,SCEAUX!A33))+(COUNTIF('ATHIS MONS'!$G$7:$G$50,SCEAUX!A33))+(COUNTIF('L HAY LES ROSES'!$G$7:$G$50,SCEAUX!A33))+(COUNTIF(RUNGIS!$G$7:$G$50,SCEAUX!A33))+(COUNTIF(SCEAUX!$G$7:$G$50,SCEAUX!A33))+(COUNTIF('INSTANCE C1'!$G$7:$G$50,SCEAUX!A33))+(COUNTIF('INSTANCE C2'!$G$7:$G$50,SCEAUX!A33))+(COUNTIF(INTERNES!$G$7:$G$50,SCEAUX!A33))+(COUNTIF('EN PANNE'!$G$7:$G$50,SCEAUX!A33))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EXPRESS'!$G$7:$G$50,SCEAUX!G33))+(COUNTIF('2 ZT'!$G$7:$G$50,SCEAUX!G33))+(COUNTIF('GO TRANSPORT'!$G$7:$G$50,SCEAUX!G33))+(COUNTIF('HMZ - KAIS'!$G$7:$G$50,SCEAUX!G33))+(COUNTIF('IB TRANSPORT'!$G$7:$G$50,SCEAUX!G33))+(COUNTIF(JSL!$G$7:$G$50,SCEAUX!G33))+(COUNTIF(KIFAITOUT!$G$7:$G$50,SCEAUX!G33))+(COUNTIF('LUXE DRIVE'!$G$7:$G$50,SCEAUX!G33))+(COUNTIF(SSN!$G$7:$G$50,SCEAUX!G33))+(COUNTIF('W3'!$G$7:$G$50,SCEAUX!G33))+(COUNTIF('ATHIS MONS'!$G$7:$G$50,SCEAUX!G33))+(COUNTIF('L HAY LES ROSES'!$G$7:$G$50,SCEAUX!G33))+(COUNTIF(RUNGIS!$G$7:$G$50,SCEAUX!G33))+(COUNTIF(SCEAUX!$G$7:$G$50,SCEAUX!G33))+(COUNTIF('INSTANCE C1'!$G$7:$G$50,SCEAUX!G33))+(COUNTIF('INSTANCE C2'!$G$7:$G$50,SCEAUX!G33))+(COUNTIF(INTERNES!$G$7:$G$50,SCEAUX!G33))+(COUNTIF('EN PANNE'!$G$7:$G$50,SCEAUX!G33))-I33</f>
        <v>0</v>
      </c>
      <c r="I33" s="23">
        <f>(COUNTIF('2S EXPRESS'!$A$7:$A$50,SCEAUX!G33))+(COUNTIF('2 ZT'!$A$7:$A$50,SCEAUX!G33))+(COUNTIF('GO TRANSPORT'!$A$7:$A$50,SCEAUX!G33))+(COUNTIF('HMZ - KAIS'!$A$7:$A$50,SCEAUX!G33))+(COUNTIF('IB TRANSPORT'!$A$7:$A$50,SCEAUX!G33))+(COUNTIF(JSL!$A$7:$A$50,SCEAUX!G33))+(COUNTIF(KIFAITOUT!$A$7:$A$50,SCEAUX!G33))+(COUNTIF('LUXE DRIVE'!$A$7:$A$50,SCEAUX!G33))+(COUNTIF(SSN!$A$7:$A$50,SCEAUX!G33))+(COUNTIF('W3'!$A$7:$A$50,SCEAUX!G33))+(COUNTIF('ATHIS MONS'!$A$7:$A$50,SCEAUX!G33))+(COUNTIF('L HAY LES ROSES'!$A$7:$A$50,SCEAUX!G33))+(COUNTIF(RUNGIS!$A$7:$A$50,SCEAUX!G33))+(COUNTIF(SCEAUX!$A$7:$A$50,SCEAUX!G33))+(COUNTIF('INSTANCE C1'!$A$7:$A$50,SCEAUX!G33))+(COUNTIF('INSTANCE C2'!$A$7:$A$50,SCEAUX!G33))+(COUNTIF(INTERNES!$A$7:$A$50,SCEAUX!G33))+(COUNTIF('EN PANNE'!$A$7:$A$50,SCEAUX!G33))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S33" s="60">
        <f t="shared" si="1"/>
        <v>0</v>
      </c>
      <c r="T33" s="67">
        <f t="shared" si="2"/>
        <v>0</v>
      </c>
    </row>
    <row r="34" spans="1:20" ht="24.95" customHeight="1" x14ac:dyDescent="0.2">
      <c r="A34" s="20"/>
      <c r="B34" s="23">
        <f>(COUNTIF('2S EXPRESS'!$A$7:$A$50,SCEAUX!A34))+(COUNTIF('2 ZT'!$A$7:$A$50,SCEAUX!A34))+(COUNTIF('GO TRANSPORT'!$A$7:$A$50,SCEAUX!A34))+(COUNTIF('HMZ - KAIS'!$A$7:$A$50,SCEAUX!A34))+(COUNTIF('IB TRANSPORT'!$A$7:$A$50,SCEAUX!A34))+(COUNTIF(JSL!$A$7:$A$50,SCEAUX!A34))+(COUNTIF(KIFAITOUT!$A$7:$A$50,SCEAUX!A34))+(COUNTIF('LUXE DRIVE'!$A$7:$A$50,SCEAUX!A34))+(COUNTIF(SSN!$A$7:$A$50,SCEAUX!A34))+(COUNTIF('W3'!$A$7:$A$50,SCEAUX!A34))+(COUNTIF('ATHIS MONS'!$A$7:$A$50,SCEAUX!A34))+(COUNTIF('L HAY LES ROSES'!$A$7:$A$50,SCEAUX!A34))+(COUNTIF(RUNGIS!$A$7:$A$50,SCEAUX!A34))+(COUNTIF(SCEAUX!$A$7:$A$50,SCEAUX!A34))+(COUNTIF('INSTANCE C1'!$A$7:$A$50,SCEAUX!A34))+(COUNTIF('INSTANCE C2'!$A$7:$A$50,SCEAUX!A34))+(COUNTIF(INTERNES!$A$7:$A$50,SCEAUX!A34))+(COUNTIF('EN PANNE'!$A$7:$A$50,SCEAUX!A34))-C34</f>
        <v>0</v>
      </c>
      <c r="C34" s="23">
        <f>(COUNTIF('2S EXPRESS'!$G$7:$G$50,SCEAUX!A34))+(COUNTIF('2 ZT'!$G$7:$G$50,SCEAUX!A34))+(COUNTIF('GO TRANSPORT'!$G$7:$G$50,SCEAUX!A34))+(COUNTIF(SCEAUX!$G$7:$G$50,SCEAUX!A34))+(COUNTIF('IB TRANSPORT'!$G$7:$G$50,SCEAUX!A34))+(COUNTIF(JSL!$G$7:$G$50,SCEAUX!A34))+(COUNTIF(KIFAITOUT!$G$7:$G$50,SCEAUX!A34))+(COUNTIF('LUXE DRIVE'!$G$7:$G$50,SCEAUX!A34))+(COUNTIF(SSN!$G$7:$G$50,SCEAUX!A34))+(COUNTIF('W3'!$G$7:$G$50,SCEAUX!A34))+(COUNTIF('ATHIS MONS'!$G$7:$G$50,SCEAUX!A34))+(COUNTIF('L HAY LES ROSES'!$G$7:$G$50,SCEAUX!A34))+(COUNTIF(RUNGIS!$G$7:$G$50,SCEAUX!A34))+(COUNTIF(SCEAUX!$G$7:$G$50,SCEAUX!A34))+(COUNTIF('INSTANCE C1'!$G$7:$G$50,SCEAUX!A34))+(COUNTIF('INSTANCE C2'!$G$7:$G$50,SCEAUX!A34))+(COUNTIF(INTERNES!$G$7:$G$50,SCEAUX!A34))+(COUNTIF('EN PANNE'!$G$7:$G$50,SCEAUX!A34))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EXPRESS'!$G$7:$G$50,SCEAUX!G34))+(COUNTIF('2 ZT'!$G$7:$G$50,SCEAUX!G34))+(COUNTIF('GO TRANSPORT'!$G$7:$G$50,SCEAUX!G34))+(COUNTIF('HMZ - KAIS'!$G$7:$G$50,SCEAUX!G34))+(COUNTIF('IB TRANSPORT'!$G$7:$G$50,SCEAUX!G34))+(COUNTIF(JSL!$G$7:$G$50,SCEAUX!G34))+(COUNTIF(KIFAITOUT!$G$7:$G$50,SCEAUX!G34))+(COUNTIF('LUXE DRIVE'!$G$7:$G$50,SCEAUX!G34))+(COUNTIF(SSN!$G$7:$G$50,SCEAUX!G34))+(COUNTIF('W3'!$G$7:$G$50,SCEAUX!G34))+(COUNTIF('ATHIS MONS'!$G$7:$G$50,SCEAUX!G34))+(COUNTIF('L HAY LES ROSES'!$G$7:$G$50,SCEAUX!G34))+(COUNTIF(RUNGIS!$G$7:$G$50,SCEAUX!G34))+(COUNTIF(SCEAUX!$G$7:$G$50,SCEAUX!G34))+(COUNTIF('INSTANCE C1'!$G$7:$G$50,SCEAUX!G34))+(COUNTIF('INSTANCE C2'!$G$7:$G$50,SCEAUX!G34))+(COUNTIF(INTERNES!$G$7:$G$50,SCEAUX!G34))+(COUNTIF('EN PANNE'!$G$7:$G$50,SCEAUX!G34))-I34</f>
        <v>0</v>
      </c>
      <c r="I34" s="23">
        <f>(COUNTIF('2S EXPRESS'!$A$7:$A$50,SCEAUX!G34))+(COUNTIF('2 ZT'!$A$7:$A$50,SCEAUX!G34))+(COUNTIF('GO TRANSPORT'!$A$7:$A$50,SCEAUX!G34))+(COUNTIF('HMZ - KAIS'!$A$7:$A$50,SCEAUX!G34))+(COUNTIF('IB TRANSPORT'!$A$7:$A$50,SCEAUX!G34))+(COUNTIF(JSL!$A$7:$A$50,SCEAUX!G34))+(COUNTIF(KIFAITOUT!$A$7:$A$50,SCEAUX!G34))+(COUNTIF('LUXE DRIVE'!$A$7:$A$50,SCEAUX!G34))+(COUNTIF(SSN!$A$7:$A$50,SCEAUX!G34))+(COUNTIF('W3'!$A$7:$A$50,SCEAUX!G34))+(COUNTIF('ATHIS MONS'!$A$7:$A$50,SCEAUX!G34))+(COUNTIF('L HAY LES ROSES'!$A$7:$A$50,SCEAUX!G34))+(COUNTIF(RUNGIS!$A$7:$A$50,SCEAUX!G34))+(COUNTIF(SCEAUX!$A$7:$A$50,SCEAUX!G34))+(COUNTIF('INSTANCE C1'!$A$7:$A$50,SCEAUX!G34))+(COUNTIF('INSTANCE C2'!$A$7:$A$50,SCEAUX!G34))+(COUNTIF(INTERNES!$A$7:$A$50,SCEAUX!G34))+(COUNTIF('EN PANNE'!$A$7:$A$50,SCEAUX!G34))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S34" s="60">
        <f t="shared" si="1"/>
        <v>0</v>
      </c>
      <c r="T34" s="67">
        <f t="shared" si="2"/>
        <v>0</v>
      </c>
    </row>
    <row r="35" spans="1:20" ht="24.95" customHeight="1" x14ac:dyDescent="0.2">
      <c r="A35" s="20"/>
      <c r="B35" s="23">
        <f>(COUNTIF('2S EXPRESS'!$A$7:$A$50,SCEAUX!A35))+(COUNTIF('2 ZT'!$A$7:$A$50,SCEAUX!A35))+(COUNTIF('GO TRANSPORT'!$A$7:$A$50,SCEAUX!A35))+(COUNTIF('HMZ - KAIS'!$A$7:$A$50,SCEAUX!A35))+(COUNTIF('IB TRANSPORT'!$A$7:$A$50,SCEAUX!A35))+(COUNTIF(JSL!$A$7:$A$50,SCEAUX!A35))+(COUNTIF(KIFAITOUT!$A$7:$A$50,SCEAUX!A35))+(COUNTIF('LUXE DRIVE'!$A$7:$A$50,SCEAUX!A35))+(COUNTIF(SSN!$A$7:$A$50,SCEAUX!A35))+(COUNTIF('W3'!$A$7:$A$50,SCEAUX!A35))+(COUNTIF('ATHIS MONS'!$A$7:$A$50,SCEAUX!A35))+(COUNTIF('L HAY LES ROSES'!$A$7:$A$50,SCEAUX!A35))+(COUNTIF(RUNGIS!$A$7:$A$50,SCEAUX!A35))+(COUNTIF(SCEAUX!$A$7:$A$50,SCEAUX!A35))+(COUNTIF('INSTANCE C1'!$A$7:$A$50,SCEAUX!A35))+(COUNTIF('INSTANCE C2'!$A$7:$A$50,SCEAUX!A35))+(COUNTIF(INTERNES!$A$7:$A$50,SCEAUX!A35))+(COUNTIF('EN PANNE'!$A$7:$A$50,SCEAUX!A35))-C35</f>
        <v>0</v>
      </c>
      <c r="C35" s="23">
        <f>(COUNTIF('2S EXPRESS'!$G$7:$G$50,SCEAUX!A35))+(COUNTIF('2 ZT'!$G$7:$G$50,SCEAUX!A35))+(COUNTIF('GO TRANSPORT'!$G$7:$G$50,SCEAUX!A35))+(COUNTIF(SCEAUX!$G$7:$G$50,SCEAUX!A35))+(COUNTIF('IB TRANSPORT'!$G$7:$G$50,SCEAUX!A35))+(COUNTIF(JSL!$G$7:$G$50,SCEAUX!A35))+(COUNTIF(KIFAITOUT!$G$7:$G$50,SCEAUX!A35))+(COUNTIF('LUXE DRIVE'!$G$7:$G$50,SCEAUX!A35))+(COUNTIF(SSN!$G$7:$G$50,SCEAUX!A35))+(COUNTIF('W3'!$G$7:$G$50,SCEAUX!A35))+(COUNTIF('ATHIS MONS'!$G$7:$G$50,SCEAUX!A35))+(COUNTIF('L HAY LES ROSES'!$G$7:$G$50,SCEAUX!A35))+(COUNTIF(RUNGIS!$G$7:$G$50,SCEAUX!A35))+(COUNTIF(SCEAUX!$G$7:$G$50,SCEAUX!A35))+(COUNTIF('INSTANCE C1'!$G$7:$G$50,SCEAUX!A35))+(COUNTIF('INSTANCE C2'!$G$7:$G$50,SCEAUX!A35))+(COUNTIF(INTERNES!$G$7:$G$50,SCEAUX!A35))+(COUNTIF('EN PANNE'!$G$7:$G$50,SCEAUX!A35))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EXPRESS'!$G$7:$G$50,SCEAUX!G35))+(COUNTIF('2 ZT'!$G$7:$G$50,SCEAUX!G35))+(COUNTIF('GO TRANSPORT'!$G$7:$G$50,SCEAUX!G35))+(COUNTIF('HMZ - KAIS'!$G$7:$G$50,SCEAUX!G35))+(COUNTIF('IB TRANSPORT'!$G$7:$G$50,SCEAUX!G35))+(COUNTIF(JSL!$G$7:$G$50,SCEAUX!G35))+(COUNTIF(KIFAITOUT!$G$7:$G$50,SCEAUX!G35))+(COUNTIF('LUXE DRIVE'!$G$7:$G$50,SCEAUX!G35))+(COUNTIF(SSN!$G$7:$G$50,SCEAUX!G35))+(COUNTIF('W3'!$G$7:$G$50,SCEAUX!G35))+(COUNTIF('ATHIS MONS'!$G$7:$G$50,SCEAUX!G35))+(COUNTIF('L HAY LES ROSES'!$G$7:$G$50,SCEAUX!G35))+(COUNTIF(RUNGIS!$G$7:$G$50,SCEAUX!G35))+(COUNTIF(SCEAUX!$G$7:$G$50,SCEAUX!G35))+(COUNTIF('INSTANCE C1'!$G$7:$G$50,SCEAUX!G35))+(COUNTIF('INSTANCE C2'!$G$7:$G$50,SCEAUX!G35))+(COUNTIF(INTERNES!$G$7:$G$50,SCEAUX!G35))+(COUNTIF('EN PANNE'!$G$7:$G$50,SCEAUX!G35))-I35</f>
        <v>0</v>
      </c>
      <c r="I35" s="23">
        <f>(COUNTIF('2S EXPRESS'!$A$7:$A$50,SCEAUX!G35))+(COUNTIF('2 ZT'!$A$7:$A$50,SCEAUX!G35))+(COUNTIF('GO TRANSPORT'!$A$7:$A$50,SCEAUX!G35))+(COUNTIF('HMZ - KAIS'!$A$7:$A$50,SCEAUX!G35))+(COUNTIF('IB TRANSPORT'!$A$7:$A$50,SCEAUX!G35))+(COUNTIF(JSL!$A$7:$A$50,SCEAUX!G35))+(COUNTIF(KIFAITOUT!$A$7:$A$50,SCEAUX!G35))+(COUNTIF('LUXE DRIVE'!$A$7:$A$50,SCEAUX!G35))+(COUNTIF(SSN!$A$7:$A$50,SCEAUX!G35))+(COUNTIF('W3'!$A$7:$A$50,SCEAUX!G35))+(COUNTIF('ATHIS MONS'!$A$7:$A$50,SCEAUX!G35))+(COUNTIF('L HAY LES ROSES'!$A$7:$A$50,SCEAUX!G35))+(COUNTIF(RUNGIS!$A$7:$A$50,SCEAUX!G35))+(COUNTIF(SCEAUX!$A$7:$A$50,SCEAUX!G35))+(COUNTIF('INSTANCE C1'!$A$7:$A$50,SCEAUX!G35))+(COUNTIF('INSTANCE C2'!$A$7:$A$50,SCEAUX!G35))+(COUNTIF(INTERNES!$A$7:$A$50,SCEAUX!G35))+(COUNTIF('EN PANNE'!$A$7:$A$50,SCEAUX!G35))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S35" s="60">
        <f t="shared" si="1"/>
        <v>0</v>
      </c>
      <c r="T35" s="67">
        <f t="shared" si="2"/>
        <v>0</v>
      </c>
    </row>
    <row r="36" spans="1:20" ht="24.95" customHeight="1" x14ac:dyDescent="0.2">
      <c r="A36" s="20"/>
      <c r="B36" s="23">
        <f>(COUNTIF('2S EXPRESS'!$A$7:$A$50,SCEAUX!A36))+(COUNTIF('2 ZT'!$A$7:$A$50,SCEAUX!A36))+(COUNTIF('GO TRANSPORT'!$A$7:$A$50,SCEAUX!A36))+(COUNTIF('HMZ - KAIS'!$A$7:$A$50,SCEAUX!A36))+(COUNTIF('IB TRANSPORT'!$A$7:$A$50,SCEAUX!A36))+(COUNTIF(JSL!$A$7:$A$50,SCEAUX!A36))+(COUNTIF(KIFAITOUT!$A$7:$A$50,SCEAUX!A36))+(COUNTIF('LUXE DRIVE'!$A$7:$A$50,SCEAUX!A36))+(COUNTIF(SSN!$A$7:$A$50,SCEAUX!A36))+(COUNTIF('W3'!$A$7:$A$50,SCEAUX!A36))+(COUNTIF('ATHIS MONS'!$A$7:$A$50,SCEAUX!A36))+(COUNTIF('L HAY LES ROSES'!$A$7:$A$50,SCEAUX!A36))+(COUNTIF(RUNGIS!$A$7:$A$50,SCEAUX!A36))+(COUNTIF(SCEAUX!$A$7:$A$50,SCEAUX!A36))+(COUNTIF('INSTANCE C1'!$A$7:$A$50,SCEAUX!A36))+(COUNTIF('INSTANCE C2'!$A$7:$A$50,SCEAUX!A36))+(COUNTIF(INTERNES!$A$7:$A$50,SCEAUX!A36))+(COUNTIF('EN PANNE'!$A$7:$A$50,SCEAUX!A36))-C36</f>
        <v>0</v>
      </c>
      <c r="C36" s="23">
        <f>(COUNTIF('2S EXPRESS'!$G$7:$G$50,SCEAUX!A36))+(COUNTIF('2 ZT'!$G$7:$G$50,SCEAUX!A36))+(COUNTIF('GO TRANSPORT'!$G$7:$G$50,SCEAUX!A36))+(COUNTIF(SCEAUX!$G$7:$G$50,SCEAUX!A36))+(COUNTIF('IB TRANSPORT'!$G$7:$G$50,SCEAUX!A36))+(COUNTIF(JSL!$G$7:$G$50,SCEAUX!A36))+(COUNTIF(KIFAITOUT!$G$7:$G$50,SCEAUX!A36))+(COUNTIF('LUXE DRIVE'!$G$7:$G$50,SCEAUX!A36))+(COUNTIF(SSN!$G$7:$G$50,SCEAUX!A36))+(COUNTIF('W3'!$G$7:$G$50,SCEAUX!A36))+(COUNTIF('ATHIS MONS'!$G$7:$G$50,SCEAUX!A36))+(COUNTIF('L HAY LES ROSES'!$G$7:$G$50,SCEAUX!A36))+(COUNTIF(RUNGIS!$G$7:$G$50,SCEAUX!A36))+(COUNTIF(SCEAUX!$G$7:$G$50,SCEAUX!A36))+(COUNTIF('INSTANCE C1'!$G$7:$G$50,SCEAUX!A36))+(COUNTIF('INSTANCE C2'!$G$7:$G$50,SCEAUX!A36))+(COUNTIF(INTERNES!$G$7:$G$50,SCEAUX!A36))+(COUNTIF('EN PANNE'!$G$7:$G$50,SCEAUX!A36))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EXPRESS'!$G$7:$G$50,SCEAUX!G36))+(COUNTIF('2 ZT'!$G$7:$G$50,SCEAUX!G36))+(COUNTIF('GO TRANSPORT'!$G$7:$G$50,SCEAUX!G36))+(COUNTIF('HMZ - KAIS'!$G$7:$G$50,SCEAUX!G36))+(COUNTIF('IB TRANSPORT'!$G$7:$G$50,SCEAUX!G36))+(COUNTIF(JSL!$G$7:$G$50,SCEAUX!G36))+(COUNTIF(KIFAITOUT!$G$7:$G$50,SCEAUX!G36))+(COUNTIF('LUXE DRIVE'!$G$7:$G$50,SCEAUX!G36))+(COUNTIF(SSN!$G$7:$G$50,SCEAUX!G36))+(COUNTIF('W3'!$G$7:$G$50,SCEAUX!G36))+(COUNTIF('ATHIS MONS'!$G$7:$G$50,SCEAUX!G36))+(COUNTIF('L HAY LES ROSES'!$G$7:$G$50,SCEAUX!G36))+(COUNTIF(RUNGIS!$G$7:$G$50,SCEAUX!G36))+(COUNTIF(SCEAUX!$G$7:$G$50,SCEAUX!G36))+(COUNTIF('INSTANCE C1'!$G$7:$G$50,SCEAUX!G36))+(COUNTIF('INSTANCE C2'!$G$7:$G$50,SCEAUX!G36))+(COUNTIF(INTERNES!$G$7:$G$50,SCEAUX!G36))+(COUNTIF('EN PANNE'!$G$7:$G$50,SCEAUX!G36))-I36</f>
        <v>0</v>
      </c>
      <c r="I36" s="23">
        <f>(COUNTIF('2S EXPRESS'!$A$7:$A$50,SCEAUX!G36))+(COUNTIF('2 ZT'!$A$7:$A$50,SCEAUX!G36))+(COUNTIF('GO TRANSPORT'!$A$7:$A$50,SCEAUX!G36))+(COUNTIF('HMZ - KAIS'!$A$7:$A$50,SCEAUX!G36))+(COUNTIF('IB TRANSPORT'!$A$7:$A$50,SCEAUX!G36))+(COUNTIF(JSL!$A$7:$A$50,SCEAUX!G36))+(COUNTIF(KIFAITOUT!$A$7:$A$50,SCEAUX!G36))+(COUNTIF('LUXE DRIVE'!$A$7:$A$50,SCEAUX!G36))+(COUNTIF(SSN!$A$7:$A$50,SCEAUX!G36))+(COUNTIF('W3'!$A$7:$A$50,SCEAUX!G36))+(COUNTIF('ATHIS MONS'!$A$7:$A$50,SCEAUX!G36))+(COUNTIF('L HAY LES ROSES'!$A$7:$A$50,SCEAUX!G36))+(COUNTIF(RUNGIS!$A$7:$A$50,SCEAUX!G36))+(COUNTIF(SCEAUX!$A$7:$A$50,SCEAUX!G36))+(COUNTIF('INSTANCE C1'!$A$7:$A$50,SCEAUX!G36))+(COUNTIF('INSTANCE C2'!$A$7:$A$50,SCEAUX!G36))+(COUNTIF(INTERNES!$A$7:$A$50,SCEAUX!G36))+(COUNTIF('EN PANNE'!$A$7:$A$50,SCEAUX!G36))</f>
        <v>0</v>
      </c>
      <c r="J36" s="28">
        <f t="shared" si="4"/>
        <v>0</v>
      </c>
      <c r="K36" s="2"/>
      <c r="L36" s="47"/>
      <c r="S36" s="60">
        <f t="shared" si="1"/>
        <v>0</v>
      </c>
      <c r="T36" s="67">
        <f t="shared" si="2"/>
        <v>0</v>
      </c>
    </row>
    <row r="37" spans="1:20" ht="24.95" customHeight="1" x14ac:dyDescent="0.2">
      <c r="A37" s="20"/>
      <c r="B37" s="23">
        <f>(COUNTIF('2S EXPRESS'!$A$7:$A$50,SCEAUX!A37))+(COUNTIF('2 ZT'!$A$7:$A$50,SCEAUX!A37))+(COUNTIF('GO TRANSPORT'!$A$7:$A$50,SCEAUX!A37))+(COUNTIF('HMZ - KAIS'!$A$7:$A$50,SCEAUX!A37))+(COUNTIF('IB TRANSPORT'!$A$7:$A$50,SCEAUX!A37))+(COUNTIF(JSL!$A$7:$A$50,SCEAUX!A37))+(COUNTIF(KIFAITOUT!$A$7:$A$50,SCEAUX!A37))+(COUNTIF('LUXE DRIVE'!$A$7:$A$50,SCEAUX!A37))+(COUNTIF(SSN!$A$7:$A$50,SCEAUX!A37))+(COUNTIF('W3'!$A$7:$A$50,SCEAUX!A37))+(COUNTIF('ATHIS MONS'!$A$7:$A$50,SCEAUX!A37))+(COUNTIF('L HAY LES ROSES'!$A$7:$A$50,SCEAUX!A37))+(COUNTIF(RUNGIS!$A$7:$A$50,SCEAUX!A37))+(COUNTIF(SCEAUX!$A$7:$A$50,SCEAUX!A37))+(COUNTIF('INSTANCE C1'!$A$7:$A$50,SCEAUX!A37))+(COUNTIF('INSTANCE C2'!$A$7:$A$50,SCEAUX!A37))+(COUNTIF(INTERNES!$A$7:$A$50,SCEAUX!A37))+(COUNTIF('EN PANNE'!$A$7:$A$50,SCEAUX!A37))-C37</f>
        <v>0</v>
      </c>
      <c r="C37" s="23">
        <f>(COUNTIF('2S EXPRESS'!$G$7:$G$50,SCEAUX!A37))+(COUNTIF('2 ZT'!$G$7:$G$50,SCEAUX!A37))+(COUNTIF('GO TRANSPORT'!$G$7:$G$50,SCEAUX!A37))+(COUNTIF(SCEAUX!$G$7:$G$50,SCEAUX!A37))+(COUNTIF('IB TRANSPORT'!$G$7:$G$50,SCEAUX!A37))+(COUNTIF(JSL!$G$7:$G$50,SCEAUX!A37))+(COUNTIF(KIFAITOUT!$G$7:$G$50,SCEAUX!A37))+(COUNTIF('LUXE DRIVE'!$G$7:$G$50,SCEAUX!A37))+(COUNTIF(SSN!$G$7:$G$50,SCEAUX!A37))+(COUNTIF('W3'!$G$7:$G$50,SCEAUX!A37))+(COUNTIF('ATHIS MONS'!$G$7:$G$50,SCEAUX!A37))+(COUNTIF('L HAY LES ROSES'!$G$7:$G$50,SCEAUX!A37))+(COUNTIF(RUNGIS!$G$7:$G$50,SCEAUX!A37))+(COUNTIF(SCEAUX!$G$7:$G$50,SCEAUX!A37))+(COUNTIF('INSTANCE C1'!$G$7:$G$50,SCEAUX!A37))+(COUNTIF('INSTANCE C2'!$G$7:$G$50,SCEAUX!A37))+(COUNTIF(INTERNES!$G$7:$G$50,SCEAUX!A37))+(COUNTIF('EN PANNE'!$G$7:$G$50,SCEAUX!A37))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EXPRESS'!$G$7:$G$50,SCEAUX!G37))+(COUNTIF('2 ZT'!$G$7:$G$50,SCEAUX!G37))+(COUNTIF('GO TRANSPORT'!$G$7:$G$50,SCEAUX!G37))+(COUNTIF('HMZ - KAIS'!$G$7:$G$50,SCEAUX!G37))+(COUNTIF('IB TRANSPORT'!$G$7:$G$50,SCEAUX!G37))+(COUNTIF(JSL!$G$7:$G$50,SCEAUX!G37))+(COUNTIF(KIFAITOUT!$G$7:$G$50,SCEAUX!G37))+(COUNTIF('LUXE DRIVE'!$G$7:$G$50,SCEAUX!G37))+(COUNTIF(SSN!$G$7:$G$50,SCEAUX!G37))+(COUNTIF('W3'!$G$7:$G$50,SCEAUX!G37))+(COUNTIF('ATHIS MONS'!$G$7:$G$50,SCEAUX!G37))+(COUNTIF('L HAY LES ROSES'!$G$7:$G$50,SCEAUX!G37))+(COUNTIF(RUNGIS!$G$7:$G$50,SCEAUX!G37))+(COUNTIF(SCEAUX!$G$7:$G$50,SCEAUX!G37))+(COUNTIF('INSTANCE C1'!$G$7:$G$50,SCEAUX!G37))+(COUNTIF('INSTANCE C2'!$G$7:$G$50,SCEAUX!G37))+(COUNTIF(INTERNES!$G$7:$G$50,SCEAUX!G37))+(COUNTIF('EN PANNE'!$G$7:$G$50,SCEAUX!G37))-I37</f>
        <v>0</v>
      </c>
      <c r="I37" s="23">
        <f>(COUNTIF('2S EXPRESS'!$A$7:$A$50,SCEAUX!G37))+(COUNTIF('2 ZT'!$A$7:$A$50,SCEAUX!G37))+(COUNTIF('GO TRANSPORT'!$A$7:$A$50,SCEAUX!G37))+(COUNTIF('HMZ - KAIS'!$A$7:$A$50,SCEAUX!G37))+(COUNTIF('IB TRANSPORT'!$A$7:$A$50,SCEAUX!G37))+(COUNTIF(JSL!$A$7:$A$50,SCEAUX!G37))+(COUNTIF(KIFAITOUT!$A$7:$A$50,SCEAUX!G37))+(COUNTIF('LUXE DRIVE'!$A$7:$A$50,SCEAUX!G37))+(COUNTIF(SSN!$A$7:$A$50,SCEAUX!G37))+(COUNTIF('W3'!$A$7:$A$50,SCEAUX!G37))+(COUNTIF('ATHIS MONS'!$A$7:$A$50,SCEAUX!G37))+(COUNTIF('L HAY LES ROSES'!$A$7:$A$50,SCEAUX!G37))+(COUNTIF(RUNGIS!$A$7:$A$50,SCEAUX!G37))+(COUNTIF(SCEAUX!$A$7:$A$50,SCEAUX!G37))+(COUNTIF('INSTANCE C1'!$A$7:$A$50,SCEAUX!G37))+(COUNTIF('INSTANCE C2'!$A$7:$A$50,SCEAUX!G37))+(COUNTIF(INTERNES!$A$7:$A$50,SCEAUX!G37))+(COUNTIF('EN PANNE'!$A$7:$A$50,SCEAUX!G37))</f>
        <v>0</v>
      </c>
      <c r="J37" s="28">
        <f t="shared" si="4"/>
        <v>0</v>
      </c>
      <c r="K37" s="2"/>
      <c r="L37" s="47"/>
      <c r="S37" s="60">
        <f t="shared" si="1"/>
        <v>0</v>
      </c>
      <c r="T37" s="67">
        <f t="shared" si="2"/>
        <v>0</v>
      </c>
    </row>
    <row r="38" spans="1:20" ht="24.95" customHeight="1" x14ac:dyDescent="0.2">
      <c r="A38" s="20"/>
      <c r="B38" s="23">
        <f>(COUNTIF('2S EXPRESS'!$A$7:$A$50,SCEAUX!A38))+(COUNTIF('2 ZT'!$A$7:$A$50,SCEAUX!A38))+(COUNTIF('GO TRANSPORT'!$A$7:$A$50,SCEAUX!A38))+(COUNTIF('HMZ - KAIS'!$A$7:$A$50,SCEAUX!A38))+(COUNTIF('IB TRANSPORT'!$A$7:$A$50,SCEAUX!A38))+(COUNTIF(JSL!$A$7:$A$50,SCEAUX!A38))+(COUNTIF(KIFAITOUT!$A$7:$A$50,SCEAUX!A38))+(COUNTIF('LUXE DRIVE'!$A$7:$A$50,SCEAUX!A38))+(COUNTIF(SSN!$A$7:$A$50,SCEAUX!A38))+(COUNTIF('W3'!$A$7:$A$50,SCEAUX!A38))+(COUNTIF('ATHIS MONS'!$A$7:$A$50,SCEAUX!A38))+(COUNTIF('L HAY LES ROSES'!$A$7:$A$50,SCEAUX!A38))+(COUNTIF(RUNGIS!$A$7:$A$50,SCEAUX!A38))+(COUNTIF(SCEAUX!$A$7:$A$50,SCEAUX!A38))+(COUNTIF('INSTANCE C1'!$A$7:$A$50,SCEAUX!A38))+(COUNTIF('INSTANCE C2'!$A$7:$A$50,SCEAUX!A38))+(COUNTIF(INTERNES!$A$7:$A$50,SCEAUX!A38))+(COUNTIF('EN PANNE'!$A$7:$A$50,SCEAUX!A38))-C38</f>
        <v>0</v>
      </c>
      <c r="C38" s="23">
        <f>(COUNTIF('2S EXPRESS'!$G$7:$G$50,SCEAUX!A38))+(COUNTIF('2 ZT'!$G$7:$G$50,SCEAUX!A38))+(COUNTIF('GO TRANSPORT'!$G$7:$G$50,SCEAUX!A38))+(COUNTIF(SCEAUX!$G$7:$G$50,SCEAUX!A38))+(COUNTIF('IB TRANSPORT'!$G$7:$G$50,SCEAUX!A38))+(COUNTIF(JSL!$G$7:$G$50,SCEAUX!A38))+(COUNTIF(KIFAITOUT!$G$7:$G$50,SCEAUX!A38))+(COUNTIF('LUXE DRIVE'!$G$7:$G$50,SCEAUX!A38))+(COUNTIF(SSN!$G$7:$G$50,SCEAUX!A38))+(COUNTIF('W3'!$G$7:$G$50,SCEAUX!A38))+(COUNTIF('ATHIS MONS'!$G$7:$G$50,SCEAUX!A38))+(COUNTIF('L HAY LES ROSES'!$G$7:$G$50,SCEAUX!A38))+(COUNTIF(RUNGIS!$G$7:$G$50,SCEAUX!A38))+(COUNTIF(SCEAUX!$G$7:$G$50,SCEAUX!A38))+(COUNTIF('INSTANCE C1'!$G$7:$G$50,SCEAUX!A38))+(COUNTIF('INSTANCE C2'!$G$7:$G$50,SCEAUX!A38))+(COUNTIF(INTERNES!$G$7:$G$50,SCEAUX!A38))+(COUNTIF('EN PANNE'!$G$7:$G$50,SCEAUX!A38))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EXPRESS'!$G$7:$G$50,SCEAUX!G38))+(COUNTIF('2 ZT'!$G$7:$G$50,SCEAUX!G38))+(COUNTIF('GO TRANSPORT'!$G$7:$G$50,SCEAUX!G38))+(COUNTIF('HMZ - KAIS'!$G$7:$G$50,SCEAUX!G38))+(COUNTIF('IB TRANSPORT'!$G$7:$G$50,SCEAUX!G38))+(COUNTIF(JSL!$G$7:$G$50,SCEAUX!G38))+(COUNTIF(KIFAITOUT!$G$7:$G$50,SCEAUX!G38))+(COUNTIF('LUXE DRIVE'!$G$7:$G$50,SCEAUX!G38))+(COUNTIF(SSN!$G$7:$G$50,SCEAUX!G38))+(COUNTIF('W3'!$G$7:$G$50,SCEAUX!G38))+(COUNTIF('ATHIS MONS'!$G$7:$G$50,SCEAUX!G38))+(COUNTIF('L HAY LES ROSES'!$G$7:$G$50,SCEAUX!G38))+(COUNTIF(RUNGIS!$G$7:$G$50,SCEAUX!G38))+(COUNTIF(SCEAUX!$G$7:$G$50,SCEAUX!G38))+(COUNTIF('INSTANCE C1'!$G$7:$G$50,SCEAUX!G38))+(COUNTIF('INSTANCE C2'!$G$7:$G$50,SCEAUX!G38))+(COUNTIF(INTERNES!$G$7:$G$50,SCEAUX!G38))+(COUNTIF('EN PANNE'!$G$7:$G$50,SCEAUX!G38))-I38</f>
        <v>0</v>
      </c>
      <c r="I38" s="23">
        <f>(COUNTIF('2S EXPRESS'!$A$7:$A$50,SCEAUX!G38))+(COUNTIF('2 ZT'!$A$7:$A$50,SCEAUX!G38))+(COUNTIF('GO TRANSPORT'!$A$7:$A$50,SCEAUX!G38))+(COUNTIF('HMZ - KAIS'!$A$7:$A$50,SCEAUX!G38))+(COUNTIF('IB TRANSPORT'!$A$7:$A$50,SCEAUX!G38))+(COUNTIF(JSL!$A$7:$A$50,SCEAUX!G38))+(COUNTIF(KIFAITOUT!$A$7:$A$50,SCEAUX!G38))+(COUNTIF('LUXE DRIVE'!$A$7:$A$50,SCEAUX!G38))+(COUNTIF(SSN!$A$7:$A$50,SCEAUX!G38))+(COUNTIF('W3'!$A$7:$A$50,SCEAUX!G38))+(COUNTIF('ATHIS MONS'!$A$7:$A$50,SCEAUX!G38))+(COUNTIF('L HAY LES ROSES'!$A$7:$A$50,SCEAUX!G38))+(COUNTIF(RUNGIS!$A$7:$A$50,SCEAUX!G38))+(COUNTIF(SCEAUX!$A$7:$A$50,SCEAUX!G38))+(COUNTIF('INSTANCE C1'!$A$7:$A$50,SCEAUX!G38))+(COUNTIF('INSTANCE C2'!$A$7:$A$50,SCEAUX!G38))+(COUNTIF(INTERNES!$A$7:$A$50,SCEAUX!G38))+(COUNTIF('EN PANNE'!$A$7:$A$50,SCEAUX!G38))</f>
        <v>0</v>
      </c>
      <c r="J38" s="28">
        <f t="shared" si="4"/>
        <v>0</v>
      </c>
      <c r="K38" s="2"/>
      <c r="L38" s="47"/>
      <c r="S38" s="60">
        <f t="shared" si="1"/>
        <v>0</v>
      </c>
      <c r="T38" s="67">
        <f t="shared" si="2"/>
        <v>0</v>
      </c>
    </row>
    <row r="39" spans="1:20" ht="24.95" customHeight="1" x14ac:dyDescent="0.2">
      <c r="A39" s="20"/>
      <c r="B39" s="23">
        <f>(COUNTIF('2S EXPRESS'!$A$7:$A$50,SCEAUX!A39))+(COUNTIF('2 ZT'!$A$7:$A$50,SCEAUX!A39))+(COUNTIF('GO TRANSPORT'!$A$7:$A$50,SCEAUX!A39))+(COUNTIF('HMZ - KAIS'!$A$7:$A$50,SCEAUX!A39))+(COUNTIF('IB TRANSPORT'!$A$7:$A$50,SCEAUX!A39))+(COUNTIF(JSL!$A$7:$A$50,SCEAUX!A39))+(COUNTIF(KIFAITOUT!$A$7:$A$50,SCEAUX!A39))+(COUNTIF('LUXE DRIVE'!$A$7:$A$50,SCEAUX!A39))+(COUNTIF(SSN!$A$7:$A$50,SCEAUX!A39))+(COUNTIF('W3'!$A$7:$A$50,SCEAUX!A39))+(COUNTIF('ATHIS MONS'!$A$7:$A$50,SCEAUX!A39))+(COUNTIF('L HAY LES ROSES'!$A$7:$A$50,SCEAUX!A39))+(COUNTIF(RUNGIS!$A$7:$A$50,SCEAUX!A39))+(COUNTIF(SCEAUX!$A$7:$A$50,SCEAUX!A39))+(COUNTIF('INSTANCE C1'!$A$7:$A$50,SCEAUX!A39))+(COUNTIF('INSTANCE C2'!$A$7:$A$50,SCEAUX!A39))+(COUNTIF(INTERNES!$A$7:$A$50,SCEAUX!A39))+(COUNTIF('EN PANNE'!$A$7:$A$50,SCEAUX!A39))-C39</f>
        <v>0</v>
      </c>
      <c r="C39" s="23">
        <f>(COUNTIF('2S EXPRESS'!$G$7:$G$50,SCEAUX!A39))+(COUNTIF('2 ZT'!$G$7:$G$50,SCEAUX!A39))+(COUNTIF('GO TRANSPORT'!$G$7:$G$50,SCEAUX!A39))+(COUNTIF(SCEAUX!$G$7:$G$50,SCEAUX!A39))+(COUNTIF('IB TRANSPORT'!$G$7:$G$50,SCEAUX!A39))+(COUNTIF(JSL!$G$7:$G$50,SCEAUX!A39))+(COUNTIF(KIFAITOUT!$G$7:$G$50,SCEAUX!A39))+(COUNTIF('LUXE DRIVE'!$G$7:$G$50,SCEAUX!A39))+(COUNTIF(SSN!$G$7:$G$50,SCEAUX!A39))+(COUNTIF('W3'!$G$7:$G$50,SCEAUX!A39))+(COUNTIF('ATHIS MONS'!$G$7:$G$50,SCEAUX!A39))+(COUNTIF('L HAY LES ROSES'!$G$7:$G$50,SCEAUX!A39))+(COUNTIF(RUNGIS!$G$7:$G$50,SCEAUX!A39))+(COUNTIF(SCEAUX!$G$7:$G$50,SCEAUX!A39))+(COUNTIF('INSTANCE C1'!$G$7:$G$50,SCEAUX!A39))+(COUNTIF('INSTANCE C2'!$G$7:$G$50,SCEAUX!A39))+(COUNTIF(INTERNES!$G$7:$G$50,SCEAUX!A39))+(COUNTIF('EN PANNE'!$G$7:$G$50,SCEAUX!A39))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EXPRESS'!$G$7:$G$50,SCEAUX!G39))+(COUNTIF('2 ZT'!$G$7:$G$50,SCEAUX!G39))+(COUNTIF('GO TRANSPORT'!$G$7:$G$50,SCEAUX!G39))+(COUNTIF('HMZ - KAIS'!$G$7:$G$50,SCEAUX!G39))+(COUNTIF('IB TRANSPORT'!$G$7:$G$50,SCEAUX!G39))+(COUNTIF(JSL!$G$7:$G$50,SCEAUX!G39))+(COUNTIF(KIFAITOUT!$G$7:$G$50,SCEAUX!G39))+(COUNTIF('LUXE DRIVE'!$G$7:$G$50,SCEAUX!G39))+(COUNTIF(SSN!$G$7:$G$50,SCEAUX!G39))+(COUNTIF('W3'!$G$7:$G$50,SCEAUX!G39))+(COUNTIF('ATHIS MONS'!$G$7:$G$50,SCEAUX!G39))+(COUNTIF('L HAY LES ROSES'!$G$7:$G$50,SCEAUX!G39))+(COUNTIF(RUNGIS!$G$7:$G$50,SCEAUX!G39))+(COUNTIF(SCEAUX!$G$7:$G$50,SCEAUX!G39))+(COUNTIF('INSTANCE C1'!$G$7:$G$50,SCEAUX!G39))+(COUNTIF('INSTANCE C2'!$G$7:$G$50,SCEAUX!G39))+(COUNTIF(INTERNES!$G$7:$G$50,SCEAUX!G39))+(COUNTIF('EN PANNE'!$G$7:$G$50,SCEAUX!G39))-I39</f>
        <v>0</v>
      </c>
      <c r="I39" s="23">
        <f>(COUNTIF('2S EXPRESS'!$A$7:$A$50,SCEAUX!G39))+(COUNTIF('2 ZT'!$A$7:$A$50,SCEAUX!G39))+(COUNTIF('GO TRANSPORT'!$A$7:$A$50,SCEAUX!G39))+(COUNTIF('HMZ - KAIS'!$A$7:$A$50,SCEAUX!G39))+(COUNTIF('IB TRANSPORT'!$A$7:$A$50,SCEAUX!G39))+(COUNTIF(JSL!$A$7:$A$50,SCEAUX!G39))+(COUNTIF(KIFAITOUT!$A$7:$A$50,SCEAUX!G39))+(COUNTIF('LUXE DRIVE'!$A$7:$A$50,SCEAUX!G39))+(COUNTIF(SSN!$A$7:$A$50,SCEAUX!G39))+(COUNTIF('W3'!$A$7:$A$50,SCEAUX!G39))+(COUNTIF('ATHIS MONS'!$A$7:$A$50,SCEAUX!G39))+(COUNTIF('L HAY LES ROSES'!$A$7:$A$50,SCEAUX!G39))+(COUNTIF(RUNGIS!$A$7:$A$50,SCEAUX!G39))+(COUNTIF(SCEAUX!$A$7:$A$50,SCEAUX!G39))+(COUNTIF('INSTANCE C1'!$A$7:$A$50,SCEAUX!G39))+(COUNTIF('INSTANCE C2'!$A$7:$A$50,SCEAUX!G39))+(COUNTIF(INTERNES!$A$7:$A$50,SCEAUX!G39))+(COUNTIF('EN PANNE'!$A$7:$A$50,SCEAUX!G39))</f>
        <v>0</v>
      </c>
      <c r="J39" s="28">
        <f t="shared" si="4"/>
        <v>0</v>
      </c>
      <c r="K39" s="2"/>
      <c r="L39" s="47"/>
      <c r="S39" s="60">
        <f t="shared" si="1"/>
        <v>0</v>
      </c>
      <c r="T39" s="67">
        <f t="shared" si="2"/>
        <v>0</v>
      </c>
    </row>
    <row r="40" spans="1:20" ht="24.95" customHeight="1" x14ac:dyDescent="0.2">
      <c r="A40" s="20"/>
      <c r="B40" s="23">
        <f>(COUNTIF('2S EXPRESS'!$A$7:$A$50,SCEAUX!A40))+(COUNTIF('2 ZT'!$A$7:$A$50,SCEAUX!A40))+(COUNTIF('GO TRANSPORT'!$A$7:$A$50,SCEAUX!A40))+(COUNTIF('HMZ - KAIS'!$A$7:$A$50,SCEAUX!A40))+(COUNTIF('IB TRANSPORT'!$A$7:$A$50,SCEAUX!A40))+(COUNTIF(JSL!$A$7:$A$50,SCEAUX!A40))+(COUNTIF(KIFAITOUT!$A$7:$A$50,SCEAUX!A40))+(COUNTIF('LUXE DRIVE'!$A$7:$A$50,SCEAUX!A40))+(COUNTIF(SSN!$A$7:$A$50,SCEAUX!A40))+(COUNTIF('W3'!$A$7:$A$50,SCEAUX!A40))+(COUNTIF('ATHIS MONS'!$A$7:$A$50,SCEAUX!A40))+(COUNTIF('L HAY LES ROSES'!$A$7:$A$50,SCEAUX!A40))+(COUNTIF(RUNGIS!$A$7:$A$50,SCEAUX!A40))+(COUNTIF(SCEAUX!$A$7:$A$50,SCEAUX!A40))+(COUNTIF('INSTANCE C1'!$A$7:$A$50,SCEAUX!A40))+(COUNTIF('INSTANCE C2'!$A$7:$A$50,SCEAUX!A40))+(COUNTIF(INTERNES!$A$7:$A$50,SCEAUX!A40))+(COUNTIF('EN PANNE'!$A$7:$A$50,SCEAUX!A40))-C40</f>
        <v>0</v>
      </c>
      <c r="C40" s="23">
        <f>(COUNTIF('2S EXPRESS'!$G$7:$G$50,SCEAUX!A40))+(COUNTIF('2 ZT'!$G$7:$G$50,SCEAUX!A40))+(COUNTIF('GO TRANSPORT'!$G$7:$G$50,SCEAUX!A40))+(COUNTIF(SCEAUX!$G$7:$G$50,SCEAUX!A40))+(COUNTIF('IB TRANSPORT'!$G$7:$G$50,SCEAUX!A40))+(COUNTIF(JSL!$G$7:$G$50,SCEAUX!A40))+(COUNTIF(KIFAITOUT!$G$7:$G$50,SCEAUX!A40))+(COUNTIF('LUXE DRIVE'!$G$7:$G$50,SCEAUX!A40))+(COUNTIF(SSN!$G$7:$G$50,SCEAUX!A40))+(COUNTIF('W3'!$G$7:$G$50,SCEAUX!A40))+(COUNTIF('ATHIS MONS'!$G$7:$G$50,SCEAUX!A40))+(COUNTIF('L HAY LES ROSES'!$G$7:$G$50,SCEAUX!A40))+(COUNTIF(RUNGIS!$G$7:$G$50,SCEAUX!A40))+(COUNTIF(SCEAUX!$G$7:$G$50,SCEAUX!A40))+(COUNTIF('INSTANCE C1'!$G$7:$G$50,SCEAUX!A40))+(COUNTIF('INSTANCE C2'!$G$7:$G$50,SCEAUX!A40))+(COUNTIF(INTERNES!$G$7:$G$50,SCEAUX!A40))+(COUNTIF('EN PANNE'!$G$7:$G$50,SCEAUX!A40))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EXPRESS'!$G$7:$G$50,SCEAUX!G40))+(COUNTIF('2 ZT'!$G$7:$G$50,SCEAUX!G40))+(COUNTIF('GO TRANSPORT'!$G$7:$G$50,SCEAUX!G40))+(COUNTIF('HMZ - KAIS'!$G$7:$G$50,SCEAUX!G40))+(COUNTIF('IB TRANSPORT'!$G$7:$G$50,SCEAUX!G40))+(COUNTIF(JSL!$G$7:$G$50,SCEAUX!G40))+(COUNTIF(KIFAITOUT!$G$7:$G$50,SCEAUX!G40))+(COUNTIF('LUXE DRIVE'!$G$7:$G$50,SCEAUX!G40))+(COUNTIF(SSN!$G$7:$G$50,SCEAUX!G40))+(COUNTIF('W3'!$G$7:$G$50,SCEAUX!G40))+(COUNTIF('ATHIS MONS'!$G$7:$G$50,SCEAUX!G40))+(COUNTIF('L HAY LES ROSES'!$G$7:$G$50,SCEAUX!G40))+(COUNTIF(RUNGIS!$G$7:$G$50,SCEAUX!G40))+(COUNTIF(SCEAUX!$G$7:$G$50,SCEAUX!G40))+(COUNTIF('INSTANCE C1'!$G$7:$G$50,SCEAUX!G40))+(COUNTIF('INSTANCE C2'!$G$7:$G$50,SCEAUX!G40))+(COUNTIF(INTERNES!$G$7:$G$50,SCEAUX!G40))+(COUNTIF('EN PANNE'!$G$7:$G$50,SCEAUX!G40))-I40</f>
        <v>0</v>
      </c>
      <c r="I40" s="23">
        <f>(COUNTIF('2S EXPRESS'!$A$7:$A$50,SCEAUX!G40))+(COUNTIF('2 ZT'!$A$7:$A$50,SCEAUX!G40))+(COUNTIF('GO TRANSPORT'!$A$7:$A$50,SCEAUX!G40))+(COUNTIF('HMZ - KAIS'!$A$7:$A$50,SCEAUX!G40))+(COUNTIF('IB TRANSPORT'!$A$7:$A$50,SCEAUX!G40))+(COUNTIF(JSL!$A$7:$A$50,SCEAUX!G40))+(COUNTIF(KIFAITOUT!$A$7:$A$50,SCEAUX!G40))+(COUNTIF('LUXE DRIVE'!$A$7:$A$50,SCEAUX!G40))+(COUNTIF(SSN!$A$7:$A$50,SCEAUX!G40))+(COUNTIF('W3'!$A$7:$A$50,SCEAUX!G40))+(COUNTIF('ATHIS MONS'!$A$7:$A$50,SCEAUX!G40))+(COUNTIF('L HAY LES ROSES'!$A$7:$A$50,SCEAUX!G40))+(COUNTIF(RUNGIS!$A$7:$A$50,SCEAUX!G40))+(COUNTIF(SCEAUX!$A$7:$A$50,SCEAUX!G40))+(COUNTIF('INSTANCE C1'!$A$7:$A$50,SCEAUX!G40))+(COUNTIF('INSTANCE C2'!$A$7:$A$50,SCEAUX!G40))+(COUNTIF(INTERNES!$A$7:$A$50,SCEAUX!G40))+(COUNTIF('EN PANNE'!$A$7:$A$50,SCEAUX!G40))</f>
        <v>0</v>
      </c>
      <c r="J40" s="28">
        <f t="shared" si="4"/>
        <v>0</v>
      </c>
      <c r="K40" s="2"/>
      <c r="L40" s="47"/>
      <c r="S40" s="60">
        <f t="shared" si="1"/>
        <v>0</v>
      </c>
      <c r="T40" s="67">
        <f t="shared" si="2"/>
        <v>0</v>
      </c>
    </row>
    <row r="41" spans="1:20" ht="24.95" customHeight="1" x14ac:dyDescent="0.2">
      <c r="A41" s="20"/>
      <c r="B41" s="23">
        <f>(COUNTIF('2S EXPRESS'!$A$7:$A$50,SCEAUX!A41))+(COUNTIF('2 ZT'!$A$7:$A$50,SCEAUX!A41))+(COUNTIF('GO TRANSPORT'!$A$7:$A$50,SCEAUX!A41))+(COUNTIF('HMZ - KAIS'!$A$7:$A$50,SCEAUX!A41))+(COUNTIF('IB TRANSPORT'!$A$7:$A$50,SCEAUX!A41))+(COUNTIF(JSL!$A$7:$A$50,SCEAUX!A41))+(COUNTIF(KIFAITOUT!$A$7:$A$50,SCEAUX!A41))+(COUNTIF('LUXE DRIVE'!$A$7:$A$50,SCEAUX!A41))+(COUNTIF(SSN!$A$7:$A$50,SCEAUX!A41))+(COUNTIF('W3'!$A$7:$A$50,SCEAUX!A41))+(COUNTIF('ATHIS MONS'!$A$7:$A$50,SCEAUX!A41))+(COUNTIF('L HAY LES ROSES'!$A$7:$A$50,SCEAUX!A41))+(COUNTIF(RUNGIS!$A$7:$A$50,SCEAUX!A41))+(COUNTIF(SCEAUX!$A$7:$A$50,SCEAUX!A41))+(COUNTIF('INSTANCE C1'!$A$7:$A$50,SCEAUX!A41))+(COUNTIF('INSTANCE C2'!$A$7:$A$50,SCEAUX!A41))+(COUNTIF(INTERNES!$A$7:$A$50,SCEAUX!A41))+(COUNTIF('EN PANNE'!$A$7:$A$50,SCEAUX!A41))-C41</f>
        <v>0</v>
      </c>
      <c r="C41" s="23">
        <f>(COUNTIF('2S EXPRESS'!$G$7:$G$50,SCEAUX!A41))+(COUNTIF('2 ZT'!$G$7:$G$50,SCEAUX!A41))+(COUNTIF('GO TRANSPORT'!$G$7:$G$50,SCEAUX!A41))+(COUNTIF(SCEAUX!$G$7:$G$50,SCEAUX!A41))+(COUNTIF('IB TRANSPORT'!$G$7:$G$50,SCEAUX!A41))+(COUNTIF(JSL!$G$7:$G$50,SCEAUX!A41))+(COUNTIF(KIFAITOUT!$G$7:$G$50,SCEAUX!A41))+(COUNTIF('LUXE DRIVE'!$G$7:$G$50,SCEAUX!A41))+(COUNTIF(SSN!$G$7:$G$50,SCEAUX!A41))+(COUNTIF('W3'!$G$7:$G$50,SCEAUX!A41))+(COUNTIF('ATHIS MONS'!$G$7:$G$50,SCEAUX!A41))+(COUNTIF('L HAY LES ROSES'!$G$7:$G$50,SCEAUX!A41))+(COUNTIF(RUNGIS!$G$7:$G$50,SCEAUX!A41))+(COUNTIF(SCEAUX!$G$7:$G$50,SCEAUX!A41))+(COUNTIF('INSTANCE C1'!$G$7:$G$50,SCEAUX!A41))+(COUNTIF('INSTANCE C2'!$G$7:$G$50,SCEAUX!A41))+(COUNTIF(INTERNES!$G$7:$G$50,SCEAUX!A41))+(COUNTIF('EN PANNE'!$G$7:$G$50,SCEAUX!A41))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EXPRESS'!$G$7:$G$50,SCEAUX!G41))+(COUNTIF('2 ZT'!$G$7:$G$50,SCEAUX!G41))+(COUNTIF('GO TRANSPORT'!$G$7:$G$50,SCEAUX!G41))+(COUNTIF('HMZ - KAIS'!$G$7:$G$50,SCEAUX!G41))+(COUNTIF('IB TRANSPORT'!$G$7:$G$50,SCEAUX!G41))+(COUNTIF(JSL!$G$7:$G$50,SCEAUX!G41))+(COUNTIF(KIFAITOUT!$G$7:$G$50,SCEAUX!G41))+(COUNTIF('LUXE DRIVE'!$G$7:$G$50,SCEAUX!G41))+(COUNTIF(SSN!$G$7:$G$50,SCEAUX!G41))+(COUNTIF('W3'!$G$7:$G$50,SCEAUX!G41))+(COUNTIF('ATHIS MONS'!$G$7:$G$50,SCEAUX!G41))+(COUNTIF('L HAY LES ROSES'!$G$7:$G$50,SCEAUX!G41))+(COUNTIF(RUNGIS!$G$7:$G$50,SCEAUX!G41))+(COUNTIF(SCEAUX!$G$7:$G$50,SCEAUX!G41))+(COUNTIF('INSTANCE C1'!$G$7:$G$50,SCEAUX!G41))+(COUNTIF('INSTANCE C2'!$G$7:$G$50,SCEAUX!G41))+(COUNTIF(INTERNES!$G$7:$G$50,SCEAUX!G41))+(COUNTIF('EN PANNE'!$G$7:$G$50,SCEAUX!G41))-I41</f>
        <v>0</v>
      </c>
      <c r="I41" s="23">
        <f>(COUNTIF('2S EXPRESS'!$A$7:$A$50,SCEAUX!G41))+(COUNTIF('2 ZT'!$A$7:$A$50,SCEAUX!G41))+(COUNTIF('GO TRANSPORT'!$A$7:$A$50,SCEAUX!G41))+(COUNTIF('HMZ - KAIS'!$A$7:$A$50,SCEAUX!G41))+(COUNTIF('IB TRANSPORT'!$A$7:$A$50,SCEAUX!G41))+(COUNTIF(JSL!$A$7:$A$50,SCEAUX!G41))+(COUNTIF(KIFAITOUT!$A$7:$A$50,SCEAUX!G41))+(COUNTIF('LUXE DRIVE'!$A$7:$A$50,SCEAUX!G41))+(COUNTIF(SSN!$A$7:$A$50,SCEAUX!G41))+(COUNTIF('W3'!$A$7:$A$50,SCEAUX!G41))+(COUNTIF('ATHIS MONS'!$A$7:$A$50,SCEAUX!G41))+(COUNTIF('L HAY LES ROSES'!$A$7:$A$50,SCEAUX!G41))+(COUNTIF(RUNGIS!$A$7:$A$50,SCEAUX!G41))+(COUNTIF(SCEAUX!$A$7:$A$50,SCEAUX!G41))+(COUNTIF('INSTANCE C1'!$A$7:$A$50,SCEAUX!G41))+(COUNTIF('INSTANCE C2'!$A$7:$A$50,SCEAUX!G41))+(COUNTIF(INTERNES!$A$7:$A$50,SCEAUX!G41))+(COUNTIF('EN PANNE'!$A$7:$A$50,SCEAUX!G41))</f>
        <v>0</v>
      </c>
      <c r="J41" s="28">
        <f t="shared" si="4"/>
        <v>0</v>
      </c>
      <c r="K41" s="2"/>
      <c r="L41" s="47"/>
      <c r="S41" s="60">
        <f t="shared" si="1"/>
        <v>0</v>
      </c>
      <c r="T41" s="67">
        <f t="shared" si="2"/>
        <v>0</v>
      </c>
    </row>
    <row r="42" spans="1:20" ht="24.95" customHeight="1" x14ac:dyDescent="0.2">
      <c r="A42" s="20"/>
      <c r="B42" s="23">
        <f>(COUNTIF('2S EXPRESS'!$A$7:$A$50,SCEAUX!A42))+(COUNTIF('2 ZT'!$A$7:$A$50,SCEAUX!A42))+(COUNTIF('GO TRANSPORT'!$A$7:$A$50,SCEAUX!A42))+(COUNTIF('HMZ - KAIS'!$A$7:$A$50,SCEAUX!A42))+(COUNTIF('IB TRANSPORT'!$A$7:$A$50,SCEAUX!A42))+(COUNTIF(JSL!$A$7:$A$50,SCEAUX!A42))+(COUNTIF(KIFAITOUT!$A$7:$A$50,SCEAUX!A42))+(COUNTIF('LUXE DRIVE'!$A$7:$A$50,SCEAUX!A42))+(COUNTIF(SSN!$A$7:$A$50,SCEAUX!A42))+(COUNTIF('W3'!$A$7:$A$50,SCEAUX!A42))+(COUNTIF('ATHIS MONS'!$A$7:$A$50,SCEAUX!A42))+(COUNTIF('L HAY LES ROSES'!$A$7:$A$50,SCEAUX!A42))+(COUNTIF(RUNGIS!$A$7:$A$50,SCEAUX!A42))+(COUNTIF(SCEAUX!$A$7:$A$50,SCEAUX!A42))+(COUNTIF('INSTANCE C1'!$A$7:$A$50,SCEAUX!A42))+(COUNTIF('INSTANCE C2'!$A$7:$A$50,SCEAUX!A42))+(COUNTIF(INTERNES!$A$7:$A$50,SCEAUX!A42))+(COUNTIF('EN PANNE'!$A$7:$A$50,SCEAUX!A42))-C42</f>
        <v>0</v>
      </c>
      <c r="C42" s="23">
        <f>(COUNTIF('2S EXPRESS'!$G$7:$G$50,SCEAUX!A42))+(COUNTIF('2 ZT'!$G$7:$G$50,SCEAUX!A42))+(COUNTIF('GO TRANSPORT'!$G$7:$G$50,SCEAUX!A42))+(COUNTIF(SCEAUX!$G$7:$G$50,SCEAUX!A42))+(COUNTIF('IB TRANSPORT'!$G$7:$G$50,SCEAUX!A42))+(COUNTIF(JSL!$G$7:$G$50,SCEAUX!A42))+(COUNTIF(KIFAITOUT!$G$7:$G$50,SCEAUX!A42))+(COUNTIF('LUXE DRIVE'!$G$7:$G$50,SCEAUX!A42))+(COUNTIF(SSN!$G$7:$G$50,SCEAUX!A42))+(COUNTIF('W3'!$G$7:$G$50,SCEAUX!A42))+(COUNTIF('ATHIS MONS'!$G$7:$G$50,SCEAUX!A42))+(COUNTIF('L HAY LES ROSES'!$G$7:$G$50,SCEAUX!A42))+(COUNTIF(RUNGIS!$G$7:$G$50,SCEAUX!A42))+(COUNTIF(SCEAUX!$G$7:$G$50,SCEAUX!A42))+(COUNTIF('INSTANCE C1'!$G$7:$G$50,SCEAUX!A42))+(COUNTIF('INSTANCE C2'!$G$7:$G$50,SCEAUX!A42))+(COUNTIF(INTERNES!$G$7:$G$50,SCEAUX!A42))+(COUNTIF('EN PANNE'!$G$7:$G$50,SCEAUX!A42))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EXPRESS'!$G$7:$G$50,SCEAUX!G42))+(COUNTIF('2 ZT'!$G$7:$G$50,SCEAUX!G42))+(COUNTIF('GO TRANSPORT'!$G$7:$G$50,SCEAUX!G42))+(COUNTIF('HMZ - KAIS'!$G$7:$G$50,SCEAUX!G42))+(COUNTIF('IB TRANSPORT'!$G$7:$G$50,SCEAUX!G42))+(COUNTIF(JSL!$G$7:$G$50,SCEAUX!G42))+(COUNTIF(KIFAITOUT!$G$7:$G$50,SCEAUX!G42))+(COUNTIF('LUXE DRIVE'!$G$7:$G$50,SCEAUX!G42))+(COUNTIF(SSN!$G$7:$G$50,SCEAUX!G42))+(COUNTIF('W3'!$G$7:$G$50,SCEAUX!G42))+(COUNTIF('ATHIS MONS'!$G$7:$G$50,SCEAUX!G42))+(COUNTIF('L HAY LES ROSES'!$G$7:$G$50,SCEAUX!G42))+(COUNTIF(RUNGIS!$G$7:$G$50,SCEAUX!G42))+(COUNTIF(SCEAUX!$G$7:$G$50,SCEAUX!G42))+(COUNTIF('INSTANCE C1'!$G$7:$G$50,SCEAUX!G42))+(COUNTIF('INSTANCE C2'!$G$7:$G$50,SCEAUX!G42))+(COUNTIF(INTERNES!$G$7:$G$50,SCEAUX!G42))+(COUNTIF('EN PANNE'!$G$7:$G$50,SCEAUX!G42))-I42</f>
        <v>0</v>
      </c>
      <c r="I42" s="23">
        <f>(COUNTIF('2S EXPRESS'!$A$7:$A$50,SCEAUX!G42))+(COUNTIF('2 ZT'!$A$7:$A$50,SCEAUX!G42))+(COUNTIF('GO TRANSPORT'!$A$7:$A$50,SCEAUX!G42))+(COUNTIF('HMZ - KAIS'!$A$7:$A$50,SCEAUX!G42))+(COUNTIF('IB TRANSPORT'!$A$7:$A$50,SCEAUX!G42))+(COUNTIF(JSL!$A$7:$A$50,SCEAUX!G42))+(COUNTIF(KIFAITOUT!$A$7:$A$50,SCEAUX!G42))+(COUNTIF('LUXE DRIVE'!$A$7:$A$50,SCEAUX!G42))+(COUNTIF(SSN!$A$7:$A$50,SCEAUX!G42))+(COUNTIF('W3'!$A$7:$A$50,SCEAUX!G42))+(COUNTIF('ATHIS MONS'!$A$7:$A$50,SCEAUX!G42))+(COUNTIF('L HAY LES ROSES'!$A$7:$A$50,SCEAUX!G42))+(COUNTIF(RUNGIS!$A$7:$A$50,SCEAUX!G42))+(COUNTIF(SCEAUX!$A$7:$A$50,SCEAUX!G42))+(COUNTIF('INSTANCE C1'!$A$7:$A$50,SCEAUX!G42))+(COUNTIF('INSTANCE C2'!$A$7:$A$50,SCEAUX!G42))+(COUNTIF(INTERNES!$A$7:$A$50,SCEAUX!G42))+(COUNTIF('EN PANNE'!$A$7:$A$50,SCEAUX!G42))</f>
        <v>0</v>
      </c>
      <c r="J42" s="28">
        <f t="shared" si="4"/>
        <v>0</v>
      </c>
      <c r="K42" s="2"/>
      <c r="L42" s="47"/>
      <c r="S42" s="60">
        <f t="shared" si="1"/>
        <v>0</v>
      </c>
      <c r="T42" s="67">
        <f t="shared" si="2"/>
        <v>0</v>
      </c>
    </row>
    <row r="43" spans="1:20" ht="24.95" customHeight="1" x14ac:dyDescent="0.2">
      <c r="A43" s="20"/>
      <c r="B43" s="23">
        <f>(COUNTIF('2S EXPRESS'!$A$7:$A$50,SCEAUX!A43))+(COUNTIF('2 ZT'!$A$7:$A$50,SCEAUX!A43))+(COUNTIF('GO TRANSPORT'!$A$7:$A$50,SCEAUX!A43))+(COUNTIF('HMZ - KAIS'!$A$7:$A$50,SCEAUX!A43))+(COUNTIF('IB TRANSPORT'!$A$7:$A$50,SCEAUX!A43))+(COUNTIF(JSL!$A$7:$A$50,SCEAUX!A43))+(COUNTIF(KIFAITOUT!$A$7:$A$50,SCEAUX!A43))+(COUNTIF('LUXE DRIVE'!$A$7:$A$50,SCEAUX!A43))+(COUNTIF(SSN!$A$7:$A$50,SCEAUX!A43))+(COUNTIF('W3'!$A$7:$A$50,SCEAUX!A43))+(COUNTIF('ATHIS MONS'!$A$7:$A$50,SCEAUX!A43))+(COUNTIF('L HAY LES ROSES'!$A$7:$A$50,SCEAUX!A43))+(COUNTIF(RUNGIS!$A$7:$A$50,SCEAUX!A43))+(COUNTIF(SCEAUX!$A$7:$A$50,SCEAUX!A43))+(COUNTIF('INSTANCE C1'!$A$7:$A$50,SCEAUX!A43))+(COUNTIF('INSTANCE C2'!$A$7:$A$50,SCEAUX!A43))+(COUNTIF(INTERNES!$A$7:$A$50,SCEAUX!A43))+(COUNTIF('EN PANNE'!$A$7:$A$50,SCEAUX!A43))-C43</f>
        <v>0</v>
      </c>
      <c r="C43" s="23">
        <f>(COUNTIF('2S EXPRESS'!$G$7:$G$50,SCEAUX!A43))+(COUNTIF('2 ZT'!$G$7:$G$50,SCEAUX!A43))+(COUNTIF('GO TRANSPORT'!$G$7:$G$50,SCEAUX!A43))+(COUNTIF(SCEAUX!$G$7:$G$50,SCEAUX!A43))+(COUNTIF('IB TRANSPORT'!$G$7:$G$50,SCEAUX!A43))+(COUNTIF(JSL!$G$7:$G$50,SCEAUX!A43))+(COUNTIF(KIFAITOUT!$G$7:$G$50,SCEAUX!A43))+(COUNTIF('LUXE DRIVE'!$G$7:$G$50,SCEAUX!A43))+(COUNTIF(SSN!$G$7:$G$50,SCEAUX!A43))+(COUNTIF('W3'!$G$7:$G$50,SCEAUX!A43))+(COUNTIF('ATHIS MONS'!$G$7:$G$50,SCEAUX!A43))+(COUNTIF('L HAY LES ROSES'!$G$7:$G$50,SCEAUX!A43))+(COUNTIF(RUNGIS!$G$7:$G$50,SCEAUX!A43))+(COUNTIF(SCEAUX!$G$7:$G$50,SCEAUX!A43))+(COUNTIF('INSTANCE C1'!$G$7:$G$50,SCEAUX!A43))+(COUNTIF('INSTANCE C2'!$G$7:$G$50,SCEAUX!A43))+(COUNTIF(INTERNES!$G$7:$G$50,SCEAUX!A43))+(COUNTIF('EN PANNE'!$G$7:$G$50,SCEAUX!A43))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EXPRESS'!$G$7:$G$50,SCEAUX!G43))+(COUNTIF('2 ZT'!$G$7:$G$50,SCEAUX!G43))+(COUNTIF('GO TRANSPORT'!$G$7:$G$50,SCEAUX!G43))+(COUNTIF('HMZ - KAIS'!$G$7:$G$50,SCEAUX!G43))+(COUNTIF('IB TRANSPORT'!$G$7:$G$50,SCEAUX!G43))+(COUNTIF(JSL!$G$7:$G$50,SCEAUX!G43))+(COUNTIF(KIFAITOUT!$G$7:$G$50,SCEAUX!G43))+(COUNTIF('LUXE DRIVE'!$G$7:$G$50,SCEAUX!G43))+(COUNTIF(SSN!$G$7:$G$50,SCEAUX!G43))+(COUNTIF('W3'!$G$7:$G$50,SCEAUX!G43))+(COUNTIF('ATHIS MONS'!$G$7:$G$50,SCEAUX!G43))+(COUNTIF('L HAY LES ROSES'!$G$7:$G$50,SCEAUX!G43))+(COUNTIF(RUNGIS!$G$7:$G$50,SCEAUX!G43))+(COUNTIF(SCEAUX!$G$7:$G$50,SCEAUX!G43))+(COUNTIF('INSTANCE C1'!$G$7:$G$50,SCEAUX!G43))+(COUNTIF('INSTANCE C2'!$G$7:$G$50,SCEAUX!G43))+(COUNTIF(INTERNES!$G$7:$G$50,SCEAUX!G43))+(COUNTIF('EN PANNE'!$G$7:$G$50,SCEAUX!G43))-I43</f>
        <v>0</v>
      </c>
      <c r="I43" s="23">
        <f>(COUNTIF('2S EXPRESS'!$A$7:$A$50,SCEAUX!G43))+(COUNTIF('2 ZT'!$A$7:$A$50,SCEAUX!G43))+(COUNTIF('GO TRANSPORT'!$A$7:$A$50,SCEAUX!G43))+(COUNTIF('HMZ - KAIS'!$A$7:$A$50,SCEAUX!G43))+(COUNTIF('IB TRANSPORT'!$A$7:$A$50,SCEAUX!G43))+(COUNTIF(JSL!$A$7:$A$50,SCEAUX!G43))+(COUNTIF(KIFAITOUT!$A$7:$A$50,SCEAUX!G43))+(COUNTIF('LUXE DRIVE'!$A$7:$A$50,SCEAUX!G43))+(COUNTIF(SSN!$A$7:$A$50,SCEAUX!G43))+(COUNTIF('W3'!$A$7:$A$50,SCEAUX!G43))+(COUNTIF('ATHIS MONS'!$A$7:$A$50,SCEAUX!G43))+(COUNTIF('L HAY LES ROSES'!$A$7:$A$50,SCEAUX!G43))+(COUNTIF(RUNGIS!$A$7:$A$50,SCEAUX!G43))+(COUNTIF(SCEAUX!$A$7:$A$50,SCEAUX!G43))+(COUNTIF('INSTANCE C1'!$A$7:$A$50,SCEAUX!G43))+(COUNTIF('INSTANCE C2'!$A$7:$A$50,SCEAUX!G43))+(COUNTIF(INTERNES!$A$7:$A$50,SCEAUX!G43))+(COUNTIF('EN PANNE'!$A$7:$A$50,SCEAUX!G43))</f>
        <v>0</v>
      </c>
      <c r="J43" s="28">
        <f t="shared" si="4"/>
        <v>0</v>
      </c>
      <c r="K43" s="2"/>
      <c r="L43" s="47"/>
      <c r="S43" s="60">
        <f t="shared" si="1"/>
        <v>0</v>
      </c>
      <c r="T43" s="67">
        <f t="shared" si="2"/>
        <v>0</v>
      </c>
    </row>
    <row r="44" spans="1:20" ht="24.95" customHeight="1" x14ac:dyDescent="0.2">
      <c r="A44" s="20"/>
      <c r="B44" s="23">
        <f>(COUNTIF('2S EXPRESS'!$A$7:$A$50,SCEAUX!A44))+(COUNTIF('2 ZT'!$A$7:$A$50,SCEAUX!A44))+(COUNTIF('GO TRANSPORT'!$A$7:$A$50,SCEAUX!A44))+(COUNTIF('HMZ - KAIS'!$A$7:$A$50,SCEAUX!A44))+(COUNTIF('IB TRANSPORT'!$A$7:$A$50,SCEAUX!A44))+(COUNTIF(JSL!$A$7:$A$50,SCEAUX!A44))+(COUNTIF(KIFAITOUT!$A$7:$A$50,SCEAUX!A44))+(COUNTIF('LUXE DRIVE'!$A$7:$A$50,SCEAUX!A44))+(COUNTIF(SSN!$A$7:$A$50,SCEAUX!A44))+(COUNTIF('W3'!$A$7:$A$50,SCEAUX!A44))+(COUNTIF('ATHIS MONS'!$A$7:$A$50,SCEAUX!A44))+(COUNTIF('L HAY LES ROSES'!$A$7:$A$50,SCEAUX!A44))+(COUNTIF(RUNGIS!$A$7:$A$50,SCEAUX!A44))+(COUNTIF(SCEAUX!$A$7:$A$50,SCEAUX!A44))+(COUNTIF('INSTANCE C1'!$A$7:$A$50,SCEAUX!A44))+(COUNTIF('INSTANCE C2'!$A$7:$A$50,SCEAUX!A44))+(COUNTIF(INTERNES!$A$7:$A$50,SCEAUX!A44))+(COUNTIF('EN PANNE'!$A$7:$A$50,SCEAUX!A44))-C44</f>
        <v>0</v>
      </c>
      <c r="C44" s="23">
        <f>(COUNTIF('2S EXPRESS'!$G$7:$G$50,SCEAUX!A44))+(COUNTIF('2 ZT'!$G$7:$G$50,SCEAUX!A44))+(COUNTIF('GO TRANSPORT'!$G$7:$G$50,SCEAUX!A44))+(COUNTIF(SCEAUX!$G$7:$G$50,SCEAUX!A44))+(COUNTIF('IB TRANSPORT'!$G$7:$G$50,SCEAUX!A44))+(COUNTIF(JSL!$G$7:$G$50,SCEAUX!A44))+(COUNTIF(KIFAITOUT!$G$7:$G$50,SCEAUX!A44))+(COUNTIF('LUXE DRIVE'!$G$7:$G$50,SCEAUX!A44))+(COUNTIF(SSN!$G$7:$G$50,SCEAUX!A44))+(COUNTIF('W3'!$G$7:$G$50,SCEAUX!A44))+(COUNTIF('ATHIS MONS'!$G$7:$G$50,SCEAUX!A44))+(COUNTIF('L HAY LES ROSES'!$G$7:$G$50,SCEAUX!A44))+(COUNTIF(RUNGIS!$G$7:$G$50,SCEAUX!A44))+(COUNTIF(SCEAUX!$G$7:$G$50,SCEAUX!A44))+(COUNTIF('INSTANCE C1'!$G$7:$G$50,SCEAUX!A44))+(COUNTIF('INSTANCE C2'!$G$7:$G$50,SCEAUX!A44))+(COUNTIF(INTERNES!$G$7:$G$50,SCEAUX!A44))+(COUNTIF('EN PANNE'!$G$7:$G$50,SCEAUX!A44))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EXPRESS'!$G$7:$G$50,SCEAUX!G44))+(COUNTIF('2 ZT'!$G$7:$G$50,SCEAUX!G44))+(COUNTIF('GO TRANSPORT'!$G$7:$G$50,SCEAUX!G44))+(COUNTIF('HMZ - KAIS'!$G$7:$G$50,SCEAUX!G44))+(COUNTIF('IB TRANSPORT'!$G$7:$G$50,SCEAUX!G44))+(COUNTIF(JSL!$G$7:$G$50,SCEAUX!G44))+(COUNTIF(KIFAITOUT!$G$7:$G$50,SCEAUX!G44))+(COUNTIF('LUXE DRIVE'!$G$7:$G$50,SCEAUX!G44))+(COUNTIF(SSN!$G$7:$G$50,SCEAUX!G44))+(COUNTIF('W3'!$G$7:$G$50,SCEAUX!G44))+(COUNTIF('ATHIS MONS'!$G$7:$G$50,SCEAUX!G44))+(COUNTIF('L HAY LES ROSES'!$G$7:$G$50,SCEAUX!G44))+(COUNTIF(RUNGIS!$G$7:$G$50,SCEAUX!G44))+(COUNTIF(SCEAUX!$G$7:$G$50,SCEAUX!G44))+(COUNTIF('INSTANCE C1'!$G$7:$G$50,SCEAUX!G44))+(COUNTIF('INSTANCE C2'!$G$7:$G$50,SCEAUX!G44))+(COUNTIF(INTERNES!$G$7:$G$50,SCEAUX!G44))+(COUNTIF('EN PANNE'!$G$7:$G$50,SCEAUX!G44))-I44</f>
        <v>0</v>
      </c>
      <c r="I44" s="23">
        <f>(COUNTIF('2S EXPRESS'!$A$7:$A$50,SCEAUX!G44))+(COUNTIF('2 ZT'!$A$7:$A$50,SCEAUX!G44))+(COUNTIF('GO TRANSPORT'!$A$7:$A$50,SCEAUX!G44))+(COUNTIF('HMZ - KAIS'!$A$7:$A$50,SCEAUX!G44))+(COUNTIF('IB TRANSPORT'!$A$7:$A$50,SCEAUX!G44))+(COUNTIF(JSL!$A$7:$A$50,SCEAUX!G44))+(COUNTIF(KIFAITOUT!$A$7:$A$50,SCEAUX!G44))+(COUNTIF('LUXE DRIVE'!$A$7:$A$50,SCEAUX!G44))+(COUNTIF(SSN!$A$7:$A$50,SCEAUX!G44))+(COUNTIF('W3'!$A$7:$A$50,SCEAUX!G44))+(COUNTIF('ATHIS MONS'!$A$7:$A$50,SCEAUX!G44))+(COUNTIF('L HAY LES ROSES'!$A$7:$A$50,SCEAUX!G44))+(COUNTIF(RUNGIS!$A$7:$A$50,SCEAUX!G44))+(COUNTIF(SCEAUX!$A$7:$A$50,SCEAUX!G44))+(COUNTIF('INSTANCE C1'!$A$7:$A$50,SCEAUX!G44))+(COUNTIF('INSTANCE C2'!$A$7:$A$50,SCEAUX!G44))+(COUNTIF(INTERNES!$A$7:$A$50,SCEAUX!G44))+(COUNTIF('EN PANNE'!$A$7:$A$50,SCEAUX!G44))</f>
        <v>0</v>
      </c>
      <c r="J44" s="28">
        <f t="shared" si="4"/>
        <v>0</v>
      </c>
      <c r="K44" s="2"/>
      <c r="L44" s="47"/>
      <c r="S44" s="60">
        <f t="shared" si="1"/>
        <v>0</v>
      </c>
      <c r="T44" s="67">
        <f t="shared" si="2"/>
        <v>0</v>
      </c>
    </row>
    <row r="45" spans="1:20" ht="24.95" customHeight="1" x14ac:dyDescent="0.2">
      <c r="A45" s="20"/>
      <c r="B45" s="23">
        <f>(COUNTIF('2S EXPRESS'!$A$7:$A$50,SCEAUX!A45))+(COUNTIF('2 ZT'!$A$7:$A$50,SCEAUX!A45))+(COUNTIF('GO TRANSPORT'!$A$7:$A$50,SCEAUX!A45))+(COUNTIF('HMZ - KAIS'!$A$7:$A$50,SCEAUX!A45))+(COUNTIF('IB TRANSPORT'!$A$7:$A$50,SCEAUX!A45))+(COUNTIF(JSL!$A$7:$A$50,SCEAUX!A45))+(COUNTIF(KIFAITOUT!$A$7:$A$50,SCEAUX!A45))+(COUNTIF('LUXE DRIVE'!$A$7:$A$50,SCEAUX!A45))+(COUNTIF(SSN!$A$7:$A$50,SCEAUX!A45))+(COUNTIF('W3'!$A$7:$A$50,SCEAUX!A45))+(COUNTIF('ATHIS MONS'!$A$7:$A$50,SCEAUX!A45))+(COUNTIF('L HAY LES ROSES'!$A$7:$A$50,SCEAUX!A45))+(COUNTIF(RUNGIS!$A$7:$A$50,SCEAUX!A45))+(COUNTIF(SCEAUX!$A$7:$A$50,SCEAUX!A45))+(COUNTIF('INSTANCE C1'!$A$7:$A$50,SCEAUX!A45))+(COUNTIF('INSTANCE C2'!$A$7:$A$50,SCEAUX!A45))+(COUNTIF(INTERNES!$A$7:$A$50,SCEAUX!A45))+(COUNTIF('EN PANNE'!$A$7:$A$50,SCEAUX!A45))-C45</f>
        <v>0</v>
      </c>
      <c r="C45" s="23">
        <f>(COUNTIF('2S EXPRESS'!$G$7:$G$50,SCEAUX!A45))+(COUNTIF('2 ZT'!$G$7:$G$50,SCEAUX!A45))+(COUNTIF('GO TRANSPORT'!$G$7:$G$50,SCEAUX!A45))+(COUNTIF(SCEAUX!$G$7:$G$50,SCEAUX!A45))+(COUNTIF('IB TRANSPORT'!$G$7:$G$50,SCEAUX!A45))+(COUNTIF(JSL!$G$7:$G$50,SCEAUX!A45))+(COUNTIF(KIFAITOUT!$G$7:$G$50,SCEAUX!A45))+(COUNTIF('LUXE DRIVE'!$G$7:$G$50,SCEAUX!A45))+(COUNTIF(SSN!$G$7:$G$50,SCEAUX!A45))+(COUNTIF('W3'!$G$7:$G$50,SCEAUX!A45))+(COUNTIF('ATHIS MONS'!$G$7:$G$50,SCEAUX!A45))+(COUNTIF('L HAY LES ROSES'!$G$7:$G$50,SCEAUX!A45))+(COUNTIF(RUNGIS!$G$7:$G$50,SCEAUX!A45))+(COUNTIF(SCEAUX!$G$7:$G$50,SCEAUX!A45))+(COUNTIF('INSTANCE C1'!$G$7:$G$50,SCEAUX!A45))+(COUNTIF('INSTANCE C2'!$G$7:$G$50,SCEAUX!A45))+(COUNTIF(INTERNES!$G$7:$G$50,SCEAUX!A45))+(COUNTIF('EN PANNE'!$G$7:$G$50,SCEAUX!A45))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EXPRESS'!$G$7:$G$50,SCEAUX!G45))+(COUNTIF('2 ZT'!$G$7:$G$50,SCEAUX!G45))+(COUNTIF('GO TRANSPORT'!$G$7:$G$50,SCEAUX!G45))+(COUNTIF('HMZ - KAIS'!$G$7:$G$50,SCEAUX!G45))+(COUNTIF('IB TRANSPORT'!$G$7:$G$50,SCEAUX!G45))+(COUNTIF(JSL!$G$7:$G$50,SCEAUX!G45))+(COUNTIF(KIFAITOUT!$G$7:$G$50,SCEAUX!G45))+(COUNTIF('LUXE DRIVE'!$G$7:$G$50,SCEAUX!G45))+(COUNTIF(SSN!$G$7:$G$50,SCEAUX!G45))+(COUNTIF('W3'!$G$7:$G$50,SCEAUX!G45))+(COUNTIF('ATHIS MONS'!$G$7:$G$50,SCEAUX!G45))+(COUNTIF('L HAY LES ROSES'!$G$7:$G$50,SCEAUX!G45))+(COUNTIF(RUNGIS!$G$7:$G$50,SCEAUX!G45))+(COUNTIF(SCEAUX!$G$7:$G$50,SCEAUX!G45))+(COUNTIF('INSTANCE C1'!$G$7:$G$50,SCEAUX!G45))+(COUNTIF('INSTANCE C2'!$G$7:$G$50,SCEAUX!G45))+(COUNTIF(INTERNES!$G$7:$G$50,SCEAUX!G45))+(COUNTIF('EN PANNE'!$G$7:$G$50,SCEAUX!G45))-I45</f>
        <v>0</v>
      </c>
      <c r="I45" s="23">
        <f>(COUNTIF('2S EXPRESS'!$A$7:$A$50,SCEAUX!G45))+(COUNTIF('2 ZT'!$A$7:$A$50,SCEAUX!G45))+(COUNTIF('GO TRANSPORT'!$A$7:$A$50,SCEAUX!G45))+(COUNTIF('HMZ - KAIS'!$A$7:$A$50,SCEAUX!G45))+(COUNTIF('IB TRANSPORT'!$A$7:$A$50,SCEAUX!G45))+(COUNTIF(JSL!$A$7:$A$50,SCEAUX!G45))+(COUNTIF(KIFAITOUT!$A$7:$A$50,SCEAUX!G45))+(COUNTIF('LUXE DRIVE'!$A$7:$A$50,SCEAUX!G45))+(COUNTIF(SSN!$A$7:$A$50,SCEAUX!G45))+(COUNTIF('W3'!$A$7:$A$50,SCEAUX!G45))+(COUNTIF('ATHIS MONS'!$A$7:$A$50,SCEAUX!G45))+(COUNTIF('L HAY LES ROSES'!$A$7:$A$50,SCEAUX!G45))+(COUNTIF(RUNGIS!$A$7:$A$50,SCEAUX!G45))+(COUNTIF(SCEAUX!$A$7:$A$50,SCEAUX!G45))+(COUNTIF('INSTANCE C1'!$A$7:$A$50,SCEAUX!G45))+(COUNTIF('INSTANCE C2'!$A$7:$A$50,SCEAUX!G45))+(COUNTIF(INTERNES!$A$7:$A$50,SCEAUX!G45))+(COUNTIF('EN PANNE'!$A$7:$A$50,SCEAUX!G45))</f>
        <v>0</v>
      </c>
      <c r="J45" s="28">
        <f t="shared" si="4"/>
        <v>0</v>
      </c>
      <c r="K45" s="2"/>
      <c r="L45" s="47"/>
      <c r="S45" s="60">
        <f t="shared" si="1"/>
        <v>0</v>
      </c>
      <c r="T45" s="67">
        <f t="shared" si="2"/>
        <v>0</v>
      </c>
    </row>
    <row r="46" spans="1:20" ht="24.95" customHeight="1" x14ac:dyDescent="0.2">
      <c r="A46" s="20"/>
      <c r="B46" s="23">
        <f>(COUNTIF('2S EXPRESS'!$A$7:$A$50,SCEAUX!A46))+(COUNTIF('2 ZT'!$A$7:$A$50,SCEAUX!A46))+(COUNTIF('GO TRANSPORT'!$A$7:$A$50,SCEAUX!A46))+(COUNTIF('HMZ - KAIS'!$A$7:$A$50,SCEAUX!A46))+(COUNTIF('IB TRANSPORT'!$A$7:$A$50,SCEAUX!A46))+(COUNTIF(JSL!$A$7:$A$50,SCEAUX!A46))+(COUNTIF(KIFAITOUT!$A$7:$A$50,SCEAUX!A46))+(COUNTIF('LUXE DRIVE'!$A$7:$A$50,SCEAUX!A46))+(COUNTIF(SSN!$A$7:$A$50,SCEAUX!A46))+(COUNTIF('W3'!$A$7:$A$50,SCEAUX!A46))+(COUNTIF('ATHIS MONS'!$A$7:$A$50,SCEAUX!A46))+(COUNTIF('L HAY LES ROSES'!$A$7:$A$50,SCEAUX!A46))+(COUNTIF(RUNGIS!$A$7:$A$50,SCEAUX!A46))+(COUNTIF(SCEAUX!$A$7:$A$50,SCEAUX!A46))+(COUNTIF('INSTANCE C1'!$A$7:$A$50,SCEAUX!A46))+(COUNTIF('INSTANCE C2'!$A$7:$A$50,SCEAUX!A46))+(COUNTIF(INTERNES!$A$7:$A$50,SCEAUX!A46))+(COUNTIF('EN PANNE'!$A$7:$A$50,SCEAUX!A46))-C46</f>
        <v>0</v>
      </c>
      <c r="C46" s="23">
        <f>(COUNTIF('2S EXPRESS'!$G$7:$G$50,SCEAUX!A46))+(COUNTIF('2 ZT'!$G$7:$G$50,SCEAUX!A46))+(COUNTIF('GO TRANSPORT'!$G$7:$G$50,SCEAUX!A46))+(COUNTIF(SCEAUX!$G$7:$G$50,SCEAUX!A46))+(COUNTIF('IB TRANSPORT'!$G$7:$G$50,SCEAUX!A46))+(COUNTIF(JSL!$G$7:$G$50,SCEAUX!A46))+(COUNTIF(KIFAITOUT!$G$7:$G$50,SCEAUX!A46))+(COUNTIF('LUXE DRIVE'!$G$7:$G$50,SCEAUX!A46))+(COUNTIF(SSN!$G$7:$G$50,SCEAUX!A46))+(COUNTIF('W3'!$G$7:$G$50,SCEAUX!A46))+(COUNTIF('ATHIS MONS'!$G$7:$G$50,SCEAUX!A46))+(COUNTIF('L HAY LES ROSES'!$G$7:$G$50,SCEAUX!A46))+(COUNTIF(RUNGIS!$G$7:$G$50,SCEAUX!A46))+(COUNTIF(SCEAUX!$G$7:$G$50,SCEAUX!A46))+(COUNTIF('INSTANCE C1'!$G$7:$G$50,SCEAUX!A46))+(COUNTIF('INSTANCE C2'!$G$7:$G$50,SCEAUX!A46))+(COUNTIF(INTERNES!$G$7:$G$50,SCEAUX!A46))+(COUNTIF('EN PANNE'!$G$7:$G$50,SCEAUX!A46))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EXPRESS'!$G$7:$G$50,SCEAUX!G46))+(COUNTIF('2 ZT'!$G$7:$G$50,SCEAUX!G46))+(COUNTIF('GO TRANSPORT'!$G$7:$G$50,SCEAUX!G46))+(COUNTIF('HMZ - KAIS'!$G$7:$G$50,SCEAUX!G46))+(COUNTIF('IB TRANSPORT'!$G$7:$G$50,SCEAUX!G46))+(COUNTIF(JSL!$G$7:$G$50,SCEAUX!G46))+(COUNTIF(KIFAITOUT!$G$7:$G$50,SCEAUX!G46))+(COUNTIF('LUXE DRIVE'!$G$7:$G$50,SCEAUX!G46))+(COUNTIF(SSN!$G$7:$G$50,SCEAUX!G46))+(COUNTIF('W3'!$G$7:$G$50,SCEAUX!G46))+(COUNTIF('ATHIS MONS'!$G$7:$G$50,SCEAUX!G46))+(COUNTIF('L HAY LES ROSES'!$G$7:$G$50,SCEAUX!G46))+(COUNTIF(RUNGIS!$G$7:$G$50,SCEAUX!G46))+(COUNTIF(SCEAUX!$G$7:$G$50,SCEAUX!G46))+(COUNTIF('INSTANCE C1'!$G$7:$G$50,SCEAUX!G46))+(COUNTIF('INSTANCE C2'!$G$7:$G$50,SCEAUX!G46))+(COUNTIF(INTERNES!$G$7:$G$50,SCEAUX!G46))+(COUNTIF('EN PANNE'!$G$7:$G$50,SCEAUX!G46))-I46</f>
        <v>0</v>
      </c>
      <c r="I46" s="23">
        <f>(COUNTIF('2S EXPRESS'!$A$7:$A$50,SCEAUX!G46))+(COUNTIF('2 ZT'!$A$7:$A$50,SCEAUX!G46))+(COUNTIF('GO TRANSPORT'!$A$7:$A$50,SCEAUX!G46))+(COUNTIF('HMZ - KAIS'!$A$7:$A$50,SCEAUX!G46))+(COUNTIF('IB TRANSPORT'!$A$7:$A$50,SCEAUX!G46))+(COUNTIF(JSL!$A$7:$A$50,SCEAUX!G46))+(COUNTIF(KIFAITOUT!$A$7:$A$50,SCEAUX!G46))+(COUNTIF('LUXE DRIVE'!$A$7:$A$50,SCEAUX!G46))+(COUNTIF(SSN!$A$7:$A$50,SCEAUX!G46))+(COUNTIF('W3'!$A$7:$A$50,SCEAUX!G46))+(COUNTIF('ATHIS MONS'!$A$7:$A$50,SCEAUX!G46))+(COUNTIF('L HAY LES ROSES'!$A$7:$A$50,SCEAUX!G46))+(COUNTIF(RUNGIS!$A$7:$A$50,SCEAUX!G46))+(COUNTIF(SCEAUX!$A$7:$A$50,SCEAUX!G46))+(COUNTIF('INSTANCE C1'!$A$7:$A$50,SCEAUX!G46))+(COUNTIF('INSTANCE C2'!$A$7:$A$50,SCEAUX!G46))+(COUNTIF(INTERNES!$A$7:$A$50,SCEAUX!G46))+(COUNTIF('EN PANNE'!$A$7:$A$50,SCEAUX!G46))</f>
        <v>0</v>
      </c>
      <c r="J46" s="28">
        <f t="shared" si="4"/>
        <v>0</v>
      </c>
      <c r="K46" s="2"/>
      <c r="L46" s="47"/>
      <c r="S46" s="60">
        <f t="shared" si="1"/>
        <v>0</v>
      </c>
      <c r="T46" s="67">
        <f t="shared" si="2"/>
        <v>0</v>
      </c>
    </row>
    <row r="47" spans="1:20" ht="24.95" customHeight="1" x14ac:dyDescent="0.2">
      <c r="A47" s="20"/>
      <c r="B47" s="23">
        <f>(COUNTIF('2S EXPRESS'!$A$7:$A$50,SCEAUX!A47))+(COUNTIF('2 ZT'!$A$7:$A$50,SCEAUX!A47))+(COUNTIF('GO TRANSPORT'!$A$7:$A$50,SCEAUX!A47))+(COUNTIF('HMZ - KAIS'!$A$7:$A$50,SCEAUX!A47))+(COUNTIF('IB TRANSPORT'!$A$7:$A$50,SCEAUX!A47))+(COUNTIF(JSL!$A$7:$A$50,SCEAUX!A47))+(COUNTIF(KIFAITOUT!$A$7:$A$50,SCEAUX!A47))+(COUNTIF('LUXE DRIVE'!$A$7:$A$50,SCEAUX!A47))+(COUNTIF(SSN!$A$7:$A$50,SCEAUX!A47))+(COUNTIF('W3'!$A$7:$A$50,SCEAUX!A47))+(COUNTIF('ATHIS MONS'!$A$7:$A$50,SCEAUX!A47))+(COUNTIF('L HAY LES ROSES'!$A$7:$A$50,SCEAUX!A47))+(COUNTIF(RUNGIS!$A$7:$A$50,SCEAUX!A47))+(COUNTIF(SCEAUX!$A$7:$A$50,SCEAUX!A47))+(COUNTIF('INSTANCE C1'!$A$7:$A$50,SCEAUX!A47))+(COUNTIF('INSTANCE C2'!$A$7:$A$50,SCEAUX!A47))+(COUNTIF(INTERNES!$A$7:$A$50,SCEAUX!A47))+(COUNTIF('EN PANNE'!$A$7:$A$50,SCEAUX!A47))-C47</f>
        <v>0</v>
      </c>
      <c r="C47" s="23">
        <f>(COUNTIF('2S EXPRESS'!$G$7:$G$50,SCEAUX!A47))+(COUNTIF('2 ZT'!$G$7:$G$50,SCEAUX!A47))+(COUNTIF('GO TRANSPORT'!$G$7:$G$50,SCEAUX!A47))+(COUNTIF(SCEAUX!$G$7:$G$50,SCEAUX!A47))+(COUNTIF('IB TRANSPORT'!$G$7:$G$50,SCEAUX!A47))+(COUNTIF(JSL!$G$7:$G$50,SCEAUX!A47))+(COUNTIF(KIFAITOUT!$G$7:$G$50,SCEAUX!A47))+(COUNTIF('LUXE DRIVE'!$G$7:$G$50,SCEAUX!A47))+(COUNTIF(SSN!$G$7:$G$50,SCEAUX!A47))+(COUNTIF('W3'!$G$7:$G$50,SCEAUX!A47))+(COUNTIF('ATHIS MONS'!$G$7:$G$50,SCEAUX!A47))+(COUNTIF('L HAY LES ROSES'!$G$7:$G$50,SCEAUX!A47))+(COUNTIF(RUNGIS!$G$7:$G$50,SCEAUX!A47))+(COUNTIF(SCEAUX!$G$7:$G$50,SCEAUX!A47))+(COUNTIF('INSTANCE C1'!$G$7:$G$50,SCEAUX!A47))+(COUNTIF('INSTANCE C2'!$G$7:$G$50,SCEAUX!A47))+(COUNTIF(INTERNES!$G$7:$G$50,SCEAUX!A47))+(COUNTIF('EN PANNE'!$G$7:$G$50,SCEAUX!A47))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EXPRESS'!$G$7:$G$50,SCEAUX!G47))+(COUNTIF('2 ZT'!$G$7:$G$50,SCEAUX!G47))+(COUNTIF('GO TRANSPORT'!$G$7:$G$50,SCEAUX!G47))+(COUNTIF('HMZ - KAIS'!$G$7:$G$50,SCEAUX!G47))+(COUNTIF('IB TRANSPORT'!$G$7:$G$50,SCEAUX!G47))+(COUNTIF(JSL!$G$7:$G$50,SCEAUX!G47))+(COUNTIF(KIFAITOUT!$G$7:$G$50,SCEAUX!G47))+(COUNTIF('LUXE DRIVE'!$G$7:$G$50,SCEAUX!G47))+(COUNTIF(SSN!$G$7:$G$50,SCEAUX!G47))+(COUNTIF('W3'!$G$7:$G$50,SCEAUX!G47))+(COUNTIF('ATHIS MONS'!$G$7:$G$50,SCEAUX!G47))+(COUNTIF('L HAY LES ROSES'!$G$7:$G$50,SCEAUX!G47))+(COUNTIF(RUNGIS!$G$7:$G$50,SCEAUX!G47))+(COUNTIF(SCEAUX!$G$7:$G$50,SCEAUX!G47))+(COUNTIF('INSTANCE C1'!$G$7:$G$50,SCEAUX!G47))+(COUNTIF('INSTANCE C2'!$G$7:$G$50,SCEAUX!G47))+(COUNTIF(INTERNES!$G$7:$G$50,SCEAUX!G47))+(COUNTIF('EN PANNE'!$G$7:$G$50,SCEAUX!G47))-I47</f>
        <v>0</v>
      </c>
      <c r="I47" s="23">
        <f>(COUNTIF('2S EXPRESS'!$A$7:$A$50,SCEAUX!G47))+(COUNTIF('2 ZT'!$A$7:$A$50,SCEAUX!G47))+(COUNTIF('GO TRANSPORT'!$A$7:$A$50,SCEAUX!G47))+(COUNTIF('HMZ - KAIS'!$A$7:$A$50,SCEAUX!G47))+(COUNTIF('IB TRANSPORT'!$A$7:$A$50,SCEAUX!G47))+(COUNTIF(JSL!$A$7:$A$50,SCEAUX!G47))+(COUNTIF(KIFAITOUT!$A$7:$A$50,SCEAUX!G47))+(COUNTIF('LUXE DRIVE'!$A$7:$A$50,SCEAUX!G47))+(COUNTIF(SSN!$A$7:$A$50,SCEAUX!G47))+(COUNTIF('W3'!$A$7:$A$50,SCEAUX!G47))+(COUNTIF('ATHIS MONS'!$A$7:$A$50,SCEAUX!G47))+(COUNTIF('L HAY LES ROSES'!$A$7:$A$50,SCEAUX!G47))+(COUNTIF(RUNGIS!$A$7:$A$50,SCEAUX!G47))+(COUNTIF(SCEAUX!$A$7:$A$50,SCEAUX!G47))+(COUNTIF('INSTANCE C1'!$A$7:$A$50,SCEAUX!G47))+(COUNTIF('INSTANCE C2'!$A$7:$A$50,SCEAUX!G47))+(COUNTIF(INTERNES!$A$7:$A$50,SCEAUX!G47))+(COUNTIF('EN PANNE'!$A$7:$A$50,SCEAUX!G47))</f>
        <v>0</v>
      </c>
      <c r="J47" s="28">
        <f t="shared" si="4"/>
        <v>0</v>
      </c>
      <c r="K47" s="2"/>
      <c r="L47" s="47"/>
      <c r="S47" s="60">
        <f t="shared" si="1"/>
        <v>0</v>
      </c>
      <c r="T47" s="67">
        <f t="shared" si="2"/>
        <v>0</v>
      </c>
    </row>
    <row r="48" spans="1:20" ht="24.95" customHeight="1" x14ac:dyDescent="0.2">
      <c r="A48" s="20"/>
      <c r="B48" s="23">
        <f>(COUNTIF('2S EXPRESS'!$A$7:$A$50,SCEAUX!A48))+(COUNTIF('2 ZT'!$A$7:$A$50,SCEAUX!A48))+(COUNTIF('GO TRANSPORT'!$A$7:$A$50,SCEAUX!A48))+(COUNTIF('HMZ - KAIS'!$A$7:$A$50,SCEAUX!A48))+(COUNTIF('IB TRANSPORT'!$A$7:$A$50,SCEAUX!A48))+(COUNTIF(JSL!$A$7:$A$50,SCEAUX!A48))+(COUNTIF(KIFAITOUT!$A$7:$A$50,SCEAUX!A48))+(COUNTIF('LUXE DRIVE'!$A$7:$A$50,SCEAUX!A48))+(COUNTIF(SSN!$A$7:$A$50,SCEAUX!A48))+(COUNTIF('W3'!$A$7:$A$50,SCEAUX!A48))+(COUNTIF('ATHIS MONS'!$A$7:$A$50,SCEAUX!A48))+(COUNTIF('L HAY LES ROSES'!$A$7:$A$50,SCEAUX!A48))+(COUNTIF(RUNGIS!$A$7:$A$50,SCEAUX!A48))+(COUNTIF(SCEAUX!$A$7:$A$50,SCEAUX!A48))+(COUNTIF('INSTANCE C1'!$A$7:$A$50,SCEAUX!A48))+(COUNTIF('INSTANCE C2'!$A$7:$A$50,SCEAUX!A48))+(COUNTIF(INTERNES!$A$7:$A$50,SCEAUX!A48))+(COUNTIF('EN PANNE'!$A$7:$A$50,SCEAUX!A48))-C48</f>
        <v>0</v>
      </c>
      <c r="C48" s="23">
        <f>(COUNTIF('2S EXPRESS'!$G$7:$G$50,SCEAUX!A48))+(COUNTIF('2 ZT'!$G$7:$G$50,SCEAUX!A48))+(COUNTIF('GO TRANSPORT'!$G$7:$G$50,SCEAUX!A48))+(COUNTIF(SCEAUX!$G$7:$G$50,SCEAUX!A48))+(COUNTIF('IB TRANSPORT'!$G$7:$G$50,SCEAUX!A48))+(COUNTIF(JSL!$G$7:$G$50,SCEAUX!A48))+(COUNTIF(KIFAITOUT!$G$7:$G$50,SCEAUX!A48))+(COUNTIF('LUXE DRIVE'!$G$7:$G$50,SCEAUX!A48))+(COUNTIF(SSN!$G$7:$G$50,SCEAUX!A48))+(COUNTIF('W3'!$G$7:$G$50,SCEAUX!A48))+(COUNTIF('ATHIS MONS'!$G$7:$G$50,SCEAUX!A48))+(COUNTIF('L HAY LES ROSES'!$G$7:$G$50,SCEAUX!A48))+(COUNTIF(RUNGIS!$G$7:$G$50,SCEAUX!A48))+(COUNTIF(SCEAUX!$G$7:$G$50,SCEAUX!A48))+(COUNTIF('INSTANCE C1'!$G$7:$G$50,SCEAUX!A48))+(COUNTIF('INSTANCE C2'!$G$7:$G$50,SCEAUX!A48))+(COUNTIF(INTERNES!$G$7:$G$50,SCEAUX!A48))+(COUNTIF('EN PANNE'!$G$7:$G$50,SCEAUX!A48))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EXPRESS'!$G$7:$G$50,SCEAUX!G48))+(COUNTIF('2 ZT'!$G$7:$G$50,SCEAUX!G48))+(COUNTIF('GO TRANSPORT'!$G$7:$G$50,SCEAUX!G48))+(COUNTIF('HMZ - KAIS'!$G$7:$G$50,SCEAUX!G48))+(COUNTIF('IB TRANSPORT'!$G$7:$G$50,SCEAUX!G48))+(COUNTIF(JSL!$G$7:$G$50,SCEAUX!G48))+(COUNTIF(KIFAITOUT!$G$7:$G$50,SCEAUX!G48))+(COUNTIF('LUXE DRIVE'!$G$7:$G$50,SCEAUX!G48))+(COUNTIF(SSN!$G$7:$G$50,SCEAUX!G48))+(COUNTIF('W3'!$G$7:$G$50,SCEAUX!G48))+(COUNTIF('ATHIS MONS'!$G$7:$G$50,SCEAUX!G48))+(COUNTIF('L HAY LES ROSES'!$G$7:$G$50,SCEAUX!G48))+(COUNTIF(RUNGIS!$G$7:$G$50,SCEAUX!G48))+(COUNTIF(SCEAUX!$G$7:$G$50,SCEAUX!G48))+(COUNTIF('INSTANCE C1'!$G$7:$G$50,SCEAUX!G48))+(COUNTIF('INSTANCE C2'!$G$7:$G$50,SCEAUX!G48))+(COUNTIF(INTERNES!$G$7:$G$50,SCEAUX!G48))+(COUNTIF('EN PANNE'!$G$7:$G$50,SCEAUX!G48))-I48</f>
        <v>0</v>
      </c>
      <c r="I48" s="23">
        <f>(COUNTIF('2S EXPRESS'!$A$7:$A$50,SCEAUX!G48))+(COUNTIF('2 ZT'!$A$7:$A$50,SCEAUX!G48))+(COUNTIF('GO TRANSPORT'!$A$7:$A$50,SCEAUX!G48))+(COUNTIF('HMZ - KAIS'!$A$7:$A$50,SCEAUX!G48))+(COUNTIF('IB TRANSPORT'!$A$7:$A$50,SCEAUX!G48))+(COUNTIF(JSL!$A$7:$A$50,SCEAUX!G48))+(COUNTIF(KIFAITOUT!$A$7:$A$50,SCEAUX!G48))+(COUNTIF('LUXE DRIVE'!$A$7:$A$50,SCEAUX!G48))+(COUNTIF(SSN!$A$7:$A$50,SCEAUX!G48))+(COUNTIF('W3'!$A$7:$A$50,SCEAUX!G48))+(COUNTIF('ATHIS MONS'!$A$7:$A$50,SCEAUX!G48))+(COUNTIF('L HAY LES ROSES'!$A$7:$A$50,SCEAUX!G48))+(COUNTIF(RUNGIS!$A$7:$A$50,SCEAUX!G48))+(COUNTIF(SCEAUX!$A$7:$A$50,SCEAUX!G48))+(COUNTIF('INSTANCE C1'!$A$7:$A$50,SCEAUX!G48))+(COUNTIF('INSTANCE C2'!$A$7:$A$50,SCEAUX!G48))+(COUNTIF(INTERNES!$A$7:$A$50,SCEAUX!G48))+(COUNTIF('EN PANNE'!$A$7:$A$50,SCEAUX!G48))</f>
        <v>0</v>
      </c>
      <c r="J48" s="28">
        <f t="shared" si="4"/>
        <v>0</v>
      </c>
      <c r="K48" s="2"/>
      <c r="L48" s="47"/>
      <c r="S48" s="60">
        <f t="shared" si="1"/>
        <v>0</v>
      </c>
      <c r="T48" s="67">
        <f t="shared" si="2"/>
        <v>0</v>
      </c>
    </row>
    <row r="49" spans="1:20" ht="24.95" customHeight="1" x14ac:dyDescent="0.2">
      <c r="A49" s="20"/>
      <c r="B49" s="23">
        <f>(COUNTIF('2S EXPRESS'!$A$7:$A$50,SCEAUX!A49))+(COUNTIF('2 ZT'!$A$7:$A$50,SCEAUX!A49))+(COUNTIF('GO TRANSPORT'!$A$7:$A$50,SCEAUX!A49))+(COUNTIF('HMZ - KAIS'!$A$7:$A$50,SCEAUX!A49))+(COUNTIF('IB TRANSPORT'!$A$7:$A$50,SCEAUX!A49))+(COUNTIF(JSL!$A$7:$A$50,SCEAUX!A49))+(COUNTIF(KIFAITOUT!$A$7:$A$50,SCEAUX!A49))+(COUNTIF('LUXE DRIVE'!$A$7:$A$50,SCEAUX!A49))+(COUNTIF(SSN!$A$7:$A$50,SCEAUX!A49))+(COUNTIF('W3'!$A$7:$A$50,SCEAUX!A49))+(COUNTIF('ATHIS MONS'!$A$7:$A$50,SCEAUX!A49))+(COUNTIF('L HAY LES ROSES'!$A$7:$A$50,SCEAUX!A49))+(COUNTIF(RUNGIS!$A$7:$A$50,SCEAUX!A49))+(COUNTIF(SCEAUX!$A$7:$A$50,SCEAUX!A49))+(COUNTIF('INSTANCE C1'!$A$7:$A$50,SCEAUX!A49))+(COUNTIF('INSTANCE C2'!$A$7:$A$50,SCEAUX!A49))+(COUNTIF(INTERNES!$A$7:$A$50,SCEAUX!A49))+(COUNTIF('EN PANNE'!$A$7:$A$50,SCEAUX!A49))-C49</f>
        <v>0</v>
      </c>
      <c r="C49" s="23">
        <f>(COUNTIF('2S EXPRESS'!$G$7:$G$50,SCEAUX!A49))+(COUNTIF('2 ZT'!$G$7:$G$50,SCEAUX!A49))+(COUNTIF('GO TRANSPORT'!$G$7:$G$50,SCEAUX!A49))+(COUNTIF(SCEAUX!$G$7:$G$50,SCEAUX!A49))+(COUNTIF('IB TRANSPORT'!$G$7:$G$50,SCEAUX!A49))+(COUNTIF(JSL!$G$7:$G$50,SCEAUX!A49))+(COUNTIF(KIFAITOUT!$G$7:$G$50,SCEAUX!A49))+(COUNTIF('LUXE DRIVE'!$G$7:$G$50,SCEAUX!A49))+(COUNTIF(SSN!$G$7:$G$50,SCEAUX!A49))+(COUNTIF('W3'!$G$7:$G$50,SCEAUX!A49))+(COUNTIF('ATHIS MONS'!$G$7:$G$50,SCEAUX!A49))+(COUNTIF('L HAY LES ROSES'!$G$7:$G$50,SCEAUX!A49))+(COUNTIF(RUNGIS!$G$7:$G$50,SCEAUX!A49))+(COUNTIF(SCEAUX!$G$7:$G$50,SCEAUX!A49))+(COUNTIF('INSTANCE C1'!$G$7:$G$50,SCEAUX!A49))+(COUNTIF('INSTANCE C2'!$G$7:$G$50,SCEAUX!A49))+(COUNTIF(INTERNES!$G$7:$G$50,SCEAUX!A49))+(COUNTIF('EN PANNE'!$G$7:$G$50,SCEAUX!A49))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EXPRESS'!$G$7:$G$50,SCEAUX!G49))+(COUNTIF('2 ZT'!$G$7:$G$50,SCEAUX!G49))+(COUNTIF('GO TRANSPORT'!$G$7:$G$50,SCEAUX!G49))+(COUNTIF('HMZ - KAIS'!$G$7:$G$50,SCEAUX!G49))+(COUNTIF('IB TRANSPORT'!$G$7:$G$50,SCEAUX!G49))+(COUNTIF(JSL!$G$7:$G$50,SCEAUX!G49))+(COUNTIF(KIFAITOUT!$G$7:$G$50,SCEAUX!G49))+(COUNTIF('LUXE DRIVE'!$G$7:$G$50,SCEAUX!G49))+(COUNTIF(SSN!$G$7:$G$50,SCEAUX!G49))+(COUNTIF('W3'!$G$7:$G$50,SCEAUX!G49))+(COUNTIF('ATHIS MONS'!$G$7:$G$50,SCEAUX!G49))+(COUNTIF('L HAY LES ROSES'!$G$7:$G$50,SCEAUX!G49))+(COUNTIF(RUNGIS!$G$7:$G$50,SCEAUX!G49))+(COUNTIF(SCEAUX!$G$7:$G$50,SCEAUX!G49))+(COUNTIF('INSTANCE C1'!$G$7:$G$50,SCEAUX!G49))+(COUNTIF('INSTANCE C2'!$G$7:$G$50,SCEAUX!G49))+(COUNTIF(INTERNES!$G$7:$G$50,SCEAUX!G49))+(COUNTIF('EN PANNE'!$G$7:$G$50,SCEAUX!G49))-I49</f>
        <v>0</v>
      </c>
      <c r="I49" s="23">
        <f>(COUNTIF('2S EXPRESS'!$A$7:$A$50,SCEAUX!G49))+(COUNTIF('2 ZT'!$A$7:$A$50,SCEAUX!G49))+(COUNTIF('GO TRANSPORT'!$A$7:$A$50,SCEAUX!G49))+(COUNTIF('HMZ - KAIS'!$A$7:$A$50,SCEAUX!G49))+(COUNTIF('IB TRANSPORT'!$A$7:$A$50,SCEAUX!G49))+(COUNTIF(JSL!$A$7:$A$50,SCEAUX!G49))+(COUNTIF(KIFAITOUT!$A$7:$A$50,SCEAUX!G49))+(COUNTIF('LUXE DRIVE'!$A$7:$A$50,SCEAUX!G49))+(COUNTIF(SSN!$A$7:$A$50,SCEAUX!G49))+(COUNTIF('W3'!$A$7:$A$50,SCEAUX!G49))+(COUNTIF('ATHIS MONS'!$A$7:$A$50,SCEAUX!G49))+(COUNTIF('L HAY LES ROSES'!$A$7:$A$50,SCEAUX!G49))+(COUNTIF(RUNGIS!$A$7:$A$50,SCEAUX!G49))+(COUNTIF(SCEAUX!$A$7:$A$50,SCEAUX!G49))+(COUNTIF('INSTANCE C1'!$A$7:$A$50,SCEAUX!G49))+(COUNTIF('INSTANCE C2'!$A$7:$A$50,SCEAUX!G49))+(COUNTIF(INTERNES!$A$7:$A$50,SCEAUX!G49))+(COUNTIF('EN PANNE'!$A$7:$A$50,SCEAUX!G49))</f>
        <v>0</v>
      </c>
      <c r="J49" s="28">
        <f t="shared" si="4"/>
        <v>0</v>
      </c>
      <c r="K49" s="2"/>
      <c r="L49" s="47"/>
      <c r="S49" s="60">
        <f t="shared" si="1"/>
        <v>0</v>
      </c>
      <c r="T49" s="67">
        <f t="shared" si="2"/>
        <v>0</v>
      </c>
    </row>
    <row r="50" spans="1:20" ht="24.95" customHeight="1" thickBot="1" x14ac:dyDescent="0.25">
      <c r="A50" s="21"/>
      <c r="B50" s="25">
        <f>(COUNTIF('2S EXPRESS'!$A$7:$A$50,SCEAUX!A50))+(COUNTIF('2 ZT'!$A$7:$A$50,SCEAUX!A50))+(COUNTIF('GO TRANSPORT'!$A$7:$A$50,SCEAUX!A50))+(COUNTIF('HMZ - KAIS'!$A$7:$A$50,SCEAUX!A50))+(COUNTIF('IB TRANSPORT'!$A$7:$A$50,SCEAUX!A50))+(COUNTIF(JSL!$A$7:$A$50,SCEAUX!A50))+(COUNTIF(KIFAITOUT!$A$7:$A$50,SCEAUX!A50))+(COUNTIF('LUXE DRIVE'!$A$7:$A$50,SCEAUX!A50))+(COUNTIF(SSN!$A$7:$A$50,SCEAUX!A50))+(COUNTIF('W3'!$A$7:$A$50,SCEAUX!A50))+(COUNTIF('ATHIS MONS'!$A$7:$A$50,SCEAUX!A50))+(COUNTIF('L HAY LES ROSES'!$A$7:$A$50,SCEAUX!A50))+(COUNTIF(RUNGIS!$A$7:$A$50,SCEAUX!A50))+(COUNTIF(SCEAUX!$A$7:$A$50,SCEAUX!A50))+(COUNTIF('INSTANCE C1'!$A$7:$A$50,SCEAUX!A50))+(COUNTIF('INSTANCE C2'!$A$7:$A$50,SCEAUX!A50))+(COUNTIF(INTERNES!$A$7:$A$50,SCEAUX!A50))+(COUNTIF('EN PANNE'!$A$7:$A$50,SCEAUX!A50))-C50</f>
        <v>0</v>
      </c>
      <c r="C50" s="23">
        <f>(COUNTIF('2S EXPRESS'!$G$7:$G$50,'HMZ - KAIS'!A50))+(COUNTIF('2 ZT'!$G$7:$G$50,'HMZ - KAIS'!A50))+(COUNTIF('GO TRANSPORT'!$G$7:$G$50,'HMZ - KAIS'!A50))+(COUNTIF('HMZ - KAIS'!$G$7:$G$50,'HMZ - KAIS'!A50))+(COUNTIF('IB TRANSPORT'!$G$7:$G$50,'HMZ - KAIS'!A50))+(COUNTIF(JSL!$G$7:$G$50,'HMZ - KAIS'!A50))+(COUNTIF(KIFAITOUT!$G$7:$G$50,'HMZ - KAIS'!A50))+(COUNTIF('LUXE DRIVE'!$G$7:$G$50,'HMZ - KAIS'!A50))+(COUNTIF(SSN!$G$7:$G$50,'HMZ - KAIS'!A50))+(COUNTIF('W3'!$G$7:$G$50,'HMZ - KAIS'!A50))+(COUNTIF('ATHIS MONS'!$G$7:$G$50,'HMZ - KAIS'!A50))+(COUNTIF('L HAY LES ROSES'!$G$7:$G$50,'HMZ - KAIS'!A50))+(COUNTIF(RUNGIS!$G$7:$G$50,'HMZ - KAIS'!A50))+(COUNTIF(SCEAUX!$G$7:$G$50,'HMZ - KAIS'!A50))+(COUNTIF('INSTANCE C1'!$G$7:$G$50,'HMZ - KAIS'!A50))+(COUNTIF('INSTANCE C2'!$G$7:$G$50,'HMZ - KAIS'!A50))+(COUNTIF(INTERNES!$G$7:$G$50,'HMZ - KAIS'!A50))+(COUNTIF('EN PANNE'!$G$7:$G$50,'HMZ - KAIS'!A50))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EXPRESS'!$G$7:$G$50,SCEAUX!G50))+(COUNTIF('2 ZT'!$G$7:$G$50,SCEAUX!G50))+(COUNTIF('GO TRANSPORT'!$G$7:$G$50,SCEAUX!G50))+(COUNTIF('HMZ - KAIS'!$G$7:$G$50,SCEAUX!G50))+(COUNTIF('IB TRANSPORT'!$G$7:$G$50,SCEAUX!G50))+(COUNTIF(JSL!$G$7:$G$50,SCEAUX!G50))+(COUNTIF(KIFAITOUT!$G$7:$G$50,SCEAUX!G50))+(COUNTIF('LUXE DRIVE'!$G$7:$G$50,SCEAUX!G50))+(COUNTIF(SSN!$G$7:$G$50,SCEAUX!G50))+(COUNTIF('W3'!$G$7:$G$50,SCEAUX!G50))+(COUNTIF('ATHIS MONS'!$G$7:$G$50,SCEAUX!G50))+(COUNTIF('L HAY LES ROSES'!$G$7:$G$50,SCEAUX!G50))+(COUNTIF(RUNGIS!$G$7:$G$50,SCEAUX!G50))+(COUNTIF(SCEAUX!$G$7:$G$50,SCEAUX!G50))+(COUNTIF('INSTANCE C1'!$G$7:$G$50,SCEAUX!G50))+(COUNTIF('INSTANCE C2'!$G$7:$G$50,SCEAUX!G50))+(COUNTIF(INTERNES!$G$7:$G$50,SCEAUX!G50))+(COUNTIF('EN PANNE'!$G$7:$G$50,SCEAUX!G50))-I50</f>
        <v>0</v>
      </c>
      <c r="I50" s="25">
        <f>(COUNTIF('2S EXPRESS'!$A$7:$A$50,SCEAUX!G50))+(COUNTIF('2 ZT'!$A$7:$A$50,SCEAUX!G50))+(COUNTIF('GO TRANSPORT'!$A$7:$A$50,SCEAUX!G50))+(COUNTIF('HMZ - KAIS'!$A$7:$A$50,SCEAUX!G50))+(COUNTIF('IB TRANSPORT'!$A$7:$A$50,SCEAUX!G50))+(COUNTIF(JSL!$A$7:$A$50,SCEAUX!G50))+(COUNTIF(KIFAITOUT!$A$7:$A$50,SCEAUX!G50))+(COUNTIF('LUXE DRIVE'!$A$7:$A$50,SCEAUX!G50))+(COUNTIF(SSN!$A$7:$A$50,SCEAUX!G50))+(COUNTIF('W3'!$A$7:$A$50,SCEAUX!G50))+(COUNTIF('ATHIS MONS'!$A$7:$A$50,SCEAUX!G50))+(COUNTIF('L HAY LES ROSES'!$A$7:$A$50,SCEAUX!G50))+(COUNTIF(RUNGIS!$A$7:$A$50,SCEAUX!G50))+(COUNTIF(SCEAUX!$A$7:$A$50,SCEAUX!G50))+(COUNTIF('INSTANCE C1'!$A$7:$A$50,SCEAUX!G50))+(COUNTIF('INSTANCE C2'!$A$7:$A$50,SCEAUX!G50))+(COUNTIF(INTERNES!$A$7:$A$50,SCEAUX!G50))+(COUNTIF('EN PANNE'!$A$7:$A$50,SCEAUX!G50))</f>
        <v>0</v>
      </c>
      <c r="J50" s="29">
        <f t="shared" si="4"/>
        <v>0</v>
      </c>
      <c r="K50" s="3"/>
      <c r="L50" s="47"/>
      <c r="S50" s="60">
        <f t="shared" si="1"/>
        <v>0</v>
      </c>
      <c r="T50" s="67">
        <f t="shared" si="2"/>
        <v>0</v>
      </c>
    </row>
    <row r="51" spans="1:20" x14ac:dyDescent="0.2">
      <c r="A51" s="9"/>
    </row>
    <row r="52" spans="1:20" x14ac:dyDescent="0.2">
      <c r="A52" s="9"/>
    </row>
    <row r="53" spans="1:20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</row>
  </sheetData>
  <mergeCells count="13">
    <mergeCell ref="M12:P12"/>
    <mergeCell ref="B2:E3"/>
    <mergeCell ref="G2:K3"/>
    <mergeCell ref="A4:E4"/>
    <mergeCell ref="G4:K4"/>
    <mergeCell ref="G5:G6"/>
    <mergeCell ref="K5:K6"/>
    <mergeCell ref="M8:P8"/>
    <mergeCell ref="M9:P9"/>
    <mergeCell ref="M11:P11"/>
    <mergeCell ref="F5:F6"/>
    <mergeCell ref="A5:A6"/>
    <mergeCell ref="E5:E6"/>
  </mergeCells>
  <conditionalFormatting sqref="F7:F50">
    <cfRule type="cellIs" dxfId="51" priority="12" operator="equal">
      <formula>1</formula>
    </cfRule>
  </conditionalFormatting>
  <conditionalFormatting sqref="A7:A50">
    <cfRule type="duplicateValues" dxfId="50" priority="10"/>
  </conditionalFormatting>
  <conditionalFormatting sqref="L7:L50">
    <cfRule type="cellIs" dxfId="49" priority="9" operator="greaterThan">
      <formula>0</formula>
    </cfRule>
  </conditionalFormatting>
  <conditionalFormatting sqref="D7">
    <cfRule type="cellIs" dxfId="48" priority="8" operator="greaterThan">
      <formula>0</formula>
    </cfRule>
  </conditionalFormatting>
  <conditionalFormatting sqref="D8:D50">
    <cfRule type="cellIs" dxfId="47" priority="7" operator="greaterThan">
      <formula>0</formula>
    </cfRule>
  </conditionalFormatting>
  <conditionalFormatting sqref="G7 G10:G50">
    <cfRule type="duplicateValues" dxfId="46" priority="6"/>
  </conditionalFormatting>
  <conditionalFormatting sqref="J7">
    <cfRule type="cellIs" dxfId="45" priority="5" operator="greaterThan">
      <formula>0</formula>
    </cfRule>
  </conditionalFormatting>
  <conditionalFormatting sqref="J8:J50">
    <cfRule type="cellIs" dxfId="44" priority="4" operator="greaterThan">
      <formula>0</formula>
    </cfRule>
  </conditionalFormatting>
  <conditionalFormatting sqref="G8">
    <cfRule type="duplicateValues" dxfId="43" priority="3"/>
  </conditionalFormatting>
  <conditionalFormatting sqref="G9">
    <cfRule type="duplicateValues" dxfId="42" priority="2"/>
  </conditionalFormatting>
  <conditionalFormatting sqref="S7:S50">
    <cfRule type="cellIs" dxfId="41" priority="1" operator="greaterThan">
      <formula>0</formula>
    </cfRule>
  </conditionalFormatting>
  <dataValidations count="1">
    <dataValidation type="list" allowBlank="1" showInputMessage="1" showErrorMessage="1" sqref="K7:K50 E7:E50" xr:uid="{BB820915-F2F6-4805-8BD6-C261E32530F0}">
      <formula1>$Q$9:$Q$17</formula1>
    </dataValidation>
  </dataValidations>
  <pageMargins left="0.25" right="0.25" top="0.75" bottom="0.75" header="0.3" footer="0.3"/>
  <pageSetup paperSize="9" scale="88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" operator="containsText" id="{2965E7FB-7127-43CB-A37B-579040093249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4DD5B-CCB6-4102-9A2E-FED1099CED7C}">
  <sheetPr codeName="Feuil17">
    <tabColor rgb="FF92D050"/>
    <pageSetUpPr fitToPage="1"/>
  </sheetPr>
  <dimension ref="A1:Z53"/>
  <sheetViews>
    <sheetView showGridLines="0" zoomScaleNormal="100" workbookViewId="0">
      <selection activeCell="X19" sqref="X19"/>
    </sheetView>
  </sheetViews>
  <sheetFormatPr baseColWidth="10" defaultColWidth="11.42578125" defaultRowHeight="12.75" x14ac:dyDescent="0.2"/>
  <cols>
    <col min="1" max="1" width="25.7109375" style="9" customWidth="1"/>
    <col min="2" max="3" width="10.7109375" style="9" hidden="1" customWidth="1"/>
    <col min="4" max="4" width="7.7109375" style="9" customWidth="1"/>
    <col min="5" max="5" width="50.7109375" style="9" customWidth="1"/>
    <col min="6" max="6" width="13.7109375" style="9" customWidth="1"/>
    <col min="7" max="7" width="25.7109375" style="9" customWidth="1"/>
    <col min="8" max="9" width="10.7109375" style="9" hidden="1" customWidth="1"/>
    <col min="10" max="10" width="7.7109375" style="9" customWidth="1"/>
    <col min="11" max="11" width="50.7109375" style="9" customWidth="1"/>
    <col min="12" max="16" width="7.7109375" style="9" customWidth="1"/>
    <col min="17" max="17" width="22.7109375" style="9" hidden="1" customWidth="1"/>
    <col min="18" max="18" width="14.28515625" style="56" hidden="1" customWidth="1"/>
    <col min="19" max="20" width="11.42578125" style="56" hidden="1" customWidth="1"/>
    <col min="21" max="21" width="11.42578125" style="56" customWidth="1"/>
    <col min="22" max="26" width="11.42578125" style="56"/>
    <col min="27" max="16384" width="11.42578125" style="9"/>
  </cols>
  <sheetData>
    <row r="1" spans="1:26" ht="13.5" thickBot="1" x14ac:dyDescent="0.25">
      <c r="A1" s="33"/>
      <c r="B1" s="35"/>
      <c r="C1" s="35"/>
      <c r="D1" s="35"/>
      <c r="E1" s="10"/>
      <c r="F1" s="34"/>
      <c r="I1" s="10"/>
    </row>
    <row r="2" spans="1:26" s="39" customFormat="1" ht="24.95" customHeight="1" x14ac:dyDescent="0.2">
      <c r="A2" s="36"/>
      <c r="B2" s="194" t="s">
        <v>47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1"/>
      <c r="S2" s="71"/>
      <c r="T2" s="71"/>
      <c r="U2" s="71"/>
      <c r="V2" s="71"/>
      <c r="W2" s="71"/>
      <c r="X2" s="71"/>
      <c r="Y2" s="71"/>
      <c r="Z2" s="71"/>
    </row>
    <row r="3" spans="1:26" s="39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1"/>
      <c r="S3" s="71"/>
      <c r="T3" s="71"/>
      <c r="U3" s="71"/>
      <c r="V3" s="71"/>
      <c r="W3" s="71"/>
      <c r="X3" s="71"/>
      <c r="Y3" s="71"/>
      <c r="Z3" s="71"/>
    </row>
    <row r="4" spans="1:26" s="39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1"/>
      <c r="T4" s="71"/>
      <c r="U4" s="71"/>
      <c r="V4" s="71"/>
      <c r="W4" s="71"/>
      <c r="X4" s="71"/>
      <c r="Y4" s="71"/>
      <c r="Z4" s="71"/>
    </row>
    <row r="5" spans="1:26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</row>
    <row r="6" spans="1:26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</row>
    <row r="7" spans="1:26" ht="24.95" customHeight="1" thickBot="1" x14ac:dyDescent="0.25">
      <c r="A7" s="19"/>
      <c r="B7" s="22">
        <f>(COUNTIF('2S EXPRESS'!$A$7:$A$50,'INSTANCE C1'!A7))+(COUNTIF('2 ZT'!$A$7:$A$50,'INSTANCE C1'!A7))+(COUNTIF('GO TRANSPORT'!$A$7:$A$50,'INSTANCE C1'!A7))+(COUNTIF('HMZ - KAIS'!$A$7:$A$50,'INSTANCE C1'!A7))+(COUNTIF('IB TRANSPORT'!$A$7:$A$50,'INSTANCE C1'!A7))+(COUNTIF(JSL!$A$7:$A$50,'INSTANCE C1'!A7))+(COUNTIF(KIFAITOUT!$A$7:$A$50,'INSTANCE C1'!A7))+(COUNTIF('LUXE DRIVE'!$A$7:$A$50,'INSTANCE C1'!A7))+(COUNTIF(SSN!$A$7:$A$50,'INSTANCE C1'!A7))+(COUNTIF('W3'!$A$7:$A$50,'INSTANCE C1'!A7))+(COUNTIF('ATHIS MONS'!$A$7:$A$50,'INSTANCE C1'!A7))+(COUNTIF('L HAY LES ROSES'!$A$7:$A$50,'INSTANCE C1'!A7))+(COUNTIF(RUNGIS!$A$7:$A$50,'INSTANCE C1'!A7))+(COUNTIF(SCEAUX!$A$7:$A$50,'INSTANCE C1'!A7))+(COUNTIF('INSTANCE C1'!$A$7:$A$50,'INSTANCE C1'!A7))+(COUNTIF('INSTANCE C2'!$A$7:$A$50,'INSTANCE C1'!A7))+(COUNTIF(INTERNES!$A$7:$A$50,'INSTANCE C1'!A7))+(COUNTIF('EN PANNE'!$A$7:$A$50,'INSTANCE C1'!A7))-C7</f>
        <v>0</v>
      </c>
      <c r="C7" s="23">
        <f>(COUNTIF('2S EXPRESS'!$G$7:$G$50,'INSTANCE C1'!A7))+(COUNTIF('2 ZT'!$G$7:$G$50,'INSTANCE C1'!A7))+(COUNTIF('GO TRANSPORT'!$G$7:$G$50,'INSTANCE C1'!A7))+(COUNTIF('INSTANCE C1'!$G$7:$G$50,'INSTANCE C1'!A7))+(COUNTIF('IB TRANSPORT'!$G$7:$G$50,'INSTANCE C1'!A7))+(COUNTIF(JSL!$G$7:$G$50,'INSTANCE C1'!A7))+(COUNTIF(KIFAITOUT!$G$7:$G$50,'INSTANCE C1'!A7))+(COUNTIF('LUXE DRIVE'!$G$7:$G$50,'INSTANCE C1'!A7))+(COUNTIF(SSN!$G$7:$G$50,'INSTANCE C1'!A7))+(COUNTIF('W3'!$G$7:$G$50,'INSTANCE C1'!A7))+(COUNTIF('ATHIS MONS'!$G$7:$G$50,'INSTANCE C1'!A7))+(COUNTIF('L HAY LES ROSES'!$G$7:$G$50,'INSTANCE C1'!A7))+(COUNTIF(RUNGIS!$G$7:$G$50,'INSTANCE C1'!A7))+(COUNTIF(SCEAUX!$G$7:$G$50,'INSTANCE C1'!A7))+(COUNTIF('INSTANCE C1'!$G$7:$G$50,'INSTANCE C1'!A7))+(COUNTIF('INSTANCE C2'!$G$7:$G$50,'INSTANCE C1'!A7))+(COUNTIF(INTERNES!$G$7:$G$50,'INSTANCE C1'!A7))+(COUNTIF('EN PANNE'!$G$7:$G$50,'INSTANCE C1'!A7))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EXPRESS'!$G$7:$G$50,'INSTANCE C1'!G7))+(COUNTIF('2 ZT'!$G$7:$G$50,'INSTANCE C1'!G7))+(COUNTIF('GO TRANSPORT'!$G$7:$G$50,'INSTANCE C1'!G7))+(COUNTIF('HMZ - KAIS'!$G$7:$G$50,'INSTANCE C1'!G7))+(COUNTIF('IB TRANSPORT'!$G$7:$G$50,'INSTANCE C1'!G7))+(COUNTIF(JSL!$G$7:$G$50,'INSTANCE C1'!G7))+(COUNTIF(KIFAITOUT!$G$7:$G$50,'INSTANCE C1'!G7))+(COUNTIF('LUXE DRIVE'!$G$7:$G$50,'INSTANCE C1'!G7))+(COUNTIF(SSN!$G$7:$G$50,'INSTANCE C1'!G7))+(COUNTIF('W3'!$G$7:$G$50,'INSTANCE C1'!G7))+(COUNTIF('ATHIS MONS'!$G$7:$G$50,'INSTANCE C1'!G7))+(COUNTIF('L HAY LES ROSES'!$G$7:$G$50,'INSTANCE C1'!G7))+(COUNTIF(RUNGIS!$G$7:$G$50,'INSTANCE C1'!G7))+(COUNTIF(SCEAUX!$G$7:$G$50,'INSTANCE C1'!G7))+(COUNTIF('INSTANCE C1'!$G$7:$G$50,'INSTANCE C1'!G7))+(COUNTIF('INSTANCE C2'!$G$7:$G$50,'INSTANCE C1'!G7))+(COUNTIF(INTERNES!$G$7:$G$50,'INSTANCE C1'!G7))+(COUNTIF('EN PANNE'!$G$7:$G$50,'INSTANCE C1'!G7))-I7</f>
        <v>0</v>
      </c>
      <c r="I7" s="22">
        <f>(COUNTIF('2S EXPRESS'!$A$7:$A$50,'INSTANCE C1'!G7))+(COUNTIF('2 ZT'!$A$7:$A$50,'INSTANCE C1'!G7))+(COUNTIF('GO TRANSPORT'!$A$7:$A$50,'INSTANCE C1'!G7))+(COUNTIF('HMZ - KAIS'!$A$7:$A$50,'INSTANCE C1'!G7))+(COUNTIF('IB TRANSPORT'!$A$7:$A$50,'INSTANCE C1'!G7))+(COUNTIF(JSL!$A$7:$A$50,'INSTANCE C1'!G7))+(COUNTIF(KIFAITOUT!$A$7:$A$50,'INSTANCE C1'!G7))+(COUNTIF('LUXE DRIVE'!$A$7:$A$50,'INSTANCE C1'!G7))+(COUNTIF(SSN!$A$7:$A$50,'INSTANCE C1'!G7))+(COUNTIF('W3'!$A$7:$A$50,'INSTANCE C1'!G7))+(COUNTIF('ATHIS MONS'!$A$7:$A$50,'INSTANCE C1'!G7))+(COUNTIF('L HAY LES ROSES'!$A$7:$A$50,'INSTANCE C1'!G7))+(COUNTIF(RUNGIS!$A$7:$A$50,'INSTANCE C1'!G7))+(COUNTIF(SCEAUX!$A$7:$A$50,'INSTANCE C1'!G7))+(COUNTIF('INSTANCE C1'!$A$7:$A$50,'INSTANCE C1'!G7))+(COUNTIF('INSTANCE C2'!$A$7:$A$50,'INSTANCE C1'!G7))+(COUNTIF(INTERNES!$A$7:$A$50,'INSTANCE C1'!G7))+(COUNTIF('EN PANNE'!$A$7:$A$50,'INSTANCE C1'!G7))</f>
        <v>0</v>
      </c>
      <c r="J7" s="27">
        <f>IF(H7&gt;=2,1,0)</f>
        <v>0</v>
      </c>
      <c r="K7" s="1"/>
      <c r="L7" s="47"/>
      <c r="M7" s="48"/>
      <c r="O7" s="48"/>
      <c r="P7" s="48"/>
      <c r="Q7" s="48"/>
      <c r="R7" s="50"/>
      <c r="S7" s="60">
        <f t="shared" ref="S7:S50" si="1">COUNTIF($G$7:$G$50,$A7)</f>
        <v>0</v>
      </c>
      <c r="T7" s="67">
        <f t="shared" ref="T7:T50" si="2">IF($S7=1,"",$A7)</f>
        <v>0</v>
      </c>
    </row>
    <row r="8" spans="1:26" ht="24.95" customHeight="1" thickBot="1" x14ac:dyDescent="0.25">
      <c r="A8" s="20"/>
      <c r="B8" s="23">
        <f>(COUNTIF('2S EXPRESS'!$A$7:$A$50,'INSTANCE C1'!A8))+(COUNTIF('2 ZT'!$A$7:$A$50,'INSTANCE C1'!A8))+(COUNTIF('GO TRANSPORT'!$A$7:$A$50,'INSTANCE C1'!A8))+(COUNTIF('HMZ - KAIS'!$A$7:$A$50,'INSTANCE C1'!A8))+(COUNTIF('IB TRANSPORT'!$A$7:$A$50,'INSTANCE C1'!A8))+(COUNTIF(JSL!$A$7:$A$50,'INSTANCE C1'!A8))+(COUNTIF(KIFAITOUT!$A$7:$A$50,'INSTANCE C1'!A8))+(COUNTIF('LUXE DRIVE'!$A$7:$A$50,'INSTANCE C1'!A8))+(COUNTIF(SSN!$A$7:$A$50,'INSTANCE C1'!A8))+(COUNTIF('W3'!$A$7:$A$50,'INSTANCE C1'!A8))+(COUNTIF('ATHIS MONS'!$A$7:$A$50,'INSTANCE C1'!A8))+(COUNTIF('L HAY LES ROSES'!$A$7:$A$50,'INSTANCE C1'!A8))+(COUNTIF(RUNGIS!$A$7:$A$50,'INSTANCE C1'!A8))+(COUNTIF(SCEAUX!$A$7:$A$50,'INSTANCE C1'!A8))+(COUNTIF('INSTANCE C1'!$A$7:$A$50,'INSTANCE C1'!A8))+(COUNTIF('INSTANCE C2'!$A$7:$A$50,'INSTANCE C1'!A8))+(COUNTIF(INTERNES!$A$7:$A$50,'INSTANCE C1'!A8))+(COUNTIF('EN PANNE'!$A$7:$A$50,'INSTANCE C1'!A8))-C8</f>
        <v>0</v>
      </c>
      <c r="C8" s="23">
        <f>(COUNTIF('2S EXPRESS'!$G$7:$G$50,'INSTANCE C1'!A8))+(COUNTIF('2 ZT'!$G$7:$G$50,'INSTANCE C1'!A8))+(COUNTIF('GO TRANSPORT'!$G$7:$G$50,'INSTANCE C1'!A8))+(COUNTIF('INSTANCE C1'!$G$7:$G$50,'INSTANCE C1'!A8))+(COUNTIF('IB TRANSPORT'!$G$7:$G$50,'INSTANCE C1'!A8))+(COUNTIF(JSL!$G$7:$G$50,'INSTANCE C1'!A8))+(COUNTIF(KIFAITOUT!$G$7:$G$50,'INSTANCE C1'!A8))+(COUNTIF('LUXE DRIVE'!$G$7:$G$50,'INSTANCE C1'!A8))+(COUNTIF(SSN!$G$7:$G$50,'INSTANCE C1'!A8))+(COUNTIF('W3'!$G$7:$G$50,'INSTANCE C1'!A8))+(COUNTIF('ATHIS MONS'!$G$7:$G$50,'INSTANCE C1'!A8))+(COUNTIF('L HAY LES ROSES'!$G$7:$G$50,'INSTANCE C1'!A8))+(COUNTIF(RUNGIS!$G$7:$G$50,'INSTANCE C1'!A8))+(COUNTIF(SCEAUX!$G$7:$G$50,'INSTANCE C1'!A8))+(COUNTIF('INSTANCE C1'!$G$7:$G$50,'INSTANCE C1'!A8))+(COUNTIF('INSTANCE C2'!$G$7:$G$50,'INSTANCE C1'!A8))+(COUNTIF(INTERNES!$G$7:$G$50,'INSTANCE C1'!A8))+(COUNTIF('EN PANNE'!$G$7:$G$50,'INSTANCE C1'!A8))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EXPRESS'!$G$7:$G$50,'INSTANCE C1'!G8))+(COUNTIF('2 ZT'!$G$7:$G$50,'INSTANCE C1'!G8))+(COUNTIF('GO TRANSPORT'!$G$7:$G$50,'INSTANCE C1'!G8))+(COUNTIF('HMZ - KAIS'!$G$7:$G$50,'INSTANCE C1'!G8))+(COUNTIF('IB TRANSPORT'!$G$7:$G$50,'INSTANCE C1'!G8))+(COUNTIF(JSL!$G$7:$G$50,'INSTANCE C1'!G8))+(COUNTIF(KIFAITOUT!$G$7:$G$50,'INSTANCE C1'!G8))+(COUNTIF('LUXE DRIVE'!$G$7:$G$50,'INSTANCE C1'!G8))+(COUNTIF(SSN!$G$7:$G$50,'INSTANCE C1'!G8))+(COUNTIF('W3'!$G$7:$G$50,'INSTANCE C1'!G8))+(COUNTIF('ATHIS MONS'!$G$7:$G$50,'INSTANCE C1'!G8))+(COUNTIF('L HAY LES ROSES'!$G$7:$G$50,'INSTANCE C1'!G8))+(COUNTIF(RUNGIS!$G$7:$G$50,'INSTANCE C1'!G8))+(COUNTIF(SCEAUX!$G$7:$G$50,'INSTANCE C1'!G8))+(COUNTIF('INSTANCE C1'!$G$7:$G$50,'INSTANCE C1'!G8))+(COUNTIF('INSTANCE C2'!$G$7:$G$50,'INSTANCE C1'!G8))+(COUNTIF(INTERNES!$G$7:$G$50,'INSTANCE C1'!G8))+(COUNTIF('EN PANNE'!$G$7:$G$50,'INSTANCE C1'!G8))-I8</f>
        <v>0</v>
      </c>
      <c r="I8" s="23">
        <f>(COUNTIF('2S EXPRESS'!$A$7:$A$50,'INSTANCE C1'!G8))+(COUNTIF('2 ZT'!$A$7:$A$50,'INSTANCE C1'!G8))+(COUNTIF('GO TRANSPORT'!$A$7:$A$50,'INSTANCE C1'!G8))+(COUNTIF('HMZ - KAIS'!$A$7:$A$50,'INSTANCE C1'!G8))+(COUNTIF('IB TRANSPORT'!$A$7:$A$50,'INSTANCE C1'!G8))+(COUNTIF(JSL!$A$7:$A$50,'INSTANCE C1'!G8))+(COUNTIF(KIFAITOUT!$A$7:$A$50,'INSTANCE C1'!G8))+(COUNTIF('LUXE DRIVE'!$A$7:$A$50,'INSTANCE C1'!G8))+(COUNTIF(SSN!$A$7:$A$50,'INSTANCE C1'!G8))+(COUNTIF('W3'!$A$7:$A$50,'INSTANCE C1'!G8))+(COUNTIF('ATHIS MONS'!$A$7:$A$50,'INSTANCE C1'!G8))+(COUNTIF('L HAY LES ROSES'!$A$7:$A$50,'INSTANCE C1'!G8))+(COUNTIF(RUNGIS!$A$7:$A$50,'INSTANCE C1'!G8))+(COUNTIF(SCEAUX!$A$7:$A$50,'INSTANCE C1'!G8))+(COUNTIF('INSTANCE C1'!$A$7:$A$50,'INSTANCE C1'!G8))+(COUNTIF('INSTANCE C2'!$A$7:$A$50,'INSTANCE C1'!G8))+(COUNTIF(INTERNES!$A$7:$A$50,'INSTANCE C1'!G8))+(COUNTIF('EN PANNE'!$A$7:$A$50,'INSTANCE C1'!G8))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50"/>
      <c r="S8" s="60">
        <f t="shared" si="1"/>
        <v>0</v>
      </c>
      <c r="T8" s="67">
        <f t="shared" si="2"/>
        <v>0</v>
      </c>
    </row>
    <row r="9" spans="1:26" ht="24.95" customHeight="1" thickBot="1" x14ac:dyDescent="0.25">
      <c r="A9" s="20"/>
      <c r="B9" s="23">
        <f>(COUNTIF('2S EXPRESS'!$A$7:$A$50,'INSTANCE C1'!A9))+(COUNTIF('2 ZT'!$A$7:$A$50,'INSTANCE C1'!A9))+(COUNTIF('GO TRANSPORT'!$A$7:$A$50,'INSTANCE C1'!A9))+(COUNTIF('HMZ - KAIS'!$A$7:$A$50,'INSTANCE C1'!A9))+(COUNTIF('IB TRANSPORT'!$A$7:$A$50,'INSTANCE C1'!A9))+(COUNTIF(JSL!$A$7:$A$50,'INSTANCE C1'!A9))+(COUNTIF(KIFAITOUT!$A$7:$A$50,'INSTANCE C1'!A9))+(COUNTIF('LUXE DRIVE'!$A$7:$A$50,'INSTANCE C1'!A9))+(COUNTIF(SSN!$A$7:$A$50,'INSTANCE C1'!A9))+(COUNTIF('W3'!$A$7:$A$50,'INSTANCE C1'!A9))+(COUNTIF('ATHIS MONS'!$A$7:$A$50,'INSTANCE C1'!A9))+(COUNTIF('L HAY LES ROSES'!$A$7:$A$50,'INSTANCE C1'!A9))+(COUNTIF(RUNGIS!$A$7:$A$50,'INSTANCE C1'!A9))+(COUNTIF(SCEAUX!$A$7:$A$50,'INSTANCE C1'!A9))+(COUNTIF('INSTANCE C1'!$A$7:$A$50,'INSTANCE C1'!A9))+(COUNTIF('INSTANCE C2'!$A$7:$A$50,'INSTANCE C1'!A9))+(COUNTIF(INTERNES!$A$7:$A$50,'INSTANCE C1'!A9))+(COUNTIF('EN PANNE'!$A$7:$A$50,'INSTANCE C1'!A9))-C9</f>
        <v>0</v>
      </c>
      <c r="C9" s="23">
        <f>(COUNTIF('2S EXPRESS'!$G$7:$G$50,'INSTANCE C1'!A9))+(COUNTIF('2 ZT'!$G$7:$G$50,'INSTANCE C1'!A9))+(COUNTIF('GO TRANSPORT'!$G$7:$G$50,'INSTANCE C1'!A9))+(COUNTIF('INSTANCE C1'!$G$7:$G$50,'INSTANCE C1'!A9))+(COUNTIF('IB TRANSPORT'!$G$7:$G$50,'INSTANCE C1'!A9))+(COUNTIF(JSL!$G$7:$G$50,'INSTANCE C1'!A9))+(COUNTIF(KIFAITOUT!$G$7:$G$50,'INSTANCE C1'!A9))+(COUNTIF('LUXE DRIVE'!$G$7:$G$50,'INSTANCE C1'!A9))+(COUNTIF(SSN!$G$7:$G$50,'INSTANCE C1'!A9))+(COUNTIF('W3'!$G$7:$G$50,'INSTANCE C1'!A9))+(COUNTIF('ATHIS MONS'!$G$7:$G$50,'INSTANCE C1'!A9))+(COUNTIF('L HAY LES ROSES'!$G$7:$G$50,'INSTANCE C1'!A9))+(COUNTIF(RUNGIS!$G$7:$G$50,'INSTANCE C1'!A9))+(COUNTIF(SCEAUX!$G$7:$G$50,'INSTANCE C1'!A9))+(COUNTIF('INSTANCE C1'!$G$7:$G$50,'INSTANCE C1'!A9))+(COUNTIF('INSTANCE C2'!$G$7:$G$50,'INSTANCE C1'!A9))+(COUNTIF(INTERNES!$G$7:$G$50,'INSTANCE C1'!A9))+(COUNTIF('EN PANNE'!$G$7:$G$50,'INSTANCE C1'!A9))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EXPRESS'!$G$7:$G$50,'INSTANCE C1'!G9))+(COUNTIF('2 ZT'!$G$7:$G$50,'INSTANCE C1'!G9))+(COUNTIF('GO TRANSPORT'!$G$7:$G$50,'INSTANCE C1'!G9))+(COUNTIF('HMZ - KAIS'!$G$7:$G$50,'INSTANCE C1'!G9))+(COUNTIF('IB TRANSPORT'!$G$7:$G$50,'INSTANCE C1'!G9))+(COUNTIF(JSL!$G$7:$G$50,'INSTANCE C1'!G9))+(COUNTIF(KIFAITOUT!$G$7:$G$50,'INSTANCE C1'!G9))+(COUNTIF('LUXE DRIVE'!$G$7:$G$50,'INSTANCE C1'!G9))+(COUNTIF(SSN!$G$7:$G$50,'INSTANCE C1'!G9))+(COUNTIF('W3'!$G$7:$G$50,'INSTANCE C1'!G9))+(COUNTIF('ATHIS MONS'!$G$7:$G$50,'INSTANCE C1'!G9))+(COUNTIF('L HAY LES ROSES'!$G$7:$G$50,'INSTANCE C1'!G9))+(COUNTIF(RUNGIS!$G$7:$G$50,'INSTANCE C1'!G9))+(COUNTIF(SCEAUX!$G$7:$G$50,'INSTANCE C1'!G9))+(COUNTIF('INSTANCE C1'!$G$7:$G$50,'INSTANCE C1'!G9))+(COUNTIF('INSTANCE C2'!$G$7:$G$50,'INSTANCE C1'!G9))+(COUNTIF(INTERNES!$G$7:$G$50,'INSTANCE C1'!G9))+(COUNTIF('EN PANNE'!$G$7:$G$50,'INSTANCE C1'!G9))-I9</f>
        <v>0</v>
      </c>
      <c r="I9" s="23">
        <f>(COUNTIF('2S EXPRESS'!$A$7:$A$50,'INSTANCE C1'!G9))+(COUNTIF('2 ZT'!$A$7:$A$50,'INSTANCE C1'!G9))+(COUNTIF('GO TRANSPORT'!$A$7:$A$50,'INSTANCE C1'!G9))+(COUNTIF('HMZ - KAIS'!$A$7:$A$50,'INSTANCE C1'!G9))+(COUNTIF('IB TRANSPORT'!$A$7:$A$50,'INSTANCE C1'!G9))+(COUNTIF(JSL!$A$7:$A$50,'INSTANCE C1'!G9))+(COUNTIF(KIFAITOUT!$A$7:$A$50,'INSTANCE C1'!G9))+(COUNTIF('LUXE DRIVE'!$A$7:$A$50,'INSTANCE C1'!G9))+(COUNTIF(SSN!$A$7:$A$50,'INSTANCE C1'!G9))+(COUNTIF('W3'!$A$7:$A$50,'INSTANCE C1'!G9))+(COUNTIF('ATHIS MONS'!$A$7:$A$50,'INSTANCE C1'!G9))+(COUNTIF('L HAY LES ROSES'!$A$7:$A$50,'INSTANCE C1'!G9))+(COUNTIF(RUNGIS!$A$7:$A$50,'INSTANCE C1'!G9))+(COUNTIF(SCEAUX!$A$7:$A$50,'INSTANCE C1'!G9))+(COUNTIF('INSTANCE C1'!$A$7:$A$50,'INSTANCE C1'!G9))+(COUNTIF('INSTANCE C2'!$A$7:$A$50,'INSTANCE C1'!G9))+(COUNTIF(INTERNES!$A$7:$A$50,'INSTANCE C1'!G9))+(COUNTIF('EN PANNE'!$A$7:$A$50,'INSTANCE C1'!G9))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50"/>
      <c r="S9" s="60">
        <f t="shared" si="1"/>
        <v>0</v>
      </c>
      <c r="T9" s="67">
        <f t="shared" si="2"/>
        <v>0</v>
      </c>
    </row>
    <row r="10" spans="1:26" ht="24.95" customHeight="1" thickBot="1" x14ac:dyDescent="0.25">
      <c r="A10" s="20"/>
      <c r="B10" s="23">
        <f>(COUNTIF('2S EXPRESS'!$A$7:$A$50,'INSTANCE C1'!A10))+(COUNTIF('2 ZT'!$A$7:$A$50,'INSTANCE C1'!A10))+(COUNTIF('GO TRANSPORT'!$A$7:$A$50,'INSTANCE C1'!A10))+(COUNTIF('HMZ - KAIS'!$A$7:$A$50,'INSTANCE C1'!A10))+(COUNTIF('IB TRANSPORT'!$A$7:$A$50,'INSTANCE C1'!A10))+(COUNTIF(JSL!$A$7:$A$50,'INSTANCE C1'!A10))+(COUNTIF(KIFAITOUT!$A$7:$A$50,'INSTANCE C1'!A10))+(COUNTIF('LUXE DRIVE'!$A$7:$A$50,'INSTANCE C1'!A10))+(COUNTIF(SSN!$A$7:$A$50,'INSTANCE C1'!A10))+(COUNTIF('W3'!$A$7:$A$50,'INSTANCE C1'!A10))+(COUNTIF('ATHIS MONS'!$A$7:$A$50,'INSTANCE C1'!A10))+(COUNTIF('L HAY LES ROSES'!$A$7:$A$50,'INSTANCE C1'!A10))+(COUNTIF(RUNGIS!$A$7:$A$50,'INSTANCE C1'!A10))+(COUNTIF(SCEAUX!$A$7:$A$50,'INSTANCE C1'!A10))+(COUNTIF('INSTANCE C1'!$A$7:$A$50,'INSTANCE C1'!A10))+(COUNTIF('INSTANCE C2'!$A$7:$A$50,'INSTANCE C1'!A10))+(COUNTIF(INTERNES!$A$7:$A$50,'INSTANCE C1'!A10))+(COUNTIF('EN PANNE'!$A$7:$A$50,'INSTANCE C1'!A10))-C10</f>
        <v>0</v>
      </c>
      <c r="C10" s="23">
        <f>(COUNTIF('2S EXPRESS'!$G$7:$G$50,'INSTANCE C1'!A10))+(COUNTIF('2 ZT'!$G$7:$G$50,'INSTANCE C1'!A10))+(COUNTIF('GO TRANSPORT'!$G$7:$G$50,'INSTANCE C1'!A10))+(COUNTIF('INSTANCE C1'!$G$7:$G$50,'INSTANCE C1'!A10))+(COUNTIF('IB TRANSPORT'!$G$7:$G$50,'INSTANCE C1'!A10))+(COUNTIF(JSL!$G$7:$G$50,'INSTANCE C1'!A10))+(COUNTIF(KIFAITOUT!$G$7:$G$50,'INSTANCE C1'!A10))+(COUNTIF('LUXE DRIVE'!$G$7:$G$50,'INSTANCE C1'!A10))+(COUNTIF(SSN!$G$7:$G$50,'INSTANCE C1'!A10))+(COUNTIF('W3'!$G$7:$G$50,'INSTANCE C1'!A10))+(COUNTIF('ATHIS MONS'!$G$7:$G$50,'INSTANCE C1'!A10))+(COUNTIF('L HAY LES ROSES'!$G$7:$G$50,'INSTANCE C1'!A10))+(COUNTIF(RUNGIS!$G$7:$G$50,'INSTANCE C1'!A10))+(COUNTIF(SCEAUX!$G$7:$G$50,'INSTANCE C1'!A10))+(COUNTIF('INSTANCE C1'!$G$7:$G$50,'INSTANCE C1'!A10))+(COUNTIF('INSTANCE C2'!$G$7:$G$50,'INSTANCE C1'!A10))+(COUNTIF(INTERNES!$G$7:$G$50,'INSTANCE C1'!A10))+(COUNTIF('EN PANNE'!$G$7:$G$50,'INSTANCE C1'!A10))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EXPRESS'!$G$7:$G$50,'INSTANCE C1'!G10))+(COUNTIF('2 ZT'!$G$7:$G$50,'INSTANCE C1'!G10))+(COUNTIF('GO TRANSPORT'!$G$7:$G$50,'INSTANCE C1'!G10))+(COUNTIF('HMZ - KAIS'!$G$7:$G$50,'INSTANCE C1'!G10))+(COUNTIF('IB TRANSPORT'!$G$7:$G$50,'INSTANCE C1'!G10))+(COUNTIF(JSL!$G$7:$G$50,'INSTANCE C1'!G10))+(COUNTIF(KIFAITOUT!$G$7:$G$50,'INSTANCE C1'!G10))+(COUNTIF('LUXE DRIVE'!$G$7:$G$50,'INSTANCE C1'!G10))+(COUNTIF(SSN!$G$7:$G$50,'INSTANCE C1'!G10))+(COUNTIF('W3'!$G$7:$G$50,'INSTANCE C1'!G10))+(COUNTIF('ATHIS MONS'!$G$7:$G$50,'INSTANCE C1'!G10))+(COUNTIF('L HAY LES ROSES'!$G$7:$G$50,'INSTANCE C1'!G10))+(COUNTIF(RUNGIS!$G$7:$G$50,'INSTANCE C1'!G10))+(COUNTIF(SCEAUX!$G$7:$G$50,'INSTANCE C1'!G10))+(COUNTIF('INSTANCE C1'!$G$7:$G$50,'INSTANCE C1'!G10))+(COUNTIF('INSTANCE C2'!$G$7:$G$50,'INSTANCE C1'!G10))+(COUNTIF(INTERNES!$G$7:$G$50,'INSTANCE C1'!G10))+(COUNTIF('EN PANNE'!$G$7:$G$50,'INSTANCE C1'!G10))-I10</f>
        <v>0</v>
      </c>
      <c r="I10" s="23">
        <f>(COUNTIF('2S EXPRESS'!$A$7:$A$50,'INSTANCE C1'!G10))+(COUNTIF('2 ZT'!$A$7:$A$50,'INSTANCE C1'!G10))+(COUNTIF('GO TRANSPORT'!$A$7:$A$50,'INSTANCE C1'!G10))+(COUNTIF('HMZ - KAIS'!$A$7:$A$50,'INSTANCE C1'!G10))+(COUNTIF('IB TRANSPORT'!$A$7:$A$50,'INSTANCE C1'!G10))+(COUNTIF(JSL!$A$7:$A$50,'INSTANCE C1'!G10))+(COUNTIF(KIFAITOUT!$A$7:$A$50,'INSTANCE C1'!G10))+(COUNTIF('LUXE DRIVE'!$A$7:$A$50,'INSTANCE C1'!G10))+(COUNTIF(SSN!$A$7:$A$50,'INSTANCE C1'!G10))+(COUNTIF('W3'!$A$7:$A$50,'INSTANCE C1'!G10))+(COUNTIF('ATHIS MONS'!$A$7:$A$50,'INSTANCE C1'!G10))+(COUNTIF('L HAY LES ROSES'!$A$7:$A$50,'INSTANCE C1'!G10))+(COUNTIF(RUNGIS!$A$7:$A$50,'INSTANCE C1'!G10))+(COUNTIF(SCEAUX!$A$7:$A$50,'INSTANCE C1'!G10))+(COUNTIF('INSTANCE C1'!$A$7:$A$50,'INSTANCE C1'!G10))+(COUNTIF('INSTANCE C2'!$A$7:$A$50,'INSTANCE C1'!G10))+(COUNTIF(INTERNES!$A$7:$A$50,'INSTANCE C1'!G10))+(COUNTIF('EN PANNE'!$A$7:$A$50,'INSTANCE C1'!G10))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R10" s="50"/>
      <c r="S10" s="60">
        <f t="shared" si="1"/>
        <v>0</v>
      </c>
      <c r="T10" s="67">
        <f t="shared" si="2"/>
        <v>0</v>
      </c>
    </row>
    <row r="11" spans="1:26" ht="24.95" customHeight="1" thickBot="1" x14ac:dyDescent="0.25">
      <c r="A11" s="20"/>
      <c r="B11" s="23">
        <f>(COUNTIF('2S EXPRESS'!$A$7:$A$50,'INSTANCE C1'!A11))+(COUNTIF('2 ZT'!$A$7:$A$50,'INSTANCE C1'!A11))+(COUNTIF('GO TRANSPORT'!$A$7:$A$50,'INSTANCE C1'!A11))+(COUNTIF('HMZ - KAIS'!$A$7:$A$50,'INSTANCE C1'!A11))+(COUNTIF('IB TRANSPORT'!$A$7:$A$50,'INSTANCE C1'!A11))+(COUNTIF(JSL!$A$7:$A$50,'INSTANCE C1'!A11))+(COUNTIF(KIFAITOUT!$A$7:$A$50,'INSTANCE C1'!A11))+(COUNTIF('LUXE DRIVE'!$A$7:$A$50,'INSTANCE C1'!A11))+(COUNTIF(SSN!$A$7:$A$50,'INSTANCE C1'!A11))+(COUNTIF('W3'!$A$7:$A$50,'INSTANCE C1'!A11))+(COUNTIF('ATHIS MONS'!$A$7:$A$50,'INSTANCE C1'!A11))+(COUNTIF('L HAY LES ROSES'!$A$7:$A$50,'INSTANCE C1'!A11))+(COUNTIF(RUNGIS!$A$7:$A$50,'INSTANCE C1'!A11))+(COUNTIF(SCEAUX!$A$7:$A$50,'INSTANCE C1'!A11))+(COUNTIF('INSTANCE C1'!$A$7:$A$50,'INSTANCE C1'!A11))+(COUNTIF('INSTANCE C2'!$A$7:$A$50,'INSTANCE C1'!A11))+(COUNTIF(INTERNES!$A$7:$A$50,'INSTANCE C1'!A11))+(COUNTIF('EN PANNE'!$A$7:$A$50,'INSTANCE C1'!A11))-C11</f>
        <v>0</v>
      </c>
      <c r="C11" s="23">
        <f>(COUNTIF('2S EXPRESS'!$G$7:$G$50,'INSTANCE C1'!A11))+(COUNTIF('2 ZT'!$G$7:$G$50,'INSTANCE C1'!A11))+(COUNTIF('GO TRANSPORT'!$G$7:$G$50,'INSTANCE C1'!A11))+(COUNTIF('INSTANCE C1'!$G$7:$G$50,'INSTANCE C1'!A11))+(COUNTIF('IB TRANSPORT'!$G$7:$G$50,'INSTANCE C1'!A11))+(COUNTIF(JSL!$G$7:$G$50,'INSTANCE C1'!A11))+(COUNTIF(KIFAITOUT!$G$7:$G$50,'INSTANCE C1'!A11))+(COUNTIF('LUXE DRIVE'!$G$7:$G$50,'INSTANCE C1'!A11))+(COUNTIF(SSN!$G$7:$G$50,'INSTANCE C1'!A11))+(COUNTIF('W3'!$G$7:$G$50,'INSTANCE C1'!A11))+(COUNTIF('ATHIS MONS'!$G$7:$G$50,'INSTANCE C1'!A11))+(COUNTIF('L HAY LES ROSES'!$G$7:$G$50,'INSTANCE C1'!A11))+(COUNTIF(RUNGIS!$G$7:$G$50,'INSTANCE C1'!A11))+(COUNTIF(SCEAUX!$G$7:$G$50,'INSTANCE C1'!A11))+(COUNTIF('INSTANCE C1'!$G$7:$G$50,'INSTANCE C1'!A11))+(COUNTIF('INSTANCE C2'!$G$7:$G$50,'INSTANCE C1'!A11))+(COUNTIF(INTERNES!$G$7:$G$50,'INSTANCE C1'!A11))+(COUNTIF('EN PANNE'!$G$7:$G$50,'INSTANCE C1'!A11))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EXPRESS'!$G$7:$G$50,'INSTANCE C1'!G11))+(COUNTIF('2 ZT'!$G$7:$G$50,'INSTANCE C1'!G11))+(COUNTIF('GO TRANSPORT'!$G$7:$G$50,'INSTANCE C1'!G11))+(COUNTIF('HMZ - KAIS'!$G$7:$G$50,'INSTANCE C1'!G11))+(COUNTIF('IB TRANSPORT'!$G$7:$G$50,'INSTANCE C1'!G11))+(COUNTIF(JSL!$G$7:$G$50,'INSTANCE C1'!G11))+(COUNTIF(KIFAITOUT!$G$7:$G$50,'INSTANCE C1'!G11))+(COUNTIF('LUXE DRIVE'!$G$7:$G$50,'INSTANCE C1'!G11))+(COUNTIF(SSN!$G$7:$G$50,'INSTANCE C1'!G11))+(COUNTIF('W3'!$G$7:$G$50,'INSTANCE C1'!G11))+(COUNTIF('ATHIS MONS'!$G$7:$G$50,'INSTANCE C1'!G11))+(COUNTIF('L HAY LES ROSES'!$G$7:$G$50,'INSTANCE C1'!G11))+(COUNTIF(RUNGIS!$G$7:$G$50,'INSTANCE C1'!G11))+(COUNTIF(SCEAUX!$G$7:$G$50,'INSTANCE C1'!G11))+(COUNTIF('INSTANCE C1'!$G$7:$G$50,'INSTANCE C1'!G11))+(COUNTIF('INSTANCE C2'!$G$7:$G$50,'INSTANCE C1'!G11))+(COUNTIF(INTERNES!$G$7:$G$50,'INSTANCE C1'!G11))+(COUNTIF('EN PANNE'!$G$7:$G$50,'INSTANCE C1'!G11))-I11</f>
        <v>0</v>
      </c>
      <c r="I11" s="23">
        <f>(COUNTIF('2S EXPRESS'!$A$7:$A$50,'INSTANCE C1'!G11))+(COUNTIF('2 ZT'!$A$7:$A$50,'INSTANCE C1'!G11))+(COUNTIF('GO TRANSPORT'!$A$7:$A$50,'INSTANCE C1'!G11))+(COUNTIF('HMZ - KAIS'!$A$7:$A$50,'INSTANCE C1'!G11))+(COUNTIF('IB TRANSPORT'!$A$7:$A$50,'INSTANCE C1'!G11))+(COUNTIF(JSL!$A$7:$A$50,'INSTANCE C1'!G11))+(COUNTIF(KIFAITOUT!$A$7:$A$50,'INSTANCE C1'!G11))+(COUNTIF('LUXE DRIVE'!$A$7:$A$50,'INSTANCE C1'!G11))+(COUNTIF(SSN!$A$7:$A$50,'INSTANCE C1'!G11))+(COUNTIF('W3'!$A$7:$A$50,'INSTANCE C1'!G11))+(COUNTIF('ATHIS MONS'!$A$7:$A$50,'INSTANCE C1'!G11))+(COUNTIF('L HAY LES ROSES'!$A$7:$A$50,'INSTANCE C1'!G11))+(COUNTIF(RUNGIS!$A$7:$A$50,'INSTANCE C1'!G11))+(COUNTIF(SCEAUX!$A$7:$A$50,'INSTANCE C1'!G11))+(COUNTIF('INSTANCE C1'!$A$7:$A$50,'INSTANCE C1'!G11))+(COUNTIF('INSTANCE C2'!$A$7:$A$50,'INSTANCE C1'!G11))+(COUNTIF(INTERNES!$A$7:$A$50,'INSTANCE C1'!G11))+(COUNTIF('EN PANNE'!$A$7:$A$50,'INSTANCE C1'!G11))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R11" s="50"/>
      <c r="S11" s="60">
        <f t="shared" si="1"/>
        <v>0</v>
      </c>
      <c r="T11" s="67">
        <f t="shared" si="2"/>
        <v>0</v>
      </c>
    </row>
    <row r="12" spans="1:26" ht="24.95" customHeight="1" thickBot="1" x14ac:dyDescent="0.25">
      <c r="A12" s="20"/>
      <c r="B12" s="23">
        <f>(COUNTIF('2S EXPRESS'!$A$7:$A$50,'INSTANCE C1'!A12))+(COUNTIF('2 ZT'!$A$7:$A$50,'INSTANCE C1'!A12))+(COUNTIF('GO TRANSPORT'!$A$7:$A$50,'INSTANCE C1'!A12))+(COUNTIF('HMZ - KAIS'!$A$7:$A$50,'INSTANCE C1'!A12))+(COUNTIF('IB TRANSPORT'!$A$7:$A$50,'INSTANCE C1'!A12))+(COUNTIF(JSL!$A$7:$A$50,'INSTANCE C1'!A12))+(COUNTIF(KIFAITOUT!$A$7:$A$50,'INSTANCE C1'!A12))+(COUNTIF('LUXE DRIVE'!$A$7:$A$50,'INSTANCE C1'!A12))+(COUNTIF(SSN!$A$7:$A$50,'INSTANCE C1'!A12))+(COUNTIF('W3'!$A$7:$A$50,'INSTANCE C1'!A12))+(COUNTIF('ATHIS MONS'!$A$7:$A$50,'INSTANCE C1'!A12))+(COUNTIF('L HAY LES ROSES'!$A$7:$A$50,'INSTANCE C1'!A12))+(COUNTIF(RUNGIS!$A$7:$A$50,'INSTANCE C1'!A12))+(COUNTIF(SCEAUX!$A$7:$A$50,'INSTANCE C1'!A12))+(COUNTIF('INSTANCE C1'!$A$7:$A$50,'INSTANCE C1'!A12))+(COUNTIF('INSTANCE C2'!$A$7:$A$50,'INSTANCE C1'!A12))+(COUNTIF(INTERNES!$A$7:$A$50,'INSTANCE C1'!A12))+(COUNTIF('EN PANNE'!$A$7:$A$50,'INSTANCE C1'!A12))-C12</f>
        <v>0</v>
      </c>
      <c r="C12" s="23">
        <f>(COUNTIF('2S EXPRESS'!$G$7:$G$50,'INSTANCE C1'!A12))+(COUNTIF('2 ZT'!$G$7:$G$50,'INSTANCE C1'!A12))+(COUNTIF('GO TRANSPORT'!$G$7:$G$50,'INSTANCE C1'!A12))+(COUNTIF('INSTANCE C1'!$G$7:$G$50,'INSTANCE C1'!A12))+(COUNTIF('IB TRANSPORT'!$G$7:$G$50,'INSTANCE C1'!A12))+(COUNTIF(JSL!$G$7:$G$50,'INSTANCE C1'!A12))+(COUNTIF(KIFAITOUT!$G$7:$G$50,'INSTANCE C1'!A12))+(COUNTIF('LUXE DRIVE'!$G$7:$G$50,'INSTANCE C1'!A12))+(COUNTIF(SSN!$G$7:$G$50,'INSTANCE C1'!A12))+(COUNTIF('W3'!$G$7:$G$50,'INSTANCE C1'!A12))+(COUNTIF('ATHIS MONS'!$G$7:$G$50,'INSTANCE C1'!A12))+(COUNTIF('L HAY LES ROSES'!$G$7:$G$50,'INSTANCE C1'!A12))+(COUNTIF(RUNGIS!$G$7:$G$50,'INSTANCE C1'!A12))+(COUNTIF(SCEAUX!$G$7:$G$50,'INSTANCE C1'!A12))+(COUNTIF('INSTANCE C1'!$G$7:$G$50,'INSTANCE C1'!A12))+(COUNTIF('INSTANCE C2'!$G$7:$G$50,'INSTANCE C1'!A12))+(COUNTIF(INTERNES!$G$7:$G$50,'INSTANCE C1'!A12))+(COUNTIF('EN PANNE'!$G$7:$G$50,'INSTANCE C1'!A12))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EXPRESS'!$G$7:$G$50,'INSTANCE C1'!G12))+(COUNTIF('2 ZT'!$G$7:$G$50,'INSTANCE C1'!G12))+(COUNTIF('GO TRANSPORT'!$G$7:$G$50,'INSTANCE C1'!G12))+(COUNTIF('HMZ - KAIS'!$G$7:$G$50,'INSTANCE C1'!G12))+(COUNTIF('IB TRANSPORT'!$G$7:$G$50,'INSTANCE C1'!G12))+(COUNTIF(JSL!$G$7:$G$50,'INSTANCE C1'!G12))+(COUNTIF(KIFAITOUT!$G$7:$G$50,'INSTANCE C1'!G12))+(COUNTIF('LUXE DRIVE'!$G$7:$G$50,'INSTANCE C1'!G12))+(COUNTIF(SSN!$G$7:$G$50,'INSTANCE C1'!G12))+(COUNTIF('W3'!$G$7:$G$50,'INSTANCE C1'!G12))+(COUNTIF('ATHIS MONS'!$G$7:$G$50,'INSTANCE C1'!G12))+(COUNTIF('L HAY LES ROSES'!$G$7:$G$50,'INSTANCE C1'!G12))+(COUNTIF(RUNGIS!$G$7:$G$50,'INSTANCE C1'!G12))+(COUNTIF(SCEAUX!$G$7:$G$50,'INSTANCE C1'!G12))+(COUNTIF('INSTANCE C1'!$G$7:$G$50,'INSTANCE C1'!G12))+(COUNTIF('INSTANCE C2'!$G$7:$G$50,'INSTANCE C1'!G12))+(COUNTIF(INTERNES!$G$7:$G$50,'INSTANCE C1'!G12))+(COUNTIF('EN PANNE'!$G$7:$G$50,'INSTANCE C1'!G12))-I12</f>
        <v>0</v>
      </c>
      <c r="I12" s="23">
        <f>(COUNTIF('2S EXPRESS'!$A$7:$A$50,'INSTANCE C1'!G12))+(COUNTIF('2 ZT'!$A$7:$A$50,'INSTANCE C1'!G12))+(COUNTIF('GO TRANSPORT'!$A$7:$A$50,'INSTANCE C1'!G12))+(COUNTIF('HMZ - KAIS'!$A$7:$A$50,'INSTANCE C1'!G12))+(COUNTIF('IB TRANSPORT'!$A$7:$A$50,'INSTANCE C1'!G12))+(COUNTIF(JSL!$A$7:$A$50,'INSTANCE C1'!G12))+(COUNTIF(KIFAITOUT!$A$7:$A$50,'INSTANCE C1'!G12))+(COUNTIF('LUXE DRIVE'!$A$7:$A$50,'INSTANCE C1'!G12))+(COUNTIF(SSN!$A$7:$A$50,'INSTANCE C1'!G12))+(COUNTIF('W3'!$A$7:$A$50,'INSTANCE C1'!G12))+(COUNTIF('ATHIS MONS'!$A$7:$A$50,'INSTANCE C1'!G12))+(COUNTIF('L HAY LES ROSES'!$A$7:$A$50,'INSTANCE C1'!G12))+(COUNTIF(RUNGIS!$A$7:$A$50,'INSTANCE C1'!G12))+(COUNTIF(SCEAUX!$A$7:$A$50,'INSTANCE C1'!G12))+(COUNTIF('INSTANCE C1'!$A$7:$A$50,'INSTANCE C1'!G12))+(COUNTIF('INSTANCE C2'!$A$7:$A$50,'INSTANCE C1'!G12))+(COUNTIF(INTERNES!$A$7:$A$50,'INSTANCE C1'!G12))+(COUNTIF('EN PANNE'!$A$7:$A$50,'INSTANCE C1'!G12))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R12" s="50"/>
      <c r="S12" s="60">
        <f t="shared" si="1"/>
        <v>0</v>
      </c>
      <c r="T12" s="67">
        <f t="shared" si="2"/>
        <v>0</v>
      </c>
    </row>
    <row r="13" spans="1:26" ht="24.95" customHeight="1" x14ac:dyDescent="0.2">
      <c r="A13" s="20"/>
      <c r="B13" s="23">
        <f>(COUNTIF('2S EXPRESS'!$A$7:$A$50,'INSTANCE C1'!A13))+(COUNTIF('2 ZT'!$A$7:$A$50,'INSTANCE C1'!A13))+(COUNTIF('GO TRANSPORT'!$A$7:$A$50,'INSTANCE C1'!A13))+(COUNTIF('HMZ - KAIS'!$A$7:$A$50,'INSTANCE C1'!A13))+(COUNTIF('IB TRANSPORT'!$A$7:$A$50,'INSTANCE C1'!A13))+(COUNTIF(JSL!$A$7:$A$50,'INSTANCE C1'!A13))+(COUNTIF(KIFAITOUT!$A$7:$A$50,'INSTANCE C1'!A13))+(COUNTIF('LUXE DRIVE'!$A$7:$A$50,'INSTANCE C1'!A13))+(COUNTIF(SSN!$A$7:$A$50,'INSTANCE C1'!A13))+(COUNTIF('W3'!$A$7:$A$50,'INSTANCE C1'!A13))+(COUNTIF('ATHIS MONS'!$A$7:$A$50,'INSTANCE C1'!A13))+(COUNTIF('L HAY LES ROSES'!$A$7:$A$50,'INSTANCE C1'!A13))+(COUNTIF(RUNGIS!$A$7:$A$50,'INSTANCE C1'!A13))+(COUNTIF(SCEAUX!$A$7:$A$50,'INSTANCE C1'!A13))+(COUNTIF('INSTANCE C1'!$A$7:$A$50,'INSTANCE C1'!A13))+(COUNTIF('INSTANCE C2'!$A$7:$A$50,'INSTANCE C1'!A13))+(COUNTIF(INTERNES!$A$7:$A$50,'INSTANCE C1'!A13))+(COUNTIF('EN PANNE'!$A$7:$A$50,'INSTANCE C1'!A13))-C13</f>
        <v>0</v>
      </c>
      <c r="C13" s="23">
        <f>(COUNTIF('2S EXPRESS'!$G$7:$G$50,'INSTANCE C1'!A13))+(COUNTIF('2 ZT'!$G$7:$G$50,'INSTANCE C1'!A13))+(COUNTIF('GO TRANSPORT'!$G$7:$G$50,'INSTANCE C1'!A13))+(COUNTIF('INSTANCE C1'!$G$7:$G$50,'INSTANCE C1'!A13))+(COUNTIF('IB TRANSPORT'!$G$7:$G$50,'INSTANCE C1'!A13))+(COUNTIF(JSL!$G$7:$G$50,'INSTANCE C1'!A13))+(COUNTIF(KIFAITOUT!$G$7:$G$50,'INSTANCE C1'!A13))+(COUNTIF('LUXE DRIVE'!$G$7:$G$50,'INSTANCE C1'!A13))+(COUNTIF(SSN!$G$7:$G$50,'INSTANCE C1'!A13))+(COUNTIF('W3'!$G$7:$G$50,'INSTANCE C1'!A13))+(COUNTIF('ATHIS MONS'!$G$7:$G$50,'INSTANCE C1'!A13))+(COUNTIF('L HAY LES ROSES'!$G$7:$G$50,'INSTANCE C1'!A13))+(COUNTIF(RUNGIS!$G$7:$G$50,'INSTANCE C1'!A13))+(COUNTIF(SCEAUX!$G$7:$G$50,'INSTANCE C1'!A13))+(COUNTIF('INSTANCE C1'!$G$7:$G$50,'INSTANCE C1'!A13))+(COUNTIF('INSTANCE C2'!$G$7:$G$50,'INSTANCE C1'!A13))+(COUNTIF(INTERNES!$G$7:$G$50,'INSTANCE C1'!A13))+(COUNTIF('EN PANNE'!$G$7:$G$50,'INSTANCE C1'!A13))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EXPRESS'!$G$7:$G$50,'INSTANCE C1'!G13))+(COUNTIF('2 ZT'!$G$7:$G$50,'INSTANCE C1'!G13))+(COUNTIF('GO TRANSPORT'!$G$7:$G$50,'INSTANCE C1'!G13))+(COUNTIF('HMZ - KAIS'!$G$7:$G$50,'INSTANCE C1'!G13))+(COUNTIF('IB TRANSPORT'!$G$7:$G$50,'INSTANCE C1'!G13))+(COUNTIF(JSL!$G$7:$G$50,'INSTANCE C1'!G13))+(COUNTIF(KIFAITOUT!$G$7:$G$50,'INSTANCE C1'!G13))+(COUNTIF('LUXE DRIVE'!$G$7:$G$50,'INSTANCE C1'!G13))+(COUNTIF(SSN!$G$7:$G$50,'INSTANCE C1'!G13))+(COUNTIF('W3'!$G$7:$G$50,'INSTANCE C1'!G13))+(COUNTIF('ATHIS MONS'!$G$7:$G$50,'INSTANCE C1'!G13))+(COUNTIF('L HAY LES ROSES'!$G$7:$G$50,'INSTANCE C1'!G13))+(COUNTIF(RUNGIS!$G$7:$G$50,'INSTANCE C1'!G13))+(COUNTIF(SCEAUX!$G$7:$G$50,'INSTANCE C1'!G13))+(COUNTIF('INSTANCE C1'!$G$7:$G$50,'INSTANCE C1'!G13))+(COUNTIF('INSTANCE C2'!$G$7:$G$50,'INSTANCE C1'!G13))+(COUNTIF(INTERNES!$G$7:$G$50,'INSTANCE C1'!G13))+(COUNTIF('EN PANNE'!$G$7:$G$50,'INSTANCE C1'!G13))-I13</f>
        <v>0</v>
      </c>
      <c r="I13" s="23">
        <f>(COUNTIF('2S EXPRESS'!$A$7:$A$50,'INSTANCE C1'!G13))+(COUNTIF('2 ZT'!$A$7:$A$50,'INSTANCE C1'!G13))+(COUNTIF('GO TRANSPORT'!$A$7:$A$50,'INSTANCE C1'!G13))+(COUNTIF('HMZ - KAIS'!$A$7:$A$50,'INSTANCE C1'!G13))+(COUNTIF('IB TRANSPORT'!$A$7:$A$50,'INSTANCE C1'!G13))+(COUNTIF(JSL!$A$7:$A$50,'INSTANCE C1'!G13))+(COUNTIF(KIFAITOUT!$A$7:$A$50,'INSTANCE C1'!G13))+(COUNTIF('LUXE DRIVE'!$A$7:$A$50,'INSTANCE C1'!G13))+(COUNTIF(SSN!$A$7:$A$50,'INSTANCE C1'!G13))+(COUNTIF('W3'!$A$7:$A$50,'INSTANCE C1'!G13))+(COUNTIF('ATHIS MONS'!$A$7:$A$50,'INSTANCE C1'!G13))+(COUNTIF('L HAY LES ROSES'!$A$7:$A$50,'INSTANCE C1'!G13))+(COUNTIF(RUNGIS!$A$7:$A$50,'INSTANCE C1'!G13))+(COUNTIF(SCEAUX!$A$7:$A$50,'INSTANCE C1'!G13))+(COUNTIF('INSTANCE C1'!$A$7:$A$50,'INSTANCE C1'!G13))+(COUNTIF('INSTANCE C2'!$A$7:$A$50,'INSTANCE C1'!G13))+(COUNTIF(INTERNES!$A$7:$A$50,'INSTANCE C1'!G13))+(COUNTIF('EN PANNE'!$A$7:$A$50,'INSTANCE C1'!G13))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S13" s="60">
        <f t="shared" si="1"/>
        <v>0</v>
      </c>
      <c r="T13" s="67">
        <f t="shared" si="2"/>
        <v>0</v>
      </c>
    </row>
    <row r="14" spans="1:26" ht="24.95" customHeight="1" x14ac:dyDescent="0.2">
      <c r="A14" s="20"/>
      <c r="B14" s="23">
        <f>(COUNTIF('2S EXPRESS'!$A$7:$A$50,'INSTANCE C1'!A14))+(COUNTIF('2 ZT'!$A$7:$A$50,'INSTANCE C1'!A14))+(COUNTIF('GO TRANSPORT'!$A$7:$A$50,'INSTANCE C1'!A14))+(COUNTIF('HMZ - KAIS'!$A$7:$A$50,'INSTANCE C1'!A14))+(COUNTIF('IB TRANSPORT'!$A$7:$A$50,'INSTANCE C1'!A14))+(COUNTIF(JSL!$A$7:$A$50,'INSTANCE C1'!A14))+(COUNTIF(KIFAITOUT!$A$7:$A$50,'INSTANCE C1'!A14))+(COUNTIF('LUXE DRIVE'!$A$7:$A$50,'INSTANCE C1'!A14))+(COUNTIF(SSN!$A$7:$A$50,'INSTANCE C1'!A14))+(COUNTIF('W3'!$A$7:$A$50,'INSTANCE C1'!A14))+(COUNTIF('ATHIS MONS'!$A$7:$A$50,'INSTANCE C1'!A14))+(COUNTIF('L HAY LES ROSES'!$A$7:$A$50,'INSTANCE C1'!A14))+(COUNTIF(RUNGIS!$A$7:$A$50,'INSTANCE C1'!A14))+(COUNTIF(SCEAUX!$A$7:$A$50,'INSTANCE C1'!A14))+(COUNTIF('INSTANCE C1'!$A$7:$A$50,'INSTANCE C1'!A14))+(COUNTIF('INSTANCE C2'!$A$7:$A$50,'INSTANCE C1'!A14))+(COUNTIF(INTERNES!$A$7:$A$50,'INSTANCE C1'!A14))+(COUNTIF('EN PANNE'!$A$7:$A$50,'INSTANCE C1'!A14))-C14</f>
        <v>0</v>
      </c>
      <c r="C14" s="23">
        <f>(COUNTIF('2S EXPRESS'!$G$7:$G$50,'INSTANCE C1'!A14))+(COUNTIF('2 ZT'!$G$7:$G$50,'INSTANCE C1'!A14))+(COUNTIF('GO TRANSPORT'!$G$7:$G$50,'INSTANCE C1'!A14))+(COUNTIF('INSTANCE C1'!$G$7:$G$50,'INSTANCE C1'!A14))+(COUNTIF('IB TRANSPORT'!$G$7:$G$50,'INSTANCE C1'!A14))+(COUNTIF(JSL!$G$7:$G$50,'INSTANCE C1'!A14))+(COUNTIF(KIFAITOUT!$G$7:$G$50,'INSTANCE C1'!A14))+(COUNTIF('LUXE DRIVE'!$G$7:$G$50,'INSTANCE C1'!A14))+(COUNTIF(SSN!$G$7:$G$50,'INSTANCE C1'!A14))+(COUNTIF('W3'!$G$7:$G$50,'INSTANCE C1'!A14))+(COUNTIF('ATHIS MONS'!$G$7:$G$50,'INSTANCE C1'!A14))+(COUNTIF('L HAY LES ROSES'!$G$7:$G$50,'INSTANCE C1'!A14))+(COUNTIF(RUNGIS!$G$7:$G$50,'INSTANCE C1'!A14))+(COUNTIF(SCEAUX!$G$7:$G$50,'INSTANCE C1'!A14))+(COUNTIF('INSTANCE C1'!$G$7:$G$50,'INSTANCE C1'!A14))+(COUNTIF('INSTANCE C2'!$G$7:$G$50,'INSTANCE C1'!A14))+(COUNTIF(INTERNES!$G$7:$G$50,'INSTANCE C1'!A14))+(COUNTIF('EN PANNE'!$G$7:$G$50,'INSTANCE C1'!A14))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EXPRESS'!$G$7:$G$50,'INSTANCE C1'!G14))+(COUNTIF('2 ZT'!$G$7:$G$50,'INSTANCE C1'!G14))+(COUNTIF('GO TRANSPORT'!$G$7:$G$50,'INSTANCE C1'!G14))+(COUNTIF('HMZ - KAIS'!$G$7:$G$50,'INSTANCE C1'!G14))+(COUNTIF('IB TRANSPORT'!$G$7:$G$50,'INSTANCE C1'!G14))+(COUNTIF(JSL!$G$7:$G$50,'INSTANCE C1'!G14))+(COUNTIF(KIFAITOUT!$G$7:$G$50,'INSTANCE C1'!G14))+(COUNTIF('LUXE DRIVE'!$G$7:$G$50,'INSTANCE C1'!G14))+(COUNTIF(SSN!$G$7:$G$50,'INSTANCE C1'!G14))+(COUNTIF('W3'!$G$7:$G$50,'INSTANCE C1'!G14))+(COUNTIF('ATHIS MONS'!$G$7:$G$50,'INSTANCE C1'!G14))+(COUNTIF('L HAY LES ROSES'!$G$7:$G$50,'INSTANCE C1'!G14))+(COUNTIF(RUNGIS!$G$7:$G$50,'INSTANCE C1'!G14))+(COUNTIF(SCEAUX!$G$7:$G$50,'INSTANCE C1'!G14))+(COUNTIF('INSTANCE C1'!$G$7:$G$50,'INSTANCE C1'!G14))+(COUNTIF('INSTANCE C2'!$G$7:$G$50,'INSTANCE C1'!G14))+(COUNTIF(INTERNES!$G$7:$G$50,'INSTANCE C1'!G14))+(COUNTIF('EN PANNE'!$G$7:$G$50,'INSTANCE C1'!G14))-I14</f>
        <v>0</v>
      </c>
      <c r="I14" s="23">
        <f>(COUNTIF('2S EXPRESS'!$A$7:$A$50,'INSTANCE C1'!G14))+(COUNTIF('2 ZT'!$A$7:$A$50,'INSTANCE C1'!G14))+(COUNTIF('GO TRANSPORT'!$A$7:$A$50,'INSTANCE C1'!G14))+(COUNTIF('HMZ - KAIS'!$A$7:$A$50,'INSTANCE C1'!G14))+(COUNTIF('IB TRANSPORT'!$A$7:$A$50,'INSTANCE C1'!G14))+(COUNTIF(JSL!$A$7:$A$50,'INSTANCE C1'!G14))+(COUNTIF(KIFAITOUT!$A$7:$A$50,'INSTANCE C1'!G14))+(COUNTIF('LUXE DRIVE'!$A$7:$A$50,'INSTANCE C1'!G14))+(COUNTIF(SSN!$A$7:$A$50,'INSTANCE C1'!G14))+(COUNTIF('W3'!$A$7:$A$50,'INSTANCE C1'!G14))+(COUNTIF('ATHIS MONS'!$A$7:$A$50,'INSTANCE C1'!G14))+(COUNTIF('L HAY LES ROSES'!$A$7:$A$50,'INSTANCE C1'!G14))+(COUNTIF(RUNGIS!$A$7:$A$50,'INSTANCE C1'!G14))+(COUNTIF(SCEAUX!$A$7:$A$50,'INSTANCE C1'!G14))+(COUNTIF('INSTANCE C1'!$A$7:$A$50,'INSTANCE C1'!G14))+(COUNTIF('INSTANCE C2'!$A$7:$A$50,'INSTANCE C1'!G14))+(COUNTIF(INTERNES!$A$7:$A$50,'INSTANCE C1'!G14))+(COUNTIF('EN PANNE'!$A$7:$A$50,'INSTANCE C1'!G14))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S14" s="60">
        <f t="shared" si="1"/>
        <v>0</v>
      </c>
      <c r="T14" s="67">
        <f t="shared" si="2"/>
        <v>0</v>
      </c>
    </row>
    <row r="15" spans="1:26" ht="24.95" customHeight="1" x14ac:dyDescent="0.2">
      <c r="A15" s="20"/>
      <c r="B15" s="23">
        <f>(COUNTIF('2S EXPRESS'!$A$7:$A$50,'INSTANCE C1'!A15))+(COUNTIF('2 ZT'!$A$7:$A$50,'INSTANCE C1'!A15))+(COUNTIF('GO TRANSPORT'!$A$7:$A$50,'INSTANCE C1'!A15))+(COUNTIF('HMZ - KAIS'!$A$7:$A$50,'INSTANCE C1'!A15))+(COUNTIF('IB TRANSPORT'!$A$7:$A$50,'INSTANCE C1'!A15))+(COUNTIF(JSL!$A$7:$A$50,'INSTANCE C1'!A15))+(COUNTIF(KIFAITOUT!$A$7:$A$50,'INSTANCE C1'!A15))+(COUNTIF('LUXE DRIVE'!$A$7:$A$50,'INSTANCE C1'!A15))+(COUNTIF(SSN!$A$7:$A$50,'INSTANCE C1'!A15))+(COUNTIF('W3'!$A$7:$A$50,'INSTANCE C1'!A15))+(COUNTIF('ATHIS MONS'!$A$7:$A$50,'INSTANCE C1'!A15))+(COUNTIF('L HAY LES ROSES'!$A$7:$A$50,'INSTANCE C1'!A15))+(COUNTIF(RUNGIS!$A$7:$A$50,'INSTANCE C1'!A15))+(COUNTIF(SCEAUX!$A$7:$A$50,'INSTANCE C1'!A15))+(COUNTIF('INSTANCE C1'!$A$7:$A$50,'INSTANCE C1'!A15))+(COUNTIF('INSTANCE C2'!$A$7:$A$50,'INSTANCE C1'!A15))+(COUNTIF(INTERNES!$A$7:$A$50,'INSTANCE C1'!A15))+(COUNTIF('EN PANNE'!$A$7:$A$50,'INSTANCE C1'!A15))-C15</f>
        <v>0</v>
      </c>
      <c r="C15" s="23">
        <f>(COUNTIF('2S EXPRESS'!$G$7:$G$50,'INSTANCE C1'!A15))+(COUNTIF('2 ZT'!$G$7:$G$50,'INSTANCE C1'!A15))+(COUNTIF('GO TRANSPORT'!$G$7:$G$50,'INSTANCE C1'!A15))+(COUNTIF('INSTANCE C1'!$G$7:$G$50,'INSTANCE C1'!A15))+(COUNTIF('IB TRANSPORT'!$G$7:$G$50,'INSTANCE C1'!A15))+(COUNTIF(JSL!$G$7:$G$50,'INSTANCE C1'!A15))+(COUNTIF(KIFAITOUT!$G$7:$G$50,'INSTANCE C1'!A15))+(COUNTIF('LUXE DRIVE'!$G$7:$G$50,'INSTANCE C1'!A15))+(COUNTIF(SSN!$G$7:$G$50,'INSTANCE C1'!A15))+(COUNTIF('W3'!$G$7:$G$50,'INSTANCE C1'!A15))+(COUNTIF('ATHIS MONS'!$G$7:$G$50,'INSTANCE C1'!A15))+(COUNTIF('L HAY LES ROSES'!$G$7:$G$50,'INSTANCE C1'!A15))+(COUNTIF(RUNGIS!$G$7:$G$50,'INSTANCE C1'!A15))+(COUNTIF(SCEAUX!$G$7:$G$50,'INSTANCE C1'!A15))+(COUNTIF('INSTANCE C1'!$G$7:$G$50,'INSTANCE C1'!A15))+(COUNTIF('INSTANCE C2'!$G$7:$G$50,'INSTANCE C1'!A15))+(COUNTIF(INTERNES!$G$7:$G$50,'INSTANCE C1'!A15))+(COUNTIF('EN PANNE'!$G$7:$G$50,'INSTANCE C1'!A15))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EXPRESS'!$G$7:$G$50,'INSTANCE C1'!G15))+(COUNTIF('2 ZT'!$G$7:$G$50,'INSTANCE C1'!G15))+(COUNTIF('GO TRANSPORT'!$G$7:$G$50,'INSTANCE C1'!G15))+(COUNTIF('HMZ - KAIS'!$G$7:$G$50,'INSTANCE C1'!G15))+(COUNTIF('IB TRANSPORT'!$G$7:$G$50,'INSTANCE C1'!G15))+(COUNTIF(JSL!$G$7:$G$50,'INSTANCE C1'!G15))+(COUNTIF(KIFAITOUT!$G$7:$G$50,'INSTANCE C1'!G15))+(COUNTIF('LUXE DRIVE'!$G$7:$G$50,'INSTANCE C1'!G15))+(COUNTIF(SSN!$G$7:$G$50,'INSTANCE C1'!G15))+(COUNTIF('W3'!$G$7:$G$50,'INSTANCE C1'!G15))+(COUNTIF('ATHIS MONS'!$G$7:$G$50,'INSTANCE C1'!G15))+(COUNTIF('L HAY LES ROSES'!$G$7:$G$50,'INSTANCE C1'!G15))+(COUNTIF(RUNGIS!$G$7:$G$50,'INSTANCE C1'!G15))+(COUNTIF(SCEAUX!$G$7:$G$50,'INSTANCE C1'!G15))+(COUNTIF('INSTANCE C1'!$G$7:$G$50,'INSTANCE C1'!G15))+(COUNTIF('INSTANCE C2'!$G$7:$G$50,'INSTANCE C1'!G15))+(COUNTIF(INTERNES!$G$7:$G$50,'INSTANCE C1'!G15))+(COUNTIF('EN PANNE'!$G$7:$G$50,'INSTANCE C1'!G15))-I15</f>
        <v>0</v>
      </c>
      <c r="I15" s="23">
        <f>(COUNTIF('2S EXPRESS'!$A$7:$A$50,'INSTANCE C1'!G15))+(COUNTIF('2 ZT'!$A$7:$A$50,'INSTANCE C1'!G15))+(COUNTIF('GO TRANSPORT'!$A$7:$A$50,'INSTANCE C1'!G15))+(COUNTIF('HMZ - KAIS'!$A$7:$A$50,'INSTANCE C1'!G15))+(COUNTIF('IB TRANSPORT'!$A$7:$A$50,'INSTANCE C1'!G15))+(COUNTIF(JSL!$A$7:$A$50,'INSTANCE C1'!G15))+(COUNTIF(KIFAITOUT!$A$7:$A$50,'INSTANCE C1'!G15))+(COUNTIF('LUXE DRIVE'!$A$7:$A$50,'INSTANCE C1'!G15))+(COUNTIF(SSN!$A$7:$A$50,'INSTANCE C1'!G15))+(COUNTIF('W3'!$A$7:$A$50,'INSTANCE C1'!G15))+(COUNTIF('ATHIS MONS'!$A$7:$A$50,'INSTANCE C1'!G15))+(COUNTIF('L HAY LES ROSES'!$A$7:$A$50,'INSTANCE C1'!G15))+(COUNTIF(RUNGIS!$A$7:$A$50,'INSTANCE C1'!G15))+(COUNTIF(SCEAUX!$A$7:$A$50,'INSTANCE C1'!G15))+(COUNTIF('INSTANCE C1'!$A$7:$A$50,'INSTANCE C1'!G15))+(COUNTIF('INSTANCE C2'!$A$7:$A$50,'INSTANCE C1'!G15))+(COUNTIF(INTERNES!$A$7:$A$50,'INSTANCE C1'!G15))+(COUNTIF('EN PANNE'!$A$7:$A$50,'INSTANCE C1'!G15))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S15" s="60">
        <f t="shared" si="1"/>
        <v>0</v>
      </c>
      <c r="T15" s="67">
        <f t="shared" si="2"/>
        <v>0</v>
      </c>
    </row>
    <row r="16" spans="1:26" ht="24.95" customHeight="1" x14ac:dyDescent="0.2">
      <c r="A16" s="20"/>
      <c r="B16" s="23">
        <f>(COUNTIF('2S EXPRESS'!$A$7:$A$50,'INSTANCE C1'!A16))+(COUNTIF('2 ZT'!$A$7:$A$50,'INSTANCE C1'!A16))+(COUNTIF('GO TRANSPORT'!$A$7:$A$50,'INSTANCE C1'!A16))+(COUNTIF('HMZ - KAIS'!$A$7:$A$50,'INSTANCE C1'!A16))+(COUNTIF('IB TRANSPORT'!$A$7:$A$50,'INSTANCE C1'!A16))+(COUNTIF(JSL!$A$7:$A$50,'INSTANCE C1'!A16))+(COUNTIF(KIFAITOUT!$A$7:$A$50,'INSTANCE C1'!A16))+(COUNTIF('LUXE DRIVE'!$A$7:$A$50,'INSTANCE C1'!A16))+(COUNTIF(SSN!$A$7:$A$50,'INSTANCE C1'!A16))+(COUNTIF('W3'!$A$7:$A$50,'INSTANCE C1'!A16))+(COUNTIF('ATHIS MONS'!$A$7:$A$50,'INSTANCE C1'!A16))+(COUNTIF('L HAY LES ROSES'!$A$7:$A$50,'INSTANCE C1'!A16))+(COUNTIF(RUNGIS!$A$7:$A$50,'INSTANCE C1'!A16))+(COUNTIF(SCEAUX!$A$7:$A$50,'INSTANCE C1'!A16))+(COUNTIF('INSTANCE C1'!$A$7:$A$50,'INSTANCE C1'!A16))+(COUNTIF('INSTANCE C2'!$A$7:$A$50,'INSTANCE C1'!A16))+(COUNTIF(INTERNES!$A$7:$A$50,'INSTANCE C1'!A16))+(COUNTIF('EN PANNE'!$A$7:$A$50,'INSTANCE C1'!A16))-C16</f>
        <v>0</v>
      </c>
      <c r="C16" s="23">
        <f>(COUNTIF('2S EXPRESS'!$G$7:$G$50,'INSTANCE C1'!A16))+(COUNTIF('2 ZT'!$G$7:$G$50,'INSTANCE C1'!A16))+(COUNTIF('GO TRANSPORT'!$G$7:$G$50,'INSTANCE C1'!A16))+(COUNTIF('INSTANCE C1'!$G$7:$G$50,'INSTANCE C1'!A16))+(COUNTIF('IB TRANSPORT'!$G$7:$G$50,'INSTANCE C1'!A16))+(COUNTIF(JSL!$G$7:$G$50,'INSTANCE C1'!A16))+(COUNTIF(KIFAITOUT!$G$7:$G$50,'INSTANCE C1'!A16))+(COUNTIF('LUXE DRIVE'!$G$7:$G$50,'INSTANCE C1'!A16))+(COUNTIF(SSN!$G$7:$G$50,'INSTANCE C1'!A16))+(COUNTIF('W3'!$G$7:$G$50,'INSTANCE C1'!A16))+(COUNTIF('ATHIS MONS'!$G$7:$G$50,'INSTANCE C1'!A16))+(COUNTIF('L HAY LES ROSES'!$G$7:$G$50,'INSTANCE C1'!A16))+(COUNTIF(RUNGIS!$G$7:$G$50,'INSTANCE C1'!A16))+(COUNTIF(SCEAUX!$G$7:$G$50,'INSTANCE C1'!A16))+(COUNTIF('INSTANCE C1'!$G$7:$G$50,'INSTANCE C1'!A16))+(COUNTIF('INSTANCE C2'!$G$7:$G$50,'INSTANCE C1'!A16))+(COUNTIF(INTERNES!$G$7:$G$50,'INSTANCE C1'!A16))+(COUNTIF('EN PANNE'!$G$7:$G$50,'INSTANCE C1'!A16))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EXPRESS'!$G$7:$G$50,'INSTANCE C1'!G16))+(COUNTIF('2 ZT'!$G$7:$G$50,'INSTANCE C1'!G16))+(COUNTIF('GO TRANSPORT'!$G$7:$G$50,'INSTANCE C1'!G16))+(COUNTIF('HMZ - KAIS'!$G$7:$G$50,'INSTANCE C1'!G16))+(COUNTIF('IB TRANSPORT'!$G$7:$G$50,'INSTANCE C1'!G16))+(COUNTIF(JSL!$G$7:$G$50,'INSTANCE C1'!G16))+(COUNTIF(KIFAITOUT!$G$7:$G$50,'INSTANCE C1'!G16))+(COUNTIF('LUXE DRIVE'!$G$7:$G$50,'INSTANCE C1'!G16))+(COUNTIF(SSN!$G$7:$G$50,'INSTANCE C1'!G16))+(COUNTIF('W3'!$G$7:$G$50,'INSTANCE C1'!G16))+(COUNTIF('ATHIS MONS'!$G$7:$G$50,'INSTANCE C1'!G16))+(COUNTIF('L HAY LES ROSES'!$G$7:$G$50,'INSTANCE C1'!G16))+(COUNTIF(RUNGIS!$G$7:$G$50,'INSTANCE C1'!G16))+(COUNTIF(SCEAUX!$G$7:$G$50,'INSTANCE C1'!G16))+(COUNTIF('INSTANCE C1'!$G$7:$G$50,'INSTANCE C1'!G16))+(COUNTIF('INSTANCE C2'!$G$7:$G$50,'INSTANCE C1'!G16))+(COUNTIF(INTERNES!$G$7:$G$50,'INSTANCE C1'!G16))+(COUNTIF('EN PANNE'!$G$7:$G$50,'INSTANCE C1'!G16))-I16</f>
        <v>0</v>
      </c>
      <c r="I16" s="23">
        <f>(COUNTIF('2S EXPRESS'!$A$7:$A$50,'INSTANCE C1'!G16))+(COUNTIF('2 ZT'!$A$7:$A$50,'INSTANCE C1'!G16))+(COUNTIF('GO TRANSPORT'!$A$7:$A$50,'INSTANCE C1'!G16))+(COUNTIF('HMZ - KAIS'!$A$7:$A$50,'INSTANCE C1'!G16))+(COUNTIF('IB TRANSPORT'!$A$7:$A$50,'INSTANCE C1'!G16))+(COUNTIF(JSL!$A$7:$A$50,'INSTANCE C1'!G16))+(COUNTIF(KIFAITOUT!$A$7:$A$50,'INSTANCE C1'!G16))+(COUNTIF('LUXE DRIVE'!$A$7:$A$50,'INSTANCE C1'!G16))+(COUNTIF(SSN!$A$7:$A$50,'INSTANCE C1'!G16))+(COUNTIF('W3'!$A$7:$A$50,'INSTANCE C1'!G16))+(COUNTIF('ATHIS MONS'!$A$7:$A$50,'INSTANCE C1'!G16))+(COUNTIF('L HAY LES ROSES'!$A$7:$A$50,'INSTANCE C1'!G16))+(COUNTIF(RUNGIS!$A$7:$A$50,'INSTANCE C1'!G16))+(COUNTIF(SCEAUX!$A$7:$A$50,'INSTANCE C1'!G16))+(COUNTIF('INSTANCE C1'!$A$7:$A$50,'INSTANCE C1'!G16))+(COUNTIF('INSTANCE C2'!$A$7:$A$50,'INSTANCE C1'!G16))+(COUNTIF(INTERNES!$A$7:$A$50,'INSTANCE C1'!G16))+(COUNTIF('EN PANNE'!$A$7:$A$50,'INSTANCE C1'!G16))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S16" s="60">
        <f t="shared" si="1"/>
        <v>0</v>
      </c>
      <c r="T16" s="67">
        <f t="shared" si="2"/>
        <v>0</v>
      </c>
    </row>
    <row r="17" spans="1:20" ht="24.95" customHeight="1" x14ac:dyDescent="0.2">
      <c r="A17" s="20"/>
      <c r="B17" s="23">
        <f>(COUNTIF('2S EXPRESS'!$A$7:$A$50,'INSTANCE C1'!A17))+(COUNTIF('2 ZT'!$A$7:$A$50,'INSTANCE C1'!A17))+(COUNTIF('GO TRANSPORT'!$A$7:$A$50,'INSTANCE C1'!A17))+(COUNTIF('HMZ - KAIS'!$A$7:$A$50,'INSTANCE C1'!A17))+(COUNTIF('IB TRANSPORT'!$A$7:$A$50,'INSTANCE C1'!A17))+(COUNTIF(JSL!$A$7:$A$50,'INSTANCE C1'!A17))+(COUNTIF(KIFAITOUT!$A$7:$A$50,'INSTANCE C1'!A17))+(COUNTIF('LUXE DRIVE'!$A$7:$A$50,'INSTANCE C1'!A17))+(COUNTIF(SSN!$A$7:$A$50,'INSTANCE C1'!A17))+(COUNTIF('W3'!$A$7:$A$50,'INSTANCE C1'!A17))+(COUNTIF('ATHIS MONS'!$A$7:$A$50,'INSTANCE C1'!A17))+(COUNTIF('L HAY LES ROSES'!$A$7:$A$50,'INSTANCE C1'!A17))+(COUNTIF(RUNGIS!$A$7:$A$50,'INSTANCE C1'!A17))+(COUNTIF(SCEAUX!$A$7:$A$50,'INSTANCE C1'!A17))+(COUNTIF('INSTANCE C1'!$A$7:$A$50,'INSTANCE C1'!A17))+(COUNTIF('INSTANCE C2'!$A$7:$A$50,'INSTANCE C1'!A17))+(COUNTIF(INTERNES!$A$7:$A$50,'INSTANCE C1'!A17))+(COUNTIF('EN PANNE'!$A$7:$A$50,'INSTANCE C1'!A17))-C17</f>
        <v>0</v>
      </c>
      <c r="C17" s="23">
        <f>(COUNTIF('2S EXPRESS'!$G$7:$G$50,'INSTANCE C1'!A17))+(COUNTIF('2 ZT'!$G$7:$G$50,'INSTANCE C1'!A17))+(COUNTIF('GO TRANSPORT'!$G$7:$G$50,'INSTANCE C1'!A17))+(COUNTIF('INSTANCE C1'!$G$7:$G$50,'INSTANCE C1'!A17))+(COUNTIF('IB TRANSPORT'!$G$7:$G$50,'INSTANCE C1'!A17))+(COUNTIF(JSL!$G$7:$G$50,'INSTANCE C1'!A17))+(COUNTIF(KIFAITOUT!$G$7:$G$50,'INSTANCE C1'!A17))+(COUNTIF('LUXE DRIVE'!$G$7:$G$50,'INSTANCE C1'!A17))+(COUNTIF(SSN!$G$7:$G$50,'INSTANCE C1'!A17))+(COUNTIF('W3'!$G$7:$G$50,'INSTANCE C1'!A17))+(COUNTIF('ATHIS MONS'!$G$7:$G$50,'INSTANCE C1'!A17))+(COUNTIF('L HAY LES ROSES'!$G$7:$G$50,'INSTANCE C1'!A17))+(COUNTIF(RUNGIS!$G$7:$G$50,'INSTANCE C1'!A17))+(COUNTIF(SCEAUX!$G$7:$G$50,'INSTANCE C1'!A17))+(COUNTIF('INSTANCE C1'!$G$7:$G$50,'INSTANCE C1'!A17))+(COUNTIF('INSTANCE C2'!$G$7:$G$50,'INSTANCE C1'!A17))+(COUNTIF(INTERNES!$G$7:$G$50,'INSTANCE C1'!A17))+(COUNTIF('EN PANNE'!$G$7:$G$50,'INSTANCE C1'!A17))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EXPRESS'!$G$7:$G$50,'INSTANCE C1'!G17))+(COUNTIF('2 ZT'!$G$7:$G$50,'INSTANCE C1'!G17))+(COUNTIF('GO TRANSPORT'!$G$7:$G$50,'INSTANCE C1'!G17))+(COUNTIF('HMZ - KAIS'!$G$7:$G$50,'INSTANCE C1'!G17))+(COUNTIF('IB TRANSPORT'!$G$7:$G$50,'INSTANCE C1'!G17))+(COUNTIF(JSL!$G$7:$G$50,'INSTANCE C1'!G17))+(COUNTIF(KIFAITOUT!$G$7:$G$50,'INSTANCE C1'!G17))+(COUNTIF('LUXE DRIVE'!$G$7:$G$50,'INSTANCE C1'!G17))+(COUNTIF(SSN!$G$7:$G$50,'INSTANCE C1'!G17))+(COUNTIF('W3'!$G$7:$G$50,'INSTANCE C1'!G17))+(COUNTIF('ATHIS MONS'!$G$7:$G$50,'INSTANCE C1'!G17))+(COUNTIF('L HAY LES ROSES'!$G$7:$G$50,'INSTANCE C1'!G17))+(COUNTIF(RUNGIS!$G$7:$G$50,'INSTANCE C1'!G17))+(COUNTIF(SCEAUX!$G$7:$G$50,'INSTANCE C1'!G17))+(COUNTIF('INSTANCE C1'!$G$7:$G$50,'INSTANCE C1'!G17))+(COUNTIF('INSTANCE C2'!$G$7:$G$50,'INSTANCE C1'!G17))+(COUNTIF(INTERNES!$G$7:$G$50,'INSTANCE C1'!G17))+(COUNTIF('EN PANNE'!$G$7:$G$50,'INSTANCE C1'!G17))-I17</f>
        <v>0</v>
      </c>
      <c r="I17" s="23">
        <f>(COUNTIF('2S EXPRESS'!$A$7:$A$50,'INSTANCE C1'!G17))+(COUNTIF('2 ZT'!$A$7:$A$50,'INSTANCE C1'!G17))+(COUNTIF('GO TRANSPORT'!$A$7:$A$50,'INSTANCE C1'!G17))+(COUNTIF('HMZ - KAIS'!$A$7:$A$50,'INSTANCE C1'!G17))+(COUNTIF('IB TRANSPORT'!$A$7:$A$50,'INSTANCE C1'!G17))+(COUNTIF(JSL!$A$7:$A$50,'INSTANCE C1'!G17))+(COUNTIF(KIFAITOUT!$A$7:$A$50,'INSTANCE C1'!G17))+(COUNTIF('LUXE DRIVE'!$A$7:$A$50,'INSTANCE C1'!G17))+(COUNTIF(SSN!$A$7:$A$50,'INSTANCE C1'!G17))+(COUNTIF('W3'!$A$7:$A$50,'INSTANCE C1'!G17))+(COUNTIF('ATHIS MONS'!$A$7:$A$50,'INSTANCE C1'!G17))+(COUNTIF('L HAY LES ROSES'!$A$7:$A$50,'INSTANCE C1'!G17))+(COUNTIF(RUNGIS!$A$7:$A$50,'INSTANCE C1'!G17))+(COUNTIF(SCEAUX!$A$7:$A$50,'INSTANCE C1'!G17))+(COUNTIF('INSTANCE C1'!$A$7:$A$50,'INSTANCE C1'!G17))+(COUNTIF('INSTANCE C2'!$A$7:$A$50,'INSTANCE C1'!G17))+(COUNTIF(INTERNES!$A$7:$A$50,'INSTANCE C1'!G17))+(COUNTIF('EN PANNE'!$A$7:$A$50,'INSTANCE C1'!G17))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S17" s="60">
        <f t="shared" si="1"/>
        <v>0</v>
      </c>
      <c r="T17" s="67">
        <f t="shared" si="2"/>
        <v>0</v>
      </c>
    </row>
    <row r="18" spans="1:20" ht="24.95" customHeight="1" x14ac:dyDescent="0.2">
      <c r="A18" s="20"/>
      <c r="B18" s="23">
        <f>(COUNTIF('2S EXPRESS'!$A$7:$A$50,'INSTANCE C1'!A18))+(COUNTIF('2 ZT'!$A$7:$A$50,'INSTANCE C1'!A18))+(COUNTIF('GO TRANSPORT'!$A$7:$A$50,'INSTANCE C1'!A18))+(COUNTIF('HMZ - KAIS'!$A$7:$A$50,'INSTANCE C1'!A18))+(COUNTIF('IB TRANSPORT'!$A$7:$A$50,'INSTANCE C1'!A18))+(COUNTIF(JSL!$A$7:$A$50,'INSTANCE C1'!A18))+(COUNTIF(KIFAITOUT!$A$7:$A$50,'INSTANCE C1'!A18))+(COUNTIF('LUXE DRIVE'!$A$7:$A$50,'INSTANCE C1'!A18))+(COUNTIF(SSN!$A$7:$A$50,'INSTANCE C1'!A18))+(COUNTIF('W3'!$A$7:$A$50,'INSTANCE C1'!A18))+(COUNTIF('ATHIS MONS'!$A$7:$A$50,'INSTANCE C1'!A18))+(COUNTIF('L HAY LES ROSES'!$A$7:$A$50,'INSTANCE C1'!A18))+(COUNTIF(RUNGIS!$A$7:$A$50,'INSTANCE C1'!A18))+(COUNTIF(SCEAUX!$A$7:$A$50,'INSTANCE C1'!A18))+(COUNTIF('INSTANCE C1'!$A$7:$A$50,'INSTANCE C1'!A18))+(COUNTIF('INSTANCE C2'!$A$7:$A$50,'INSTANCE C1'!A18))+(COUNTIF(INTERNES!$A$7:$A$50,'INSTANCE C1'!A18))+(COUNTIF('EN PANNE'!$A$7:$A$50,'INSTANCE C1'!A18))-C18</f>
        <v>0</v>
      </c>
      <c r="C18" s="23">
        <f>(COUNTIF('2S EXPRESS'!$G$7:$G$50,'INSTANCE C1'!A18))+(COUNTIF('2 ZT'!$G$7:$G$50,'INSTANCE C1'!A18))+(COUNTIF('GO TRANSPORT'!$G$7:$G$50,'INSTANCE C1'!A18))+(COUNTIF('INSTANCE C1'!$G$7:$G$50,'INSTANCE C1'!A18))+(COUNTIF('IB TRANSPORT'!$G$7:$G$50,'INSTANCE C1'!A18))+(COUNTIF(JSL!$G$7:$G$50,'INSTANCE C1'!A18))+(COUNTIF(KIFAITOUT!$G$7:$G$50,'INSTANCE C1'!A18))+(COUNTIF('LUXE DRIVE'!$G$7:$G$50,'INSTANCE C1'!A18))+(COUNTIF(SSN!$G$7:$G$50,'INSTANCE C1'!A18))+(COUNTIF('W3'!$G$7:$G$50,'INSTANCE C1'!A18))+(COUNTIF('ATHIS MONS'!$G$7:$G$50,'INSTANCE C1'!A18))+(COUNTIF('L HAY LES ROSES'!$G$7:$G$50,'INSTANCE C1'!A18))+(COUNTIF(RUNGIS!$G$7:$G$50,'INSTANCE C1'!A18))+(COUNTIF(SCEAUX!$G$7:$G$50,'INSTANCE C1'!A18))+(COUNTIF('INSTANCE C1'!$G$7:$G$50,'INSTANCE C1'!A18))+(COUNTIF('INSTANCE C2'!$G$7:$G$50,'INSTANCE C1'!A18))+(COUNTIF(INTERNES!$G$7:$G$50,'INSTANCE C1'!A18))+(COUNTIF('EN PANNE'!$G$7:$G$50,'INSTANCE C1'!A18))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EXPRESS'!$G$7:$G$50,'INSTANCE C1'!G18))+(COUNTIF('2 ZT'!$G$7:$G$50,'INSTANCE C1'!G18))+(COUNTIF('GO TRANSPORT'!$G$7:$G$50,'INSTANCE C1'!G18))+(COUNTIF('HMZ - KAIS'!$G$7:$G$50,'INSTANCE C1'!G18))+(COUNTIF('IB TRANSPORT'!$G$7:$G$50,'INSTANCE C1'!G18))+(COUNTIF(JSL!$G$7:$G$50,'INSTANCE C1'!G18))+(COUNTIF(KIFAITOUT!$G$7:$G$50,'INSTANCE C1'!G18))+(COUNTIF('LUXE DRIVE'!$G$7:$G$50,'INSTANCE C1'!G18))+(COUNTIF(SSN!$G$7:$G$50,'INSTANCE C1'!G18))+(COUNTIF('W3'!$G$7:$G$50,'INSTANCE C1'!G18))+(COUNTIF('ATHIS MONS'!$G$7:$G$50,'INSTANCE C1'!G18))+(COUNTIF('L HAY LES ROSES'!$G$7:$G$50,'INSTANCE C1'!G18))+(COUNTIF(RUNGIS!$G$7:$G$50,'INSTANCE C1'!G18))+(COUNTIF(SCEAUX!$G$7:$G$50,'INSTANCE C1'!G18))+(COUNTIF('INSTANCE C1'!$G$7:$G$50,'INSTANCE C1'!G18))+(COUNTIF('INSTANCE C2'!$G$7:$G$50,'INSTANCE C1'!G18))+(COUNTIF(INTERNES!$G$7:$G$50,'INSTANCE C1'!G18))+(COUNTIF('EN PANNE'!$G$7:$G$50,'INSTANCE C1'!G18))-I18</f>
        <v>0</v>
      </c>
      <c r="I18" s="23">
        <f>(COUNTIF('2S EXPRESS'!$A$7:$A$50,'INSTANCE C1'!G18))+(COUNTIF('2 ZT'!$A$7:$A$50,'INSTANCE C1'!G18))+(COUNTIF('GO TRANSPORT'!$A$7:$A$50,'INSTANCE C1'!G18))+(COUNTIF('HMZ - KAIS'!$A$7:$A$50,'INSTANCE C1'!G18))+(COUNTIF('IB TRANSPORT'!$A$7:$A$50,'INSTANCE C1'!G18))+(COUNTIF(JSL!$A$7:$A$50,'INSTANCE C1'!G18))+(COUNTIF(KIFAITOUT!$A$7:$A$50,'INSTANCE C1'!G18))+(COUNTIF('LUXE DRIVE'!$A$7:$A$50,'INSTANCE C1'!G18))+(COUNTIF(SSN!$A$7:$A$50,'INSTANCE C1'!G18))+(COUNTIF('W3'!$A$7:$A$50,'INSTANCE C1'!G18))+(COUNTIF('ATHIS MONS'!$A$7:$A$50,'INSTANCE C1'!G18))+(COUNTIF('L HAY LES ROSES'!$A$7:$A$50,'INSTANCE C1'!G18))+(COUNTIF(RUNGIS!$A$7:$A$50,'INSTANCE C1'!G18))+(COUNTIF(SCEAUX!$A$7:$A$50,'INSTANCE C1'!G18))+(COUNTIF('INSTANCE C1'!$A$7:$A$50,'INSTANCE C1'!G18))+(COUNTIF('INSTANCE C2'!$A$7:$A$50,'INSTANCE C1'!G18))+(COUNTIF(INTERNES!$A$7:$A$50,'INSTANCE C1'!G18))+(COUNTIF('EN PANNE'!$A$7:$A$50,'INSTANCE C1'!G18))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S18" s="60">
        <f t="shared" si="1"/>
        <v>0</v>
      </c>
      <c r="T18" s="67">
        <f t="shared" si="2"/>
        <v>0</v>
      </c>
    </row>
    <row r="19" spans="1:20" ht="24.95" customHeight="1" x14ac:dyDescent="0.2">
      <c r="A19" s="20"/>
      <c r="B19" s="23">
        <f>(COUNTIF('2S EXPRESS'!$A$7:$A$50,'INSTANCE C1'!A19))+(COUNTIF('2 ZT'!$A$7:$A$50,'INSTANCE C1'!A19))+(COUNTIF('GO TRANSPORT'!$A$7:$A$50,'INSTANCE C1'!A19))+(COUNTIF('HMZ - KAIS'!$A$7:$A$50,'INSTANCE C1'!A19))+(COUNTIF('IB TRANSPORT'!$A$7:$A$50,'INSTANCE C1'!A19))+(COUNTIF(JSL!$A$7:$A$50,'INSTANCE C1'!A19))+(COUNTIF(KIFAITOUT!$A$7:$A$50,'INSTANCE C1'!A19))+(COUNTIF('LUXE DRIVE'!$A$7:$A$50,'INSTANCE C1'!A19))+(COUNTIF(SSN!$A$7:$A$50,'INSTANCE C1'!A19))+(COUNTIF('W3'!$A$7:$A$50,'INSTANCE C1'!A19))+(COUNTIF('ATHIS MONS'!$A$7:$A$50,'INSTANCE C1'!A19))+(COUNTIF('L HAY LES ROSES'!$A$7:$A$50,'INSTANCE C1'!A19))+(COUNTIF(RUNGIS!$A$7:$A$50,'INSTANCE C1'!A19))+(COUNTIF(SCEAUX!$A$7:$A$50,'INSTANCE C1'!A19))+(COUNTIF('INSTANCE C1'!$A$7:$A$50,'INSTANCE C1'!A19))+(COUNTIF('INSTANCE C2'!$A$7:$A$50,'INSTANCE C1'!A19))+(COUNTIF(INTERNES!$A$7:$A$50,'INSTANCE C1'!A19))+(COUNTIF('EN PANNE'!$A$7:$A$50,'INSTANCE C1'!A19))-C19</f>
        <v>0</v>
      </c>
      <c r="C19" s="23">
        <f>(COUNTIF('2S EXPRESS'!$G$7:$G$50,'INSTANCE C1'!A19))+(COUNTIF('2 ZT'!$G$7:$G$50,'INSTANCE C1'!A19))+(COUNTIF('GO TRANSPORT'!$G$7:$G$50,'INSTANCE C1'!A19))+(COUNTIF('INSTANCE C1'!$G$7:$G$50,'INSTANCE C1'!A19))+(COUNTIF('IB TRANSPORT'!$G$7:$G$50,'INSTANCE C1'!A19))+(COUNTIF(JSL!$G$7:$G$50,'INSTANCE C1'!A19))+(COUNTIF(KIFAITOUT!$G$7:$G$50,'INSTANCE C1'!A19))+(COUNTIF('LUXE DRIVE'!$G$7:$G$50,'INSTANCE C1'!A19))+(COUNTIF(SSN!$G$7:$G$50,'INSTANCE C1'!A19))+(COUNTIF('W3'!$G$7:$G$50,'INSTANCE C1'!A19))+(COUNTIF('ATHIS MONS'!$G$7:$G$50,'INSTANCE C1'!A19))+(COUNTIF('L HAY LES ROSES'!$G$7:$G$50,'INSTANCE C1'!A19))+(COUNTIF(RUNGIS!$G$7:$G$50,'INSTANCE C1'!A19))+(COUNTIF(SCEAUX!$G$7:$G$50,'INSTANCE C1'!A19))+(COUNTIF('INSTANCE C1'!$G$7:$G$50,'INSTANCE C1'!A19))+(COUNTIF('INSTANCE C2'!$G$7:$G$50,'INSTANCE C1'!A19))+(COUNTIF(INTERNES!$G$7:$G$50,'INSTANCE C1'!A19))+(COUNTIF('EN PANNE'!$G$7:$G$50,'INSTANCE C1'!A19))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EXPRESS'!$G$7:$G$50,'INSTANCE C1'!G19))+(COUNTIF('2 ZT'!$G$7:$G$50,'INSTANCE C1'!G19))+(COUNTIF('GO TRANSPORT'!$G$7:$G$50,'INSTANCE C1'!G19))+(COUNTIF('HMZ - KAIS'!$G$7:$G$50,'INSTANCE C1'!G19))+(COUNTIF('IB TRANSPORT'!$G$7:$G$50,'INSTANCE C1'!G19))+(COUNTIF(JSL!$G$7:$G$50,'INSTANCE C1'!G19))+(COUNTIF(KIFAITOUT!$G$7:$G$50,'INSTANCE C1'!G19))+(COUNTIF('LUXE DRIVE'!$G$7:$G$50,'INSTANCE C1'!G19))+(COUNTIF(SSN!$G$7:$G$50,'INSTANCE C1'!G19))+(COUNTIF('W3'!$G$7:$G$50,'INSTANCE C1'!G19))+(COUNTIF('ATHIS MONS'!$G$7:$G$50,'INSTANCE C1'!G19))+(COUNTIF('L HAY LES ROSES'!$G$7:$G$50,'INSTANCE C1'!G19))+(COUNTIF(RUNGIS!$G$7:$G$50,'INSTANCE C1'!G19))+(COUNTIF(SCEAUX!$G$7:$G$50,'INSTANCE C1'!G19))+(COUNTIF('INSTANCE C1'!$G$7:$G$50,'INSTANCE C1'!G19))+(COUNTIF('INSTANCE C2'!$G$7:$G$50,'INSTANCE C1'!G19))+(COUNTIF(INTERNES!$G$7:$G$50,'INSTANCE C1'!G19))+(COUNTIF('EN PANNE'!$G$7:$G$50,'INSTANCE C1'!G19))-I19</f>
        <v>0</v>
      </c>
      <c r="I19" s="23">
        <f>(COUNTIF('2S EXPRESS'!$A$7:$A$50,'INSTANCE C1'!G19))+(COUNTIF('2 ZT'!$A$7:$A$50,'INSTANCE C1'!G19))+(COUNTIF('GO TRANSPORT'!$A$7:$A$50,'INSTANCE C1'!G19))+(COUNTIF('HMZ - KAIS'!$A$7:$A$50,'INSTANCE C1'!G19))+(COUNTIF('IB TRANSPORT'!$A$7:$A$50,'INSTANCE C1'!G19))+(COUNTIF(JSL!$A$7:$A$50,'INSTANCE C1'!G19))+(COUNTIF(KIFAITOUT!$A$7:$A$50,'INSTANCE C1'!G19))+(COUNTIF('LUXE DRIVE'!$A$7:$A$50,'INSTANCE C1'!G19))+(COUNTIF(SSN!$A$7:$A$50,'INSTANCE C1'!G19))+(COUNTIF('W3'!$A$7:$A$50,'INSTANCE C1'!G19))+(COUNTIF('ATHIS MONS'!$A$7:$A$50,'INSTANCE C1'!G19))+(COUNTIF('L HAY LES ROSES'!$A$7:$A$50,'INSTANCE C1'!G19))+(COUNTIF(RUNGIS!$A$7:$A$50,'INSTANCE C1'!G19))+(COUNTIF(SCEAUX!$A$7:$A$50,'INSTANCE C1'!G19))+(COUNTIF('INSTANCE C1'!$A$7:$A$50,'INSTANCE C1'!G19))+(COUNTIF('INSTANCE C2'!$A$7:$A$50,'INSTANCE C1'!G19))+(COUNTIF(INTERNES!$A$7:$A$50,'INSTANCE C1'!G19))+(COUNTIF('EN PANNE'!$A$7:$A$50,'INSTANCE C1'!G19))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S19" s="60">
        <f t="shared" si="1"/>
        <v>0</v>
      </c>
      <c r="T19" s="67">
        <f t="shared" si="2"/>
        <v>0</v>
      </c>
    </row>
    <row r="20" spans="1:20" ht="24.95" customHeight="1" x14ac:dyDescent="0.2">
      <c r="A20" s="20"/>
      <c r="B20" s="23">
        <f>(COUNTIF('2S EXPRESS'!$A$7:$A$50,'INSTANCE C1'!A20))+(COUNTIF('2 ZT'!$A$7:$A$50,'INSTANCE C1'!A20))+(COUNTIF('GO TRANSPORT'!$A$7:$A$50,'INSTANCE C1'!A20))+(COUNTIF('HMZ - KAIS'!$A$7:$A$50,'INSTANCE C1'!A20))+(COUNTIF('IB TRANSPORT'!$A$7:$A$50,'INSTANCE C1'!A20))+(COUNTIF(JSL!$A$7:$A$50,'INSTANCE C1'!A20))+(COUNTIF(KIFAITOUT!$A$7:$A$50,'INSTANCE C1'!A20))+(COUNTIF('LUXE DRIVE'!$A$7:$A$50,'INSTANCE C1'!A20))+(COUNTIF(SSN!$A$7:$A$50,'INSTANCE C1'!A20))+(COUNTIF('W3'!$A$7:$A$50,'INSTANCE C1'!A20))+(COUNTIF('ATHIS MONS'!$A$7:$A$50,'INSTANCE C1'!A20))+(COUNTIF('L HAY LES ROSES'!$A$7:$A$50,'INSTANCE C1'!A20))+(COUNTIF(RUNGIS!$A$7:$A$50,'INSTANCE C1'!A20))+(COUNTIF(SCEAUX!$A$7:$A$50,'INSTANCE C1'!A20))+(COUNTIF('INSTANCE C1'!$A$7:$A$50,'INSTANCE C1'!A20))+(COUNTIF('INSTANCE C2'!$A$7:$A$50,'INSTANCE C1'!A20))+(COUNTIF(INTERNES!$A$7:$A$50,'INSTANCE C1'!A20))+(COUNTIF('EN PANNE'!$A$7:$A$50,'INSTANCE C1'!A20))-C20</f>
        <v>0</v>
      </c>
      <c r="C20" s="23">
        <f>(COUNTIF('2S EXPRESS'!$G$7:$G$50,'INSTANCE C1'!A20))+(COUNTIF('2 ZT'!$G$7:$G$50,'INSTANCE C1'!A20))+(COUNTIF('GO TRANSPORT'!$G$7:$G$50,'INSTANCE C1'!A20))+(COUNTIF('INSTANCE C1'!$G$7:$G$50,'INSTANCE C1'!A20))+(COUNTIF('IB TRANSPORT'!$G$7:$G$50,'INSTANCE C1'!A20))+(COUNTIF(JSL!$G$7:$G$50,'INSTANCE C1'!A20))+(COUNTIF(KIFAITOUT!$G$7:$G$50,'INSTANCE C1'!A20))+(COUNTIF('LUXE DRIVE'!$G$7:$G$50,'INSTANCE C1'!A20))+(COUNTIF(SSN!$G$7:$G$50,'INSTANCE C1'!A20))+(COUNTIF('W3'!$G$7:$G$50,'INSTANCE C1'!A20))+(COUNTIF('ATHIS MONS'!$G$7:$G$50,'INSTANCE C1'!A20))+(COUNTIF('L HAY LES ROSES'!$G$7:$G$50,'INSTANCE C1'!A20))+(COUNTIF(RUNGIS!$G$7:$G$50,'INSTANCE C1'!A20))+(COUNTIF(SCEAUX!$G$7:$G$50,'INSTANCE C1'!A20))+(COUNTIF('INSTANCE C1'!$G$7:$G$50,'INSTANCE C1'!A20))+(COUNTIF('INSTANCE C2'!$G$7:$G$50,'INSTANCE C1'!A20))+(COUNTIF(INTERNES!$G$7:$G$50,'INSTANCE C1'!A20))+(COUNTIF('EN PANNE'!$G$7:$G$50,'INSTANCE C1'!A20))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EXPRESS'!$G$7:$G$50,'INSTANCE C1'!G20))+(COUNTIF('2 ZT'!$G$7:$G$50,'INSTANCE C1'!G20))+(COUNTIF('GO TRANSPORT'!$G$7:$G$50,'INSTANCE C1'!G20))+(COUNTIF('HMZ - KAIS'!$G$7:$G$50,'INSTANCE C1'!G20))+(COUNTIF('IB TRANSPORT'!$G$7:$G$50,'INSTANCE C1'!G20))+(COUNTIF(JSL!$G$7:$G$50,'INSTANCE C1'!G20))+(COUNTIF(KIFAITOUT!$G$7:$G$50,'INSTANCE C1'!G20))+(COUNTIF('LUXE DRIVE'!$G$7:$G$50,'INSTANCE C1'!G20))+(COUNTIF(SSN!$G$7:$G$50,'INSTANCE C1'!G20))+(COUNTIF('W3'!$G$7:$G$50,'INSTANCE C1'!G20))+(COUNTIF('ATHIS MONS'!$G$7:$G$50,'INSTANCE C1'!G20))+(COUNTIF('L HAY LES ROSES'!$G$7:$G$50,'INSTANCE C1'!G20))+(COUNTIF(RUNGIS!$G$7:$G$50,'INSTANCE C1'!G20))+(COUNTIF(SCEAUX!$G$7:$G$50,'INSTANCE C1'!G20))+(COUNTIF('INSTANCE C1'!$G$7:$G$50,'INSTANCE C1'!G20))+(COUNTIF('INSTANCE C2'!$G$7:$G$50,'INSTANCE C1'!G20))+(COUNTIF(INTERNES!$G$7:$G$50,'INSTANCE C1'!G20))+(COUNTIF('EN PANNE'!$G$7:$G$50,'INSTANCE C1'!G20))-I20</f>
        <v>0</v>
      </c>
      <c r="I20" s="23">
        <f>(COUNTIF('2S EXPRESS'!$A$7:$A$50,'INSTANCE C1'!G20))+(COUNTIF('2 ZT'!$A$7:$A$50,'INSTANCE C1'!G20))+(COUNTIF('GO TRANSPORT'!$A$7:$A$50,'INSTANCE C1'!G20))+(COUNTIF('HMZ - KAIS'!$A$7:$A$50,'INSTANCE C1'!G20))+(COUNTIF('IB TRANSPORT'!$A$7:$A$50,'INSTANCE C1'!G20))+(COUNTIF(JSL!$A$7:$A$50,'INSTANCE C1'!G20))+(COUNTIF(KIFAITOUT!$A$7:$A$50,'INSTANCE C1'!G20))+(COUNTIF('LUXE DRIVE'!$A$7:$A$50,'INSTANCE C1'!G20))+(COUNTIF(SSN!$A$7:$A$50,'INSTANCE C1'!G20))+(COUNTIF('W3'!$A$7:$A$50,'INSTANCE C1'!G20))+(COUNTIF('ATHIS MONS'!$A$7:$A$50,'INSTANCE C1'!G20))+(COUNTIF('L HAY LES ROSES'!$A$7:$A$50,'INSTANCE C1'!G20))+(COUNTIF(RUNGIS!$A$7:$A$50,'INSTANCE C1'!G20))+(COUNTIF(SCEAUX!$A$7:$A$50,'INSTANCE C1'!G20))+(COUNTIF('INSTANCE C1'!$A$7:$A$50,'INSTANCE C1'!G20))+(COUNTIF('INSTANCE C2'!$A$7:$A$50,'INSTANCE C1'!G20))+(COUNTIF(INTERNES!$A$7:$A$50,'INSTANCE C1'!G20))+(COUNTIF('EN PANNE'!$A$7:$A$50,'INSTANCE C1'!G20))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S20" s="60">
        <f t="shared" si="1"/>
        <v>0</v>
      </c>
      <c r="T20" s="67">
        <f t="shared" si="2"/>
        <v>0</v>
      </c>
    </row>
    <row r="21" spans="1:20" ht="24.95" customHeight="1" x14ac:dyDescent="0.2">
      <c r="A21" s="20"/>
      <c r="B21" s="23">
        <f>(COUNTIF('2S EXPRESS'!$A$7:$A$50,'INSTANCE C1'!A21))+(COUNTIF('2 ZT'!$A$7:$A$50,'INSTANCE C1'!A21))+(COUNTIF('GO TRANSPORT'!$A$7:$A$50,'INSTANCE C1'!A21))+(COUNTIF('HMZ - KAIS'!$A$7:$A$50,'INSTANCE C1'!A21))+(COUNTIF('IB TRANSPORT'!$A$7:$A$50,'INSTANCE C1'!A21))+(COUNTIF(JSL!$A$7:$A$50,'INSTANCE C1'!A21))+(COUNTIF(KIFAITOUT!$A$7:$A$50,'INSTANCE C1'!A21))+(COUNTIF('LUXE DRIVE'!$A$7:$A$50,'INSTANCE C1'!A21))+(COUNTIF(SSN!$A$7:$A$50,'INSTANCE C1'!A21))+(COUNTIF('W3'!$A$7:$A$50,'INSTANCE C1'!A21))+(COUNTIF('ATHIS MONS'!$A$7:$A$50,'INSTANCE C1'!A21))+(COUNTIF('L HAY LES ROSES'!$A$7:$A$50,'INSTANCE C1'!A21))+(COUNTIF(RUNGIS!$A$7:$A$50,'INSTANCE C1'!A21))+(COUNTIF(SCEAUX!$A$7:$A$50,'INSTANCE C1'!A21))+(COUNTIF('INSTANCE C1'!$A$7:$A$50,'INSTANCE C1'!A21))+(COUNTIF('INSTANCE C2'!$A$7:$A$50,'INSTANCE C1'!A21))+(COUNTIF(INTERNES!$A$7:$A$50,'INSTANCE C1'!A21))+(COUNTIF('EN PANNE'!$A$7:$A$50,'INSTANCE C1'!A21))-C21</f>
        <v>0</v>
      </c>
      <c r="C21" s="23">
        <f>(COUNTIF('2S EXPRESS'!$G$7:$G$50,'INSTANCE C1'!A21))+(COUNTIF('2 ZT'!$G$7:$G$50,'INSTANCE C1'!A21))+(COUNTIF('GO TRANSPORT'!$G$7:$G$50,'INSTANCE C1'!A21))+(COUNTIF('INSTANCE C1'!$G$7:$G$50,'INSTANCE C1'!A21))+(COUNTIF('IB TRANSPORT'!$G$7:$G$50,'INSTANCE C1'!A21))+(COUNTIF(JSL!$G$7:$G$50,'INSTANCE C1'!A21))+(COUNTIF(KIFAITOUT!$G$7:$G$50,'INSTANCE C1'!A21))+(COUNTIF('LUXE DRIVE'!$G$7:$G$50,'INSTANCE C1'!A21))+(COUNTIF(SSN!$G$7:$G$50,'INSTANCE C1'!A21))+(COUNTIF('W3'!$G$7:$G$50,'INSTANCE C1'!A21))+(COUNTIF('ATHIS MONS'!$G$7:$G$50,'INSTANCE C1'!A21))+(COUNTIF('L HAY LES ROSES'!$G$7:$G$50,'INSTANCE C1'!A21))+(COUNTIF(RUNGIS!$G$7:$G$50,'INSTANCE C1'!A21))+(COUNTIF(SCEAUX!$G$7:$G$50,'INSTANCE C1'!A21))+(COUNTIF('INSTANCE C1'!$G$7:$G$50,'INSTANCE C1'!A21))+(COUNTIF('INSTANCE C2'!$G$7:$G$50,'INSTANCE C1'!A21))+(COUNTIF(INTERNES!$G$7:$G$50,'INSTANCE C1'!A21))+(COUNTIF('EN PANNE'!$G$7:$G$50,'INSTANCE C1'!A21))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EXPRESS'!$G$7:$G$50,'INSTANCE C1'!G21))+(COUNTIF('2 ZT'!$G$7:$G$50,'INSTANCE C1'!G21))+(COUNTIF('GO TRANSPORT'!$G$7:$G$50,'INSTANCE C1'!G21))+(COUNTIF('HMZ - KAIS'!$G$7:$G$50,'INSTANCE C1'!G21))+(COUNTIF('IB TRANSPORT'!$G$7:$G$50,'INSTANCE C1'!G21))+(COUNTIF(JSL!$G$7:$G$50,'INSTANCE C1'!G21))+(COUNTIF(KIFAITOUT!$G$7:$G$50,'INSTANCE C1'!G21))+(COUNTIF('LUXE DRIVE'!$G$7:$G$50,'INSTANCE C1'!G21))+(COUNTIF(SSN!$G$7:$G$50,'INSTANCE C1'!G21))+(COUNTIF('W3'!$G$7:$G$50,'INSTANCE C1'!G21))+(COUNTIF('ATHIS MONS'!$G$7:$G$50,'INSTANCE C1'!G21))+(COUNTIF('L HAY LES ROSES'!$G$7:$G$50,'INSTANCE C1'!G21))+(COUNTIF(RUNGIS!$G$7:$G$50,'INSTANCE C1'!G21))+(COUNTIF(SCEAUX!$G$7:$G$50,'INSTANCE C1'!G21))+(COUNTIF('INSTANCE C1'!$G$7:$G$50,'INSTANCE C1'!G21))+(COUNTIF('INSTANCE C2'!$G$7:$G$50,'INSTANCE C1'!G21))+(COUNTIF(INTERNES!$G$7:$G$50,'INSTANCE C1'!G21))+(COUNTIF('EN PANNE'!$G$7:$G$50,'INSTANCE C1'!G21))-I21</f>
        <v>0</v>
      </c>
      <c r="I21" s="23">
        <f>(COUNTIF('2S EXPRESS'!$A$7:$A$50,'INSTANCE C1'!G21))+(COUNTIF('2 ZT'!$A$7:$A$50,'INSTANCE C1'!G21))+(COUNTIF('GO TRANSPORT'!$A$7:$A$50,'INSTANCE C1'!G21))+(COUNTIF('HMZ - KAIS'!$A$7:$A$50,'INSTANCE C1'!G21))+(COUNTIF('IB TRANSPORT'!$A$7:$A$50,'INSTANCE C1'!G21))+(COUNTIF(JSL!$A$7:$A$50,'INSTANCE C1'!G21))+(COUNTIF(KIFAITOUT!$A$7:$A$50,'INSTANCE C1'!G21))+(COUNTIF('LUXE DRIVE'!$A$7:$A$50,'INSTANCE C1'!G21))+(COUNTIF(SSN!$A$7:$A$50,'INSTANCE C1'!G21))+(COUNTIF('W3'!$A$7:$A$50,'INSTANCE C1'!G21))+(COUNTIF('ATHIS MONS'!$A$7:$A$50,'INSTANCE C1'!G21))+(COUNTIF('L HAY LES ROSES'!$A$7:$A$50,'INSTANCE C1'!G21))+(COUNTIF(RUNGIS!$A$7:$A$50,'INSTANCE C1'!G21))+(COUNTIF(SCEAUX!$A$7:$A$50,'INSTANCE C1'!G21))+(COUNTIF('INSTANCE C1'!$A$7:$A$50,'INSTANCE C1'!G21))+(COUNTIF('INSTANCE C2'!$A$7:$A$50,'INSTANCE C1'!G21))+(COUNTIF(INTERNES!$A$7:$A$50,'INSTANCE C1'!G21))+(COUNTIF('EN PANNE'!$A$7:$A$50,'INSTANCE C1'!G21))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S21" s="60">
        <f t="shared" si="1"/>
        <v>0</v>
      </c>
      <c r="T21" s="67">
        <f t="shared" si="2"/>
        <v>0</v>
      </c>
    </row>
    <row r="22" spans="1:20" ht="24.95" customHeight="1" x14ac:dyDescent="0.2">
      <c r="A22" s="20"/>
      <c r="B22" s="23">
        <f>(COUNTIF('2S EXPRESS'!$A$7:$A$50,'INSTANCE C1'!A22))+(COUNTIF('2 ZT'!$A$7:$A$50,'INSTANCE C1'!A22))+(COUNTIF('GO TRANSPORT'!$A$7:$A$50,'INSTANCE C1'!A22))+(COUNTIF('HMZ - KAIS'!$A$7:$A$50,'INSTANCE C1'!A22))+(COUNTIF('IB TRANSPORT'!$A$7:$A$50,'INSTANCE C1'!A22))+(COUNTIF(JSL!$A$7:$A$50,'INSTANCE C1'!A22))+(COUNTIF(KIFAITOUT!$A$7:$A$50,'INSTANCE C1'!A22))+(COUNTIF('LUXE DRIVE'!$A$7:$A$50,'INSTANCE C1'!A22))+(COUNTIF(SSN!$A$7:$A$50,'INSTANCE C1'!A22))+(COUNTIF('W3'!$A$7:$A$50,'INSTANCE C1'!A22))+(COUNTIF('ATHIS MONS'!$A$7:$A$50,'INSTANCE C1'!A22))+(COUNTIF('L HAY LES ROSES'!$A$7:$A$50,'INSTANCE C1'!A22))+(COUNTIF(RUNGIS!$A$7:$A$50,'INSTANCE C1'!A22))+(COUNTIF(SCEAUX!$A$7:$A$50,'INSTANCE C1'!A22))+(COUNTIF('INSTANCE C1'!$A$7:$A$50,'INSTANCE C1'!A22))+(COUNTIF('INSTANCE C2'!$A$7:$A$50,'INSTANCE C1'!A22))+(COUNTIF(INTERNES!$A$7:$A$50,'INSTANCE C1'!A22))+(COUNTIF('EN PANNE'!$A$7:$A$50,'INSTANCE C1'!A22))-C22</f>
        <v>0</v>
      </c>
      <c r="C22" s="23">
        <f>(COUNTIF('2S EXPRESS'!$G$7:$G$50,'INSTANCE C1'!A22))+(COUNTIF('2 ZT'!$G$7:$G$50,'INSTANCE C1'!A22))+(COUNTIF('GO TRANSPORT'!$G$7:$G$50,'INSTANCE C1'!A22))+(COUNTIF('INSTANCE C1'!$G$7:$G$50,'INSTANCE C1'!A22))+(COUNTIF('IB TRANSPORT'!$G$7:$G$50,'INSTANCE C1'!A22))+(COUNTIF(JSL!$G$7:$G$50,'INSTANCE C1'!A22))+(COUNTIF(KIFAITOUT!$G$7:$G$50,'INSTANCE C1'!A22))+(COUNTIF('LUXE DRIVE'!$G$7:$G$50,'INSTANCE C1'!A22))+(COUNTIF(SSN!$G$7:$G$50,'INSTANCE C1'!A22))+(COUNTIF('W3'!$G$7:$G$50,'INSTANCE C1'!A22))+(COUNTIF('ATHIS MONS'!$G$7:$G$50,'INSTANCE C1'!A22))+(COUNTIF('L HAY LES ROSES'!$G$7:$G$50,'INSTANCE C1'!A22))+(COUNTIF(RUNGIS!$G$7:$G$50,'INSTANCE C1'!A22))+(COUNTIF(SCEAUX!$G$7:$G$50,'INSTANCE C1'!A22))+(COUNTIF('INSTANCE C1'!$G$7:$G$50,'INSTANCE C1'!A22))+(COUNTIF('INSTANCE C2'!$G$7:$G$50,'INSTANCE C1'!A22))+(COUNTIF(INTERNES!$G$7:$G$50,'INSTANCE C1'!A22))+(COUNTIF('EN PANNE'!$G$7:$G$50,'INSTANCE C1'!A22))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EXPRESS'!$G$7:$G$50,'INSTANCE C1'!G22))+(COUNTIF('2 ZT'!$G$7:$G$50,'INSTANCE C1'!G22))+(COUNTIF('GO TRANSPORT'!$G$7:$G$50,'INSTANCE C1'!G22))+(COUNTIF('HMZ - KAIS'!$G$7:$G$50,'INSTANCE C1'!G22))+(COUNTIF('IB TRANSPORT'!$G$7:$G$50,'INSTANCE C1'!G22))+(COUNTIF(JSL!$G$7:$G$50,'INSTANCE C1'!G22))+(COUNTIF(KIFAITOUT!$G$7:$G$50,'INSTANCE C1'!G22))+(COUNTIF('LUXE DRIVE'!$G$7:$G$50,'INSTANCE C1'!G22))+(COUNTIF(SSN!$G$7:$G$50,'INSTANCE C1'!G22))+(COUNTIF('W3'!$G$7:$G$50,'INSTANCE C1'!G22))+(COUNTIF('ATHIS MONS'!$G$7:$G$50,'INSTANCE C1'!G22))+(COUNTIF('L HAY LES ROSES'!$G$7:$G$50,'INSTANCE C1'!G22))+(COUNTIF(RUNGIS!$G$7:$G$50,'INSTANCE C1'!G22))+(COUNTIF(SCEAUX!$G$7:$G$50,'INSTANCE C1'!G22))+(COUNTIF('INSTANCE C1'!$G$7:$G$50,'INSTANCE C1'!G22))+(COUNTIF('INSTANCE C2'!$G$7:$G$50,'INSTANCE C1'!G22))+(COUNTIF(INTERNES!$G$7:$G$50,'INSTANCE C1'!G22))+(COUNTIF('EN PANNE'!$G$7:$G$50,'INSTANCE C1'!G22))-I22</f>
        <v>0</v>
      </c>
      <c r="I22" s="23">
        <f>(COUNTIF('2S EXPRESS'!$A$7:$A$50,'INSTANCE C1'!G22))+(COUNTIF('2 ZT'!$A$7:$A$50,'INSTANCE C1'!G22))+(COUNTIF('GO TRANSPORT'!$A$7:$A$50,'INSTANCE C1'!G22))+(COUNTIF('HMZ - KAIS'!$A$7:$A$50,'INSTANCE C1'!G22))+(COUNTIF('IB TRANSPORT'!$A$7:$A$50,'INSTANCE C1'!G22))+(COUNTIF(JSL!$A$7:$A$50,'INSTANCE C1'!G22))+(COUNTIF(KIFAITOUT!$A$7:$A$50,'INSTANCE C1'!G22))+(COUNTIF('LUXE DRIVE'!$A$7:$A$50,'INSTANCE C1'!G22))+(COUNTIF(SSN!$A$7:$A$50,'INSTANCE C1'!G22))+(COUNTIF('W3'!$A$7:$A$50,'INSTANCE C1'!G22))+(COUNTIF('ATHIS MONS'!$A$7:$A$50,'INSTANCE C1'!G22))+(COUNTIF('L HAY LES ROSES'!$A$7:$A$50,'INSTANCE C1'!G22))+(COUNTIF(RUNGIS!$A$7:$A$50,'INSTANCE C1'!G22))+(COUNTIF(SCEAUX!$A$7:$A$50,'INSTANCE C1'!G22))+(COUNTIF('INSTANCE C1'!$A$7:$A$50,'INSTANCE C1'!G22))+(COUNTIF('INSTANCE C2'!$A$7:$A$50,'INSTANCE C1'!G22))+(COUNTIF(INTERNES!$A$7:$A$50,'INSTANCE C1'!G22))+(COUNTIF('EN PANNE'!$A$7:$A$50,'INSTANCE C1'!G22))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S22" s="60">
        <f t="shared" si="1"/>
        <v>0</v>
      </c>
      <c r="T22" s="67">
        <f t="shared" si="2"/>
        <v>0</v>
      </c>
    </row>
    <row r="23" spans="1:20" ht="24.95" customHeight="1" x14ac:dyDescent="0.2">
      <c r="A23" s="20"/>
      <c r="B23" s="23">
        <f>(COUNTIF('2S EXPRESS'!$A$7:$A$50,'INSTANCE C1'!A23))+(COUNTIF('2 ZT'!$A$7:$A$50,'INSTANCE C1'!A23))+(COUNTIF('GO TRANSPORT'!$A$7:$A$50,'INSTANCE C1'!A23))+(COUNTIF('HMZ - KAIS'!$A$7:$A$50,'INSTANCE C1'!A23))+(COUNTIF('IB TRANSPORT'!$A$7:$A$50,'INSTANCE C1'!A23))+(COUNTIF(JSL!$A$7:$A$50,'INSTANCE C1'!A23))+(COUNTIF(KIFAITOUT!$A$7:$A$50,'INSTANCE C1'!A23))+(COUNTIF('LUXE DRIVE'!$A$7:$A$50,'INSTANCE C1'!A23))+(COUNTIF(SSN!$A$7:$A$50,'INSTANCE C1'!A23))+(COUNTIF('W3'!$A$7:$A$50,'INSTANCE C1'!A23))+(COUNTIF('ATHIS MONS'!$A$7:$A$50,'INSTANCE C1'!A23))+(COUNTIF('L HAY LES ROSES'!$A$7:$A$50,'INSTANCE C1'!A23))+(COUNTIF(RUNGIS!$A$7:$A$50,'INSTANCE C1'!A23))+(COUNTIF(SCEAUX!$A$7:$A$50,'INSTANCE C1'!A23))+(COUNTIF('INSTANCE C1'!$A$7:$A$50,'INSTANCE C1'!A23))+(COUNTIF('INSTANCE C2'!$A$7:$A$50,'INSTANCE C1'!A23))+(COUNTIF(INTERNES!$A$7:$A$50,'INSTANCE C1'!A23))+(COUNTIF('EN PANNE'!$A$7:$A$50,'INSTANCE C1'!A23))-C23</f>
        <v>0</v>
      </c>
      <c r="C23" s="23">
        <f>(COUNTIF('2S EXPRESS'!$G$7:$G$50,'INSTANCE C1'!A23))+(COUNTIF('2 ZT'!$G$7:$G$50,'INSTANCE C1'!A23))+(COUNTIF('GO TRANSPORT'!$G$7:$G$50,'INSTANCE C1'!A23))+(COUNTIF('INSTANCE C1'!$G$7:$G$50,'INSTANCE C1'!A23))+(COUNTIF('IB TRANSPORT'!$G$7:$G$50,'INSTANCE C1'!A23))+(COUNTIF(JSL!$G$7:$G$50,'INSTANCE C1'!A23))+(COUNTIF(KIFAITOUT!$G$7:$G$50,'INSTANCE C1'!A23))+(COUNTIF('LUXE DRIVE'!$G$7:$G$50,'INSTANCE C1'!A23))+(COUNTIF(SSN!$G$7:$G$50,'INSTANCE C1'!A23))+(COUNTIF('W3'!$G$7:$G$50,'INSTANCE C1'!A23))+(COUNTIF('ATHIS MONS'!$G$7:$G$50,'INSTANCE C1'!A23))+(COUNTIF('L HAY LES ROSES'!$G$7:$G$50,'INSTANCE C1'!A23))+(COUNTIF(RUNGIS!$G$7:$G$50,'INSTANCE C1'!A23))+(COUNTIF(SCEAUX!$G$7:$G$50,'INSTANCE C1'!A23))+(COUNTIF('INSTANCE C1'!$G$7:$G$50,'INSTANCE C1'!A23))+(COUNTIF('INSTANCE C2'!$G$7:$G$50,'INSTANCE C1'!A23))+(COUNTIF(INTERNES!$G$7:$G$50,'INSTANCE C1'!A23))+(COUNTIF('EN PANNE'!$G$7:$G$50,'INSTANCE C1'!A23))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EXPRESS'!$G$7:$G$50,'INSTANCE C1'!G23))+(COUNTIF('2 ZT'!$G$7:$G$50,'INSTANCE C1'!G23))+(COUNTIF('GO TRANSPORT'!$G$7:$G$50,'INSTANCE C1'!G23))+(COUNTIF('HMZ - KAIS'!$G$7:$G$50,'INSTANCE C1'!G23))+(COUNTIF('IB TRANSPORT'!$G$7:$G$50,'INSTANCE C1'!G23))+(COUNTIF(JSL!$G$7:$G$50,'INSTANCE C1'!G23))+(COUNTIF(KIFAITOUT!$G$7:$G$50,'INSTANCE C1'!G23))+(COUNTIF('LUXE DRIVE'!$G$7:$G$50,'INSTANCE C1'!G23))+(COUNTIF(SSN!$G$7:$G$50,'INSTANCE C1'!G23))+(COUNTIF('W3'!$G$7:$G$50,'INSTANCE C1'!G23))+(COUNTIF('ATHIS MONS'!$G$7:$G$50,'INSTANCE C1'!G23))+(COUNTIF('L HAY LES ROSES'!$G$7:$G$50,'INSTANCE C1'!G23))+(COUNTIF(RUNGIS!$G$7:$G$50,'INSTANCE C1'!G23))+(COUNTIF(SCEAUX!$G$7:$G$50,'INSTANCE C1'!G23))+(COUNTIF('INSTANCE C1'!$G$7:$G$50,'INSTANCE C1'!G23))+(COUNTIF('INSTANCE C2'!$G$7:$G$50,'INSTANCE C1'!G23))+(COUNTIF(INTERNES!$G$7:$G$50,'INSTANCE C1'!G23))+(COUNTIF('EN PANNE'!$G$7:$G$50,'INSTANCE C1'!G23))-I23</f>
        <v>0</v>
      </c>
      <c r="I23" s="23">
        <f>(COUNTIF('2S EXPRESS'!$A$7:$A$50,'INSTANCE C1'!G23))+(COUNTIF('2 ZT'!$A$7:$A$50,'INSTANCE C1'!G23))+(COUNTIF('GO TRANSPORT'!$A$7:$A$50,'INSTANCE C1'!G23))+(COUNTIF('HMZ - KAIS'!$A$7:$A$50,'INSTANCE C1'!G23))+(COUNTIF('IB TRANSPORT'!$A$7:$A$50,'INSTANCE C1'!G23))+(COUNTIF(JSL!$A$7:$A$50,'INSTANCE C1'!G23))+(COUNTIF(KIFAITOUT!$A$7:$A$50,'INSTANCE C1'!G23))+(COUNTIF('LUXE DRIVE'!$A$7:$A$50,'INSTANCE C1'!G23))+(COUNTIF(SSN!$A$7:$A$50,'INSTANCE C1'!G23))+(COUNTIF('W3'!$A$7:$A$50,'INSTANCE C1'!G23))+(COUNTIF('ATHIS MONS'!$A$7:$A$50,'INSTANCE C1'!G23))+(COUNTIF('L HAY LES ROSES'!$A$7:$A$50,'INSTANCE C1'!G23))+(COUNTIF(RUNGIS!$A$7:$A$50,'INSTANCE C1'!G23))+(COUNTIF(SCEAUX!$A$7:$A$50,'INSTANCE C1'!G23))+(COUNTIF('INSTANCE C1'!$A$7:$A$50,'INSTANCE C1'!G23))+(COUNTIF('INSTANCE C2'!$A$7:$A$50,'INSTANCE C1'!G23))+(COUNTIF(INTERNES!$A$7:$A$50,'INSTANCE C1'!G23))+(COUNTIF('EN PANNE'!$A$7:$A$50,'INSTANCE C1'!G23))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S23" s="60">
        <f t="shared" si="1"/>
        <v>0</v>
      </c>
      <c r="T23" s="67">
        <f t="shared" si="2"/>
        <v>0</v>
      </c>
    </row>
    <row r="24" spans="1:20" ht="24.95" customHeight="1" x14ac:dyDescent="0.2">
      <c r="A24" s="20"/>
      <c r="B24" s="23">
        <f>(COUNTIF('2S EXPRESS'!$A$7:$A$50,'INSTANCE C1'!A24))+(COUNTIF('2 ZT'!$A$7:$A$50,'INSTANCE C1'!A24))+(COUNTIF('GO TRANSPORT'!$A$7:$A$50,'INSTANCE C1'!A24))+(COUNTIF('HMZ - KAIS'!$A$7:$A$50,'INSTANCE C1'!A24))+(COUNTIF('IB TRANSPORT'!$A$7:$A$50,'INSTANCE C1'!A24))+(COUNTIF(JSL!$A$7:$A$50,'INSTANCE C1'!A24))+(COUNTIF(KIFAITOUT!$A$7:$A$50,'INSTANCE C1'!A24))+(COUNTIF('LUXE DRIVE'!$A$7:$A$50,'INSTANCE C1'!A24))+(COUNTIF(SSN!$A$7:$A$50,'INSTANCE C1'!A24))+(COUNTIF('W3'!$A$7:$A$50,'INSTANCE C1'!A24))+(COUNTIF('ATHIS MONS'!$A$7:$A$50,'INSTANCE C1'!A24))+(COUNTIF('L HAY LES ROSES'!$A$7:$A$50,'INSTANCE C1'!A24))+(COUNTIF(RUNGIS!$A$7:$A$50,'INSTANCE C1'!A24))+(COUNTIF(SCEAUX!$A$7:$A$50,'INSTANCE C1'!A24))+(COUNTIF('INSTANCE C1'!$A$7:$A$50,'INSTANCE C1'!A24))+(COUNTIF('INSTANCE C2'!$A$7:$A$50,'INSTANCE C1'!A24))+(COUNTIF(INTERNES!$A$7:$A$50,'INSTANCE C1'!A24))+(COUNTIF('EN PANNE'!$A$7:$A$50,'INSTANCE C1'!A24))-C24</f>
        <v>0</v>
      </c>
      <c r="C24" s="23">
        <f>(COUNTIF('2S EXPRESS'!$G$7:$G$50,'INSTANCE C1'!A24))+(COUNTIF('2 ZT'!$G$7:$G$50,'INSTANCE C1'!A24))+(COUNTIF('GO TRANSPORT'!$G$7:$G$50,'INSTANCE C1'!A24))+(COUNTIF('INSTANCE C1'!$G$7:$G$50,'INSTANCE C1'!A24))+(COUNTIF('IB TRANSPORT'!$G$7:$G$50,'INSTANCE C1'!A24))+(COUNTIF(JSL!$G$7:$G$50,'INSTANCE C1'!A24))+(COUNTIF(KIFAITOUT!$G$7:$G$50,'INSTANCE C1'!A24))+(COUNTIF('LUXE DRIVE'!$G$7:$G$50,'INSTANCE C1'!A24))+(COUNTIF(SSN!$G$7:$G$50,'INSTANCE C1'!A24))+(COUNTIF('W3'!$G$7:$G$50,'INSTANCE C1'!A24))+(COUNTIF('ATHIS MONS'!$G$7:$G$50,'INSTANCE C1'!A24))+(COUNTIF('L HAY LES ROSES'!$G$7:$G$50,'INSTANCE C1'!A24))+(COUNTIF(RUNGIS!$G$7:$G$50,'INSTANCE C1'!A24))+(COUNTIF(SCEAUX!$G$7:$G$50,'INSTANCE C1'!A24))+(COUNTIF('INSTANCE C1'!$G$7:$G$50,'INSTANCE C1'!A24))+(COUNTIF('INSTANCE C2'!$G$7:$G$50,'INSTANCE C1'!A24))+(COUNTIF(INTERNES!$G$7:$G$50,'INSTANCE C1'!A24))+(COUNTIF('EN PANNE'!$G$7:$G$50,'INSTANCE C1'!A24))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EXPRESS'!$G$7:$G$50,'INSTANCE C1'!G24))+(COUNTIF('2 ZT'!$G$7:$G$50,'INSTANCE C1'!G24))+(COUNTIF('GO TRANSPORT'!$G$7:$G$50,'INSTANCE C1'!G24))+(COUNTIF('HMZ - KAIS'!$G$7:$G$50,'INSTANCE C1'!G24))+(COUNTIF('IB TRANSPORT'!$G$7:$G$50,'INSTANCE C1'!G24))+(COUNTIF(JSL!$G$7:$G$50,'INSTANCE C1'!G24))+(COUNTIF(KIFAITOUT!$G$7:$G$50,'INSTANCE C1'!G24))+(COUNTIF('LUXE DRIVE'!$G$7:$G$50,'INSTANCE C1'!G24))+(COUNTIF(SSN!$G$7:$G$50,'INSTANCE C1'!G24))+(COUNTIF('W3'!$G$7:$G$50,'INSTANCE C1'!G24))+(COUNTIF('ATHIS MONS'!$G$7:$G$50,'INSTANCE C1'!G24))+(COUNTIF('L HAY LES ROSES'!$G$7:$G$50,'INSTANCE C1'!G24))+(COUNTIF(RUNGIS!$G$7:$G$50,'INSTANCE C1'!G24))+(COUNTIF(SCEAUX!$G$7:$G$50,'INSTANCE C1'!G24))+(COUNTIF('INSTANCE C1'!$G$7:$G$50,'INSTANCE C1'!G24))+(COUNTIF('INSTANCE C2'!$G$7:$G$50,'INSTANCE C1'!G24))+(COUNTIF(INTERNES!$G$7:$G$50,'INSTANCE C1'!G24))+(COUNTIF('EN PANNE'!$G$7:$G$50,'INSTANCE C1'!G24))-I24</f>
        <v>0</v>
      </c>
      <c r="I24" s="23">
        <f>(COUNTIF('2S EXPRESS'!$A$7:$A$50,'INSTANCE C1'!G24))+(COUNTIF('2 ZT'!$A$7:$A$50,'INSTANCE C1'!G24))+(COUNTIF('GO TRANSPORT'!$A$7:$A$50,'INSTANCE C1'!G24))+(COUNTIF('HMZ - KAIS'!$A$7:$A$50,'INSTANCE C1'!G24))+(COUNTIF('IB TRANSPORT'!$A$7:$A$50,'INSTANCE C1'!G24))+(COUNTIF(JSL!$A$7:$A$50,'INSTANCE C1'!G24))+(COUNTIF(KIFAITOUT!$A$7:$A$50,'INSTANCE C1'!G24))+(COUNTIF('LUXE DRIVE'!$A$7:$A$50,'INSTANCE C1'!G24))+(COUNTIF(SSN!$A$7:$A$50,'INSTANCE C1'!G24))+(COUNTIF('W3'!$A$7:$A$50,'INSTANCE C1'!G24))+(COUNTIF('ATHIS MONS'!$A$7:$A$50,'INSTANCE C1'!G24))+(COUNTIF('L HAY LES ROSES'!$A$7:$A$50,'INSTANCE C1'!G24))+(COUNTIF(RUNGIS!$A$7:$A$50,'INSTANCE C1'!G24))+(COUNTIF(SCEAUX!$A$7:$A$50,'INSTANCE C1'!G24))+(COUNTIF('INSTANCE C1'!$A$7:$A$50,'INSTANCE C1'!G24))+(COUNTIF('INSTANCE C2'!$A$7:$A$50,'INSTANCE C1'!G24))+(COUNTIF(INTERNES!$A$7:$A$50,'INSTANCE C1'!G24))+(COUNTIF('EN PANNE'!$A$7:$A$50,'INSTANCE C1'!G24))</f>
        <v>0</v>
      </c>
      <c r="J24" s="28">
        <f t="shared" si="4"/>
        <v>0</v>
      </c>
      <c r="K24" s="2"/>
      <c r="L24" s="47"/>
      <c r="S24" s="60">
        <f t="shared" si="1"/>
        <v>0</v>
      </c>
      <c r="T24" s="67">
        <f t="shared" si="2"/>
        <v>0</v>
      </c>
    </row>
    <row r="25" spans="1:20" ht="24.95" customHeight="1" x14ac:dyDescent="0.2">
      <c r="A25" s="20"/>
      <c r="B25" s="23">
        <f>(COUNTIF('2S EXPRESS'!$A$7:$A$50,'INSTANCE C1'!A25))+(COUNTIF('2 ZT'!$A$7:$A$50,'INSTANCE C1'!A25))+(COUNTIF('GO TRANSPORT'!$A$7:$A$50,'INSTANCE C1'!A25))+(COUNTIF('HMZ - KAIS'!$A$7:$A$50,'INSTANCE C1'!A25))+(COUNTIF('IB TRANSPORT'!$A$7:$A$50,'INSTANCE C1'!A25))+(COUNTIF(JSL!$A$7:$A$50,'INSTANCE C1'!A25))+(COUNTIF(KIFAITOUT!$A$7:$A$50,'INSTANCE C1'!A25))+(COUNTIF('LUXE DRIVE'!$A$7:$A$50,'INSTANCE C1'!A25))+(COUNTIF(SSN!$A$7:$A$50,'INSTANCE C1'!A25))+(COUNTIF('W3'!$A$7:$A$50,'INSTANCE C1'!A25))+(COUNTIF('ATHIS MONS'!$A$7:$A$50,'INSTANCE C1'!A25))+(COUNTIF('L HAY LES ROSES'!$A$7:$A$50,'INSTANCE C1'!A25))+(COUNTIF(RUNGIS!$A$7:$A$50,'INSTANCE C1'!A25))+(COUNTIF(SCEAUX!$A$7:$A$50,'INSTANCE C1'!A25))+(COUNTIF('INSTANCE C1'!$A$7:$A$50,'INSTANCE C1'!A25))+(COUNTIF('INSTANCE C2'!$A$7:$A$50,'INSTANCE C1'!A25))+(COUNTIF(INTERNES!$A$7:$A$50,'INSTANCE C1'!A25))+(COUNTIF('EN PANNE'!$A$7:$A$50,'INSTANCE C1'!A25))-C25</f>
        <v>0</v>
      </c>
      <c r="C25" s="23">
        <f>(COUNTIF('2S EXPRESS'!$G$7:$G$50,'INSTANCE C1'!A25))+(COUNTIF('2 ZT'!$G$7:$G$50,'INSTANCE C1'!A25))+(COUNTIF('GO TRANSPORT'!$G$7:$G$50,'INSTANCE C1'!A25))+(COUNTIF('INSTANCE C1'!$G$7:$G$50,'INSTANCE C1'!A25))+(COUNTIF('IB TRANSPORT'!$G$7:$G$50,'INSTANCE C1'!A25))+(COUNTIF(JSL!$G$7:$G$50,'INSTANCE C1'!A25))+(COUNTIF(KIFAITOUT!$G$7:$G$50,'INSTANCE C1'!A25))+(COUNTIF('LUXE DRIVE'!$G$7:$G$50,'INSTANCE C1'!A25))+(COUNTIF(SSN!$G$7:$G$50,'INSTANCE C1'!A25))+(COUNTIF('W3'!$G$7:$G$50,'INSTANCE C1'!A25))+(COUNTIF('ATHIS MONS'!$G$7:$G$50,'INSTANCE C1'!A25))+(COUNTIF('L HAY LES ROSES'!$G$7:$G$50,'INSTANCE C1'!A25))+(COUNTIF(RUNGIS!$G$7:$G$50,'INSTANCE C1'!A25))+(COUNTIF(SCEAUX!$G$7:$G$50,'INSTANCE C1'!A25))+(COUNTIF('INSTANCE C1'!$G$7:$G$50,'INSTANCE C1'!A25))+(COUNTIF('INSTANCE C2'!$G$7:$G$50,'INSTANCE C1'!A25))+(COUNTIF(INTERNES!$G$7:$G$50,'INSTANCE C1'!A25))+(COUNTIF('EN PANNE'!$G$7:$G$50,'INSTANCE C1'!A25))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EXPRESS'!$G$7:$G$50,'INSTANCE C1'!G25))+(COUNTIF('2 ZT'!$G$7:$G$50,'INSTANCE C1'!G25))+(COUNTIF('GO TRANSPORT'!$G$7:$G$50,'INSTANCE C1'!G25))+(COUNTIF('HMZ - KAIS'!$G$7:$G$50,'INSTANCE C1'!G25))+(COUNTIF('IB TRANSPORT'!$G$7:$G$50,'INSTANCE C1'!G25))+(COUNTIF(JSL!$G$7:$G$50,'INSTANCE C1'!G25))+(COUNTIF(KIFAITOUT!$G$7:$G$50,'INSTANCE C1'!G25))+(COUNTIF('LUXE DRIVE'!$G$7:$G$50,'INSTANCE C1'!G25))+(COUNTIF(SSN!$G$7:$G$50,'INSTANCE C1'!G25))+(COUNTIF('W3'!$G$7:$G$50,'INSTANCE C1'!G25))+(COUNTIF('ATHIS MONS'!$G$7:$G$50,'INSTANCE C1'!G25))+(COUNTIF('L HAY LES ROSES'!$G$7:$G$50,'INSTANCE C1'!G25))+(COUNTIF(RUNGIS!$G$7:$G$50,'INSTANCE C1'!G25))+(COUNTIF(SCEAUX!$G$7:$G$50,'INSTANCE C1'!G25))+(COUNTIF('INSTANCE C1'!$G$7:$G$50,'INSTANCE C1'!G25))+(COUNTIF('INSTANCE C2'!$G$7:$G$50,'INSTANCE C1'!G25))+(COUNTIF(INTERNES!$G$7:$G$50,'INSTANCE C1'!G25))+(COUNTIF('EN PANNE'!$G$7:$G$50,'INSTANCE C1'!G25))-I25</f>
        <v>0</v>
      </c>
      <c r="I25" s="23">
        <f>(COUNTIF('2S EXPRESS'!$A$7:$A$50,'INSTANCE C1'!G25))+(COUNTIF('2 ZT'!$A$7:$A$50,'INSTANCE C1'!G25))+(COUNTIF('GO TRANSPORT'!$A$7:$A$50,'INSTANCE C1'!G25))+(COUNTIF('HMZ - KAIS'!$A$7:$A$50,'INSTANCE C1'!G25))+(COUNTIF('IB TRANSPORT'!$A$7:$A$50,'INSTANCE C1'!G25))+(COUNTIF(JSL!$A$7:$A$50,'INSTANCE C1'!G25))+(COUNTIF(KIFAITOUT!$A$7:$A$50,'INSTANCE C1'!G25))+(COUNTIF('LUXE DRIVE'!$A$7:$A$50,'INSTANCE C1'!G25))+(COUNTIF(SSN!$A$7:$A$50,'INSTANCE C1'!G25))+(COUNTIF('W3'!$A$7:$A$50,'INSTANCE C1'!G25))+(COUNTIF('ATHIS MONS'!$A$7:$A$50,'INSTANCE C1'!G25))+(COUNTIF('L HAY LES ROSES'!$A$7:$A$50,'INSTANCE C1'!G25))+(COUNTIF(RUNGIS!$A$7:$A$50,'INSTANCE C1'!G25))+(COUNTIF(SCEAUX!$A$7:$A$50,'INSTANCE C1'!G25))+(COUNTIF('INSTANCE C1'!$A$7:$A$50,'INSTANCE C1'!G25))+(COUNTIF('INSTANCE C2'!$A$7:$A$50,'INSTANCE C1'!G25))+(COUNTIF(INTERNES!$A$7:$A$50,'INSTANCE C1'!G25))+(COUNTIF('EN PANNE'!$A$7:$A$50,'INSTANCE C1'!G25))</f>
        <v>0</v>
      </c>
      <c r="J25" s="28">
        <f t="shared" si="4"/>
        <v>0</v>
      </c>
      <c r="K25" s="2"/>
      <c r="L25" s="47"/>
      <c r="S25" s="60">
        <f t="shared" si="1"/>
        <v>0</v>
      </c>
      <c r="T25" s="67">
        <f t="shared" si="2"/>
        <v>0</v>
      </c>
    </row>
    <row r="26" spans="1:20" ht="24.95" customHeight="1" x14ac:dyDescent="0.2">
      <c r="A26" s="20"/>
      <c r="B26" s="23">
        <f>(COUNTIF('2S EXPRESS'!$A$7:$A$50,'INSTANCE C1'!A26))+(COUNTIF('2 ZT'!$A$7:$A$50,'INSTANCE C1'!A26))+(COUNTIF('GO TRANSPORT'!$A$7:$A$50,'INSTANCE C1'!A26))+(COUNTIF('HMZ - KAIS'!$A$7:$A$50,'INSTANCE C1'!A26))+(COUNTIF('IB TRANSPORT'!$A$7:$A$50,'INSTANCE C1'!A26))+(COUNTIF(JSL!$A$7:$A$50,'INSTANCE C1'!A26))+(COUNTIF(KIFAITOUT!$A$7:$A$50,'INSTANCE C1'!A26))+(COUNTIF('LUXE DRIVE'!$A$7:$A$50,'INSTANCE C1'!A26))+(COUNTIF(SSN!$A$7:$A$50,'INSTANCE C1'!A26))+(COUNTIF('W3'!$A$7:$A$50,'INSTANCE C1'!A26))+(COUNTIF('ATHIS MONS'!$A$7:$A$50,'INSTANCE C1'!A26))+(COUNTIF('L HAY LES ROSES'!$A$7:$A$50,'INSTANCE C1'!A26))+(COUNTIF(RUNGIS!$A$7:$A$50,'INSTANCE C1'!A26))+(COUNTIF(SCEAUX!$A$7:$A$50,'INSTANCE C1'!A26))+(COUNTIF('INSTANCE C1'!$A$7:$A$50,'INSTANCE C1'!A26))+(COUNTIF('INSTANCE C2'!$A$7:$A$50,'INSTANCE C1'!A26))+(COUNTIF(INTERNES!$A$7:$A$50,'INSTANCE C1'!A26))+(COUNTIF('EN PANNE'!$A$7:$A$50,'INSTANCE C1'!A26))-C26</f>
        <v>0</v>
      </c>
      <c r="C26" s="23">
        <f>(COUNTIF('2S EXPRESS'!$G$7:$G$50,'INSTANCE C1'!A26))+(COUNTIF('2 ZT'!$G$7:$G$50,'INSTANCE C1'!A26))+(COUNTIF('GO TRANSPORT'!$G$7:$G$50,'INSTANCE C1'!A26))+(COUNTIF('INSTANCE C1'!$G$7:$G$50,'INSTANCE C1'!A26))+(COUNTIF('IB TRANSPORT'!$G$7:$G$50,'INSTANCE C1'!A26))+(COUNTIF(JSL!$G$7:$G$50,'INSTANCE C1'!A26))+(COUNTIF(KIFAITOUT!$G$7:$G$50,'INSTANCE C1'!A26))+(COUNTIF('LUXE DRIVE'!$G$7:$G$50,'INSTANCE C1'!A26))+(COUNTIF(SSN!$G$7:$G$50,'INSTANCE C1'!A26))+(COUNTIF('W3'!$G$7:$G$50,'INSTANCE C1'!A26))+(COUNTIF('ATHIS MONS'!$G$7:$G$50,'INSTANCE C1'!A26))+(COUNTIF('L HAY LES ROSES'!$G$7:$G$50,'INSTANCE C1'!A26))+(COUNTIF(RUNGIS!$G$7:$G$50,'INSTANCE C1'!A26))+(COUNTIF(SCEAUX!$G$7:$G$50,'INSTANCE C1'!A26))+(COUNTIF('INSTANCE C1'!$G$7:$G$50,'INSTANCE C1'!A26))+(COUNTIF('INSTANCE C2'!$G$7:$G$50,'INSTANCE C1'!A26))+(COUNTIF(INTERNES!$G$7:$G$50,'INSTANCE C1'!A26))+(COUNTIF('EN PANNE'!$G$7:$G$50,'INSTANCE C1'!A26))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EXPRESS'!$G$7:$G$50,'INSTANCE C1'!G26))+(COUNTIF('2 ZT'!$G$7:$G$50,'INSTANCE C1'!G26))+(COUNTIF('GO TRANSPORT'!$G$7:$G$50,'INSTANCE C1'!G26))+(COUNTIF('HMZ - KAIS'!$G$7:$G$50,'INSTANCE C1'!G26))+(COUNTIF('IB TRANSPORT'!$G$7:$G$50,'INSTANCE C1'!G26))+(COUNTIF(JSL!$G$7:$G$50,'INSTANCE C1'!G26))+(COUNTIF(KIFAITOUT!$G$7:$G$50,'INSTANCE C1'!G26))+(COUNTIF('LUXE DRIVE'!$G$7:$G$50,'INSTANCE C1'!G26))+(COUNTIF(SSN!$G$7:$G$50,'INSTANCE C1'!G26))+(COUNTIF('W3'!$G$7:$G$50,'INSTANCE C1'!G26))+(COUNTIF('ATHIS MONS'!$G$7:$G$50,'INSTANCE C1'!G26))+(COUNTIF('L HAY LES ROSES'!$G$7:$G$50,'INSTANCE C1'!G26))+(COUNTIF(RUNGIS!$G$7:$G$50,'INSTANCE C1'!G26))+(COUNTIF(SCEAUX!$G$7:$G$50,'INSTANCE C1'!G26))+(COUNTIF('INSTANCE C1'!$G$7:$G$50,'INSTANCE C1'!G26))+(COUNTIF('INSTANCE C2'!$G$7:$G$50,'INSTANCE C1'!G26))+(COUNTIF(INTERNES!$G$7:$G$50,'INSTANCE C1'!G26))+(COUNTIF('EN PANNE'!$G$7:$G$50,'INSTANCE C1'!G26))-I26</f>
        <v>0</v>
      </c>
      <c r="I26" s="23">
        <f>(COUNTIF('2S EXPRESS'!$A$7:$A$50,'INSTANCE C1'!G26))+(COUNTIF('2 ZT'!$A$7:$A$50,'INSTANCE C1'!G26))+(COUNTIF('GO TRANSPORT'!$A$7:$A$50,'INSTANCE C1'!G26))+(COUNTIF('HMZ - KAIS'!$A$7:$A$50,'INSTANCE C1'!G26))+(COUNTIF('IB TRANSPORT'!$A$7:$A$50,'INSTANCE C1'!G26))+(COUNTIF(JSL!$A$7:$A$50,'INSTANCE C1'!G26))+(COUNTIF(KIFAITOUT!$A$7:$A$50,'INSTANCE C1'!G26))+(COUNTIF('LUXE DRIVE'!$A$7:$A$50,'INSTANCE C1'!G26))+(COUNTIF(SSN!$A$7:$A$50,'INSTANCE C1'!G26))+(COUNTIF('W3'!$A$7:$A$50,'INSTANCE C1'!G26))+(COUNTIF('ATHIS MONS'!$A$7:$A$50,'INSTANCE C1'!G26))+(COUNTIF('L HAY LES ROSES'!$A$7:$A$50,'INSTANCE C1'!G26))+(COUNTIF(RUNGIS!$A$7:$A$50,'INSTANCE C1'!G26))+(COUNTIF(SCEAUX!$A$7:$A$50,'INSTANCE C1'!G26))+(COUNTIF('INSTANCE C1'!$A$7:$A$50,'INSTANCE C1'!G26))+(COUNTIF('INSTANCE C2'!$A$7:$A$50,'INSTANCE C1'!G26))+(COUNTIF(INTERNES!$A$7:$A$50,'INSTANCE C1'!G26))+(COUNTIF('EN PANNE'!$A$7:$A$50,'INSTANCE C1'!G26))</f>
        <v>0</v>
      </c>
      <c r="J26" s="28">
        <f t="shared" si="4"/>
        <v>0</v>
      </c>
      <c r="K26" s="2"/>
      <c r="L26" s="47"/>
      <c r="S26" s="60">
        <f t="shared" si="1"/>
        <v>0</v>
      </c>
      <c r="T26" s="67">
        <f t="shared" si="2"/>
        <v>0</v>
      </c>
    </row>
    <row r="27" spans="1:20" ht="24.95" customHeight="1" x14ac:dyDescent="0.2">
      <c r="A27" s="20"/>
      <c r="B27" s="23">
        <f>(COUNTIF('2S EXPRESS'!$A$7:$A$50,'INSTANCE C1'!A27))+(COUNTIF('2 ZT'!$A$7:$A$50,'INSTANCE C1'!A27))+(COUNTIF('GO TRANSPORT'!$A$7:$A$50,'INSTANCE C1'!A27))+(COUNTIF('HMZ - KAIS'!$A$7:$A$50,'INSTANCE C1'!A27))+(COUNTIF('IB TRANSPORT'!$A$7:$A$50,'INSTANCE C1'!A27))+(COUNTIF(JSL!$A$7:$A$50,'INSTANCE C1'!A27))+(COUNTIF(KIFAITOUT!$A$7:$A$50,'INSTANCE C1'!A27))+(COUNTIF('LUXE DRIVE'!$A$7:$A$50,'INSTANCE C1'!A27))+(COUNTIF(SSN!$A$7:$A$50,'INSTANCE C1'!A27))+(COUNTIF('W3'!$A$7:$A$50,'INSTANCE C1'!A27))+(COUNTIF('ATHIS MONS'!$A$7:$A$50,'INSTANCE C1'!A27))+(COUNTIF('L HAY LES ROSES'!$A$7:$A$50,'INSTANCE C1'!A27))+(COUNTIF(RUNGIS!$A$7:$A$50,'INSTANCE C1'!A27))+(COUNTIF(SCEAUX!$A$7:$A$50,'INSTANCE C1'!A27))+(COUNTIF('INSTANCE C1'!$A$7:$A$50,'INSTANCE C1'!A27))+(COUNTIF('INSTANCE C2'!$A$7:$A$50,'INSTANCE C1'!A27))+(COUNTIF(INTERNES!$A$7:$A$50,'INSTANCE C1'!A27))+(COUNTIF('EN PANNE'!$A$7:$A$50,'INSTANCE C1'!A27))-C27</f>
        <v>0</v>
      </c>
      <c r="C27" s="23">
        <f>(COUNTIF('2S EXPRESS'!$G$7:$G$50,'INSTANCE C1'!A27))+(COUNTIF('2 ZT'!$G$7:$G$50,'INSTANCE C1'!A27))+(COUNTIF('GO TRANSPORT'!$G$7:$G$50,'INSTANCE C1'!A27))+(COUNTIF('INSTANCE C1'!$G$7:$G$50,'INSTANCE C1'!A27))+(COUNTIF('IB TRANSPORT'!$G$7:$G$50,'INSTANCE C1'!A27))+(COUNTIF(JSL!$G$7:$G$50,'INSTANCE C1'!A27))+(COUNTIF(KIFAITOUT!$G$7:$G$50,'INSTANCE C1'!A27))+(COUNTIF('LUXE DRIVE'!$G$7:$G$50,'INSTANCE C1'!A27))+(COUNTIF(SSN!$G$7:$G$50,'INSTANCE C1'!A27))+(COUNTIF('W3'!$G$7:$G$50,'INSTANCE C1'!A27))+(COUNTIF('ATHIS MONS'!$G$7:$G$50,'INSTANCE C1'!A27))+(COUNTIF('L HAY LES ROSES'!$G$7:$G$50,'INSTANCE C1'!A27))+(COUNTIF(RUNGIS!$G$7:$G$50,'INSTANCE C1'!A27))+(COUNTIF(SCEAUX!$G$7:$G$50,'INSTANCE C1'!A27))+(COUNTIF('INSTANCE C1'!$G$7:$G$50,'INSTANCE C1'!A27))+(COUNTIF('INSTANCE C2'!$G$7:$G$50,'INSTANCE C1'!A27))+(COUNTIF(INTERNES!$G$7:$G$50,'INSTANCE C1'!A27))+(COUNTIF('EN PANNE'!$G$7:$G$50,'INSTANCE C1'!A27))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EXPRESS'!$G$7:$G$50,'INSTANCE C1'!G27))+(COUNTIF('2 ZT'!$G$7:$G$50,'INSTANCE C1'!G27))+(COUNTIF('GO TRANSPORT'!$G$7:$G$50,'INSTANCE C1'!G27))+(COUNTIF('HMZ - KAIS'!$G$7:$G$50,'INSTANCE C1'!G27))+(COUNTIF('IB TRANSPORT'!$G$7:$G$50,'INSTANCE C1'!G27))+(COUNTIF(JSL!$G$7:$G$50,'INSTANCE C1'!G27))+(COUNTIF(KIFAITOUT!$G$7:$G$50,'INSTANCE C1'!G27))+(COUNTIF('LUXE DRIVE'!$G$7:$G$50,'INSTANCE C1'!G27))+(COUNTIF(SSN!$G$7:$G$50,'INSTANCE C1'!G27))+(COUNTIF('W3'!$G$7:$G$50,'INSTANCE C1'!G27))+(COUNTIF('ATHIS MONS'!$G$7:$G$50,'INSTANCE C1'!G27))+(COUNTIF('L HAY LES ROSES'!$G$7:$G$50,'INSTANCE C1'!G27))+(COUNTIF(RUNGIS!$G$7:$G$50,'INSTANCE C1'!G27))+(COUNTIF(SCEAUX!$G$7:$G$50,'INSTANCE C1'!G27))+(COUNTIF('INSTANCE C1'!$G$7:$G$50,'INSTANCE C1'!G27))+(COUNTIF('INSTANCE C2'!$G$7:$G$50,'INSTANCE C1'!G27))+(COUNTIF(INTERNES!$G$7:$G$50,'INSTANCE C1'!G27))+(COUNTIF('EN PANNE'!$G$7:$G$50,'INSTANCE C1'!G27))-I27</f>
        <v>0</v>
      </c>
      <c r="I27" s="23">
        <f>(COUNTIF('2S EXPRESS'!$A$7:$A$50,'INSTANCE C1'!G27))+(COUNTIF('2 ZT'!$A$7:$A$50,'INSTANCE C1'!G27))+(COUNTIF('GO TRANSPORT'!$A$7:$A$50,'INSTANCE C1'!G27))+(COUNTIF('HMZ - KAIS'!$A$7:$A$50,'INSTANCE C1'!G27))+(COUNTIF('IB TRANSPORT'!$A$7:$A$50,'INSTANCE C1'!G27))+(COUNTIF(JSL!$A$7:$A$50,'INSTANCE C1'!G27))+(COUNTIF(KIFAITOUT!$A$7:$A$50,'INSTANCE C1'!G27))+(COUNTIF('LUXE DRIVE'!$A$7:$A$50,'INSTANCE C1'!G27))+(COUNTIF(SSN!$A$7:$A$50,'INSTANCE C1'!G27))+(COUNTIF('W3'!$A$7:$A$50,'INSTANCE C1'!G27))+(COUNTIF('ATHIS MONS'!$A$7:$A$50,'INSTANCE C1'!G27))+(COUNTIF('L HAY LES ROSES'!$A$7:$A$50,'INSTANCE C1'!G27))+(COUNTIF(RUNGIS!$A$7:$A$50,'INSTANCE C1'!G27))+(COUNTIF(SCEAUX!$A$7:$A$50,'INSTANCE C1'!G27))+(COUNTIF('INSTANCE C1'!$A$7:$A$50,'INSTANCE C1'!G27))+(COUNTIF('INSTANCE C2'!$A$7:$A$50,'INSTANCE C1'!G27))+(COUNTIF(INTERNES!$A$7:$A$50,'INSTANCE C1'!G27))+(COUNTIF('EN PANNE'!$A$7:$A$50,'INSTANCE C1'!G27))</f>
        <v>0</v>
      </c>
      <c r="J27" s="28">
        <f t="shared" si="4"/>
        <v>0</v>
      </c>
      <c r="K27" s="2"/>
      <c r="L27" s="47"/>
      <c r="S27" s="60">
        <f t="shared" si="1"/>
        <v>0</v>
      </c>
      <c r="T27" s="67">
        <f t="shared" si="2"/>
        <v>0</v>
      </c>
    </row>
    <row r="28" spans="1:20" ht="24.95" customHeight="1" x14ac:dyDescent="0.2">
      <c r="A28" s="20"/>
      <c r="B28" s="23">
        <f>(COUNTIF('2S EXPRESS'!$A$7:$A$50,'INSTANCE C1'!A28))+(COUNTIF('2 ZT'!$A$7:$A$50,'INSTANCE C1'!A28))+(COUNTIF('GO TRANSPORT'!$A$7:$A$50,'INSTANCE C1'!A28))+(COUNTIF('HMZ - KAIS'!$A$7:$A$50,'INSTANCE C1'!A28))+(COUNTIF('IB TRANSPORT'!$A$7:$A$50,'INSTANCE C1'!A28))+(COUNTIF(JSL!$A$7:$A$50,'INSTANCE C1'!A28))+(COUNTIF(KIFAITOUT!$A$7:$A$50,'INSTANCE C1'!A28))+(COUNTIF('LUXE DRIVE'!$A$7:$A$50,'INSTANCE C1'!A28))+(COUNTIF(SSN!$A$7:$A$50,'INSTANCE C1'!A28))+(COUNTIF('W3'!$A$7:$A$50,'INSTANCE C1'!A28))+(COUNTIF('ATHIS MONS'!$A$7:$A$50,'INSTANCE C1'!A28))+(COUNTIF('L HAY LES ROSES'!$A$7:$A$50,'INSTANCE C1'!A28))+(COUNTIF(RUNGIS!$A$7:$A$50,'INSTANCE C1'!A28))+(COUNTIF(SCEAUX!$A$7:$A$50,'INSTANCE C1'!A28))+(COUNTIF('INSTANCE C1'!$A$7:$A$50,'INSTANCE C1'!A28))+(COUNTIF('INSTANCE C2'!$A$7:$A$50,'INSTANCE C1'!A28))+(COUNTIF(INTERNES!$A$7:$A$50,'INSTANCE C1'!A28))+(COUNTIF('EN PANNE'!$A$7:$A$50,'INSTANCE C1'!A28))-C28</f>
        <v>0</v>
      </c>
      <c r="C28" s="23">
        <f>(COUNTIF('2S EXPRESS'!$G$7:$G$50,'INSTANCE C1'!A28))+(COUNTIF('2 ZT'!$G$7:$G$50,'INSTANCE C1'!A28))+(COUNTIF('GO TRANSPORT'!$G$7:$G$50,'INSTANCE C1'!A28))+(COUNTIF('INSTANCE C1'!$G$7:$G$50,'INSTANCE C1'!A28))+(COUNTIF('IB TRANSPORT'!$G$7:$G$50,'INSTANCE C1'!A28))+(COUNTIF(JSL!$G$7:$G$50,'INSTANCE C1'!A28))+(COUNTIF(KIFAITOUT!$G$7:$G$50,'INSTANCE C1'!A28))+(COUNTIF('LUXE DRIVE'!$G$7:$G$50,'INSTANCE C1'!A28))+(COUNTIF(SSN!$G$7:$G$50,'INSTANCE C1'!A28))+(COUNTIF('W3'!$G$7:$G$50,'INSTANCE C1'!A28))+(COUNTIF('ATHIS MONS'!$G$7:$G$50,'INSTANCE C1'!A28))+(COUNTIF('L HAY LES ROSES'!$G$7:$G$50,'INSTANCE C1'!A28))+(COUNTIF(RUNGIS!$G$7:$G$50,'INSTANCE C1'!A28))+(COUNTIF(SCEAUX!$G$7:$G$50,'INSTANCE C1'!A28))+(COUNTIF('INSTANCE C1'!$G$7:$G$50,'INSTANCE C1'!A28))+(COUNTIF('INSTANCE C2'!$G$7:$G$50,'INSTANCE C1'!A28))+(COUNTIF(INTERNES!$G$7:$G$50,'INSTANCE C1'!A28))+(COUNTIF('EN PANNE'!$G$7:$G$50,'INSTANCE C1'!A28))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EXPRESS'!$G$7:$G$50,'INSTANCE C1'!G28))+(COUNTIF('2 ZT'!$G$7:$G$50,'INSTANCE C1'!G28))+(COUNTIF('GO TRANSPORT'!$G$7:$G$50,'INSTANCE C1'!G28))+(COUNTIF('HMZ - KAIS'!$G$7:$G$50,'INSTANCE C1'!G28))+(COUNTIF('IB TRANSPORT'!$G$7:$G$50,'INSTANCE C1'!G28))+(COUNTIF(JSL!$G$7:$G$50,'INSTANCE C1'!G28))+(COUNTIF(KIFAITOUT!$G$7:$G$50,'INSTANCE C1'!G28))+(COUNTIF('LUXE DRIVE'!$G$7:$G$50,'INSTANCE C1'!G28))+(COUNTIF(SSN!$G$7:$G$50,'INSTANCE C1'!G28))+(COUNTIF('W3'!$G$7:$G$50,'INSTANCE C1'!G28))+(COUNTIF('ATHIS MONS'!$G$7:$G$50,'INSTANCE C1'!G28))+(COUNTIF('L HAY LES ROSES'!$G$7:$G$50,'INSTANCE C1'!G28))+(COUNTIF(RUNGIS!$G$7:$G$50,'INSTANCE C1'!G28))+(COUNTIF(SCEAUX!$G$7:$G$50,'INSTANCE C1'!G28))+(COUNTIF('INSTANCE C1'!$G$7:$G$50,'INSTANCE C1'!G28))+(COUNTIF('INSTANCE C2'!$G$7:$G$50,'INSTANCE C1'!G28))+(COUNTIF(INTERNES!$G$7:$G$50,'INSTANCE C1'!G28))+(COUNTIF('EN PANNE'!$G$7:$G$50,'INSTANCE C1'!G28))-I28</f>
        <v>0</v>
      </c>
      <c r="I28" s="23">
        <f>(COUNTIF('2S EXPRESS'!$A$7:$A$50,'INSTANCE C1'!G28))+(COUNTIF('2 ZT'!$A$7:$A$50,'INSTANCE C1'!G28))+(COUNTIF('GO TRANSPORT'!$A$7:$A$50,'INSTANCE C1'!G28))+(COUNTIF('HMZ - KAIS'!$A$7:$A$50,'INSTANCE C1'!G28))+(COUNTIF('IB TRANSPORT'!$A$7:$A$50,'INSTANCE C1'!G28))+(COUNTIF(JSL!$A$7:$A$50,'INSTANCE C1'!G28))+(COUNTIF(KIFAITOUT!$A$7:$A$50,'INSTANCE C1'!G28))+(COUNTIF('LUXE DRIVE'!$A$7:$A$50,'INSTANCE C1'!G28))+(COUNTIF(SSN!$A$7:$A$50,'INSTANCE C1'!G28))+(COUNTIF('W3'!$A$7:$A$50,'INSTANCE C1'!G28))+(COUNTIF('ATHIS MONS'!$A$7:$A$50,'INSTANCE C1'!G28))+(COUNTIF('L HAY LES ROSES'!$A$7:$A$50,'INSTANCE C1'!G28))+(COUNTIF(RUNGIS!$A$7:$A$50,'INSTANCE C1'!G28))+(COUNTIF(SCEAUX!$A$7:$A$50,'INSTANCE C1'!G28))+(COUNTIF('INSTANCE C1'!$A$7:$A$50,'INSTANCE C1'!G28))+(COUNTIF('INSTANCE C2'!$A$7:$A$50,'INSTANCE C1'!G28))+(COUNTIF(INTERNES!$A$7:$A$50,'INSTANCE C1'!G28))+(COUNTIF('EN PANNE'!$A$7:$A$50,'INSTANCE C1'!G28))</f>
        <v>0</v>
      </c>
      <c r="J28" s="28">
        <f t="shared" si="4"/>
        <v>0</v>
      </c>
      <c r="K28" s="2"/>
      <c r="L28" s="47"/>
      <c r="S28" s="60">
        <f t="shared" si="1"/>
        <v>0</v>
      </c>
      <c r="T28" s="67">
        <f t="shared" si="2"/>
        <v>0</v>
      </c>
    </row>
    <row r="29" spans="1:20" ht="24.95" customHeight="1" x14ac:dyDescent="0.2">
      <c r="A29" s="20"/>
      <c r="B29" s="23">
        <f>(COUNTIF('2S EXPRESS'!$A$7:$A$50,'INSTANCE C1'!A29))+(COUNTIF('2 ZT'!$A$7:$A$50,'INSTANCE C1'!A29))+(COUNTIF('GO TRANSPORT'!$A$7:$A$50,'INSTANCE C1'!A29))+(COUNTIF('HMZ - KAIS'!$A$7:$A$50,'INSTANCE C1'!A29))+(COUNTIF('IB TRANSPORT'!$A$7:$A$50,'INSTANCE C1'!A29))+(COUNTIF(JSL!$A$7:$A$50,'INSTANCE C1'!A29))+(COUNTIF(KIFAITOUT!$A$7:$A$50,'INSTANCE C1'!A29))+(COUNTIF('LUXE DRIVE'!$A$7:$A$50,'INSTANCE C1'!A29))+(COUNTIF(SSN!$A$7:$A$50,'INSTANCE C1'!A29))+(COUNTIF('W3'!$A$7:$A$50,'INSTANCE C1'!A29))+(COUNTIF('ATHIS MONS'!$A$7:$A$50,'INSTANCE C1'!A29))+(COUNTIF('L HAY LES ROSES'!$A$7:$A$50,'INSTANCE C1'!A29))+(COUNTIF(RUNGIS!$A$7:$A$50,'INSTANCE C1'!A29))+(COUNTIF(SCEAUX!$A$7:$A$50,'INSTANCE C1'!A29))+(COUNTIF('INSTANCE C1'!$A$7:$A$50,'INSTANCE C1'!A29))+(COUNTIF('INSTANCE C2'!$A$7:$A$50,'INSTANCE C1'!A29))+(COUNTIF(INTERNES!$A$7:$A$50,'INSTANCE C1'!A29))+(COUNTIF('EN PANNE'!$A$7:$A$50,'INSTANCE C1'!A29))-C29</f>
        <v>0</v>
      </c>
      <c r="C29" s="23">
        <f>(COUNTIF('2S EXPRESS'!$G$7:$G$50,'INSTANCE C1'!A29))+(COUNTIF('2 ZT'!$G$7:$G$50,'INSTANCE C1'!A29))+(COUNTIF('GO TRANSPORT'!$G$7:$G$50,'INSTANCE C1'!A29))+(COUNTIF('INSTANCE C1'!$G$7:$G$50,'INSTANCE C1'!A29))+(COUNTIF('IB TRANSPORT'!$G$7:$G$50,'INSTANCE C1'!A29))+(COUNTIF(JSL!$G$7:$G$50,'INSTANCE C1'!A29))+(COUNTIF(KIFAITOUT!$G$7:$G$50,'INSTANCE C1'!A29))+(COUNTIF('LUXE DRIVE'!$G$7:$G$50,'INSTANCE C1'!A29))+(COUNTIF(SSN!$G$7:$G$50,'INSTANCE C1'!A29))+(COUNTIF('W3'!$G$7:$G$50,'INSTANCE C1'!A29))+(COUNTIF('ATHIS MONS'!$G$7:$G$50,'INSTANCE C1'!A29))+(COUNTIF('L HAY LES ROSES'!$G$7:$G$50,'INSTANCE C1'!A29))+(COUNTIF(RUNGIS!$G$7:$G$50,'INSTANCE C1'!A29))+(COUNTIF(SCEAUX!$G$7:$G$50,'INSTANCE C1'!A29))+(COUNTIF('INSTANCE C1'!$G$7:$G$50,'INSTANCE C1'!A29))+(COUNTIF('INSTANCE C2'!$G$7:$G$50,'INSTANCE C1'!A29))+(COUNTIF(INTERNES!$G$7:$G$50,'INSTANCE C1'!A29))+(COUNTIF('EN PANNE'!$G$7:$G$50,'INSTANCE C1'!A29))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EXPRESS'!$G$7:$G$50,'INSTANCE C1'!G29))+(COUNTIF('2 ZT'!$G$7:$G$50,'INSTANCE C1'!G29))+(COUNTIF('GO TRANSPORT'!$G$7:$G$50,'INSTANCE C1'!G29))+(COUNTIF('HMZ - KAIS'!$G$7:$G$50,'INSTANCE C1'!G29))+(COUNTIF('IB TRANSPORT'!$G$7:$G$50,'INSTANCE C1'!G29))+(COUNTIF(JSL!$G$7:$G$50,'INSTANCE C1'!G29))+(COUNTIF(KIFAITOUT!$G$7:$G$50,'INSTANCE C1'!G29))+(COUNTIF('LUXE DRIVE'!$G$7:$G$50,'INSTANCE C1'!G29))+(COUNTIF(SSN!$G$7:$G$50,'INSTANCE C1'!G29))+(COUNTIF('W3'!$G$7:$G$50,'INSTANCE C1'!G29))+(COUNTIF('ATHIS MONS'!$G$7:$G$50,'INSTANCE C1'!G29))+(COUNTIF('L HAY LES ROSES'!$G$7:$G$50,'INSTANCE C1'!G29))+(COUNTIF(RUNGIS!$G$7:$G$50,'INSTANCE C1'!G29))+(COUNTIF(SCEAUX!$G$7:$G$50,'INSTANCE C1'!G29))+(COUNTIF('INSTANCE C1'!$G$7:$G$50,'INSTANCE C1'!G29))+(COUNTIF('INSTANCE C2'!$G$7:$G$50,'INSTANCE C1'!G29))+(COUNTIF(INTERNES!$G$7:$G$50,'INSTANCE C1'!G29))+(COUNTIF('EN PANNE'!$G$7:$G$50,'INSTANCE C1'!G29))-I29</f>
        <v>0</v>
      </c>
      <c r="I29" s="23">
        <f>(COUNTIF('2S EXPRESS'!$A$7:$A$50,'INSTANCE C1'!G29))+(COUNTIF('2 ZT'!$A$7:$A$50,'INSTANCE C1'!G29))+(COUNTIF('GO TRANSPORT'!$A$7:$A$50,'INSTANCE C1'!G29))+(COUNTIF('HMZ - KAIS'!$A$7:$A$50,'INSTANCE C1'!G29))+(COUNTIF('IB TRANSPORT'!$A$7:$A$50,'INSTANCE C1'!G29))+(COUNTIF(JSL!$A$7:$A$50,'INSTANCE C1'!G29))+(COUNTIF(KIFAITOUT!$A$7:$A$50,'INSTANCE C1'!G29))+(COUNTIF('LUXE DRIVE'!$A$7:$A$50,'INSTANCE C1'!G29))+(COUNTIF(SSN!$A$7:$A$50,'INSTANCE C1'!G29))+(COUNTIF('W3'!$A$7:$A$50,'INSTANCE C1'!G29))+(COUNTIF('ATHIS MONS'!$A$7:$A$50,'INSTANCE C1'!G29))+(COUNTIF('L HAY LES ROSES'!$A$7:$A$50,'INSTANCE C1'!G29))+(COUNTIF(RUNGIS!$A$7:$A$50,'INSTANCE C1'!G29))+(COUNTIF(SCEAUX!$A$7:$A$50,'INSTANCE C1'!G29))+(COUNTIF('INSTANCE C1'!$A$7:$A$50,'INSTANCE C1'!G29))+(COUNTIF('INSTANCE C2'!$A$7:$A$50,'INSTANCE C1'!G29))+(COUNTIF(INTERNES!$A$7:$A$50,'INSTANCE C1'!G29))+(COUNTIF('EN PANNE'!$A$7:$A$50,'INSTANCE C1'!G29))</f>
        <v>0</v>
      </c>
      <c r="J29" s="28">
        <f t="shared" si="4"/>
        <v>0</v>
      </c>
      <c r="K29" s="2"/>
      <c r="L29" s="47"/>
      <c r="S29" s="60">
        <f t="shared" si="1"/>
        <v>0</v>
      </c>
      <c r="T29" s="67">
        <f t="shared" si="2"/>
        <v>0</v>
      </c>
    </row>
    <row r="30" spans="1:20" ht="24.95" customHeight="1" x14ac:dyDescent="0.2">
      <c r="A30" s="20"/>
      <c r="B30" s="23">
        <f>(COUNTIF('2S EXPRESS'!$A$7:$A$50,'INSTANCE C1'!A30))+(COUNTIF('2 ZT'!$A$7:$A$50,'INSTANCE C1'!A30))+(COUNTIF('GO TRANSPORT'!$A$7:$A$50,'INSTANCE C1'!A30))+(COUNTIF('HMZ - KAIS'!$A$7:$A$50,'INSTANCE C1'!A30))+(COUNTIF('IB TRANSPORT'!$A$7:$A$50,'INSTANCE C1'!A30))+(COUNTIF(JSL!$A$7:$A$50,'INSTANCE C1'!A30))+(COUNTIF(KIFAITOUT!$A$7:$A$50,'INSTANCE C1'!A30))+(COUNTIF('LUXE DRIVE'!$A$7:$A$50,'INSTANCE C1'!A30))+(COUNTIF(SSN!$A$7:$A$50,'INSTANCE C1'!A30))+(COUNTIF('W3'!$A$7:$A$50,'INSTANCE C1'!A30))+(COUNTIF('ATHIS MONS'!$A$7:$A$50,'INSTANCE C1'!A30))+(COUNTIF('L HAY LES ROSES'!$A$7:$A$50,'INSTANCE C1'!A30))+(COUNTIF(RUNGIS!$A$7:$A$50,'INSTANCE C1'!A30))+(COUNTIF(SCEAUX!$A$7:$A$50,'INSTANCE C1'!A30))+(COUNTIF('INSTANCE C1'!$A$7:$A$50,'INSTANCE C1'!A30))+(COUNTIF('INSTANCE C2'!$A$7:$A$50,'INSTANCE C1'!A30))+(COUNTIF(INTERNES!$A$7:$A$50,'INSTANCE C1'!A30))+(COUNTIF('EN PANNE'!$A$7:$A$50,'INSTANCE C1'!A30))-C30</f>
        <v>0</v>
      </c>
      <c r="C30" s="23">
        <f>(COUNTIF('2S EXPRESS'!$G$7:$G$50,'INSTANCE C1'!A30))+(COUNTIF('2 ZT'!$G$7:$G$50,'INSTANCE C1'!A30))+(COUNTIF('GO TRANSPORT'!$G$7:$G$50,'INSTANCE C1'!A30))+(COUNTIF('INSTANCE C1'!$G$7:$G$50,'INSTANCE C1'!A30))+(COUNTIF('IB TRANSPORT'!$G$7:$G$50,'INSTANCE C1'!A30))+(COUNTIF(JSL!$G$7:$G$50,'INSTANCE C1'!A30))+(COUNTIF(KIFAITOUT!$G$7:$G$50,'INSTANCE C1'!A30))+(COUNTIF('LUXE DRIVE'!$G$7:$G$50,'INSTANCE C1'!A30))+(COUNTIF(SSN!$G$7:$G$50,'INSTANCE C1'!A30))+(COUNTIF('W3'!$G$7:$G$50,'INSTANCE C1'!A30))+(COUNTIF('ATHIS MONS'!$G$7:$G$50,'INSTANCE C1'!A30))+(COUNTIF('L HAY LES ROSES'!$G$7:$G$50,'INSTANCE C1'!A30))+(COUNTIF(RUNGIS!$G$7:$G$50,'INSTANCE C1'!A30))+(COUNTIF(SCEAUX!$G$7:$G$50,'INSTANCE C1'!A30))+(COUNTIF('INSTANCE C1'!$G$7:$G$50,'INSTANCE C1'!A30))+(COUNTIF('INSTANCE C2'!$G$7:$G$50,'INSTANCE C1'!A30))+(COUNTIF(INTERNES!$G$7:$G$50,'INSTANCE C1'!A30))+(COUNTIF('EN PANNE'!$G$7:$G$50,'INSTANCE C1'!A30))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EXPRESS'!$G$7:$G$50,'INSTANCE C1'!G30))+(COUNTIF('2 ZT'!$G$7:$G$50,'INSTANCE C1'!G30))+(COUNTIF('GO TRANSPORT'!$G$7:$G$50,'INSTANCE C1'!G30))+(COUNTIF('HMZ - KAIS'!$G$7:$G$50,'INSTANCE C1'!G30))+(COUNTIF('IB TRANSPORT'!$G$7:$G$50,'INSTANCE C1'!G30))+(COUNTIF(JSL!$G$7:$G$50,'INSTANCE C1'!G30))+(COUNTIF(KIFAITOUT!$G$7:$G$50,'INSTANCE C1'!G30))+(COUNTIF('LUXE DRIVE'!$G$7:$G$50,'INSTANCE C1'!G30))+(COUNTIF(SSN!$G$7:$G$50,'INSTANCE C1'!G30))+(COUNTIF('W3'!$G$7:$G$50,'INSTANCE C1'!G30))+(COUNTIF('ATHIS MONS'!$G$7:$G$50,'INSTANCE C1'!G30))+(COUNTIF('L HAY LES ROSES'!$G$7:$G$50,'INSTANCE C1'!G30))+(COUNTIF(RUNGIS!$G$7:$G$50,'INSTANCE C1'!G30))+(COUNTIF(SCEAUX!$G$7:$G$50,'INSTANCE C1'!G30))+(COUNTIF('INSTANCE C1'!$G$7:$G$50,'INSTANCE C1'!G30))+(COUNTIF('INSTANCE C2'!$G$7:$G$50,'INSTANCE C1'!G30))+(COUNTIF(INTERNES!$G$7:$G$50,'INSTANCE C1'!G30))+(COUNTIF('EN PANNE'!$G$7:$G$50,'INSTANCE C1'!G30))-I30</f>
        <v>0</v>
      </c>
      <c r="I30" s="23">
        <f>(COUNTIF('2S EXPRESS'!$A$7:$A$50,'INSTANCE C1'!G30))+(COUNTIF('2 ZT'!$A$7:$A$50,'INSTANCE C1'!G30))+(COUNTIF('GO TRANSPORT'!$A$7:$A$50,'INSTANCE C1'!G30))+(COUNTIF('HMZ - KAIS'!$A$7:$A$50,'INSTANCE C1'!G30))+(COUNTIF('IB TRANSPORT'!$A$7:$A$50,'INSTANCE C1'!G30))+(COUNTIF(JSL!$A$7:$A$50,'INSTANCE C1'!G30))+(COUNTIF(KIFAITOUT!$A$7:$A$50,'INSTANCE C1'!G30))+(COUNTIF('LUXE DRIVE'!$A$7:$A$50,'INSTANCE C1'!G30))+(COUNTIF(SSN!$A$7:$A$50,'INSTANCE C1'!G30))+(COUNTIF('W3'!$A$7:$A$50,'INSTANCE C1'!G30))+(COUNTIF('ATHIS MONS'!$A$7:$A$50,'INSTANCE C1'!G30))+(COUNTIF('L HAY LES ROSES'!$A$7:$A$50,'INSTANCE C1'!G30))+(COUNTIF(RUNGIS!$A$7:$A$50,'INSTANCE C1'!G30))+(COUNTIF(SCEAUX!$A$7:$A$50,'INSTANCE C1'!G30))+(COUNTIF('INSTANCE C1'!$A$7:$A$50,'INSTANCE C1'!G30))+(COUNTIF('INSTANCE C2'!$A$7:$A$50,'INSTANCE C1'!G30))+(COUNTIF(INTERNES!$A$7:$A$50,'INSTANCE C1'!G30))+(COUNTIF('EN PANNE'!$A$7:$A$50,'INSTANCE C1'!G30))</f>
        <v>0</v>
      </c>
      <c r="J30" s="28">
        <f t="shared" si="4"/>
        <v>0</v>
      </c>
      <c r="K30" s="2"/>
      <c r="L30" s="47"/>
      <c r="S30" s="60">
        <f t="shared" si="1"/>
        <v>0</v>
      </c>
      <c r="T30" s="67">
        <f t="shared" si="2"/>
        <v>0</v>
      </c>
    </row>
    <row r="31" spans="1:20" ht="24.95" customHeight="1" x14ac:dyDescent="0.2">
      <c r="A31" s="20"/>
      <c r="B31" s="23">
        <f>(COUNTIF('2S EXPRESS'!$A$7:$A$50,'INSTANCE C1'!A31))+(COUNTIF('2 ZT'!$A$7:$A$50,'INSTANCE C1'!A31))+(COUNTIF('GO TRANSPORT'!$A$7:$A$50,'INSTANCE C1'!A31))+(COUNTIF('HMZ - KAIS'!$A$7:$A$50,'INSTANCE C1'!A31))+(COUNTIF('IB TRANSPORT'!$A$7:$A$50,'INSTANCE C1'!A31))+(COUNTIF(JSL!$A$7:$A$50,'INSTANCE C1'!A31))+(COUNTIF(KIFAITOUT!$A$7:$A$50,'INSTANCE C1'!A31))+(COUNTIF('LUXE DRIVE'!$A$7:$A$50,'INSTANCE C1'!A31))+(COUNTIF(SSN!$A$7:$A$50,'INSTANCE C1'!A31))+(COUNTIF('W3'!$A$7:$A$50,'INSTANCE C1'!A31))+(COUNTIF('ATHIS MONS'!$A$7:$A$50,'INSTANCE C1'!A31))+(COUNTIF('L HAY LES ROSES'!$A$7:$A$50,'INSTANCE C1'!A31))+(COUNTIF(RUNGIS!$A$7:$A$50,'INSTANCE C1'!A31))+(COUNTIF(SCEAUX!$A$7:$A$50,'INSTANCE C1'!A31))+(COUNTIF('INSTANCE C1'!$A$7:$A$50,'INSTANCE C1'!A31))+(COUNTIF('INSTANCE C2'!$A$7:$A$50,'INSTANCE C1'!A31))+(COUNTIF(INTERNES!$A$7:$A$50,'INSTANCE C1'!A31))+(COUNTIF('EN PANNE'!$A$7:$A$50,'INSTANCE C1'!A31))-C31</f>
        <v>0</v>
      </c>
      <c r="C31" s="23">
        <f>(COUNTIF('2S EXPRESS'!$G$7:$G$50,'INSTANCE C1'!A31))+(COUNTIF('2 ZT'!$G$7:$G$50,'INSTANCE C1'!A31))+(COUNTIF('GO TRANSPORT'!$G$7:$G$50,'INSTANCE C1'!A31))+(COUNTIF('INSTANCE C1'!$G$7:$G$50,'INSTANCE C1'!A31))+(COUNTIF('IB TRANSPORT'!$G$7:$G$50,'INSTANCE C1'!A31))+(COUNTIF(JSL!$G$7:$G$50,'INSTANCE C1'!A31))+(COUNTIF(KIFAITOUT!$G$7:$G$50,'INSTANCE C1'!A31))+(COUNTIF('LUXE DRIVE'!$G$7:$G$50,'INSTANCE C1'!A31))+(COUNTIF(SSN!$G$7:$G$50,'INSTANCE C1'!A31))+(COUNTIF('W3'!$G$7:$G$50,'INSTANCE C1'!A31))+(COUNTIF('ATHIS MONS'!$G$7:$G$50,'INSTANCE C1'!A31))+(COUNTIF('L HAY LES ROSES'!$G$7:$G$50,'INSTANCE C1'!A31))+(COUNTIF(RUNGIS!$G$7:$G$50,'INSTANCE C1'!A31))+(COUNTIF(SCEAUX!$G$7:$G$50,'INSTANCE C1'!A31))+(COUNTIF('INSTANCE C1'!$G$7:$G$50,'INSTANCE C1'!A31))+(COUNTIF('INSTANCE C2'!$G$7:$G$50,'INSTANCE C1'!A31))+(COUNTIF(INTERNES!$G$7:$G$50,'INSTANCE C1'!A31))+(COUNTIF('EN PANNE'!$G$7:$G$50,'INSTANCE C1'!A31))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EXPRESS'!$G$7:$G$50,'INSTANCE C1'!G31))+(COUNTIF('2 ZT'!$G$7:$G$50,'INSTANCE C1'!G31))+(COUNTIF('GO TRANSPORT'!$G$7:$G$50,'INSTANCE C1'!G31))+(COUNTIF('HMZ - KAIS'!$G$7:$G$50,'INSTANCE C1'!G31))+(COUNTIF('IB TRANSPORT'!$G$7:$G$50,'INSTANCE C1'!G31))+(COUNTIF(JSL!$G$7:$G$50,'INSTANCE C1'!G31))+(COUNTIF(KIFAITOUT!$G$7:$G$50,'INSTANCE C1'!G31))+(COUNTIF('LUXE DRIVE'!$G$7:$G$50,'INSTANCE C1'!G31))+(COUNTIF(SSN!$G$7:$G$50,'INSTANCE C1'!G31))+(COUNTIF('W3'!$G$7:$G$50,'INSTANCE C1'!G31))+(COUNTIF('ATHIS MONS'!$G$7:$G$50,'INSTANCE C1'!G31))+(COUNTIF('L HAY LES ROSES'!$G$7:$G$50,'INSTANCE C1'!G31))+(COUNTIF(RUNGIS!$G$7:$G$50,'INSTANCE C1'!G31))+(COUNTIF(SCEAUX!$G$7:$G$50,'INSTANCE C1'!G31))+(COUNTIF('INSTANCE C1'!$G$7:$G$50,'INSTANCE C1'!G31))+(COUNTIF('INSTANCE C2'!$G$7:$G$50,'INSTANCE C1'!G31))+(COUNTIF(INTERNES!$G$7:$G$50,'INSTANCE C1'!G31))+(COUNTIF('EN PANNE'!$G$7:$G$50,'INSTANCE C1'!G31))-I31</f>
        <v>0</v>
      </c>
      <c r="I31" s="23">
        <f>(COUNTIF('2S EXPRESS'!$A$7:$A$50,'INSTANCE C1'!G31))+(COUNTIF('2 ZT'!$A$7:$A$50,'INSTANCE C1'!G31))+(COUNTIF('GO TRANSPORT'!$A$7:$A$50,'INSTANCE C1'!G31))+(COUNTIF('HMZ - KAIS'!$A$7:$A$50,'INSTANCE C1'!G31))+(COUNTIF('IB TRANSPORT'!$A$7:$A$50,'INSTANCE C1'!G31))+(COUNTIF(JSL!$A$7:$A$50,'INSTANCE C1'!G31))+(COUNTIF(KIFAITOUT!$A$7:$A$50,'INSTANCE C1'!G31))+(COUNTIF('LUXE DRIVE'!$A$7:$A$50,'INSTANCE C1'!G31))+(COUNTIF(SSN!$A$7:$A$50,'INSTANCE C1'!G31))+(COUNTIF('W3'!$A$7:$A$50,'INSTANCE C1'!G31))+(COUNTIF('ATHIS MONS'!$A$7:$A$50,'INSTANCE C1'!G31))+(COUNTIF('L HAY LES ROSES'!$A$7:$A$50,'INSTANCE C1'!G31))+(COUNTIF(RUNGIS!$A$7:$A$50,'INSTANCE C1'!G31))+(COUNTIF(SCEAUX!$A$7:$A$50,'INSTANCE C1'!G31))+(COUNTIF('INSTANCE C1'!$A$7:$A$50,'INSTANCE C1'!G31))+(COUNTIF('INSTANCE C2'!$A$7:$A$50,'INSTANCE C1'!G31))+(COUNTIF(INTERNES!$A$7:$A$50,'INSTANCE C1'!G31))+(COUNTIF('EN PANNE'!$A$7:$A$50,'INSTANCE C1'!G31))</f>
        <v>0</v>
      </c>
      <c r="J31" s="28">
        <f t="shared" si="4"/>
        <v>0</v>
      </c>
      <c r="K31" s="2"/>
      <c r="L31" s="47"/>
      <c r="S31" s="60">
        <f t="shared" si="1"/>
        <v>0</v>
      </c>
      <c r="T31" s="67">
        <f t="shared" si="2"/>
        <v>0</v>
      </c>
    </row>
    <row r="32" spans="1:20" ht="24.95" customHeight="1" x14ac:dyDescent="0.2">
      <c r="A32" s="20"/>
      <c r="B32" s="23">
        <f>(COUNTIF('2S EXPRESS'!$A$7:$A$50,'INSTANCE C1'!A32))+(COUNTIF('2 ZT'!$A$7:$A$50,'INSTANCE C1'!A32))+(COUNTIF('GO TRANSPORT'!$A$7:$A$50,'INSTANCE C1'!A32))+(COUNTIF('HMZ - KAIS'!$A$7:$A$50,'INSTANCE C1'!A32))+(COUNTIF('IB TRANSPORT'!$A$7:$A$50,'INSTANCE C1'!A32))+(COUNTIF(JSL!$A$7:$A$50,'INSTANCE C1'!A32))+(COUNTIF(KIFAITOUT!$A$7:$A$50,'INSTANCE C1'!A32))+(COUNTIF('LUXE DRIVE'!$A$7:$A$50,'INSTANCE C1'!A32))+(COUNTIF(SSN!$A$7:$A$50,'INSTANCE C1'!A32))+(COUNTIF('W3'!$A$7:$A$50,'INSTANCE C1'!A32))+(COUNTIF('ATHIS MONS'!$A$7:$A$50,'INSTANCE C1'!A32))+(COUNTIF('L HAY LES ROSES'!$A$7:$A$50,'INSTANCE C1'!A32))+(COUNTIF(RUNGIS!$A$7:$A$50,'INSTANCE C1'!A32))+(COUNTIF(SCEAUX!$A$7:$A$50,'INSTANCE C1'!A32))+(COUNTIF('INSTANCE C1'!$A$7:$A$50,'INSTANCE C1'!A32))+(COUNTIF('INSTANCE C2'!$A$7:$A$50,'INSTANCE C1'!A32))+(COUNTIF(INTERNES!$A$7:$A$50,'INSTANCE C1'!A32))+(COUNTIF('EN PANNE'!$A$7:$A$50,'INSTANCE C1'!A32))-C32</f>
        <v>0</v>
      </c>
      <c r="C32" s="23">
        <f>(COUNTIF('2S EXPRESS'!$G$7:$G$50,'INSTANCE C1'!A32))+(COUNTIF('2 ZT'!$G$7:$G$50,'INSTANCE C1'!A32))+(COUNTIF('GO TRANSPORT'!$G$7:$G$50,'INSTANCE C1'!A32))+(COUNTIF('INSTANCE C1'!$G$7:$G$50,'INSTANCE C1'!A32))+(COUNTIF('IB TRANSPORT'!$G$7:$G$50,'INSTANCE C1'!A32))+(COUNTIF(JSL!$G$7:$G$50,'INSTANCE C1'!A32))+(COUNTIF(KIFAITOUT!$G$7:$G$50,'INSTANCE C1'!A32))+(COUNTIF('LUXE DRIVE'!$G$7:$G$50,'INSTANCE C1'!A32))+(COUNTIF(SSN!$G$7:$G$50,'INSTANCE C1'!A32))+(COUNTIF('W3'!$G$7:$G$50,'INSTANCE C1'!A32))+(COUNTIF('ATHIS MONS'!$G$7:$G$50,'INSTANCE C1'!A32))+(COUNTIF('L HAY LES ROSES'!$G$7:$G$50,'INSTANCE C1'!A32))+(COUNTIF(RUNGIS!$G$7:$G$50,'INSTANCE C1'!A32))+(COUNTIF(SCEAUX!$G$7:$G$50,'INSTANCE C1'!A32))+(COUNTIF('INSTANCE C1'!$G$7:$G$50,'INSTANCE C1'!A32))+(COUNTIF('INSTANCE C2'!$G$7:$G$50,'INSTANCE C1'!A32))+(COUNTIF(INTERNES!$G$7:$G$50,'INSTANCE C1'!A32))+(COUNTIF('EN PANNE'!$G$7:$G$50,'INSTANCE C1'!A32))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EXPRESS'!$G$7:$G$50,'INSTANCE C1'!G32))+(COUNTIF('2 ZT'!$G$7:$G$50,'INSTANCE C1'!G32))+(COUNTIF('GO TRANSPORT'!$G$7:$G$50,'INSTANCE C1'!G32))+(COUNTIF('HMZ - KAIS'!$G$7:$G$50,'INSTANCE C1'!G32))+(COUNTIF('IB TRANSPORT'!$G$7:$G$50,'INSTANCE C1'!G32))+(COUNTIF(JSL!$G$7:$G$50,'INSTANCE C1'!G32))+(COUNTIF(KIFAITOUT!$G$7:$G$50,'INSTANCE C1'!G32))+(COUNTIF('LUXE DRIVE'!$G$7:$G$50,'INSTANCE C1'!G32))+(COUNTIF(SSN!$G$7:$G$50,'INSTANCE C1'!G32))+(COUNTIF('W3'!$G$7:$G$50,'INSTANCE C1'!G32))+(COUNTIF('ATHIS MONS'!$G$7:$G$50,'INSTANCE C1'!G32))+(COUNTIF('L HAY LES ROSES'!$G$7:$G$50,'INSTANCE C1'!G32))+(COUNTIF(RUNGIS!$G$7:$G$50,'INSTANCE C1'!G32))+(COUNTIF(SCEAUX!$G$7:$G$50,'INSTANCE C1'!G32))+(COUNTIF('INSTANCE C1'!$G$7:$G$50,'INSTANCE C1'!G32))+(COUNTIF('INSTANCE C2'!$G$7:$G$50,'INSTANCE C1'!G32))+(COUNTIF(INTERNES!$G$7:$G$50,'INSTANCE C1'!G32))+(COUNTIF('EN PANNE'!$G$7:$G$50,'INSTANCE C1'!G32))-I32</f>
        <v>0</v>
      </c>
      <c r="I32" s="23">
        <f>(COUNTIF('2S EXPRESS'!$A$7:$A$50,'INSTANCE C1'!G32))+(COUNTIF('2 ZT'!$A$7:$A$50,'INSTANCE C1'!G32))+(COUNTIF('GO TRANSPORT'!$A$7:$A$50,'INSTANCE C1'!G32))+(COUNTIF('HMZ - KAIS'!$A$7:$A$50,'INSTANCE C1'!G32))+(COUNTIF('IB TRANSPORT'!$A$7:$A$50,'INSTANCE C1'!G32))+(COUNTIF(JSL!$A$7:$A$50,'INSTANCE C1'!G32))+(COUNTIF(KIFAITOUT!$A$7:$A$50,'INSTANCE C1'!G32))+(COUNTIF('LUXE DRIVE'!$A$7:$A$50,'INSTANCE C1'!G32))+(COUNTIF(SSN!$A$7:$A$50,'INSTANCE C1'!G32))+(COUNTIF('W3'!$A$7:$A$50,'INSTANCE C1'!G32))+(COUNTIF('ATHIS MONS'!$A$7:$A$50,'INSTANCE C1'!G32))+(COUNTIF('L HAY LES ROSES'!$A$7:$A$50,'INSTANCE C1'!G32))+(COUNTIF(RUNGIS!$A$7:$A$50,'INSTANCE C1'!G32))+(COUNTIF(SCEAUX!$A$7:$A$50,'INSTANCE C1'!G32))+(COUNTIF('INSTANCE C1'!$A$7:$A$50,'INSTANCE C1'!G32))+(COUNTIF('INSTANCE C2'!$A$7:$A$50,'INSTANCE C1'!G32))+(COUNTIF(INTERNES!$A$7:$A$50,'INSTANCE C1'!G32))+(COUNTIF('EN PANNE'!$A$7:$A$50,'INSTANCE C1'!G32))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S32" s="60">
        <f t="shared" si="1"/>
        <v>0</v>
      </c>
      <c r="T32" s="67">
        <f t="shared" si="2"/>
        <v>0</v>
      </c>
    </row>
    <row r="33" spans="1:20" ht="24.95" customHeight="1" x14ac:dyDescent="0.2">
      <c r="A33" s="20"/>
      <c r="B33" s="23">
        <f>(COUNTIF('2S EXPRESS'!$A$7:$A$50,'INSTANCE C1'!A33))+(COUNTIF('2 ZT'!$A$7:$A$50,'INSTANCE C1'!A33))+(COUNTIF('GO TRANSPORT'!$A$7:$A$50,'INSTANCE C1'!A33))+(COUNTIF('HMZ - KAIS'!$A$7:$A$50,'INSTANCE C1'!A33))+(COUNTIF('IB TRANSPORT'!$A$7:$A$50,'INSTANCE C1'!A33))+(COUNTIF(JSL!$A$7:$A$50,'INSTANCE C1'!A33))+(COUNTIF(KIFAITOUT!$A$7:$A$50,'INSTANCE C1'!A33))+(COUNTIF('LUXE DRIVE'!$A$7:$A$50,'INSTANCE C1'!A33))+(COUNTIF(SSN!$A$7:$A$50,'INSTANCE C1'!A33))+(COUNTIF('W3'!$A$7:$A$50,'INSTANCE C1'!A33))+(COUNTIF('ATHIS MONS'!$A$7:$A$50,'INSTANCE C1'!A33))+(COUNTIF('L HAY LES ROSES'!$A$7:$A$50,'INSTANCE C1'!A33))+(COUNTIF(RUNGIS!$A$7:$A$50,'INSTANCE C1'!A33))+(COUNTIF(SCEAUX!$A$7:$A$50,'INSTANCE C1'!A33))+(COUNTIF('INSTANCE C1'!$A$7:$A$50,'INSTANCE C1'!A33))+(COUNTIF('INSTANCE C2'!$A$7:$A$50,'INSTANCE C1'!A33))+(COUNTIF(INTERNES!$A$7:$A$50,'INSTANCE C1'!A33))+(COUNTIF('EN PANNE'!$A$7:$A$50,'INSTANCE C1'!A33))-C33</f>
        <v>0</v>
      </c>
      <c r="C33" s="23">
        <f>(COUNTIF('2S EXPRESS'!$G$7:$G$50,'INSTANCE C1'!A33))+(COUNTIF('2 ZT'!$G$7:$G$50,'INSTANCE C1'!A33))+(COUNTIF('GO TRANSPORT'!$G$7:$G$50,'INSTANCE C1'!A33))+(COUNTIF('INSTANCE C1'!$G$7:$G$50,'INSTANCE C1'!A33))+(COUNTIF('IB TRANSPORT'!$G$7:$G$50,'INSTANCE C1'!A33))+(COUNTIF(JSL!$G$7:$G$50,'INSTANCE C1'!A33))+(COUNTIF(KIFAITOUT!$G$7:$G$50,'INSTANCE C1'!A33))+(COUNTIF('LUXE DRIVE'!$G$7:$G$50,'INSTANCE C1'!A33))+(COUNTIF(SSN!$G$7:$G$50,'INSTANCE C1'!A33))+(COUNTIF('W3'!$G$7:$G$50,'INSTANCE C1'!A33))+(COUNTIF('ATHIS MONS'!$G$7:$G$50,'INSTANCE C1'!A33))+(COUNTIF('L HAY LES ROSES'!$G$7:$G$50,'INSTANCE C1'!A33))+(COUNTIF(RUNGIS!$G$7:$G$50,'INSTANCE C1'!A33))+(COUNTIF(SCEAUX!$G$7:$G$50,'INSTANCE C1'!A33))+(COUNTIF('INSTANCE C1'!$G$7:$G$50,'INSTANCE C1'!A33))+(COUNTIF('INSTANCE C2'!$G$7:$G$50,'INSTANCE C1'!A33))+(COUNTIF(INTERNES!$G$7:$G$50,'INSTANCE C1'!A33))+(COUNTIF('EN PANNE'!$G$7:$G$50,'INSTANCE C1'!A33))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EXPRESS'!$G$7:$G$50,'INSTANCE C1'!G33))+(COUNTIF('2 ZT'!$G$7:$G$50,'INSTANCE C1'!G33))+(COUNTIF('GO TRANSPORT'!$G$7:$G$50,'INSTANCE C1'!G33))+(COUNTIF('HMZ - KAIS'!$G$7:$G$50,'INSTANCE C1'!G33))+(COUNTIF('IB TRANSPORT'!$G$7:$G$50,'INSTANCE C1'!G33))+(COUNTIF(JSL!$G$7:$G$50,'INSTANCE C1'!G33))+(COUNTIF(KIFAITOUT!$G$7:$G$50,'INSTANCE C1'!G33))+(COUNTIF('LUXE DRIVE'!$G$7:$G$50,'INSTANCE C1'!G33))+(COUNTIF(SSN!$G$7:$G$50,'INSTANCE C1'!G33))+(COUNTIF('W3'!$G$7:$G$50,'INSTANCE C1'!G33))+(COUNTIF('ATHIS MONS'!$G$7:$G$50,'INSTANCE C1'!G33))+(COUNTIF('L HAY LES ROSES'!$G$7:$G$50,'INSTANCE C1'!G33))+(COUNTIF(RUNGIS!$G$7:$G$50,'INSTANCE C1'!G33))+(COUNTIF(SCEAUX!$G$7:$G$50,'INSTANCE C1'!G33))+(COUNTIF('INSTANCE C1'!$G$7:$G$50,'INSTANCE C1'!G33))+(COUNTIF('INSTANCE C2'!$G$7:$G$50,'INSTANCE C1'!G33))+(COUNTIF(INTERNES!$G$7:$G$50,'INSTANCE C1'!G33))+(COUNTIF('EN PANNE'!$G$7:$G$50,'INSTANCE C1'!G33))-I33</f>
        <v>0</v>
      </c>
      <c r="I33" s="23">
        <f>(COUNTIF('2S EXPRESS'!$A$7:$A$50,'INSTANCE C1'!G33))+(COUNTIF('2 ZT'!$A$7:$A$50,'INSTANCE C1'!G33))+(COUNTIF('GO TRANSPORT'!$A$7:$A$50,'INSTANCE C1'!G33))+(COUNTIF('HMZ - KAIS'!$A$7:$A$50,'INSTANCE C1'!G33))+(COUNTIF('IB TRANSPORT'!$A$7:$A$50,'INSTANCE C1'!G33))+(COUNTIF(JSL!$A$7:$A$50,'INSTANCE C1'!G33))+(COUNTIF(KIFAITOUT!$A$7:$A$50,'INSTANCE C1'!G33))+(COUNTIF('LUXE DRIVE'!$A$7:$A$50,'INSTANCE C1'!G33))+(COUNTIF(SSN!$A$7:$A$50,'INSTANCE C1'!G33))+(COUNTIF('W3'!$A$7:$A$50,'INSTANCE C1'!G33))+(COUNTIF('ATHIS MONS'!$A$7:$A$50,'INSTANCE C1'!G33))+(COUNTIF('L HAY LES ROSES'!$A$7:$A$50,'INSTANCE C1'!G33))+(COUNTIF(RUNGIS!$A$7:$A$50,'INSTANCE C1'!G33))+(COUNTIF(SCEAUX!$A$7:$A$50,'INSTANCE C1'!G33))+(COUNTIF('INSTANCE C1'!$A$7:$A$50,'INSTANCE C1'!G33))+(COUNTIF('INSTANCE C2'!$A$7:$A$50,'INSTANCE C1'!G33))+(COUNTIF(INTERNES!$A$7:$A$50,'INSTANCE C1'!G33))+(COUNTIF('EN PANNE'!$A$7:$A$50,'INSTANCE C1'!G33))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S33" s="60">
        <f t="shared" si="1"/>
        <v>0</v>
      </c>
      <c r="T33" s="67">
        <f t="shared" si="2"/>
        <v>0</v>
      </c>
    </row>
    <row r="34" spans="1:20" ht="24.95" customHeight="1" x14ac:dyDescent="0.2">
      <c r="A34" s="20"/>
      <c r="B34" s="23">
        <f>(COUNTIF('2S EXPRESS'!$A$7:$A$50,'INSTANCE C1'!A34))+(COUNTIF('2 ZT'!$A$7:$A$50,'INSTANCE C1'!A34))+(COUNTIF('GO TRANSPORT'!$A$7:$A$50,'INSTANCE C1'!A34))+(COUNTIF('HMZ - KAIS'!$A$7:$A$50,'INSTANCE C1'!A34))+(COUNTIF('IB TRANSPORT'!$A$7:$A$50,'INSTANCE C1'!A34))+(COUNTIF(JSL!$A$7:$A$50,'INSTANCE C1'!A34))+(COUNTIF(KIFAITOUT!$A$7:$A$50,'INSTANCE C1'!A34))+(COUNTIF('LUXE DRIVE'!$A$7:$A$50,'INSTANCE C1'!A34))+(COUNTIF(SSN!$A$7:$A$50,'INSTANCE C1'!A34))+(COUNTIF('W3'!$A$7:$A$50,'INSTANCE C1'!A34))+(COUNTIF('ATHIS MONS'!$A$7:$A$50,'INSTANCE C1'!A34))+(COUNTIF('L HAY LES ROSES'!$A$7:$A$50,'INSTANCE C1'!A34))+(COUNTIF(RUNGIS!$A$7:$A$50,'INSTANCE C1'!A34))+(COUNTIF(SCEAUX!$A$7:$A$50,'INSTANCE C1'!A34))+(COUNTIF('INSTANCE C1'!$A$7:$A$50,'INSTANCE C1'!A34))+(COUNTIF('INSTANCE C2'!$A$7:$A$50,'INSTANCE C1'!A34))+(COUNTIF(INTERNES!$A$7:$A$50,'INSTANCE C1'!A34))+(COUNTIF('EN PANNE'!$A$7:$A$50,'INSTANCE C1'!A34))-C34</f>
        <v>0</v>
      </c>
      <c r="C34" s="23">
        <f>(COUNTIF('2S EXPRESS'!$G$7:$G$50,'INSTANCE C1'!A34))+(COUNTIF('2 ZT'!$G$7:$G$50,'INSTANCE C1'!A34))+(COUNTIF('GO TRANSPORT'!$G$7:$G$50,'INSTANCE C1'!A34))+(COUNTIF('INSTANCE C1'!$G$7:$G$50,'INSTANCE C1'!A34))+(COUNTIF('IB TRANSPORT'!$G$7:$G$50,'INSTANCE C1'!A34))+(COUNTIF(JSL!$G$7:$G$50,'INSTANCE C1'!A34))+(COUNTIF(KIFAITOUT!$G$7:$G$50,'INSTANCE C1'!A34))+(COUNTIF('LUXE DRIVE'!$G$7:$G$50,'INSTANCE C1'!A34))+(COUNTIF(SSN!$G$7:$G$50,'INSTANCE C1'!A34))+(COUNTIF('W3'!$G$7:$G$50,'INSTANCE C1'!A34))+(COUNTIF('ATHIS MONS'!$G$7:$G$50,'INSTANCE C1'!A34))+(COUNTIF('L HAY LES ROSES'!$G$7:$G$50,'INSTANCE C1'!A34))+(COUNTIF(RUNGIS!$G$7:$G$50,'INSTANCE C1'!A34))+(COUNTIF(SCEAUX!$G$7:$G$50,'INSTANCE C1'!A34))+(COUNTIF('INSTANCE C1'!$G$7:$G$50,'INSTANCE C1'!A34))+(COUNTIF('INSTANCE C2'!$G$7:$G$50,'INSTANCE C1'!A34))+(COUNTIF(INTERNES!$G$7:$G$50,'INSTANCE C1'!A34))+(COUNTIF('EN PANNE'!$G$7:$G$50,'INSTANCE C1'!A34))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EXPRESS'!$G$7:$G$50,'INSTANCE C1'!G34))+(COUNTIF('2 ZT'!$G$7:$G$50,'INSTANCE C1'!G34))+(COUNTIF('GO TRANSPORT'!$G$7:$G$50,'INSTANCE C1'!G34))+(COUNTIF('HMZ - KAIS'!$G$7:$G$50,'INSTANCE C1'!G34))+(COUNTIF('IB TRANSPORT'!$G$7:$G$50,'INSTANCE C1'!G34))+(COUNTIF(JSL!$G$7:$G$50,'INSTANCE C1'!G34))+(COUNTIF(KIFAITOUT!$G$7:$G$50,'INSTANCE C1'!G34))+(COUNTIF('LUXE DRIVE'!$G$7:$G$50,'INSTANCE C1'!G34))+(COUNTIF(SSN!$G$7:$G$50,'INSTANCE C1'!G34))+(COUNTIF('W3'!$G$7:$G$50,'INSTANCE C1'!G34))+(COUNTIF('ATHIS MONS'!$G$7:$G$50,'INSTANCE C1'!G34))+(COUNTIF('L HAY LES ROSES'!$G$7:$G$50,'INSTANCE C1'!G34))+(COUNTIF(RUNGIS!$G$7:$G$50,'INSTANCE C1'!G34))+(COUNTIF(SCEAUX!$G$7:$G$50,'INSTANCE C1'!G34))+(COUNTIF('INSTANCE C1'!$G$7:$G$50,'INSTANCE C1'!G34))+(COUNTIF('INSTANCE C2'!$G$7:$G$50,'INSTANCE C1'!G34))+(COUNTIF(INTERNES!$G$7:$G$50,'INSTANCE C1'!G34))+(COUNTIF('EN PANNE'!$G$7:$G$50,'INSTANCE C1'!G34))-I34</f>
        <v>0</v>
      </c>
      <c r="I34" s="23">
        <f>(COUNTIF('2S EXPRESS'!$A$7:$A$50,'INSTANCE C1'!G34))+(COUNTIF('2 ZT'!$A$7:$A$50,'INSTANCE C1'!G34))+(COUNTIF('GO TRANSPORT'!$A$7:$A$50,'INSTANCE C1'!G34))+(COUNTIF('HMZ - KAIS'!$A$7:$A$50,'INSTANCE C1'!G34))+(COUNTIF('IB TRANSPORT'!$A$7:$A$50,'INSTANCE C1'!G34))+(COUNTIF(JSL!$A$7:$A$50,'INSTANCE C1'!G34))+(COUNTIF(KIFAITOUT!$A$7:$A$50,'INSTANCE C1'!G34))+(COUNTIF('LUXE DRIVE'!$A$7:$A$50,'INSTANCE C1'!G34))+(COUNTIF(SSN!$A$7:$A$50,'INSTANCE C1'!G34))+(COUNTIF('W3'!$A$7:$A$50,'INSTANCE C1'!G34))+(COUNTIF('ATHIS MONS'!$A$7:$A$50,'INSTANCE C1'!G34))+(COUNTIF('L HAY LES ROSES'!$A$7:$A$50,'INSTANCE C1'!G34))+(COUNTIF(RUNGIS!$A$7:$A$50,'INSTANCE C1'!G34))+(COUNTIF(SCEAUX!$A$7:$A$50,'INSTANCE C1'!G34))+(COUNTIF('INSTANCE C1'!$A$7:$A$50,'INSTANCE C1'!G34))+(COUNTIF('INSTANCE C2'!$A$7:$A$50,'INSTANCE C1'!G34))+(COUNTIF(INTERNES!$A$7:$A$50,'INSTANCE C1'!G34))+(COUNTIF('EN PANNE'!$A$7:$A$50,'INSTANCE C1'!G34))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S34" s="60">
        <f t="shared" si="1"/>
        <v>0</v>
      </c>
      <c r="T34" s="67">
        <f t="shared" si="2"/>
        <v>0</v>
      </c>
    </row>
    <row r="35" spans="1:20" ht="24.95" customHeight="1" x14ac:dyDescent="0.2">
      <c r="A35" s="20"/>
      <c r="B35" s="23">
        <f>(COUNTIF('2S EXPRESS'!$A$7:$A$50,'INSTANCE C1'!A35))+(COUNTIF('2 ZT'!$A$7:$A$50,'INSTANCE C1'!A35))+(COUNTIF('GO TRANSPORT'!$A$7:$A$50,'INSTANCE C1'!A35))+(COUNTIF('HMZ - KAIS'!$A$7:$A$50,'INSTANCE C1'!A35))+(COUNTIF('IB TRANSPORT'!$A$7:$A$50,'INSTANCE C1'!A35))+(COUNTIF(JSL!$A$7:$A$50,'INSTANCE C1'!A35))+(COUNTIF(KIFAITOUT!$A$7:$A$50,'INSTANCE C1'!A35))+(COUNTIF('LUXE DRIVE'!$A$7:$A$50,'INSTANCE C1'!A35))+(COUNTIF(SSN!$A$7:$A$50,'INSTANCE C1'!A35))+(COUNTIF('W3'!$A$7:$A$50,'INSTANCE C1'!A35))+(COUNTIF('ATHIS MONS'!$A$7:$A$50,'INSTANCE C1'!A35))+(COUNTIF('L HAY LES ROSES'!$A$7:$A$50,'INSTANCE C1'!A35))+(COUNTIF(RUNGIS!$A$7:$A$50,'INSTANCE C1'!A35))+(COUNTIF(SCEAUX!$A$7:$A$50,'INSTANCE C1'!A35))+(COUNTIF('INSTANCE C1'!$A$7:$A$50,'INSTANCE C1'!A35))+(COUNTIF('INSTANCE C2'!$A$7:$A$50,'INSTANCE C1'!A35))+(COUNTIF(INTERNES!$A$7:$A$50,'INSTANCE C1'!A35))+(COUNTIF('EN PANNE'!$A$7:$A$50,'INSTANCE C1'!A35))-C35</f>
        <v>0</v>
      </c>
      <c r="C35" s="23">
        <f>(COUNTIF('2S EXPRESS'!$G$7:$G$50,'INSTANCE C1'!A35))+(COUNTIF('2 ZT'!$G$7:$G$50,'INSTANCE C1'!A35))+(COUNTIF('GO TRANSPORT'!$G$7:$G$50,'INSTANCE C1'!A35))+(COUNTIF('INSTANCE C1'!$G$7:$G$50,'INSTANCE C1'!A35))+(COUNTIF('IB TRANSPORT'!$G$7:$G$50,'INSTANCE C1'!A35))+(COUNTIF(JSL!$G$7:$G$50,'INSTANCE C1'!A35))+(COUNTIF(KIFAITOUT!$G$7:$G$50,'INSTANCE C1'!A35))+(COUNTIF('LUXE DRIVE'!$G$7:$G$50,'INSTANCE C1'!A35))+(COUNTIF(SSN!$G$7:$G$50,'INSTANCE C1'!A35))+(COUNTIF('W3'!$G$7:$G$50,'INSTANCE C1'!A35))+(COUNTIF('ATHIS MONS'!$G$7:$G$50,'INSTANCE C1'!A35))+(COUNTIF('L HAY LES ROSES'!$G$7:$G$50,'INSTANCE C1'!A35))+(COUNTIF(RUNGIS!$G$7:$G$50,'INSTANCE C1'!A35))+(COUNTIF(SCEAUX!$G$7:$G$50,'INSTANCE C1'!A35))+(COUNTIF('INSTANCE C1'!$G$7:$G$50,'INSTANCE C1'!A35))+(COUNTIF('INSTANCE C2'!$G$7:$G$50,'INSTANCE C1'!A35))+(COUNTIF(INTERNES!$G$7:$G$50,'INSTANCE C1'!A35))+(COUNTIF('EN PANNE'!$G$7:$G$50,'INSTANCE C1'!A35))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EXPRESS'!$G$7:$G$50,'INSTANCE C1'!G35))+(COUNTIF('2 ZT'!$G$7:$G$50,'INSTANCE C1'!G35))+(COUNTIF('GO TRANSPORT'!$G$7:$G$50,'INSTANCE C1'!G35))+(COUNTIF('HMZ - KAIS'!$G$7:$G$50,'INSTANCE C1'!G35))+(COUNTIF('IB TRANSPORT'!$G$7:$G$50,'INSTANCE C1'!G35))+(COUNTIF(JSL!$G$7:$G$50,'INSTANCE C1'!G35))+(COUNTIF(KIFAITOUT!$G$7:$G$50,'INSTANCE C1'!G35))+(COUNTIF('LUXE DRIVE'!$G$7:$G$50,'INSTANCE C1'!G35))+(COUNTIF(SSN!$G$7:$G$50,'INSTANCE C1'!G35))+(COUNTIF('W3'!$G$7:$G$50,'INSTANCE C1'!G35))+(COUNTIF('ATHIS MONS'!$G$7:$G$50,'INSTANCE C1'!G35))+(COUNTIF('L HAY LES ROSES'!$G$7:$G$50,'INSTANCE C1'!G35))+(COUNTIF(RUNGIS!$G$7:$G$50,'INSTANCE C1'!G35))+(COUNTIF(SCEAUX!$G$7:$G$50,'INSTANCE C1'!G35))+(COUNTIF('INSTANCE C1'!$G$7:$G$50,'INSTANCE C1'!G35))+(COUNTIF('INSTANCE C2'!$G$7:$G$50,'INSTANCE C1'!G35))+(COUNTIF(INTERNES!$G$7:$G$50,'INSTANCE C1'!G35))+(COUNTIF('EN PANNE'!$G$7:$G$50,'INSTANCE C1'!G35))-I35</f>
        <v>0</v>
      </c>
      <c r="I35" s="23">
        <f>(COUNTIF('2S EXPRESS'!$A$7:$A$50,'INSTANCE C1'!G35))+(COUNTIF('2 ZT'!$A$7:$A$50,'INSTANCE C1'!G35))+(COUNTIF('GO TRANSPORT'!$A$7:$A$50,'INSTANCE C1'!G35))+(COUNTIF('HMZ - KAIS'!$A$7:$A$50,'INSTANCE C1'!G35))+(COUNTIF('IB TRANSPORT'!$A$7:$A$50,'INSTANCE C1'!G35))+(COUNTIF(JSL!$A$7:$A$50,'INSTANCE C1'!G35))+(COUNTIF(KIFAITOUT!$A$7:$A$50,'INSTANCE C1'!G35))+(COUNTIF('LUXE DRIVE'!$A$7:$A$50,'INSTANCE C1'!G35))+(COUNTIF(SSN!$A$7:$A$50,'INSTANCE C1'!G35))+(COUNTIF('W3'!$A$7:$A$50,'INSTANCE C1'!G35))+(COUNTIF('ATHIS MONS'!$A$7:$A$50,'INSTANCE C1'!G35))+(COUNTIF('L HAY LES ROSES'!$A$7:$A$50,'INSTANCE C1'!G35))+(COUNTIF(RUNGIS!$A$7:$A$50,'INSTANCE C1'!G35))+(COUNTIF(SCEAUX!$A$7:$A$50,'INSTANCE C1'!G35))+(COUNTIF('INSTANCE C1'!$A$7:$A$50,'INSTANCE C1'!G35))+(COUNTIF('INSTANCE C2'!$A$7:$A$50,'INSTANCE C1'!G35))+(COUNTIF(INTERNES!$A$7:$A$50,'INSTANCE C1'!G35))+(COUNTIF('EN PANNE'!$A$7:$A$50,'INSTANCE C1'!G35))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S35" s="60">
        <f t="shared" si="1"/>
        <v>0</v>
      </c>
      <c r="T35" s="67">
        <f t="shared" si="2"/>
        <v>0</v>
      </c>
    </row>
    <row r="36" spans="1:20" ht="24.95" customHeight="1" x14ac:dyDescent="0.2">
      <c r="A36" s="20"/>
      <c r="B36" s="23">
        <f>(COUNTIF('2S EXPRESS'!$A$7:$A$50,'INSTANCE C1'!A36))+(COUNTIF('2 ZT'!$A$7:$A$50,'INSTANCE C1'!A36))+(COUNTIF('GO TRANSPORT'!$A$7:$A$50,'INSTANCE C1'!A36))+(COUNTIF('HMZ - KAIS'!$A$7:$A$50,'INSTANCE C1'!A36))+(COUNTIF('IB TRANSPORT'!$A$7:$A$50,'INSTANCE C1'!A36))+(COUNTIF(JSL!$A$7:$A$50,'INSTANCE C1'!A36))+(COUNTIF(KIFAITOUT!$A$7:$A$50,'INSTANCE C1'!A36))+(COUNTIF('LUXE DRIVE'!$A$7:$A$50,'INSTANCE C1'!A36))+(COUNTIF(SSN!$A$7:$A$50,'INSTANCE C1'!A36))+(COUNTIF('W3'!$A$7:$A$50,'INSTANCE C1'!A36))+(COUNTIF('ATHIS MONS'!$A$7:$A$50,'INSTANCE C1'!A36))+(COUNTIF('L HAY LES ROSES'!$A$7:$A$50,'INSTANCE C1'!A36))+(COUNTIF(RUNGIS!$A$7:$A$50,'INSTANCE C1'!A36))+(COUNTIF(SCEAUX!$A$7:$A$50,'INSTANCE C1'!A36))+(COUNTIF('INSTANCE C1'!$A$7:$A$50,'INSTANCE C1'!A36))+(COUNTIF('INSTANCE C2'!$A$7:$A$50,'INSTANCE C1'!A36))+(COUNTIF(INTERNES!$A$7:$A$50,'INSTANCE C1'!A36))+(COUNTIF('EN PANNE'!$A$7:$A$50,'INSTANCE C1'!A36))-C36</f>
        <v>0</v>
      </c>
      <c r="C36" s="23">
        <f>(COUNTIF('2S EXPRESS'!$G$7:$G$50,'INSTANCE C1'!A36))+(COUNTIF('2 ZT'!$G$7:$G$50,'INSTANCE C1'!A36))+(COUNTIF('GO TRANSPORT'!$G$7:$G$50,'INSTANCE C1'!A36))+(COUNTIF('INSTANCE C1'!$G$7:$G$50,'INSTANCE C1'!A36))+(COUNTIF('IB TRANSPORT'!$G$7:$G$50,'INSTANCE C1'!A36))+(COUNTIF(JSL!$G$7:$G$50,'INSTANCE C1'!A36))+(COUNTIF(KIFAITOUT!$G$7:$G$50,'INSTANCE C1'!A36))+(COUNTIF('LUXE DRIVE'!$G$7:$G$50,'INSTANCE C1'!A36))+(COUNTIF(SSN!$G$7:$G$50,'INSTANCE C1'!A36))+(COUNTIF('W3'!$G$7:$G$50,'INSTANCE C1'!A36))+(COUNTIF('ATHIS MONS'!$G$7:$G$50,'INSTANCE C1'!A36))+(COUNTIF('L HAY LES ROSES'!$G$7:$G$50,'INSTANCE C1'!A36))+(COUNTIF(RUNGIS!$G$7:$G$50,'INSTANCE C1'!A36))+(COUNTIF(SCEAUX!$G$7:$G$50,'INSTANCE C1'!A36))+(COUNTIF('INSTANCE C1'!$G$7:$G$50,'INSTANCE C1'!A36))+(COUNTIF('INSTANCE C2'!$G$7:$G$50,'INSTANCE C1'!A36))+(COUNTIF(INTERNES!$G$7:$G$50,'INSTANCE C1'!A36))+(COUNTIF('EN PANNE'!$G$7:$G$50,'INSTANCE C1'!A36))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EXPRESS'!$G$7:$G$50,'INSTANCE C1'!G36))+(COUNTIF('2 ZT'!$G$7:$G$50,'INSTANCE C1'!G36))+(COUNTIF('GO TRANSPORT'!$G$7:$G$50,'INSTANCE C1'!G36))+(COUNTIF('HMZ - KAIS'!$G$7:$G$50,'INSTANCE C1'!G36))+(COUNTIF('IB TRANSPORT'!$G$7:$G$50,'INSTANCE C1'!G36))+(COUNTIF(JSL!$G$7:$G$50,'INSTANCE C1'!G36))+(COUNTIF(KIFAITOUT!$G$7:$G$50,'INSTANCE C1'!G36))+(COUNTIF('LUXE DRIVE'!$G$7:$G$50,'INSTANCE C1'!G36))+(COUNTIF(SSN!$G$7:$G$50,'INSTANCE C1'!G36))+(COUNTIF('W3'!$G$7:$G$50,'INSTANCE C1'!G36))+(COUNTIF('ATHIS MONS'!$G$7:$G$50,'INSTANCE C1'!G36))+(COUNTIF('L HAY LES ROSES'!$G$7:$G$50,'INSTANCE C1'!G36))+(COUNTIF(RUNGIS!$G$7:$G$50,'INSTANCE C1'!G36))+(COUNTIF(SCEAUX!$G$7:$G$50,'INSTANCE C1'!G36))+(COUNTIF('INSTANCE C1'!$G$7:$G$50,'INSTANCE C1'!G36))+(COUNTIF('INSTANCE C2'!$G$7:$G$50,'INSTANCE C1'!G36))+(COUNTIF(INTERNES!$G$7:$G$50,'INSTANCE C1'!G36))+(COUNTIF('EN PANNE'!$G$7:$G$50,'INSTANCE C1'!G36))-I36</f>
        <v>0</v>
      </c>
      <c r="I36" s="23">
        <f>(COUNTIF('2S EXPRESS'!$A$7:$A$50,'INSTANCE C1'!G36))+(COUNTIF('2 ZT'!$A$7:$A$50,'INSTANCE C1'!G36))+(COUNTIF('GO TRANSPORT'!$A$7:$A$50,'INSTANCE C1'!G36))+(COUNTIF('HMZ - KAIS'!$A$7:$A$50,'INSTANCE C1'!G36))+(COUNTIF('IB TRANSPORT'!$A$7:$A$50,'INSTANCE C1'!G36))+(COUNTIF(JSL!$A$7:$A$50,'INSTANCE C1'!G36))+(COUNTIF(KIFAITOUT!$A$7:$A$50,'INSTANCE C1'!G36))+(COUNTIF('LUXE DRIVE'!$A$7:$A$50,'INSTANCE C1'!G36))+(COUNTIF(SSN!$A$7:$A$50,'INSTANCE C1'!G36))+(COUNTIF('W3'!$A$7:$A$50,'INSTANCE C1'!G36))+(COUNTIF('ATHIS MONS'!$A$7:$A$50,'INSTANCE C1'!G36))+(COUNTIF('L HAY LES ROSES'!$A$7:$A$50,'INSTANCE C1'!G36))+(COUNTIF(RUNGIS!$A$7:$A$50,'INSTANCE C1'!G36))+(COUNTIF(SCEAUX!$A$7:$A$50,'INSTANCE C1'!G36))+(COUNTIF('INSTANCE C1'!$A$7:$A$50,'INSTANCE C1'!G36))+(COUNTIF('INSTANCE C2'!$A$7:$A$50,'INSTANCE C1'!G36))+(COUNTIF(INTERNES!$A$7:$A$50,'INSTANCE C1'!G36))+(COUNTIF('EN PANNE'!$A$7:$A$50,'INSTANCE C1'!G36))</f>
        <v>0</v>
      </c>
      <c r="J36" s="28">
        <f t="shared" si="4"/>
        <v>0</v>
      </c>
      <c r="K36" s="2"/>
      <c r="L36" s="47"/>
      <c r="S36" s="60">
        <f t="shared" si="1"/>
        <v>0</v>
      </c>
      <c r="T36" s="67">
        <f t="shared" si="2"/>
        <v>0</v>
      </c>
    </row>
    <row r="37" spans="1:20" ht="24.95" customHeight="1" x14ac:dyDescent="0.2">
      <c r="A37" s="20"/>
      <c r="B37" s="23">
        <f>(COUNTIF('2S EXPRESS'!$A$7:$A$50,'INSTANCE C1'!A37))+(COUNTIF('2 ZT'!$A$7:$A$50,'INSTANCE C1'!A37))+(COUNTIF('GO TRANSPORT'!$A$7:$A$50,'INSTANCE C1'!A37))+(COUNTIF('HMZ - KAIS'!$A$7:$A$50,'INSTANCE C1'!A37))+(COUNTIF('IB TRANSPORT'!$A$7:$A$50,'INSTANCE C1'!A37))+(COUNTIF(JSL!$A$7:$A$50,'INSTANCE C1'!A37))+(COUNTIF(KIFAITOUT!$A$7:$A$50,'INSTANCE C1'!A37))+(COUNTIF('LUXE DRIVE'!$A$7:$A$50,'INSTANCE C1'!A37))+(COUNTIF(SSN!$A$7:$A$50,'INSTANCE C1'!A37))+(COUNTIF('W3'!$A$7:$A$50,'INSTANCE C1'!A37))+(COUNTIF('ATHIS MONS'!$A$7:$A$50,'INSTANCE C1'!A37))+(COUNTIF('L HAY LES ROSES'!$A$7:$A$50,'INSTANCE C1'!A37))+(COUNTIF(RUNGIS!$A$7:$A$50,'INSTANCE C1'!A37))+(COUNTIF(SCEAUX!$A$7:$A$50,'INSTANCE C1'!A37))+(COUNTIF('INSTANCE C1'!$A$7:$A$50,'INSTANCE C1'!A37))+(COUNTIF('INSTANCE C2'!$A$7:$A$50,'INSTANCE C1'!A37))+(COUNTIF(INTERNES!$A$7:$A$50,'INSTANCE C1'!A37))+(COUNTIF('EN PANNE'!$A$7:$A$50,'INSTANCE C1'!A37))-C37</f>
        <v>0</v>
      </c>
      <c r="C37" s="23">
        <f>(COUNTIF('2S EXPRESS'!$G$7:$G$50,'INSTANCE C1'!A37))+(COUNTIF('2 ZT'!$G$7:$G$50,'INSTANCE C1'!A37))+(COUNTIF('GO TRANSPORT'!$G$7:$G$50,'INSTANCE C1'!A37))+(COUNTIF('INSTANCE C1'!$G$7:$G$50,'INSTANCE C1'!A37))+(COUNTIF('IB TRANSPORT'!$G$7:$G$50,'INSTANCE C1'!A37))+(COUNTIF(JSL!$G$7:$G$50,'INSTANCE C1'!A37))+(COUNTIF(KIFAITOUT!$G$7:$G$50,'INSTANCE C1'!A37))+(COUNTIF('LUXE DRIVE'!$G$7:$G$50,'INSTANCE C1'!A37))+(COUNTIF(SSN!$G$7:$G$50,'INSTANCE C1'!A37))+(COUNTIF('W3'!$G$7:$G$50,'INSTANCE C1'!A37))+(COUNTIF('ATHIS MONS'!$G$7:$G$50,'INSTANCE C1'!A37))+(COUNTIF('L HAY LES ROSES'!$G$7:$G$50,'INSTANCE C1'!A37))+(COUNTIF(RUNGIS!$G$7:$G$50,'INSTANCE C1'!A37))+(COUNTIF(SCEAUX!$G$7:$G$50,'INSTANCE C1'!A37))+(COUNTIF('INSTANCE C1'!$G$7:$G$50,'INSTANCE C1'!A37))+(COUNTIF('INSTANCE C2'!$G$7:$G$50,'INSTANCE C1'!A37))+(COUNTIF(INTERNES!$G$7:$G$50,'INSTANCE C1'!A37))+(COUNTIF('EN PANNE'!$G$7:$G$50,'INSTANCE C1'!A37))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EXPRESS'!$G$7:$G$50,'INSTANCE C1'!G37))+(COUNTIF('2 ZT'!$G$7:$G$50,'INSTANCE C1'!G37))+(COUNTIF('GO TRANSPORT'!$G$7:$G$50,'INSTANCE C1'!G37))+(COUNTIF('HMZ - KAIS'!$G$7:$G$50,'INSTANCE C1'!G37))+(COUNTIF('IB TRANSPORT'!$G$7:$G$50,'INSTANCE C1'!G37))+(COUNTIF(JSL!$G$7:$G$50,'INSTANCE C1'!G37))+(COUNTIF(KIFAITOUT!$G$7:$G$50,'INSTANCE C1'!G37))+(COUNTIF('LUXE DRIVE'!$G$7:$G$50,'INSTANCE C1'!G37))+(COUNTIF(SSN!$G$7:$G$50,'INSTANCE C1'!G37))+(COUNTIF('W3'!$G$7:$G$50,'INSTANCE C1'!G37))+(COUNTIF('ATHIS MONS'!$G$7:$G$50,'INSTANCE C1'!G37))+(COUNTIF('L HAY LES ROSES'!$G$7:$G$50,'INSTANCE C1'!G37))+(COUNTIF(RUNGIS!$G$7:$G$50,'INSTANCE C1'!G37))+(COUNTIF(SCEAUX!$G$7:$G$50,'INSTANCE C1'!G37))+(COUNTIF('INSTANCE C1'!$G$7:$G$50,'INSTANCE C1'!G37))+(COUNTIF('INSTANCE C2'!$G$7:$G$50,'INSTANCE C1'!G37))+(COUNTIF(INTERNES!$G$7:$G$50,'INSTANCE C1'!G37))+(COUNTIF('EN PANNE'!$G$7:$G$50,'INSTANCE C1'!G37))-I37</f>
        <v>0</v>
      </c>
      <c r="I37" s="23">
        <f>(COUNTIF('2S EXPRESS'!$A$7:$A$50,'INSTANCE C1'!G37))+(COUNTIF('2 ZT'!$A$7:$A$50,'INSTANCE C1'!G37))+(COUNTIF('GO TRANSPORT'!$A$7:$A$50,'INSTANCE C1'!G37))+(COUNTIF('HMZ - KAIS'!$A$7:$A$50,'INSTANCE C1'!G37))+(COUNTIF('IB TRANSPORT'!$A$7:$A$50,'INSTANCE C1'!G37))+(COUNTIF(JSL!$A$7:$A$50,'INSTANCE C1'!G37))+(COUNTIF(KIFAITOUT!$A$7:$A$50,'INSTANCE C1'!G37))+(COUNTIF('LUXE DRIVE'!$A$7:$A$50,'INSTANCE C1'!G37))+(COUNTIF(SSN!$A$7:$A$50,'INSTANCE C1'!G37))+(COUNTIF('W3'!$A$7:$A$50,'INSTANCE C1'!G37))+(COUNTIF('ATHIS MONS'!$A$7:$A$50,'INSTANCE C1'!G37))+(COUNTIF('L HAY LES ROSES'!$A$7:$A$50,'INSTANCE C1'!G37))+(COUNTIF(RUNGIS!$A$7:$A$50,'INSTANCE C1'!G37))+(COUNTIF(SCEAUX!$A$7:$A$50,'INSTANCE C1'!G37))+(COUNTIF('INSTANCE C1'!$A$7:$A$50,'INSTANCE C1'!G37))+(COUNTIF('INSTANCE C2'!$A$7:$A$50,'INSTANCE C1'!G37))+(COUNTIF(INTERNES!$A$7:$A$50,'INSTANCE C1'!G37))+(COUNTIF('EN PANNE'!$A$7:$A$50,'INSTANCE C1'!G37))</f>
        <v>0</v>
      </c>
      <c r="J37" s="28">
        <f t="shared" si="4"/>
        <v>0</v>
      </c>
      <c r="K37" s="2"/>
      <c r="L37" s="47"/>
      <c r="S37" s="60">
        <f t="shared" si="1"/>
        <v>0</v>
      </c>
      <c r="T37" s="67">
        <f t="shared" si="2"/>
        <v>0</v>
      </c>
    </row>
    <row r="38" spans="1:20" ht="24.95" customHeight="1" x14ac:dyDescent="0.2">
      <c r="A38" s="20"/>
      <c r="B38" s="23">
        <f>(COUNTIF('2S EXPRESS'!$A$7:$A$50,'INSTANCE C1'!A38))+(COUNTIF('2 ZT'!$A$7:$A$50,'INSTANCE C1'!A38))+(COUNTIF('GO TRANSPORT'!$A$7:$A$50,'INSTANCE C1'!A38))+(COUNTIF('HMZ - KAIS'!$A$7:$A$50,'INSTANCE C1'!A38))+(COUNTIF('IB TRANSPORT'!$A$7:$A$50,'INSTANCE C1'!A38))+(COUNTIF(JSL!$A$7:$A$50,'INSTANCE C1'!A38))+(COUNTIF(KIFAITOUT!$A$7:$A$50,'INSTANCE C1'!A38))+(COUNTIF('LUXE DRIVE'!$A$7:$A$50,'INSTANCE C1'!A38))+(COUNTIF(SSN!$A$7:$A$50,'INSTANCE C1'!A38))+(COUNTIF('W3'!$A$7:$A$50,'INSTANCE C1'!A38))+(COUNTIF('ATHIS MONS'!$A$7:$A$50,'INSTANCE C1'!A38))+(COUNTIF('L HAY LES ROSES'!$A$7:$A$50,'INSTANCE C1'!A38))+(COUNTIF(RUNGIS!$A$7:$A$50,'INSTANCE C1'!A38))+(COUNTIF(SCEAUX!$A$7:$A$50,'INSTANCE C1'!A38))+(COUNTIF('INSTANCE C1'!$A$7:$A$50,'INSTANCE C1'!A38))+(COUNTIF('INSTANCE C2'!$A$7:$A$50,'INSTANCE C1'!A38))+(COUNTIF(INTERNES!$A$7:$A$50,'INSTANCE C1'!A38))+(COUNTIF('EN PANNE'!$A$7:$A$50,'INSTANCE C1'!A38))-C38</f>
        <v>0</v>
      </c>
      <c r="C38" s="23">
        <f>(COUNTIF('2S EXPRESS'!$G$7:$G$50,'INSTANCE C1'!A38))+(COUNTIF('2 ZT'!$G$7:$G$50,'INSTANCE C1'!A38))+(COUNTIF('GO TRANSPORT'!$G$7:$G$50,'INSTANCE C1'!A38))+(COUNTIF('INSTANCE C1'!$G$7:$G$50,'INSTANCE C1'!A38))+(COUNTIF('IB TRANSPORT'!$G$7:$G$50,'INSTANCE C1'!A38))+(COUNTIF(JSL!$G$7:$G$50,'INSTANCE C1'!A38))+(COUNTIF(KIFAITOUT!$G$7:$G$50,'INSTANCE C1'!A38))+(COUNTIF('LUXE DRIVE'!$G$7:$G$50,'INSTANCE C1'!A38))+(COUNTIF(SSN!$G$7:$G$50,'INSTANCE C1'!A38))+(COUNTIF('W3'!$G$7:$G$50,'INSTANCE C1'!A38))+(COUNTIF('ATHIS MONS'!$G$7:$G$50,'INSTANCE C1'!A38))+(COUNTIF('L HAY LES ROSES'!$G$7:$G$50,'INSTANCE C1'!A38))+(COUNTIF(RUNGIS!$G$7:$G$50,'INSTANCE C1'!A38))+(COUNTIF(SCEAUX!$G$7:$G$50,'INSTANCE C1'!A38))+(COUNTIF('INSTANCE C1'!$G$7:$G$50,'INSTANCE C1'!A38))+(COUNTIF('INSTANCE C2'!$G$7:$G$50,'INSTANCE C1'!A38))+(COUNTIF(INTERNES!$G$7:$G$50,'INSTANCE C1'!A38))+(COUNTIF('EN PANNE'!$G$7:$G$50,'INSTANCE C1'!A38))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EXPRESS'!$G$7:$G$50,'INSTANCE C1'!G38))+(COUNTIF('2 ZT'!$G$7:$G$50,'INSTANCE C1'!G38))+(COUNTIF('GO TRANSPORT'!$G$7:$G$50,'INSTANCE C1'!G38))+(COUNTIF('HMZ - KAIS'!$G$7:$G$50,'INSTANCE C1'!G38))+(COUNTIF('IB TRANSPORT'!$G$7:$G$50,'INSTANCE C1'!G38))+(COUNTIF(JSL!$G$7:$G$50,'INSTANCE C1'!G38))+(COUNTIF(KIFAITOUT!$G$7:$G$50,'INSTANCE C1'!G38))+(COUNTIF('LUXE DRIVE'!$G$7:$G$50,'INSTANCE C1'!G38))+(COUNTIF(SSN!$G$7:$G$50,'INSTANCE C1'!G38))+(COUNTIF('W3'!$G$7:$G$50,'INSTANCE C1'!G38))+(COUNTIF('ATHIS MONS'!$G$7:$G$50,'INSTANCE C1'!G38))+(COUNTIF('L HAY LES ROSES'!$G$7:$G$50,'INSTANCE C1'!G38))+(COUNTIF(RUNGIS!$G$7:$G$50,'INSTANCE C1'!G38))+(COUNTIF(SCEAUX!$G$7:$G$50,'INSTANCE C1'!G38))+(COUNTIF('INSTANCE C1'!$G$7:$G$50,'INSTANCE C1'!G38))+(COUNTIF('INSTANCE C2'!$G$7:$G$50,'INSTANCE C1'!G38))+(COUNTIF(INTERNES!$G$7:$G$50,'INSTANCE C1'!G38))+(COUNTIF('EN PANNE'!$G$7:$G$50,'INSTANCE C1'!G38))-I38</f>
        <v>0</v>
      </c>
      <c r="I38" s="23">
        <f>(COUNTIF('2S EXPRESS'!$A$7:$A$50,'INSTANCE C1'!G38))+(COUNTIF('2 ZT'!$A$7:$A$50,'INSTANCE C1'!G38))+(COUNTIF('GO TRANSPORT'!$A$7:$A$50,'INSTANCE C1'!G38))+(COUNTIF('HMZ - KAIS'!$A$7:$A$50,'INSTANCE C1'!G38))+(COUNTIF('IB TRANSPORT'!$A$7:$A$50,'INSTANCE C1'!G38))+(COUNTIF(JSL!$A$7:$A$50,'INSTANCE C1'!G38))+(COUNTIF(KIFAITOUT!$A$7:$A$50,'INSTANCE C1'!G38))+(COUNTIF('LUXE DRIVE'!$A$7:$A$50,'INSTANCE C1'!G38))+(COUNTIF(SSN!$A$7:$A$50,'INSTANCE C1'!G38))+(COUNTIF('W3'!$A$7:$A$50,'INSTANCE C1'!G38))+(COUNTIF('ATHIS MONS'!$A$7:$A$50,'INSTANCE C1'!G38))+(COUNTIF('L HAY LES ROSES'!$A$7:$A$50,'INSTANCE C1'!G38))+(COUNTIF(RUNGIS!$A$7:$A$50,'INSTANCE C1'!G38))+(COUNTIF(SCEAUX!$A$7:$A$50,'INSTANCE C1'!G38))+(COUNTIF('INSTANCE C1'!$A$7:$A$50,'INSTANCE C1'!G38))+(COUNTIF('INSTANCE C2'!$A$7:$A$50,'INSTANCE C1'!G38))+(COUNTIF(INTERNES!$A$7:$A$50,'INSTANCE C1'!G38))+(COUNTIF('EN PANNE'!$A$7:$A$50,'INSTANCE C1'!G38))</f>
        <v>0</v>
      </c>
      <c r="J38" s="28">
        <f t="shared" si="4"/>
        <v>0</v>
      </c>
      <c r="K38" s="2"/>
      <c r="L38" s="47"/>
      <c r="S38" s="60">
        <f t="shared" si="1"/>
        <v>0</v>
      </c>
      <c r="T38" s="67">
        <f t="shared" si="2"/>
        <v>0</v>
      </c>
    </row>
    <row r="39" spans="1:20" ht="24.95" customHeight="1" x14ac:dyDescent="0.2">
      <c r="A39" s="20"/>
      <c r="B39" s="23">
        <f>(COUNTIF('2S EXPRESS'!$A$7:$A$50,'INSTANCE C1'!A39))+(COUNTIF('2 ZT'!$A$7:$A$50,'INSTANCE C1'!A39))+(COUNTIF('GO TRANSPORT'!$A$7:$A$50,'INSTANCE C1'!A39))+(COUNTIF('HMZ - KAIS'!$A$7:$A$50,'INSTANCE C1'!A39))+(COUNTIF('IB TRANSPORT'!$A$7:$A$50,'INSTANCE C1'!A39))+(COUNTIF(JSL!$A$7:$A$50,'INSTANCE C1'!A39))+(COUNTIF(KIFAITOUT!$A$7:$A$50,'INSTANCE C1'!A39))+(COUNTIF('LUXE DRIVE'!$A$7:$A$50,'INSTANCE C1'!A39))+(COUNTIF(SSN!$A$7:$A$50,'INSTANCE C1'!A39))+(COUNTIF('W3'!$A$7:$A$50,'INSTANCE C1'!A39))+(COUNTIF('ATHIS MONS'!$A$7:$A$50,'INSTANCE C1'!A39))+(COUNTIF('L HAY LES ROSES'!$A$7:$A$50,'INSTANCE C1'!A39))+(COUNTIF(RUNGIS!$A$7:$A$50,'INSTANCE C1'!A39))+(COUNTIF(SCEAUX!$A$7:$A$50,'INSTANCE C1'!A39))+(COUNTIF('INSTANCE C1'!$A$7:$A$50,'INSTANCE C1'!A39))+(COUNTIF('INSTANCE C2'!$A$7:$A$50,'INSTANCE C1'!A39))+(COUNTIF(INTERNES!$A$7:$A$50,'INSTANCE C1'!A39))+(COUNTIF('EN PANNE'!$A$7:$A$50,'INSTANCE C1'!A39))-C39</f>
        <v>0</v>
      </c>
      <c r="C39" s="23">
        <f>(COUNTIF('2S EXPRESS'!$G$7:$G$50,'INSTANCE C1'!A39))+(COUNTIF('2 ZT'!$G$7:$G$50,'INSTANCE C1'!A39))+(COUNTIF('GO TRANSPORT'!$G$7:$G$50,'INSTANCE C1'!A39))+(COUNTIF('INSTANCE C1'!$G$7:$G$50,'INSTANCE C1'!A39))+(COUNTIF('IB TRANSPORT'!$G$7:$G$50,'INSTANCE C1'!A39))+(COUNTIF(JSL!$G$7:$G$50,'INSTANCE C1'!A39))+(COUNTIF(KIFAITOUT!$G$7:$G$50,'INSTANCE C1'!A39))+(COUNTIF('LUXE DRIVE'!$G$7:$G$50,'INSTANCE C1'!A39))+(COUNTIF(SSN!$G$7:$G$50,'INSTANCE C1'!A39))+(COUNTIF('W3'!$G$7:$G$50,'INSTANCE C1'!A39))+(COUNTIF('ATHIS MONS'!$G$7:$G$50,'INSTANCE C1'!A39))+(COUNTIF('L HAY LES ROSES'!$G$7:$G$50,'INSTANCE C1'!A39))+(COUNTIF(RUNGIS!$G$7:$G$50,'INSTANCE C1'!A39))+(COUNTIF(SCEAUX!$G$7:$G$50,'INSTANCE C1'!A39))+(COUNTIF('INSTANCE C1'!$G$7:$G$50,'INSTANCE C1'!A39))+(COUNTIF('INSTANCE C2'!$G$7:$G$50,'INSTANCE C1'!A39))+(COUNTIF(INTERNES!$G$7:$G$50,'INSTANCE C1'!A39))+(COUNTIF('EN PANNE'!$G$7:$G$50,'INSTANCE C1'!A39))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EXPRESS'!$G$7:$G$50,'INSTANCE C1'!G39))+(COUNTIF('2 ZT'!$G$7:$G$50,'INSTANCE C1'!G39))+(COUNTIF('GO TRANSPORT'!$G$7:$G$50,'INSTANCE C1'!G39))+(COUNTIF('HMZ - KAIS'!$G$7:$G$50,'INSTANCE C1'!G39))+(COUNTIF('IB TRANSPORT'!$G$7:$G$50,'INSTANCE C1'!G39))+(COUNTIF(JSL!$G$7:$G$50,'INSTANCE C1'!G39))+(COUNTIF(KIFAITOUT!$G$7:$G$50,'INSTANCE C1'!G39))+(COUNTIF('LUXE DRIVE'!$G$7:$G$50,'INSTANCE C1'!G39))+(COUNTIF(SSN!$G$7:$G$50,'INSTANCE C1'!G39))+(COUNTIF('W3'!$G$7:$G$50,'INSTANCE C1'!G39))+(COUNTIF('ATHIS MONS'!$G$7:$G$50,'INSTANCE C1'!G39))+(COUNTIF('L HAY LES ROSES'!$G$7:$G$50,'INSTANCE C1'!G39))+(COUNTIF(RUNGIS!$G$7:$G$50,'INSTANCE C1'!G39))+(COUNTIF(SCEAUX!$G$7:$G$50,'INSTANCE C1'!G39))+(COUNTIF('INSTANCE C1'!$G$7:$G$50,'INSTANCE C1'!G39))+(COUNTIF('INSTANCE C2'!$G$7:$G$50,'INSTANCE C1'!G39))+(COUNTIF(INTERNES!$G$7:$G$50,'INSTANCE C1'!G39))+(COUNTIF('EN PANNE'!$G$7:$G$50,'INSTANCE C1'!G39))-I39</f>
        <v>0</v>
      </c>
      <c r="I39" s="23">
        <f>(COUNTIF('2S EXPRESS'!$A$7:$A$50,'INSTANCE C1'!G39))+(COUNTIF('2 ZT'!$A$7:$A$50,'INSTANCE C1'!G39))+(COUNTIF('GO TRANSPORT'!$A$7:$A$50,'INSTANCE C1'!G39))+(COUNTIF('HMZ - KAIS'!$A$7:$A$50,'INSTANCE C1'!G39))+(COUNTIF('IB TRANSPORT'!$A$7:$A$50,'INSTANCE C1'!G39))+(COUNTIF(JSL!$A$7:$A$50,'INSTANCE C1'!G39))+(COUNTIF(KIFAITOUT!$A$7:$A$50,'INSTANCE C1'!G39))+(COUNTIF('LUXE DRIVE'!$A$7:$A$50,'INSTANCE C1'!G39))+(COUNTIF(SSN!$A$7:$A$50,'INSTANCE C1'!G39))+(COUNTIF('W3'!$A$7:$A$50,'INSTANCE C1'!G39))+(COUNTIF('ATHIS MONS'!$A$7:$A$50,'INSTANCE C1'!G39))+(COUNTIF('L HAY LES ROSES'!$A$7:$A$50,'INSTANCE C1'!G39))+(COUNTIF(RUNGIS!$A$7:$A$50,'INSTANCE C1'!G39))+(COUNTIF(SCEAUX!$A$7:$A$50,'INSTANCE C1'!G39))+(COUNTIF('INSTANCE C1'!$A$7:$A$50,'INSTANCE C1'!G39))+(COUNTIF('INSTANCE C2'!$A$7:$A$50,'INSTANCE C1'!G39))+(COUNTIF(INTERNES!$A$7:$A$50,'INSTANCE C1'!G39))+(COUNTIF('EN PANNE'!$A$7:$A$50,'INSTANCE C1'!G39))</f>
        <v>0</v>
      </c>
      <c r="J39" s="28">
        <f t="shared" si="4"/>
        <v>0</v>
      </c>
      <c r="K39" s="2"/>
      <c r="L39" s="47"/>
      <c r="S39" s="60">
        <f t="shared" si="1"/>
        <v>0</v>
      </c>
      <c r="T39" s="67">
        <f t="shared" si="2"/>
        <v>0</v>
      </c>
    </row>
    <row r="40" spans="1:20" ht="24.95" customHeight="1" x14ac:dyDescent="0.2">
      <c r="A40" s="20"/>
      <c r="B40" s="23">
        <f>(COUNTIF('2S EXPRESS'!$A$7:$A$50,'INSTANCE C1'!A40))+(COUNTIF('2 ZT'!$A$7:$A$50,'INSTANCE C1'!A40))+(COUNTIF('GO TRANSPORT'!$A$7:$A$50,'INSTANCE C1'!A40))+(COUNTIF('HMZ - KAIS'!$A$7:$A$50,'INSTANCE C1'!A40))+(COUNTIF('IB TRANSPORT'!$A$7:$A$50,'INSTANCE C1'!A40))+(COUNTIF(JSL!$A$7:$A$50,'INSTANCE C1'!A40))+(COUNTIF(KIFAITOUT!$A$7:$A$50,'INSTANCE C1'!A40))+(COUNTIF('LUXE DRIVE'!$A$7:$A$50,'INSTANCE C1'!A40))+(COUNTIF(SSN!$A$7:$A$50,'INSTANCE C1'!A40))+(COUNTIF('W3'!$A$7:$A$50,'INSTANCE C1'!A40))+(COUNTIF('ATHIS MONS'!$A$7:$A$50,'INSTANCE C1'!A40))+(COUNTIF('L HAY LES ROSES'!$A$7:$A$50,'INSTANCE C1'!A40))+(COUNTIF(RUNGIS!$A$7:$A$50,'INSTANCE C1'!A40))+(COUNTIF(SCEAUX!$A$7:$A$50,'INSTANCE C1'!A40))+(COUNTIF('INSTANCE C1'!$A$7:$A$50,'INSTANCE C1'!A40))+(COUNTIF('INSTANCE C2'!$A$7:$A$50,'INSTANCE C1'!A40))+(COUNTIF(INTERNES!$A$7:$A$50,'INSTANCE C1'!A40))+(COUNTIF('EN PANNE'!$A$7:$A$50,'INSTANCE C1'!A40))-C40</f>
        <v>0</v>
      </c>
      <c r="C40" s="23">
        <f>(COUNTIF('2S EXPRESS'!$G$7:$G$50,'INSTANCE C1'!A40))+(COUNTIF('2 ZT'!$G$7:$G$50,'INSTANCE C1'!A40))+(COUNTIF('GO TRANSPORT'!$G$7:$G$50,'INSTANCE C1'!A40))+(COUNTIF('INSTANCE C1'!$G$7:$G$50,'INSTANCE C1'!A40))+(COUNTIF('IB TRANSPORT'!$G$7:$G$50,'INSTANCE C1'!A40))+(COUNTIF(JSL!$G$7:$G$50,'INSTANCE C1'!A40))+(COUNTIF(KIFAITOUT!$G$7:$G$50,'INSTANCE C1'!A40))+(COUNTIF('LUXE DRIVE'!$G$7:$G$50,'INSTANCE C1'!A40))+(COUNTIF(SSN!$G$7:$G$50,'INSTANCE C1'!A40))+(COUNTIF('W3'!$G$7:$G$50,'INSTANCE C1'!A40))+(COUNTIF('ATHIS MONS'!$G$7:$G$50,'INSTANCE C1'!A40))+(COUNTIF('L HAY LES ROSES'!$G$7:$G$50,'INSTANCE C1'!A40))+(COUNTIF(RUNGIS!$G$7:$G$50,'INSTANCE C1'!A40))+(COUNTIF(SCEAUX!$G$7:$G$50,'INSTANCE C1'!A40))+(COUNTIF('INSTANCE C1'!$G$7:$G$50,'INSTANCE C1'!A40))+(COUNTIF('INSTANCE C2'!$G$7:$G$50,'INSTANCE C1'!A40))+(COUNTIF(INTERNES!$G$7:$G$50,'INSTANCE C1'!A40))+(COUNTIF('EN PANNE'!$G$7:$G$50,'INSTANCE C1'!A40))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EXPRESS'!$G$7:$G$50,'INSTANCE C1'!G40))+(COUNTIF('2 ZT'!$G$7:$G$50,'INSTANCE C1'!G40))+(COUNTIF('GO TRANSPORT'!$G$7:$G$50,'INSTANCE C1'!G40))+(COUNTIF('HMZ - KAIS'!$G$7:$G$50,'INSTANCE C1'!G40))+(COUNTIF('IB TRANSPORT'!$G$7:$G$50,'INSTANCE C1'!G40))+(COUNTIF(JSL!$G$7:$G$50,'INSTANCE C1'!G40))+(COUNTIF(KIFAITOUT!$G$7:$G$50,'INSTANCE C1'!G40))+(COUNTIF('LUXE DRIVE'!$G$7:$G$50,'INSTANCE C1'!G40))+(COUNTIF(SSN!$G$7:$G$50,'INSTANCE C1'!G40))+(COUNTIF('W3'!$G$7:$G$50,'INSTANCE C1'!G40))+(COUNTIF('ATHIS MONS'!$G$7:$G$50,'INSTANCE C1'!G40))+(COUNTIF('L HAY LES ROSES'!$G$7:$G$50,'INSTANCE C1'!G40))+(COUNTIF(RUNGIS!$G$7:$G$50,'INSTANCE C1'!G40))+(COUNTIF(SCEAUX!$G$7:$G$50,'INSTANCE C1'!G40))+(COUNTIF('INSTANCE C1'!$G$7:$G$50,'INSTANCE C1'!G40))+(COUNTIF('INSTANCE C2'!$G$7:$G$50,'INSTANCE C1'!G40))+(COUNTIF(INTERNES!$G$7:$G$50,'INSTANCE C1'!G40))+(COUNTIF('EN PANNE'!$G$7:$G$50,'INSTANCE C1'!G40))-I40</f>
        <v>0</v>
      </c>
      <c r="I40" s="23">
        <f>(COUNTIF('2S EXPRESS'!$A$7:$A$50,'INSTANCE C1'!G40))+(COUNTIF('2 ZT'!$A$7:$A$50,'INSTANCE C1'!G40))+(COUNTIF('GO TRANSPORT'!$A$7:$A$50,'INSTANCE C1'!G40))+(COUNTIF('HMZ - KAIS'!$A$7:$A$50,'INSTANCE C1'!G40))+(COUNTIF('IB TRANSPORT'!$A$7:$A$50,'INSTANCE C1'!G40))+(COUNTIF(JSL!$A$7:$A$50,'INSTANCE C1'!G40))+(COUNTIF(KIFAITOUT!$A$7:$A$50,'INSTANCE C1'!G40))+(COUNTIF('LUXE DRIVE'!$A$7:$A$50,'INSTANCE C1'!G40))+(COUNTIF(SSN!$A$7:$A$50,'INSTANCE C1'!G40))+(COUNTIF('W3'!$A$7:$A$50,'INSTANCE C1'!G40))+(COUNTIF('ATHIS MONS'!$A$7:$A$50,'INSTANCE C1'!G40))+(COUNTIF('L HAY LES ROSES'!$A$7:$A$50,'INSTANCE C1'!G40))+(COUNTIF(RUNGIS!$A$7:$A$50,'INSTANCE C1'!G40))+(COUNTIF(SCEAUX!$A$7:$A$50,'INSTANCE C1'!G40))+(COUNTIF('INSTANCE C1'!$A$7:$A$50,'INSTANCE C1'!G40))+(COUNTIF('INSTANCE C2'!$A$7:$A$50,'INSTANCE C1'!G40))+(COUNTIF(INTERNES!$A$7:$A$50,'INSTANCE C1'!G40))+(COUNTIF('EN PANNE'!$A$7:$A$50,'INSTANCE C1'!G40))</f>
        <v>0</v>
      </c>
      <c r="J40" s="28">
        <f t="shared" si="4"/>
        <v>0</v>
      </c>
      <c r="K40" s="2"/>
      <c r="L40" s="47"/>
      <c r="S40" s="60">
        <f t="shared" si="1"/>
        <v>0</v>
      </c>
      <c r="T40" s="67">
        <f t="shared" si="2"/>
        <v>0</v>
      </c>
    </row>
    <row r="41" spans="1:20" ht="24.95" customHeight="1" x14ac:dyDescent="0.2">
      <c r="A41" s="20"/>
      <c r="B41" s="23">
        <f>(COUNTIF('2S EXPRESS'!$A$7:$A$50,'INSTANCE C1'!A41))+(COUNTIF('2 ZT'!$A$7:$A$50,'INSTANCE C1'!A41))+(COUNTIF('GO TRANSPORT'!$A$7:$A$50,'INSTANCE C1'!A41))+(COUNTIF('HMZ - KAIS'!$A$7:$A$50,'INSTANCE C1'!A41))+(COUNTIF('IB TRANSPORT'!$A$7:$A$50,'INSTANCE C1'!A41))+(COUNTIF(JSL!$A$7:$A$50,'INSTANCE C1'!A41))+(COUNTIF(KIFAITOUT!$A$7:$A$50,'INSTANCE C1'!A41))+(COUNTIF('LUXE DRIVE'!$A$7:$A$50,'INSTANCE C1'!A41))+(COUNTIF(SSN!$A$7:$A$50,'INSTANCE C1'!A41))+(COUNTIF('W3'!$A$7:$A$50,'INSTANCE C1'!A41))+(COUNTIF('ATHIS MONS'!$A$7:$A$50,'INSTANCE C1'!A41))+(COUNTIF('L HAY LES ROSES'!$A$7:$A$50,'INSTANCE C1'!A41))+(COUNTIF(RUNGIS!$A$7:$A$50,'INSTANCE C1'!A41))+(COUNTIF(SCEAUX!$A$7:$A$50,'INSTANCE C1'!A41))+(COUNTIF('INSTANCE C1'!$A$7:$A$50,'INSTANCE C1'!A41))+(COUNTIF('INSTANCE C2'!$A$7:$A$50,'INSTANCE C1'!A41))+(COUNTIF(INTERNES!$A$7:$A$50,'INSTANCE C1'!A41))+(COUNTIF('EN PANNE'!$A$7:$A$50,'INSTANCE C1'!A41))-C41</f>
        <v>0</v>
      </c>
      <c r="C41" s="23">
        <f>(COUNTIF('2S EXPRESS'!$G$7:$G$50,'INSTANCE C1'!A41))+(COUNTIF('2 ZT'!$G$7:$G$50,'INSTANCE C1'!A41))+(COUNTIF('GO TRANSPORT'!$G$7:$G$50,'INSTANCE C1'!A41))+(COUNTIF('INSTANCE C1'!$G$7:$G$50,'INSTANCE C1'!A41))+(COUNTIF('IB TRANSPORT'!$G$7:$G$50,'INSTANCE C1'!A41))+(COUNTIF(JSL!$G$7:$G$50,'INSTANCE C1'!A41))+(COUNTIF(KIFAITOUT!$G$7:$G$50,'INSTANCE C1'!A41))+(COUNTIF('LUXE DRIVE'!$G$7:$G$50,'INSTANCE C1'!A41))+(COUNTIF(SSN!$G$7:$G$50,'INSTANCE C1'!A41))+(COUNTIF('W3'!$G$7:$G$50,'INSTANCE C1'!A41))+(COUNTIF('ATHIS MONS'!$G$7:$G$50,'INSTANCE C1'!A41))+(COUNTIF('L HAY LES ROSES'!$G$7:$G$50,'INSTANCE C1'!A41))+(COUNTIF(RUNGIS!$G$7:$G$50,'INSTANCE C1'!A41))+(COUNTIF(SCEAUX!$G$7:$G$50,'INSTANCE C1'!A41))+(COUNTIF('INSTANCE C1'!$G$7:$G$50,'INSTANCE C1'!A41))+(COUNTIF('INSTANCE C2'!$G$7:$G$50,'INSTANCE C1'!A41))+(COUNTIF(INTERNES!$G$7:$G$50,'INSTANCE C1'!A41))+(COUNTIF('EN PANNE'!$G$7:$G$50,'INSTANCE C1'!A41))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EXPRESS'!$G$7:$G$50,'INSTANCE C1'!G41))+(COUNTIF('2 ZT'!$G$7:$G$50,'INSTANCE C1'!G41))+(COUNTIF('GO TRANSPORT'!$G$7:$G$50,'INSTANCE C1'!G41))+(COUNTIF('HMZ - KAIS'!$G$7:$G$50,'INSTANCE C1'!G41))+(COUNTIF('IB TRANSPORT'!$G$7:$G$50,'INSTANCE C1'!G41))+(COUNTIF(JSL!$G$7:$G$50,'INSTANCE C1'!G41))+(COUNTIF(KIFAITOUT!$G$7:$G$50,'INSTANCE C1'!G41))+(COUNTIF('LUXE DRIVE'!$G$7:$G$50,'INSTANCE C1'!G41))+(COUNTIF(SSN!$G$7:$G$50,'INSTANCE C1'!G41))+(COUNTIF('W3'!$G$7:$G$50,'INSTANCE C1'!G41))+(COUNTIF('ATHIS MONS'!$G$7:$G$50,'INSTANCE C1'!G41))+(COUNTIF('L HAY LES ROSES'!$G$7:$G$50,'INSTANCE C1'!G41))+(COUNTIF(RUNGIS!$G$7:$G$50,'INSTANCE C1'!G41))+(COUNTIF(SCEAUX!$G$7:$G$50,'INSTANCE C1'!G41))+(COUNTIF('INSTANCE C1'!$G$7:$G$50,'INSTANCE C1'!G41))+(COUNTIF('INSTANCE C2'!$G$7:$G$50,'INSTANCE C1'!G41))+(COUNTIF(INTERNES!$G$7:$G$50,'INSTANCE C1'!G41))+(COUNTIF('EN PANNE'!$G$7:$G$50,'INSTANCE C1'!G41))-I41</f>
        <v>0</v>
      </c>
      <c r="I41" s="23">
        <f>(COUNTIF('2S EXPRESS'!$A$7:$A$50,'INSTANCE C1'!G41))+(COUNTIF('2 ZT'!$A$7:$A$50,'INSTANCE C1'!G41))+(COUNTIF('GO TRANSPORT'!$A$7:$A$50,'INSTANCE C1'!G41))+(COUNTIF('HMZ - KAIS'!$A$7:$A$50,'INSTANCE C1'!G41))+(COUNTIF('IB TRANSPORT'!$A$7:$A$50,'INSTANCE C1'!G41))+(COUNTIF(JSL!$A$7:$A$50,'INSTANCE C1'!G41))+(COUNTIF(KIFAITOUT!$A$7:$A$50,'INSTANCE C1'!G41))+(COUNTIF('LUXE DRIVE'!$A$7:$A$50,'INSTANCE C1'!G41))+(COUNTIF(SSN!$A$7:$A$50,'INSTANCE C1'!G41))+(COUNTIF('W3'!$A$7:$A$50,'INSTANCE C1'!G41))+(COUNTIF('ATHIS MONS'!$A$7:$A$50,'INSTANCE C1'!G41))+(COUNTIF('L HAY LES ROSES'!$A$7:$A$50,'INSTANCE C1'!G41))+(COUNTIF(RUNGIS!$A$7:$A$50,'INSTANCE C1'!G41))+(COUNTIF(SCEAUX!$A$7:$A$50,'INSTANCE C1'!G41))+(COUNTIF('INSTANCE C1'!$A$7:$A$50,'INSTANCE C1'!G41))+(COUNTIF('INSTANCE C2'!$A$7:$A$50,'INSTANCE C1'!G41))+(COUNTIF(INTERNES!$A$7:$A$50,'INSTANCE C1'!G41))+(COUNTIF('EN PANNE'!$A$7:$A$50,'INSTANCE C1'!G41))</f>
        <v>0</v>
      </c>
      <c r="J41" s="28">
        <f t="shared" si="4"/>
        <v>0</v>
      </c>
      <c r="K41" s="2"/>
      <c r="L41" s="47"/>
      <c r="S41" s="60">
        <f t="shared" si="1"/>
        <v>0</v>
      </c>
      <c r="T41" s="67">
        <f t="shared" si="2"/>
        <v>0</v>
      </c>
    </row>
    <row r="42" spans="1:20" ht="24.95" customHeight="1" x14ac:dyDescent="0.2">
      <c r="A42" s="20"/>
      <c r="B42" s="23">
        <f>(COUNTIF('2S EXPRESS'!$A$7:$A$50,'INSTANCE C1'!A42))+(COUNTIF('2 ZT'!$A$7:$A$50,'INSTANCE C1'!A42))+(COUNTIF('GO TRANSPORT'!$A$7:$A$50,'INSTANCE C1'!A42))+(COUNTIF('HMZ - KAIS'!$A$7:$A$50,'INSTANCE C1'!A42))+(COUNTIF('IB TRANSPORT'!$A$7:$A$50,'INSTANCE C1'!A42))+(COUNTIF(JSL!$A$7:$A$50,'INSTANCE C1'!A42))+(COUNTIF(KIFAITOUT!$A$7:$A$50,'INSTANCE C1'!A42))+(COUNTIF('LUXE DRIVE'!$A$7:$A$50,'INSTANCE C1'!A42))+(COUNTIF(SSN!$A$7:$A$50,'INSTANCE C1'!A42))+(COUNTIF('W3'!$A$7:$A$50,'INSTANCE C1'!A42))+(COUNTIF('ATHIS MONS'!$A$7:$A$50,'INSTANCE C1'!A42))+(COUNTIF('L HAY LES ROSES'!$A$7:$A$50,'INSTANCE C1'!A42))+(COUNTIF(RUNGIS!$A$7:$A$50,'INSTANCE C1'!A42))+(COUNTIF(SCEAUX!$A$7:$A$50,'INSTANCE C1'!A42))+(COUNTIF('INSTANCE C1'!$A$7:$A$50,'INSTANCE C1'!A42))+(COUNTIF('INSTANCE C2'!$A$7:$A$50,'INSTANCE C1'!A42))+(COUNTIF(INTERNES!$A$7:$A$50,'INSTANCE C1'!A42))+(COUNTIF('EN PANNE'!$A$7:$A$50,'INSTANCE C1'!A42))-C42</f>
        <v>0</v>
      </c>
      <c r="C42" s="23">
        <f>(COUNTIF('2S EXPRESS'!$G$7:$G$50,'INSTANCE C1'!A42))+(COUNTIF('2 ZT'!$G$7:$G$50,'INSTANCE C1'!A42))+(COUNTIF('GO TRANSPORT'!$G$7:$G$50,'INSTANCE C1'!A42))+(COUNTIF('INSTANCE C1'!$G$7:$G$50,'INSTANCE C1'!A42))+(COUNTIF('IB TRANSPORT'!$G$7:$G$50,'INSTANCE C1'!A42))+(COUNTIF(JSL!$G$7:$G$50,'INSTANCE C1'!A42))+(COUNTIF(KIFAITOUT!$G$7:$G$50,'INSTANCE C1'!A42))+(COUNTIF('LUXE DRIVE'!$G$7:$G$50,'INSTANCE C1'!A42))+(COUNTIF(SSN!$G$7:$G$50,'INSTANCE C1'!A42))+(COUNTIF('W3'!$G$7:$G$50,'INSTANCE C1'!A42))+(COUNTIF('ATHIS MONS'!$G$7:$G$50,'INSTANCE C1'!A42))+(COUNTIF('L HAY LES ROSES'!$G$7:$G$50,'INSTANCE C1'!A42))+(COUNTIF(RUNGIS!$G$7:$G$50,'INSTANCE C1'!A42))+(COUNTIF(SCEAUX!$G$7:$G$50,'INSTANCE C1'!A42))+(COUNTIF('INSTANCE C1'!$G$7:$G$50,'INSTANCE C1'!A42))+(COUNTIF('INSTANCE C2'!$G$7:$G$50,'INSTANCE C1'!A42))+(COUNTIF(INTERNES!$G$7:$G$50,'INSTANCE C1'!A42))+(COUNTIF('EN PANNE'!$G$7:$G$50,'INSTANCE C1'!A42))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EXPRESS'!$G$7:$G$50,'INSTANCE C1'!G42))+(COUNTIF('2 ZT'!$G$7:$G$50,'INSTANCE C1'!G42))+(COUNTIF('GO TRANSPORT'!$G$7:$G$50,'INSTANCE C1'!G42))+(COUNTIF('HMZ - KAIS'!$G$7:$G$50,'INSTANCE C1'!G42))+(COUNTIF('IB TRANSPORT'!$G$7:$G$50,'INSTANCE C1'!G42))+(COUNTIF(JSL!$G$7:$G$50,'INSTANCE C1'!G42))+(COUNTIF(KIFAITOUT!$G$7:$G$50,'INSTANCE C1'!G42))+(COUNTIF('LUXE DRIVE'!$G$7:$G$50,'INSTANCE C1'!G42))+(COUNTIF(SSN!$G$7:$G$50,'INSTANCE C1'!G42))+(COUNTIF('W3'!$G$7:$G$50,'INSTANCE C1'!G42))+(COUNTIF('ATHIS MONS'!$G$7:$G$50,'INSTANCE C1'!G42))+(COUNTIF('L HAY LES ROSES'!$G$7:$G$50,'INSTANCE C1'!G42))+(COUNTIF(RUNGIS!$G$7:$G$50,'INSTANCE C1'!G42))+(COUNTIF(SCEAUX!$G$7:$G$50,'INSTANCE C1'!G42))+(COUNTIF('INSTANCE C1'!$G$7:$G$50,'INSTANCE C1'!G42))+(COUNTIF('INSTANCE C2'!$G$7:$G$50,'INSTANCE C1'!G42))+(COUNTIF(INTERNES!$G$7:$G$50,'INSTANCE C1'!G42))+(COUNTIF('EN PANNE'!$G$7:$G$50,'INSTANCE C1'!G42))-I42</f>
        <v>0</v>
      </c>
      <c r="I42" s="23">
        <f>(COUNTIF('2S EXPRESS'!$A$7:$A$50,'INSTANCE C1'!G42))+(COUNTIF('2 ZT'!$A$7:$A$50,'INSTANCE C1'!G42))+(COUNTIF('GO TRANSPORT'!$A$7:$A$50,'INSTANCE C1'!G42))+(COUNTIF('HMZ - KAIS'!$A$7:$A$50,'INSTANCE C1'!G42))+(COUNTIF('IB TRANSPORT'!$A$7:$A$50,'INSTANCE C1'!G42))+(COUNTIF(JSL!$A$7:$A$50,'INSTANCE C1'!G42))+(COUNTIF(KIFAITOUT!$A$7:$A$50,'INSTANCE C1'!G42))+(COUNTIF('LUXE DRIVE'!$A$7:$A$50,'INSTANCE C1'!G42))+(COUNTIF(SSN!$A$7:$A$50,'INSTANCE C1'!G42))+(COUNTIF('W3'!$A$7:$A$50,'INSTANCE C1'!G42))+(COUNTIF('ATHIS MONS'!$A$7:$A$50,'INSTANCE C1'!G42))+(COUNTIF('L HAY LES ROSES'!$A$7:$A$50,'INSTANCE C1'!G42))+(COUNTIF(RUNGIS!$A$7:$A$50,'INSTANCE C1'!G42))+(COUNTIF(SCEAUX!$A$7:$A$50,'INSTANCE C1'!G42))+(COUNTIF('INSTANCE C1'!$A$7:$A$50,'INSTANCE C1'!G42))+(COUNTIF('INSTANCE C2'!$A$7:$A$50,'INSTANCE C1'!G42))+(COUNTIF(INTERNES!$A$7:$A$50,'INSTANCE C1'!G42))+(COUNTIF('EN PANNE'!$A$7:$A$50,'INSTANCE C1'!G42))</f>
        <v>0</v>
      </c>
      <c r="J42" s="28">
        <f t="shared" si="4"/>
        <v>0</v>
      </c>
      <c r="K42" s="2"/>
      <c r="L42" s="47"/>
      <c r="S42" s="60">
        <f t="shared" si="1"/>
        <v>0</v>
      </c>
      <c r="T42" s="67">
        <f t="shared" si="2"/>
        <v>0</v>
      </c>
    </row>
    <row r="43" spans="1:20" ht="24.95" customHeight="1" x14ac:dyDescent="0.2">
      <c r="A43" s="20"/>
      <c r="B43" s="23">
        <f>(COUNTIF('2S EXPRESS'!$A$7:$A$50,'INSTANCE C1'!A43))+(COUNTIF('2 ZT'!$A$7:$A$50,'INSTANCE C1'!A43))+(COUNTIF('GO TRANSPORT'!$A$7:$A$50,'INSTANCE C1'!A43))+(COUNTIF('HMZ - KAIS'!$A$7:$A$50,'INSTANCE C1'!A43))+(COUNTIF('IB TRANSPORT'!$A$7:$A$50,'INSTANCE C1'!A43))+(COUNTIF(JSL!$A$7:$A$50,'INSTANCE C1'!A43))+(COUNTIF(KIFAITOUT!$A$7:$A$50,'INSTANCE C1'!A43))+(COUNTIF('LUXE DRIVE'!$A$7:$A$50,'INSTANCE C1'!A43))+(COUNTIF(SSN!$A$7:$A$50,'INSTANCE C1'!A43))+(COUNTIF('W3'!$A$7:$A$50,'INSTANCE C1'!A43))+(COUNTIF('ATHIS MONS'!$A$7:$A$50,'INSTANCE C1'!A43))+(COUNTIF('L HAY LES ROSES'!$A$7:$A$50,'INSTANCE C1'!A43))+(COUNTIF(RUNGIS!$A$7:$A$50,'INSTANCE C1'!A43))+(COUNTIF(SCEAUX!$A$7:$A$50,'INSTANCE C1'!A43))+(COUNTIF('INSTANCE C1'!$A$7:$A$50,'INSTANCE C1'!A43))+(COUNTIF('INSTANCE C2'!$A$7:$A$50,'INSTANCE C1'!A43))+(COUNTIF(INTERNES!$A$7:$A$50,'INSTANCE C1'!A43))+(COUNTIF('EN PANNE'!$A$7:$A$50,'INSTANCE C1'!A43))-C43</f>
        <v>0</v>
      </c>
      <c r="C43" s="23">
        <f>(COUNTIF('2S EXPRESS'!$G$7:$G$50,'INSTANCE C1'!A43))+(COUNTIF('2 ZT'!$G$7:$G$50,'INSTANCE C1'!A43))+(COUNTIF('GO TRANSPORT'!$G$7:$G$50,'INSTANCE C1'!A43))+(COUNTIF('INSTANCE C1'!$G$7:$G$50,'INSTANCE C1'!A43))+(COUNTIF('IB TRANSPORT'!$G$7:$G$50,'INSTANCE C1'!A43))+(COUNTIF(JSL!$G$7:$G$50,'INSTANCE C1'!A43))+(COUNTIF(KIFAITOUT!$G$7:$G$50,'INSTANCE C1'!A43))+(COUNTIF('LUXE DRIVE'!$G$7:$G$50,'INSTANCE C1'!A43))+(COUNTIF(SSN!$G$7:$G$50,'INSTANCE C1'!A43))+(COUNTIF('W3'!$G$7:$G$50,'INSTANCE C1'!A43))+(COUNTIF('ATHIS MONS'!$G$7:$G$50,'INSTANCE C1'!A43))+(COUNTIF('L HAY LES ROSES'!$G$7:$G$50,'INSTANCE C1'!A43))+(COUNTIF(RUNGIS!$G$7:$G$50,'INSTANCE C1'!A43))+(COUNTIF(SCEAUX!$G$7:$G$50,'INSTANCE C1'!A43))+(COUNTIF('INSTANCE C1'!$G$7:$G$50,'INSTANCE C1'!A43))+(COUNTIF('INSTANCE C2'!$G$7:$G$50,'INSTANCE C1'!A43))+(COUNTIF(INTERNES!$G$7:$G$50,'INSTANCE C1'!A43))+(COUNTIF('EN PANNE'!$G$7:$G$50,'INSTANCE C1'!A43))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EXPRESS'!$G$7:$G$50,'INSTANCE C1'!G43))+(COUNTIF('2 ZT'!$G$7:$G$50,'INSTANCE C1'!G43))+(COUNTIF('GO TRANSPORT'!$G$7:$G$50,'INSTANCE C1'!G43))+(COUNTIF('HMZ - KAIS'!$G$7:$G$50,'INSTANCE C1'!G43))+(COUNTIF('IB TRANSPORT'!$G$7:$G$50,'INSTANCE C1'!G43))+(COUNTIF(JSL!$G$7:$G$50,'INSTANCE C1'!G43))+(COUNTIF(KIFAITOUT!$G$7:$G$50,'INSTANCE C1'!G43))+(COUNTIF('LUXE DRIVE'!$G$7:$G$50,'INSTANCE C1'!G43))+(COUNTIF(SSN!$G$7:$G$50,'INSTANCE C1'!G43))+(COUNTIF('W3'!$G$7:$G$50,'INSTANCE C1'!G43))+(COUNTIF('ATHIS MONS'!$G$7:$G$50,'INSTANCE C1'!G43))+(COUNTIF('L HAY LES ROSES'!$G$7:$G$50,'INSTANCE C1'!G43))+(COUNTIF(RUNGIS!$G$7:$G$50,'INSTANCE C1'!G43))+(COUNTIF(SCEAUX!$G$7:$G$50,'INSTANCE C1'!G43))+(COUNTIF('INSTANCE C1'!$G$7:$G$50,'INSTANCE C1'!G43))+(COUNTIF('INSTANCE C2'!$G$7:$G$50,'INSTANCE C1'!G43))+(COUNTIF(INTERNES!$G$7:$G$50,'INSTANCE C1'!G43))+(COUNTIF('EN PANNE'!$G$7:$G$50,'INSTANCE C1'!G43))-I43</f>
        <v>0</v>
      </c>
      <c r="I43" s="23">
        <f>(COUNTIF('2S EXPRESS'!$A$7:$A$50,'INSTANCE C1'!G43))+(COUNTIF('2 ZT'!$A$7:$A$50,'INSTANCE C1'!G43))+(COUNTIF('GO TRANSPORT'!$A$7:$A$50,'INSTANCE C1'!G43))+(COUNTIF('HMZ - KAIS'!$A$7:$A$50,'INSTANCE C1'!G43))+(COUNTIF('IB TRANSPORT'!$A$7:$A$50,'INSTANCE C1'!G43))+(COUNTIF(JSL!$A$7:$A$50,'INSTANCE C1'!G43))+(COUNTIF(KIFAITOUT!$A$7:$A$50,'INSTANCE C1'!G43))+(COUNTIF('LUXE DRIVE'!$A$7:$A$50,'INSTANCE C1'!G43))+(COUNTIF(SSN!$A$7:$A$50,'INSTANCE C1'!G43))+(COUNTIF('W3'!$A$7:$A$50,'INSTANCE C1'!G43))+(COUNTIF('ATHIS MONS'!$A$7:$A$50,'INSTANCE C1'!G43))+(COUNTIF('L HAY LES ROSES'!$A$7:$A$50,'INSTANCE C1'!G43))+(COUNTIF(RUNGIS!$A$7:$A$50,'INSTANCE C1'!G43))+(COUNTIF(SCEAUX!$A$7:$A$50,'INSTANCE C1'!G43))+(COUNTIF('INSTANCE C1'!$A$7:$A$50,'INSTANCE C1'!G43))+(COUNTIF('INSTANCE C2'!$A$7:$A$50,'INSTANCE C1'!G43))+(COUNTIF(INTERNES!$A$7:$A$50,'INSTANCE C1'!G43))+(COUNTIF('EN PANNE'!$A$7:$A$50,'INSTANCE C1'!G43))</f>
        <v>0</v>
      </c>
      <c r="J43" s="28">
        <f t="shared" si="4"/>
        <v>0</v>
      </c>
      <c r="K43" s="2"/>
      <c r="L43" s="47"/>
      <c r="S43" s="60">
        <f t="shared" si="1"/>
        <v>0</v>
      </c>
      <c r="T43" s="67">
        <f t="shared" si="2"/>
        <v>0</v>
      </c>
    </row>
    <row r="44" spans="1:20" ht="24.95" customHeight="1" x14ac:dyDescent="0.2">
      <c r="A44" s="20"/>
      <c r="B44" s="23">
        <f>(COUNTIF('2S EXPRESS'!$A$7:$A$50,'INSTANCE C1'!A44))+(COUNTIF('2 ZT'!$A$7:$A$50,'INSTANCE C1'!A44))+(COUNTIF('GO TRANSPORT'!$A$7:$A$50,'INSTANCE C1'!A44))+(COUNTIF('HMZ - KAIS'!$A$7:$A$50,'INSTANCE C1'!A44))+(COUNTIF('IB TRANSPORT'!$A$7:$A$50,'INSTANCE C1'!A44))+(COUNTIF(JSL!$A$7:$A$50,'INSTANCE C1'!A44))+(COUNTIF(KIFAITOUT!$A$7:$A$50,'INSTANCE C1'!A44))+(COUNTIF('LUXE DRIVE'!$A$7:$A$50,'INSTANCE C1'!A44))+(COUNTIF(SSN!$A$7:$A$50,'INSTANCE C1'!A44))+(COUNTIF('W3'!$A$7:$A$50,'INSTANCE C1'!A44))+(COUNTIF('ATHIS MONS'!$A$7:$A$50,'INSTANCE C1'!A44))+(COUNTIF('L HAY LES ROSES'!$A$7:$A$50,'INSTANCE C1'!A44))+(COUNTIF(RUNGIS!$A$7:$A$50,'INSTANCE C1'!A44))+(COUNTIF(SCEAUX!$A$7:$A$50,'INSTANCE C1'!A44))+(COUNTIF('INSTANCE C1'!$A$7:$A$50,'INSTANCE C1'!A44))+(COUNTIF('INSTANCE C2'!$A$7:$A$50,'INSTANCE C1'!A44))+(COUNTIF(INTERNES!$A$7:$A$50,'INSTANCE C1'!A44))+(COUNTIF('EN PANNE'!$A$7:$A$50,'INSTANCE C1'!A44))-C44</f>
        <v>0</v>
      </c>
      <c r="C44" s="23">
        <f>(COUNTIF('2S EXPRESS'!$G$7:$G$50,'INSTANCE C1'!A44))+(COUNTIF('2 ZT'!$G$7:$G$50,'INSTANCE C1'!A44))+(COUNTIF('GO TRANSPORT'!$G$7:$G$50,'INSTANCE C1'!A44))+(COUNTIF('INSTANCE C1'!$G$7:$G$50,'INSTANCE C1'!A44))+(COUNTIF('IB TRANSPORT'!$G$7:$G$50,'INSTANCE C1'!A44))+(COUNTIF(JSL!$G$7:$G$50,'INSTANCE C1'!A44))+(COUNTIF(KIFAITOUT!$G$7:$G$50,'INSTANCE C1'!A44))+(COUNTIF('LUXE DRIVE'!$G$7:$G$50,'INSTANCE C1'!A44))+(COUNTIF(SSN!$G$7:$G$50,'INSTANCE C1'!A44))+(COUNTIF('W3'!$G$7:$G$50,'INSTANCE C1'!A44))+(COUNTIF('ATHIS MONS'!$G$7:$G$50,'INSTANCE C1'!A44))+(COUNTIF('L HAY LES ROSES'!$G$7:$G$50,'INSTANCE C1'!A44))+(COUNTIF(RUNGIS!$G$7:$G$50,'INSTANCE C1'!A44))+(COUNTIF(SCEAUX!$G$7:$G$50,'INSTANCE C1'!A44))+(COUNTIF('INSTANCE C1'!$G$7:$G$50,'INSTANCE C1'!A44))+(COUNTIF('INSTANCE C2'!$G$7:$G$50,'INSTANCE C1'!A44))+(COUNTIF(INTERNES!$G$7:$G$50,'INSTANCE C1'!A44))+(COUNTIF('EN PANNE'!$G$7:$G$50,'INSTANCE C1'!A44))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EXPRESS'!$G$7:$G$50,'INSTANCE C1'!G44))+(COUNTIF('2 ZT'!$G$7:$G$50,'INSTANCE C1'!G44))+(COUNTIF('GO TRANSPORT'!$G$7:$G$50,'INSTANCE C1'!G44))+(COUNTIF('HMZ - KAIS'!$G$7:$G$50,'INSTANCE C1'!G44))+(COUNTIF('IB TRANSPORT'!$G$7:$G$50,'INSTANCE C1'!G44))+(COUNTIF(JSL!$G$7:$G$50,'INSTANCE C1'!G44))+(COUNTIF(KIFAITOUT!$G$7:$G$50,'INSTANCE C1'!G44))+(COUNTIF('LUXE DRIVE'!$G$7:$G$50,'INSTANCE C1'!G44))+(COUNTIF(SSN!$G$7:$G$50,'INSTANCE C1'!G44))+(COUNTIF('W3'!$G$7:$G$50,'INSTANCE C1'!G44))+(COUNTIF('ATHIS MONS'!$G$7:$G$50,'INSTANCE C1'!G44))+(COUNTIF('L HAY LES ROSES'!$G$7:$G$50,'INSTANCE C1'!G44))+(COUNTIF(RUNGIS!$G$7:$G$50,'INSTANCE C1'!G44))+(COUNTIF(SCEAUX!$G$7:$G$50,'INSTANCE C1'!G44))+(COUNTIF('INSTANCE C1'!$G$7:$G$50,'INSTANCE C1'!G44))+(COUNTIF('INSTANCE C2'!$G$7:$G$50,'INSTANCE C1'!G44))+(COUNTIF(INTERNES!$G$7:$G$50,'INSTANCE C1'!G44))+(COUNTIF('EN PANNE'!$G$7:$G$50,'INSTANCE C1'!G44))-I44</f>
        <v>0</v>
      </c>
      <c r="I44" s="23">
        <f>(COUNTIF('2S EXPRESS'!$A$7:$A$50,'INSTANCE C1'!G44))+(COUNTIF('2 ZT'!$A$7:$A$50,'INSTANCE C1'!G44))+(COUNTIF('GO TRANSPORT'!$A$7:$A$50,'INSTANCE C1'!G44))+(COUNTIF('HMZ - KAIS'!$A$7:$A$50,'INSTANCE C1'!G44))+(COUNTIF('IB TRANSPORT'!$A$7:$A$50,'INSTANCE C1'!G44))+(COUNTIF(JSL!$A$7:$A$50,'INSTANCE C1'!G44))+(COUNTIF(KIFAITOUT!$A$7:$A$50,'INSTANCE C1'!G44))+(COUNTIF('LUXE DRIVE'!$A$7:$A$50,'INSTANCE C1'!G44))+(COUNTIF(SSN!$A$7:$A$50,'INSTANCE C1'!G44))+(COUNTIF('W3'!$A$7:$A$50,'INSTANCE C1'!G44))+(COUNTIF('ATHIS MONS'!$A$7:$A$50,'INSTANCE C1'!G44))+(COUNTIF('L HAY LES ROSES'!$A$7:$A$50,'INSTANCE C1'!G44))+(COUNTIF(RUNGIS!$A$7:$A$50,'INSTANCE C1'!G44))+(COUNTIF(SCEAUX!$A$7:$A$50,'INSTANCE C1'!G44))+(COUNTIF('INSTANCE C1'!$A$7:$A$50,'INSTANCE C1'!G44))+(COUNTIF('INSTANCE C2'!$A$7:$A$50,'INSTANCE C1'!G44))+(COUNTIF(INTERNES!$A$7:$A$50,'INSTANCE C1'!G44))+(COUNTIF('EN PANNE'!$A$7:$A$50,'INSTANCE C1'!G44))</f>
        <v>0</v>
      </c>
      <c r="J44" s="28">
        <f t="shared" si="4"/>
        <v>0</v>
      </c>
      <c r="K44" s="2"/>
      <c r="L44" s="47"/>
      <c r="S44" s="60">
        <f t="shared" si="1"/>
        <v>0</v>
      </c>
      <c r="T44" s="67">
        <f t="shared" si="2"/>
        <v>0</v>
      </c>
    </row>
    <row r="45" spans="1:20" ht="24.95" customHeight="1" x14ac:dyDescent="0.2">
      <c r="A45" s="20"/>
      <c r="B45" s="23">
        <f>(COUNTIF('2S EXPRESS'!$A$7:$A$50,'INSTANCE C1'!A45))+(COUNTIF('2 ZT'!$A$7:$A$50,'INSTANCE C1'!A45))+(COUNTIF('GO TRANSPORT'!$A$7:$A$50,'INSTANCE C1'!A45))+(COUNTIF('HMZ - KAIS'!$A$7:$A$50,'INSTANCE C1'!A45))+(COUNTIF('IB TRANSPORT'!$A$7:$A$50,'INSTANCE C1'!A45))+(COUNTIF(JSL!$A$7:$A$50,'INSTANCE C1'!A45))+(COUNTIF(KIFAITOUT!$A$7:$A$50,'INSTANCE C1'!A45))+(COUNTIF('LUXE DRIVE'!$A$7:$A$50,'INSTANCE C1'!A45))+(COUNTIF(SSN!$A$7:$A$50,'INSTANCE C1'!A45))+(COUNTIF('W3'!$A$7:$A$50,'INSTANCE C1'!A45))+(COUNTIF('ATHIS MONS'!$A$7:$A$50,'INSTANCE C1'!A45))+(COUNTIF('L HAY LES ROSES'!$A$7:$A$50,'INSTANCE C1'!A45))+(COUNTIF(RUNGIS!$A$7:$A$50,'INSTANCE C1'!A45))+(COUNTIF(SCEAUX!$A$7:$A$50,'INSTANCE C1'!A45))+(COUNTIF('INSTANCE C1'!$A$7:$A$50,'INSTANCE C1'!A45))+(COUNTIF('INSTANCE C2'!$A$7:$A$50,'INSTANCE C1'!A45))+(COUNTIF(INTERNES!$A$7:$A$50,'INSTANCE C1'!A45))+(COUNTIF('EN PANNE'!$A$7:$A$50,'INSTANCE C1'!A45))-C45</f>
        <v>0</v>
      </c>
      <c r="C45" s="23">
        <f>(COUNTIF('2S EXPRESS'!$G$7:$G$50,'INSTANCE C1'!A45))+(COUNTIF('2 ZT'!$G$7:$G$50,'INSTANCE C1'!A45))+(COUNTIF('GO TRANSPORT'!$G$7:$G$50,'INSTANCE C1'!A45))+(COUNTIF('INSTANCE C1'!$G$7:$G$50,'INSTANCE C1'!A45))+(COUNTIF('IB TRANSPORT'!$G$7:$G$50,'INSTANCE C1'!A45))+(COUNTIF(JSL!$G$7:$G$50,'INSTANCE C1'!A45))+(COUNTIF(KIFAITOUT!$G$7:$G$50,'INSTANCE C1'!A45))+(COUNTIF('LUXE DRIVE'!$G$7:$G$50,'INSTANCE C1'!A45))+(COUNTIF(SSN!$G$7:$G$50,'INSTANCE C1'!A45))+(COUNTIF('W3'!$G$7:$G$50,'INSTANCE C1'!A45))+(COUNTIF('ATHIS MONS'!$G$7:$G$50,'INSTANCE C1'!A45))+(COUNTIF('L HAY LES ROSES'!$G$7:$G$50,'INSTANCE C1'!A45))+(COUNTIF(RUNGIS!$G$7:$G$50,'INSTANCE C1'!A45))+(COUNTIF(SCEAUX!$G$7:$G$50,'INSTANCE C1'!A45))+(COUNTIF('INSTANCE C1'!$G$7:$G$50,'INSTANCE C1'!A45))+(COUNTIF('INSTANCE C2'!$G$7:$G$50,'INSTANCE C1'!A45))+(COUNTIF(INTERNES!$G$7:$G$50,'INSTANCE C1'!A45))+(COUNTIF('EN PANNE'!$G$7:$G$50,'INSTANCE C1'!A45))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EXPRESS'!$G$7:$G$50,'INSTANCE C1'!G45))+(COUNTIF('2 ZT'!$G$7:$G$50,'INSTANCE C1'!G45))+(COUNTIF('GO TRANSPORT'!$G$7:$G$50,'INSTANCE C1'!G45))+(COUNTIF('HMZ - KAIS'!$G$7:$G$50,'INSTANCE C1'!G45))+(COUNTIF('IB TRANSPORT'!$G$7:$G$50,'INSTANCE C1'!G45))+(COUNTIF(JSL!$G$7:$G$50,'INSTANCE C1'!G45))+(COUNTIF(KIFAITOUT!$G$7:$G$50,'INSTANCE C1'!G45))+(COUNTIF('LUXE DRIVE'!$G$7:$G$50,'INSTANCE C1'!G45))+(COUNTIF(SSN!$G$7:$G$50,'INSTANCE C1'!G45))+(COUNTIF('W3'!$G$7:$G$50,'INSTANCE C1'!G45))+(COUNTIF('ATHIS MONS'!$G$7:$G$50,'INSTANCE C1'!G45))+(COUNTIF('L HAY LES ROSES'!$G$7:$G$50,'INSTANCE C1'!G45))+(COUNTIF(RUNGIS!$G$7:$G$50,'INSTANCE C1'!G45))+(COUNTIF(SCEAUX!$G$7:$G$50,'INSTANCE C1'!G45))+(COUNTIF('INSTANCE C1'!$G$7:$G$50,'INSTANCE C1'!G45))+(COUNTIF('INSTANCE C2'!$G$7:$G$50,'INSTANCE C1'!G45))+(COUNTIF(INTERNES!$G$7:$G$50,'INSTANCE C1'!G45))+(COUNTIF('EN PANNE'!$G$7:$G$50,'INSTANCE C1'!G45))-I45</f>
        <v>0</v>
      </c>
      <c r="I45" s="23">
        <f>(COUNTIF('2S EXPRESS'!$A$7:$A$50,'INSTANCE C1'!G45))+(COUNTIF('2 ZT'!$A$7:$A$50,'INSTANCE C1'!G45))+(COUNTIF('GO TRANSPORT'!$A$7:$A$50,'INSTANCE C1'!G45))+(COUNTIF('HMZ - KAIS'!$A$7:$A$50,'INSTANCE C1'!G45))+(COUNTIF('IB TRANSPORT'!$A$7:$A$50,'INSTANCE C1'!G45))+(COUNTIF(JSL!$A$7:$A$50,'INSTANCE C1'!G45))+(COUNTIF(KIFAITOUT!$A$7:$A$50,'INSTANCE C1'!G45))+(COUNTIF('LUXE DRIVE'!$A$7:$A$50,'INSTANCE C1'!G45))+(COUNTIF(SSN!$A$7:$A$50,'INSTANCE C1'!G45))+(COUNTIF('W3'!$A$7:$A$50,'INSTANCE C1'!G45))+(COUNTIF('ATHIS MONS'!$A$7:$A$50,'INSTANCE C1'!G45))+(COUNTIF('L HAY LES ROSES'!$A$7:$A$50,'INSTANCE C1'!G45))+(COUNTIF(RUNGIS!$A$7:$A$50,'INSTANCE C1'!G45))+(COUNTIF(SCEAUX!$A$7:$A$50,'INSTANCE C1'!G45))+(COUNTIF('INSTANCE C1'!$A$7:$A$50,'INSTANCE C1'!G45))+(COUNTIF('INSTANCE C2'!$A$7:$A$50,'INSTANCE C1'!G45))+(COUNTIF(INTERNES!$A$7:$A$50,'INSTANCE C1'!G45))+(COUNTIF('EN PANNE'!$A$7:$A$50,'INSTANCE C1'!G45))</f>
        <v>0</v>
      </c>
      <c r="J45" s="28">
        <f t="shared" si="4"/>
        <v>0</v>
      </c>
      <c r="K45" s="2"/>
      <c r="L45" s="47"/>
      <c r="S45" s="60">
        <f t="shared" si="1"/>
        <v>0</v>
      </c>
      <c r="T45" s="67">
        <f t="shared" si="2"/>
        <v>0</v>
      </c>
    </row>
    <row r="46" spans="1:20" ht="24.95" customHeight="1" x14ac:dyDescent="0.2">
      <c r="A46" s="20"/>
      <c r="B46" s="23">
        <f>(COUNTIF('2S EXPRESS'!$A$7:$A$50,'INSTANCE C1'!A46))+(COUNTIF('2 ZT'!$A$7:$A$50,'INSTANCE C1'!A46))+(COUNTIF('GO TRANSPORT'!$A$7:$A$50,'INSTANCE C1'!A46))+(COUNTIF('HMZ - KAIS'!$A$7:$A$50,'INSTANCE C1'!A46))+(COUNTIF('IB TRANSPORT'!$A$7:$A$50,'INSTANCE C1'!A46))+(COUNTIF(JSL!$A$7:$A$50,'INSTANCE C1'!A46))+(COUNTIF(KIFAITOUT!$A$7:$A$50,'INSTANCE C1'!A46))+(COUNTIF('LUXE DRIVE'!$A$7:$A$50,'INSTANCE C1'!A46))+(COUNTIF(SSN!$A$7:$A$50,'INSTANCE C1'!A46))+(COUNTIF('W3'!$A$7:$A$50,'INSTANCE C1'!A46))+(COUNTIF('ATHIS MONS'!$A$7:$A$50,'INSTANCE C1'!A46))+(COUNTIF('L HAY LES ROSES'!$A$7:$A$50,'INSTANCE C1'!A46))+(COUNTIF(RUNGIS!$A$7:$A$50,'INSTANCE C1'!A46))+(COUNTIF(SCEAUX!$A$7:$A$50,'INSTANCE C1'!A46))+(COUNTIF('INSTANCE C1'!$A$7:$A$50,'INSTANCE C1'!A46))+(COUNTIF('INSTANCE C2'!$A$7:$A$50,'INSTANCE C1'!A46))+(COUNTIF(INTERNES!$A$7:$A$50,'INSTANCE C1'!A46))+(COUNTIF('EN PANNE'!$A$7:$A$50,'INSTANCE C1'!A46))-C46</f>
        <v>0</v>
      </c>
      <c r="C46" s="23">
        <f>(COUNTIF('2S EXPRESS'!$G$7:$G$50,'INSTANCE C1'!A46))+(COUNTIF('2 ZT'!$G$7:$G$50,'INSTANCE C1'!A46))+(COUNTIF('GO TRANSPORT'!$G$7:$G$50,'INSTANCE C1'!A46))+(COUNTIF('INSTANCE C1'!$G$7:$G$50,'INSTANCE C1'!A46))+(COUNTIF('IB TRANSPORT'!$G$7:$G$50,'INSTANCE C1'!A46))+(COUNTIF(JSL!$G$7:$G$50,'INSTANCE C1'!A46))+(COUNTIF(KIFAITOUT!$G$7:$G$50,'INSTANCE C1'!A46))+(COUNTIF('LUXE DRIVE'!$G$7:$G$50,'INSTANCE C1'!A46))+(COUNTIF(SSN!$G$7:$G$50,'INSTANCE C1'!A46))+(COUNTIF('W3'!$G$7:$G$50,'INSTANCE C1'!A46))+(COUNTIF('ATHIS MONS'!$G$7:$G$50,'INSTANCE C1'!A46))+(COUNTIF('L HAY LES ROSES'!$G$7:$G$50,'INSTANCE C1'!A46))+(COUNTIF(RUNGIS!$G$7:$G$50,'INSTANCE C1'!A46))+(COUNTIF(SCEAUX!$G$7:$G$50,'INSTANCE C1'!A46))+(COUNTIF('INSTANCE C1'!$G$7:$G$50,'INSTANCE C1'!A46))+(COUNTIF('INSTANCE C2'!$G$7:$G$50,'INSTANCE C1'!A46))+(COUNTIF(INTERNES!$G$7:$G$50,'INSTANCE C1'!A46))+(COUNTIF('EN PANNE'!$G$7:$G$50,'INSTANCE C1'!A46))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EXPRESS'!$G$7:$G$50,'INSTANCE C1'!G46))+(COUNTIF('2 ZT'!$G$7:$G$50,'INSTANCE C1'!G46))+(COUNTIF('GO TRANSPORT'!$G$7:$G$50,'INSTANCE C1'!G46))+(COUNTIF('HMZ - KAIS'!$G$7:$G$50,'INSTANCE C1'!G46))+(COUNTIF('IB TRANSPORT'!$G$7:$G$50,'INSTANCE C1'!G46))+(COUNTIF(JSL!$G$7:$G$50,'INSTANCE C1'!G46))+(COUNTIF(KIFAITOUT!$G$7:$G$50,'INSTANCE C1'!G46))+(COUNTIF('LUXE DRIVE'!$G$7:$G$50,'INSTANCE C1'!G46))+(COUNTIF(SSN!$G$7:$G$50,'INSTANCE C1'!G46))+(COUNTIF('W3'!$G$7:$G$50,'INSTANCE C1'!G46))+(COUNTIF('ATHIS MONS'!$G$7:$G$50,'INSTANCE C1'!G46))+(COUNTIF('L HAY LES ROSES'!$G$7:$G$50,'INSTANCE C1'!G46))+(COUNTIF(RUNGIS!$G$7:$G$50,'INSTANCE C1'!G46))+(COUNTIF(SCEAUX!$G$7:$G$50,'INSTANCE C1'!G46))+(COUNTIF('INSTANCE C1'!$G$7:$G$50,'INSTANCE C1'!G46))+(COUNTIF('INSTANCE C2'!$G$7:$G$50,'INSTANCE C1'!G46))+(COUNTIF(INTERNES!$G$7:$G$50,'INSTANCE C1'!G46))+(COUNTIF('EN PANNE'!$G$7:$G$50,'INSTANCE C1'!G46))-I46</f>
        <v>0</v>
      </c>
      <c r="I46" s="23">
        <f>(COUNTIF('2S EXPRESS'!$A$7:$A$50,'INSTANCE C1'!G46))+(COUNTIF('2 ZT'!$A$7:$A$50,'INSTANCE C1'!G46))+(COUNTIF('GO TRANSPORT'!$A$7:$A$50,'INSTANCE C1'!G46))+(COUNTIF('HMZ - KAIS'!$A$7:$A$50,'INSTANCE C1'!G46))+(COUNTIF('IB TRANSPORT'!$A$7:$A$50,'INSTANCE C1'!G46))+(COUNTIF(JSL!$A$7:$A$50,'INSTANCE C1'!G46))+(COUNTIF(KIFAITOUT!$A$7:$A$50,'INSTANCE C1'!G46))+(COUNTIF('LUXE DRIVE'!$A$7:$A$50,'INSTANCE C1'!G46))+(COUNTIF(SSN!$A$7:$A$50,'INSTANCE C1'!G46))+(COUNTIF('W3'!$A$7:$A$50,'INSTANCE C1'!G46))+(COUNTIF('ATHIS MONS'!$A$7:$A$50,'INSTANCE C1'!G46))+(COUNTIF('L HAY LES ROSES'!$A$7:$A$50,'INSTANCE C1'!G46))+(COUNTIF(RUNGIS!$A$7:$A$50,'INSTANCE C1'!G46))+(COUNTIF(SCEAUX!$A$7:$A$50,'INSTANCE C1'!G46))+(COUNTIF('INSTANCE C1'!$A$7:$A$50,'INSTANCE C1'!G46))+(COUNTIF('INSTANCE C2'!$A$7:$A$50,'INSTANCE C1'!G46))+(COUNTIF(INTERNES!$A$7:$A$50,'INSTANCE C1'!G46))+(COUNTIF('EN PANNE'!$A$7:$A$50,'INSTANCE C1'!G46))</f>
        <v>0</v>
      </c>
      <c r="J46" s="28">
        <f t="shared" si="4"/>
        <v>0</v>
      </c>
      <c r="K46" s="2"/>
      <c r="L46" s="47"/>
      <c r="S46" s="60">
        <f t="shared" si="1"/>
        <v>0</v>
      </c>
      <c r="T46" s="67">
        <f t="shared" si="2"/>
        <v>0</v>
      </c>
    </row>
    <row r="47" spans="1:20" ht="24.95" customHeight="1" x14ac:dyDescent="0.2">
      <c r="A47" s="20"/>
      <c r="B47" s="23">
        <f>(COUNTIF('2S EXPRESS'!$A$7:$A$50,'INSTANCE C1'!A47))+(COUNTIF('2 ZT'!$A$7:$A$50,'INSTANCE C1'!A47))+(COUNTIF('GO TRANSPORT'!$A$7:$A$50,'INSTANCE C1'!A47))+(COUNTIF('HMZ - KAIS'!$A$7:$A$50,'INSTANCE C1'!A47))+(COUNTIF('IB TRANSPORT'!$A$7:$A$50,'INSTANCE C1'!A47))+(COUNTIF(JSL!$A$7:$A$50,'INSTANCE C1'!A47))+(COUNTIF(KIFAITOUT!$A$7:$A$50,'INSTANCE C1'!A47))+(COUNTIF('LUXE DRIVE'!$A$7:$A$50,'INSTANCE C1'!A47))+(COUNTIF(SSN!$A$7:$A$50,'INSTANCE C1'!A47))+(COUNTIF('W3'!$A$7:$A$50,'INSTANCE C1'!A47))+(COUNTIF('ATHIS MONS'!$A$7:$A$50,'INSTANCE C1'!A47))+(COUNTIF('L HAY LES ROSES'!$A$7:$A$50,'INSTANCE C1'!A47))+(COUNTIF(RUNGIS!$A$7:$A$50,'INSTANCE C1'!A47))+(COUNTIF(SCEAUX!$A$7:$A$50,'INSTANCE C1'!A47))+(COUNTIF('INSTANCE C1'!$A$7:$A$50,'INSTANCE C1'!A47))+(COUNTIF('INSTANCE C2'!$A$7:$A$50,'INSTANCE C1'!A47))+(COUNTIF(INTERNES!$A$7:$A$50,'INSTANCE C1'!A47))+(COUNTIF('EN PANNE'!$A$7:$A$50,'INSTANCE C1'!A47))-C47</f>
        <v>0</v>
      </c>
      <c r="C47" s="23">
        <f>(COUNTIF('2S EXPRESS'!$G$7:$G$50,'INSTANCE C1'!A47))+(COUNTIF('2 ZT'!$G$7:$G$50,'INSTANCE C1'!A47))+(COUNTIF('GO TRANSPORT'!$G$7:$G$50,'INSTANCE C1'!A47))+(COUNTIF('INSTANCE C1'!$G$7:$G$50,'INSTANCE C1'!A47))+(COUNTIF('IB TRANSPORT'!$G$7:$G$50,'INSTANCE C1'!A47))+(COUNTIF(JSL!$G$7:$G$50,'INSTANCE C1'!A47))+(COUNTIF(KIFAITOUT!$G$7:$G$50,'INSTANCE C1'!A47))+(COUNTIF('LUXE DRIVE'!$G$7:$G$50,'INSTANCE C1'!A47))+(COUNTIF(SSN!$G$7:$G$50,'INSTANCE C1'!A47))+(COUNTIF('W3'!$G$7:$G$50,'INSTANCE C1'!A47))+(COUNTIF('ATHIS MONS'!$G$7:$G$50,'INSTANCE C1'!A47))+(COUNTIF('L HAY LES ROSES'!$G$7:$G$50,'INSTANCE C1'!A47))+(COUNTIF(RUNGIS!$G$7:$G$50,'INSTANCE C1'!A47))+(COUNTIF(SCEAUX!$G$7:$G$50,'INSTANCE C1'!A47))+(COUNTIF('INSTANCE C1'!$G$7:$G$50,'INSTANCE C1'!A47))+(COUNTIF('INSTANCE C2'!$G$7:$G$50,'INSTANCE C1'!A47))+(COUNTIF(INTERNES!$G$7:$G$50,'INSTANCE C1'!A47))+(COUNTIF('EN PANNE'!$G$7:$G$50,'INSTANCE C1'!A47))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EXPRESS'!$G$7:$G$50,'INSTANCE C1'!G47))+(COUNTIF('2 ZT'!$G$7:$G$50,'INSTANCE C1'!G47))+(COUNTIF('GO TRANSPORT'!$G$7:$G$50,'INSTANCE C1'!G47))+(COUNTIF('HMZ - KAIS'!$G$7:$G$50,'INSTANCE C1'!G47))+(COUNTIF('IB TRANSPORT'!$G$7:$G$50,'INSTANCE C1'!G47))+(COUNTIF(JSL!$G$7:$G$50,'INSTANCE C1'!G47))+(COUNTIF(KIFAITOUT!$G$7:$G$50,'INSTANCE C1'!G47))+(COUNTIF('LUXE DRIVE'!$G$7:$G$50,'INSTANCE C1'!G47))+(COUNTIF(SSN!$G$7:$G$50,'INSTANCE C1'!G47))+(COUNTIF('W3'!$G$7:$G$50,'INSTANCE C1'!G47))+(COUNTIF('ATHIS MONS'!$G$7:$G$50,'INSTANCE C1'!G47))+(COUNTIF('L HAY LES ROSES'!$G$7:$G$50,'INSTANCE C1'!G47))+(COUNTIF(RUNGIS!$G$7:$G$50,'INSTANCE C1'!G47))+(COUNTIF(SCEAUX!$G$7:$G$50,'INSTANCE C1'!G47))+(COUNTIF('INSTANCE C1'!$G$7:$G$50,'INSTANCE C1'!G47))+(COUNTIF('INSTANCE C2'!$G$7:$G$50,'INSTANCE C1'!G47))+(COUNTIF(INTERNES!$G$7:$G$50,'INSTANCE C1'!G47))+(COUNTIF('EN PANNE'!$G$7:$G$50,'INSTANCE C1'!G47))-I47</f>
        <v>0</v>
      </c>
      <c r="I47" s="23">
        <f>(COUNTIF('2S EXPRESS'!$A$7:$A$50,'INSTANCE C1'!G47))+(COUNTIF('2 ZT'!$A$7:$A$50,'INSTANCE C1'!G47))+(COUNTIF('GO TRANSPORT'!$A$7:$A$50,'INSTANCE C1'!G47))+(COUNTIF('HMZ - KAIS'!$A$7:$A$50,'INSTANCE C1'!G47))+(COUNTIF('IB TRANSPORT'!$A$7:$A$50,'INSTANCE C1'!G47))+(COUNTIF(JSL!$A$7:$A$50,'INSTANCE C1'!G47))+(COUNTIF(KIFAITOUT!$A$7:$A$50,'INSTANCE C1'!G47))+(COUNTIF('LUXE DRIVE'!$A$7:$A$50,'INSTANCE C1'!G47))+(COUNTIF(SSN!$A$7:$A$50,'INSTANCE C1'!G47))+(COUNTIF('W3'!$A$7:$A$50,'INSTANCE C1'!G47))+(COUNTIF('ATHIS MONS'!$A$7:$A$50,'INSTANCE C1'!G47))+(COUNTIF('L HAY LES ROSES'!$A$7:$A$50,'INSTANCE C1'!G47))+(COUNTIF(RUNGIS!$A$7:$A$50,'INSTANCE C1'!G47))+(COUNTIF(SCEAUX!$A$7:$A$50,'INSTANCE C1'!G47))+(COUNTIF('INSTANCE C1'!$A$7:$A$50,'INSTANCE C1'!G47))+(COUNTIF('INSTANCE C2'!$A$7:$A$50,'INSTANCE C1'!G47))+(COUNTIF(INTERNES!$A$7:$A$50,'INSTANCE C1'!G47))+(COUNTIF('EN PANNE'!$A$7:$A$50,'INSTANCE C1'!G47))</f>
        <v>0</v>
      </c>
      <c r="J47" s="28">
        <f t="shared" si="4"/>
        <v>0</v>
      </c>
      <c r="K47" s="2"/>
      <c r="L47" s="47"/>
      <c r="S47" s="60">
        <f t="shared" si="1"/>
        <v>0</v>
      </c>
      <c r="T47" s="67">
        <f t="shared" si="2"/>
        <v>0</v>
      </c>
    </row>
    <row r="48" spans="1:20" ht="24.95" customHeight="1" x14ac:dyDescent="0.2">
      <c r="A48" s="20"/>
      <c r="B48" s="23">
        <f>(COUNTIF('2S EXPRESS'!$A$7:$A$50,'INSTANCE C1'!A48))+(COUNTIF('2 ZT'!$A$7:$A$50,'INSTANCE C1'!A48))+(COUNTIF('GO TRANSPORT'!$A$7:$A$50,'INSTANCE C1'!A48))+(COUNTIF('HMZ - KAIS'!$A$7:$A$50,'INSTANCE C1'!A48))+(COUNTIF('IB TRANSPORT'!$A$7:$A$50,'INSTANCE C1'!A48))+(COUNTIF(JSL!$A$7:$A$50,'INSTANCE C1'!A48))+(COUNTIF(KIFAITOUT!$A$7:$A$50,'INSTANCE C1'!A48))+(COUNTIF('LUXE DRIVE'!$A$7:$A$50,'INSTANCE C1'!A48))+(COUNTIF(SSN!$A$7:$A$50,'INSTANCE C1'!A48))+(COUNTIF('W3'!$A$7:$A$50,'INSTANCE C1'!A48))+(COUNTIF('ATHIS MONS'!$A$7:$A$50,'INSTANCE C1'!A48))+(COUNTIF('L HAY LES ROSES'!$A$7:$A$50,'INSTANCE C1'!A48))+(COUNTIF(RUNGIS!$A$7:$A$50,'INSTANCE C1'!A48))+(COUNTIF(SCEAUX!$A$7:$A$50,'INSTANCE C1'!A48))+(COUNTIF('INSTANCE C1'!$A$7:$A$50,'INSTANCE C1'!A48))+(COUNTIF('INSTANCE C2'!$A$7:$A$50,'INSTANCE C1'!A48))+(COUNTIF(INTERNES!$A$7:$A$50,'INSTANCE C1'!A48))+(COUNTIF('EN PANNE'!$A$7:$A$50,'INSTANCE C1'!A48))-C48</f>
        <v>0</v>
      </c>
      <c r="C48" s="23">
        <f>(COUNTIF('2S EXPRESS'!$G$7:$G$50,'INSTANCE C1'!A48))+(COUNTIF('2 ZT'!$G$7:$G$50,'INSTANCE C1'!A48))+(COUNTIF('GO TRANSPORT'!$G$7:$G$50,'INSTANCE C1'!A48))+(COUNTIF('INSTANCE C1'!$G$7:$G$50,'INSTANCE C1'!A48))+(COUNTIF('IB TRANSPORT'!$G$7:$G$50,'INSTANCE C1'!A48))+(COUNTIF(JSL!$G$7:$G$50,'INSTANCE C1'!A48))+(COUNTIF(KIFAITOUT!$G$7:$G$50,'INSTANCE C1'!A48))+(COUNTIF('LUXE DRIVE'!$G$7:$G$50,'INSTANCE C1'!A48))+(COUNTIF(SSN!$G$7:$G$50,'INSTANCE C1'!A48))+(COUNTIF('W3'!$G$7:$G$50,'INSTANCE C1'!A48))+(COUNTIF('ATHIS MONS'!$G$7:$G$50,'INSTANCE C1'!A48))+(COUNTIF('L HAY LES ROSES'!$G$7:$G$50,'INSTANCE C1'!A48))+(COUNTIF(RUNGIS!$G$7:$G$50,'INSTANCE C1'!A48))+(COUNTIF(SCEAUX!$G$7:$G$50,'INSTANCE C1'!A48))+(COUNTIF('INSTANCE C1'!$G$7:$G$50,'INSTANCE C1'!A48))+(COUNTIF('INSTANCE C2'!$G$7:$G$50,'INSTANCE C1'!A48))+(COUNTIF(INTERNES!$G$7:$G$50,'INSTANCE C1'!A48))+(COUNTIF('EN PANNE'!$G$7:$G$50,'INSTANCE C1'!A48))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EXPRESS'!$G$7:$G$50,'INSTANCE C1'!G48))+(COUNTIF('2 ZT'!$G$7:$G$50,'INSTANCE C1'!G48))+(COUNTIF('GO TRANSPORT'!$G$7:$G$50,'INSTANCE C1'!G48))+(COUNTIF('HMZ - KAIS'!$G$7:$G$50,'INSTANCE C1'!G48))+(COUNTIF('IB TRANSPORT'!$G$7:$G$50,'INSTANCE C1'!G48))+(COUNTIF(JSL!$G$7:$G$50,'INSTANCE C1'!G48))+(COUNTIF(KIFAITOUT!$G$7:$G$50,'INSTANCE C1'!G48))+(COUNTIF('LUXE DRIVE'!$G$7:$G$50,'INSTANCE C1'!G48))+(COUNTIF(SSN!$G$7:$G$50,'INSTANCE C1'!G48))+(COUNTIF('W3'!$G$7:$G$50,'INSTANCE C1'!G48))+(COUNTIF('ATHIS MONS'!$G$7:$G$50,'INSTANCE C1'!G48))+(COUNTIF('L HAY LES ROSES'!$G$7:$G$50,'INSTANCE C1'!G48))+(COUNTIF(RUNGIS!$G$7:$G$50,'INSTANCE C1'!G48))+(COUNTIF(SCEAUX!$G$7:$G$50,'INSTANCE C1'!G48))+(COUNTIF('INSTANCE C1'!$G$7:$G$50,'INSTANCE C1'!G48))+(COUNTIF('INSTANCE C2'!$G$7:$G$50,'INSTANCE C1'!G48))+(COUNTIF(INTERNES!$G$7:$G$50,'INSTANCE C1'!G48))+(COUNTIF('EN PANNE'!$G$7:$G$50,'INSTANCE C1'!G48))-I48</f>
        <v>0</v>
      </c>
      <c r="I48" s="23">
        <f>(COUNTIF('2S EXPRESS'!$A$7:$A$50,'INSTANCE C1'!G48))+(COUNTIF('2 ZT'!$A$7:$A$50,'INSTANCE C1'!G48))+(COUNTIF('GO TRANSPORT'!$A$7:$A$50,'INSTANCE C1'!G48))+(COUNTIF('HMZ - KAIS'!$A$7:$A$50,'INSTANCE C1'!G48))+(COUNTIF('IB TRANSPORT'!$A$7:$A$50,'INSTANCE C1'!G48))+(COUNTIF(JSL!$A$7:$A$50,'INSTANCE C1'!G48))+(COUNTIF(KIFAITOUT!$A$7:$A$50,'INSTANCE C1'!G48))+(COUNTIF('LUXE DRIVE'!$A$7:$A$50,'INSTANCE C1'!G48))+(COUNTIF(SSN!$A$7:$A$50,'INSTANCE C1'!G48))+(COUNTIF('W3'!$A$7:$A$50,'INSTANCE C1'!G48))+(COUNTIF('ATHIS MONS'!$A$7:$A$50,'INSTANCE C1'!G48))+(COUNTIF('L HAY LES ROSES'!$A$7:$A$50,'INSTANCE C1'!G48))+(COUNTIF(RUNGIS!$A$7:$A$50,'INSTANCE C1'!G48))+(COUNTIF(SCEAUX!$A$7:$A$50,'INSTANCE C1'!G48))+(COUNTIF('INSTANCE C1'!$A$7:$A$50,'INSTANCE C1'!G48))+(COUNTIF('INSTANCE C2'!$A$7:$A$50,'INSTANCE C1'!G48))+(COUNTIF(INTERNES!$A$7:$A$50,'INSTANCE C1'!G48))+(COUNTIF('EN PANNE'!$A$7:$A$50,'INSTANCE C1'!G48))</f>
        <v>0</v>
      </c>
      <c r="J48" s="28">
        <f t="shared" si="4"/>
        <v>0</v>
      </c>
      <c r="K48" s="2"/>
      <c r="L48" s="47"/>
      <c r="S48" s="60">
        <f t="shared" si="1"/>
        <v>0</v>
      </c>
      <c r="T48" s="67">
        <f t="shared" si="2"/>
        <v>0</v>
      </c>
    </row>
    <row r="49" spans="1:20" ht="24.95" customHeight="1" x14ac:dyDescent="0.2">
      <c r="A49" s="20"/>
      <c r="B49" s="23">
        <f>(COUNTIF('2S EXPRESS'!$A$7:$A$50,'INSTANCE C1'!A49))+(COUNTIF('2 ZT'!$A$7:$A$50,'INSTANCE C1'!A49))+(COUNTIF('GO TRANSPORT'!$A$7:$A$50,'INSTANCE C1'!A49))+(COUNTIF('HMZ - KAIS'!$A$7:$A$50,'INSTANCE C1'!A49))+(COUNTIF('IB TRANSPORT'!$A$7:$A$50,'INSTANCE C1'!A49))+(COUNTIF(JSL!$A$7:$A$50,'INSTANCE C1'!A49))+(COUNTIF(KIFAITOUT!$A$7:$A$50,'INSTANCE C1'!A49))+(COUNTIF('LUXE DRIVE'!$A$7:$A$50,'INSTANCE C1'!A49))+(COUNTIF(SSN!$A$7:$A$50,'INSTANCE C1'!A49))+(COUNTIF('W3'!$A$7:$A$50,'INSTANCE C1'!A49))+(COUNTIF('ATHIS MONS'!$A$7:$A$50,'INSTANCE C1'!A49))+(COUNTIF('L HAY LES ROSES'!$A$7:$A$50,'INSTANCE C1'!A49))+(COUNTIF(RUNGIS!$A$7:$A$50,'INSTANCE C1'!A49))+(COUNTIF(SCEAUX!$A$7:$A$50,'INSTANCE C1'!A49))+(COUNTIF('INSTANCE C1'!$A$7:$A$50,'INSTANCE C1'!A49))+(COUNTIF('INSTANCE C2'!$A$7:$A$50,'INSTANCE C1'!A49))+(COUNTIF(INTERNES!$A$7:$A$50,'INSTANCE C1'!A49))+(COUNTIF('EN PANNE'!$A$7:$A$50,'INSTANCE C1'!A49))-C49</f>
        <v>0</v>
      </c>
      <c r="C49" s="23">
        <f>(COUNTIF('2S EXPRESS'!$G$7:$G$50,'INSTANCE C1'!A49))+(COUNTIF('2 ZT'!$G$7:$G$50,'INSTANCE C1'!A49))+(COUNTIF('GO TRANSPORT'!$G$7:$G$50,'INSTANCE C1'!A49))+(COUNTIF('INSTANCE C1'!$G$7:$G$50,'INSTANCE C1'!A49))+(COUNTIF('IB TRANSPORT'!$G$7:$G$50,'INSTANCE C1'!A49))+(COUNTIF(JSL!$G$7:$G$50,'INSTANCE C1'!A49))+(COUNTIF(KIFAITOUT!$G$7:$G$50,'INSTANCE C1'!A49))+(COUNTIF('LUXE DRIVE'!$G$7:$G$50,'INSTANCE C1'!A49))+(COUNTIF(SSN!$G$7:$G$50,'INSTANCE C1'!A49))+(COUNTIF('W3'!$G$7:$G$50,'INSTANCE C1'!A49))+(COUNTIF('ATHIS MONS'!$G$7:$G$50,'INSTANCE C1'!A49))+(COUNTIF('L HAY LES ROSES'!$G$7:$G$50,'INSTANCE C1'!A49))+(COUNTIF(RUNGIS!$G$7:$G$50,'INSTANCE C1'!A49))+(COUNTIF(SCEAUX!$G$7:$G$50,'INSTANCE C1'!A49))+(COUNTIF('INSTANCE C1'!$G$7:$G$50,'INSTANCE C1'!A49))+(COUNTIF('INSTANCE C2'!$G$7:$G$50,'INSTANCE C1'!A49))+(COUNTIF(INTERNES!$G$7:$G$50,'INSTANCE C1'!A49))+(COUNTIF('EN PANNE'!$G$7:$G$50,'INSTANCE C1'!A49))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EXPRESS'!$G$7:$G$50,'INSTANCE C1'!G49))+(COUNTIF('2 ZT'!$G$7:$G$50,'INSTANCE C1'!G49))+(COUNTIF('GO TRANSPORT'!$G$7:$G$50,'INSTANCE C1'!G49))+(COUNTIF('HMZ - KAIS'!$G$7:$G$50,'INSTANCE C1'!G49))+(COUNTIF('IB TRANSPORT'!$G$7:$G$50,'INSTANCE C1'!G49))+(COUNTIF(JSL!$G$7:$G$50,'INSTANCE C1'!G49))+(COUNTIF(KIFAITOUT!$G$7:$G$50,'INSTANCE C1'!G49))+(COUNTIF('LUXE DRIVE'!$G$7:$G$50,'INSTANCE C1'!G49))+(COUNTIF(SSN!$G$7:$G$50,'INSTANCE C1'!G49))+(COUNTIF('W3'!$G$7:$G$50,'INSTANCE C1'!G49))+(COUNTIF('ATHIS MONS'!$G$7:$G$50,'INSTANCE C1'!G49))+(COUNTIF('L HAY LES ROSES'!$G$7:$G$50,'INSTANCE C1'!G49))+(COUNTIF(RUNGIS!$G$7:$G$50,'INSTANCE C1'!G49))+(COUNTIF(SCEAUX!$G$7:$G$50,'INSTANCE C1'!G49))+(COUNTIF('INSTANCE C1'!$G$7:$G$50,'INSTANCE C1'!G49))+(COUNTIF('INSTANCE C2'!$G$7:$G$50,'INSTANCE C1'!G49))+(COUNTIF(INTERNES!$G$7:$G$50,'INSTANCE C1'!G49))+(COUNTIF('EN PANNE'!$G$7:$G$50,'INSTANCE C1'!G49))-I49</f>
        <v>0</v>
      </c>
      <c r="I49" s="23">
        <f>(COUNTIF('2S EXPRESS'!$A$7:$A$50,'INSTANCE C1'!G49))+(COUNTIF('2 ZT'!$A$7:$A$50,'INSTANCE C1'!G49))+(COUNTIF('GO TRANSPORT'!$A$7:$A$50,'INSTANCE C1'!G49))+(COUNTIF('HMZ - KAIS'!$A$7:$A$50,'INSTANCE C1'!G49))+(COUNTIF('IB TRANSPORT'!$A$7:$A$50,'INSTANCE C1'!G49))+(COUNTIF(JSL!$A$7:$A$50,'INSTANCE C1'!G49))+(COUNTIF(KIFAITOUT!$A$7:$A$50,'INSTANCE C1'!G49))+(COUNTIF('LUXE DRIVE'!$A$7:$A$50,'INSTANCE C1'!G49))+(COUNTIF(SSN!$A$7:$A$50,'INSTANCE C1'!G49))+(COUNTIF('W3'!$A$7:$A$50,'INSTANCE C1'!G49))+(COUNTIF('ATHIS MONS'!$A$7:$A$50,'INSTANCE C1'!G49))+(COUNTIF('L HAY LES ROSES'!$A$7:$A$50,'INSTANCE C1'!G49))+(COUNTIF(RUNGIS!$A$7:$A$50,'INSTANCE C1'!G49))+(COUNTIF(SCEAUX!$A$7:$A$50,'INSTANCE C1'!G49))+(COUNTIF('INSTANCE C1'!$A$7:$A$50,'INSTANCE C1'!G49))+(COUNTIF('INSTANCE C2'!$A$7:$A$50,'INSTANCE C1'!G49))+(COUNTIF(INTERNES!$A$7:$A$50,'INSTANCE C1'!G49))+(COUNTIF('EN PANNE'!$A$7:$A$50,'INSTANCE C1'!G49))</f>
        <v>0</v>
      </c>
      <c r="J49" s="28">
        <f t="shared" si="4"/>
        <v>0</v>
      </c>
      <c r="K49" s="2"/>
      <c r="L49" s="47"/>
      <c r="S49" s="60">
        <f t="shared" si="1"/>
        <v>0</v>
      </c>
      <c r="T49" s="67">
        <f t="shared" si="2"/>
        <v>0</v>
      </c>
    </row>
    <row r="50" spans="1:20" ht="24.95" customHeight="1" thickBot="1" x14ac:dyDescent="0.25">
      <c r="A50" s="21"/>
      <c r="B50" s="25">
        <f>(COUNTIF('2S EXPRESS'!$A$7:$A$50,'INSTANCE C1'!A50))+(COUNTIF('2 ZT'!$A$7:$A$50,'INSTANCE C1'!A50))+(COUNTIF('GO TRANSPORT'!$A$7:$A$50,'INSTANCE C1'!A50))+(COUNTIF('HMZ - KAIS'!$A$7:$A$50,'INSTANCE C1'!A50))+(COUNTIF('IB TRANSPORT'!$A$7:$A$50,'INSTANCE C1'!A50))+(COUNTIF(JSL!$A$7:$A$50,'INSTANCE C1'!A50))+(COUNTIF(KIFAITOUT!$A$7:$A$50,'INSTANCE C1'!A50))+(COUNTIF('LUXE DRIVE'!$A$7:$A$50,'INSTANCE C1'!A50))+(COUNTIF(SSN!$A$7:$A$50,'INSTANCE C1'!A50))+(COUNTIF('W3'!$A$7:$A$50,'INSTANCE C1'!A50))+(COUNTIF('ATHIS MONS'!$A$7:$A$50,'INSTANCE C1'!A50))+(COUNTIF('L HAY LES ROSES'!$A$7:$A$50,'INSTANCE C1'!A50))+(COUNTIF(RUNGIS!$A$7:$A$50,'INSTANCE C1'!A50))+(COUNTIF(SCEAUX!$A$7:$A$50,'INSTANCE C1'!A50))+(COUNTIF('INSTANCE C1'!$A$7:$A$50,'INSTANCE C1'!A50))+(COUNTIF('INSTANCE C2'!$A$7:$A$50,'INSTANCE C1'!A50))+(COUNTIF(INTERNES!$A$7:$A$50,'INSTANCE C1'!A50))+(COUNTIF('EN PANNE'!$A$7:$A$50,'INSTANCE C1'!A50))-C50</f>
        <v>0</v>
      </c>
      <c r="C50" s="23">
        <f>(COUNTIF('2S EXPRESS'!$G$7:$G$50,'HMZ - KAIS'!A50))+(COUNTIF('2 ZT'!$G$7:$G$50,'HMZ - KAIS'!A50))+(COUNTIF('GO TRANSPORT'!$G$7:$G$50,'HMZ - KAIS'!A50))+(COUNTIF('HMZ - KAIS'!$G$7:$G$50,'HMZ - KAIS'!A50))+(COUNTIF('IB TRANSPORT'!$G$7:$G$50,'HMZ - KAIS'!A50))+(COUNTIF(JSL!$G$7:$G$50,'HMZ - KAIS'!A50))+(COUNTIF(KIFAITOUT!$G$7:$G$50,'HMZ - KAIS'!A50))+(COUNTIF('LUXE DRIVE'!$G$7:$G$50,'HMZ - KAIS'!A50))+(COUNTIF(SSN!$G$7:$G$50,'HMZ - KAIS'!A50))+(COUNTIF('W3'!$G$7:$G$50,'HMZ - KAIS'!A50))+(COUNTIF('ATHIS MONS'!$G$7:$G$50,'HMZ - KAIS'!A50))+(COUNTIF('L HAY LES ROSES'!$G$7:$G$50,'HMZ - KAIS'!A50))+(COUNTIF(RUNGIS!$G$7:$G$50,'HMZ - KAIS'!A50))+(COUNTIF(SCEAUX!$G$7:$G$50,'HMZ - KAIS'!A50))+(COUNTIF('INSTANCE C1'!$G$7:$G$50,'HMZ - KAIS'!A50))+(COUNTIF('INSTANCE C2'!$G$7:$G$50,'HMZ - KAIS'!A50))+(COUNTIF(INTERNES!$G$7:$G$50,'HMZ - KAIS'!A50))+(COUNTIF('EN PANNE'!$G$7:$G$50,'HMZ - KAIS'!A50))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EXPRESS'!$G$7:$G$50,'INSTANCE C1'!G50))+(COUNTIF('2 ZT'!$G$7:$G$50,'INSTANCE C1'!G50))+(COUNTIF('GO TRANSPORT'!$G$7:$G$50,'INSTANCE C1'!G50))+(COUNTIF('HMZ - KAIS'!$G$7:$G$50,'INSTANCE C1'!G50))+(COUNTIF('IB TRANSPORT'!$G$7:$G$50,'INSTANCE C1'!G50))+(COUNTIF(JSL!$G$7:$G$50,'INSTANCE C1'!G50))+(COUNTIF(KIFAITOUT!$G$7:$G$50,'INSTANCE C1'!G50))+(COUNTIF('LUXE DRIVE'!$G$7:$G$50,'INSTANCE C1'!G50))+(COUNTIF(SSN!$G$7:$G$50,'INSTANCE C1'!G50))+(COUNTIF('W3'!$G$7:$G$50,'INSTANCE C1'!G50))+(COUNTIF('ATHIS MONS'!$G$7:$G$50,'INSTANCE C1'!G50))+(COUNTIF('L HAY LES ROSES'!$G$7:$G$50,'INSTANCE C1'!G50))+(COUNTIF(RUNGIS!$G$7:$G$50,'INSTANCE C1'!G50))+(COUNTIF(SCEAUX!$G$7:$G$50,'INSTANCE C1'!G50))+(COUNTIF('INSTANCE C1'!$G$7:$G$50,'INSTANCE C1'!G50))+(COUNTIF('INSTANCE C2'!$G$7:$G$50,'INSTANCE C1'!G50))+(COUNTIF(INTERNES!$G$7:$G$50,'INSTANCE C1'!G50))+(COUNTIF('EN PANNE'!$G$7:$G$50,'INSTANCE C1'!G50))-I50</f>
        <v>0</v>
      </c>
      <c r="I50" s="25">
        <f>(COUNTIF('2S EXPRESS'!$A$7:$A$50,'INSTANCE C1'!G50))+(COUNTIF('2 ZT'!$A$7:$A$50,'INSTANCE C1'!G50))+(COUNTIF('GO TRANSPORT'!$A$7:$A$50,'INSTANCE C1'!G50))+(COUNTIF('HMZ - KAIS'!$A$7:$A$50,'INSTANCE C1'!G50))+(COUNTIF('IB TRANSPORT'!$A$7:$A$50,'INSTANCE C1'!G50))+(COUNTIF(JSL!$A$7:$A$50,'INSTANCE C1'!G50))+(COUNTIF(KIFAITOUT!$A$7:$A$50,'INSTANCE C1'!G50))+(COUNTIF('LUXE DRIVE'!$A$7:$A$50,'INSTANCE C1'!G50))+(COUNTIF(SSN!$A$7:$A$50,'INSTANCE C1'!G50))+(COUNTIF('W3'!$A$7:$A$50,'INSTANCE C1'!G50))+(COUNTIF('ATHIS MONS'!$A$7:$A$50,'INSTANCE C1'!G50))+(COUNTIF('L HAY LES ROSES'!$A$7:$A$50,'INSTANCE C1'!G50))+(COUNTIF(RUNGIS!$A$7:$A$50,'INSTANCE C1'!G50))+(COUNTIF(SCEAUX!$A$7:$A$50,'INSTANCE C1'!G50))+(COUNTIF('INSTANCE C1'!$A$7:$A$50,'INSTANCE C1'!G50))+(COUNTIF('INSTANCE C2'!$A$7:$A$50,'INSTANCE C1'!G50))+(COUNTIF(INTERNES!$A$7:$A$50,'INSTANCE C1'!G50))+(COUNTIF('EN PANNE'!$A$7:$A$50,'INSTANCE C1'!G50))</f>
        <v>0</v>
      </c>
      <c r="J50" s="29">
        <f t="shared" si="4"/>
        <v>0</v>
      </c>
      <c r="K50" s="3"/>
      <c r="L50" s="47"/>
      <c r="S50" s="60">
        <f t="shared" si="1"/>
        <v>0</v>
      </c>
      <c r="T50" s="67">
        <f t="shared" si="2"/>
        <v>0</v>
      </c>
    </row>
    <row r="53" spans="1:20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</row>
  </sheetData>
  <mergeCells count="13">
    <mergeCell ref="M12:P12"/>
    <mergeCell ref="B2:E3"/>
    <mergeCell ref="G2:K3"/>
    <mergeCell ref="A4:E4"/>
    <mergeCell ref="G4:K4"/>
    <mergeCell ref="G5:G6"/>
    <mergeCell ref="K5:K6"/>
    <mergeCell ref="M8:P8"/>
    <mergeCell ref="M9:P9"/>
    <mergeCell ref="M11:P11"/>
    <mergeCell ref="F5:F6"/>
    <mergeCell ref="A5:A6"/>
    <mergeCell ref="E5:E6"/>
  </mergeCells>
  <conditionalFormatting sqref="F7:F50">
    <cfRule type="cellIs" dxfId="39" priority="10" operator="equal">
      <formula>1</formula>
    </cfRule>
  </conditionalFormatting>
  <conditionalFormatting sqref="A7:A50">
    <cfRule type="duplicateValues" dxfId="38" priority="8"/>
  </conditionalFormatting>
  <conditionalFormatting sqref="L7:L50">
    <cfRule type="cellIs" dxfId="37" priority="7" operator="greaterThan">
      <formula>0</formula>
    </cfRule>
  </conditionalFormatting>
  <conditionalFormatting sqref="D7">
    <cfRule type="cellIs" dxfId="36" priority="6" operator="greaterThan">
      <formula>0</formula>
    </cfRule>
  </conditionalFormatting>
  <conditionalFormatting sqref="D8:D50">
    <cfRule type="cellIs" dxfId="35" priority="5" operator="greaterThan">
      <formula>0</formula>
    </cfRule>
  </conditionalFormatting>
  <conditionalFormatting sqref="G7:G50">
    <cfRule type="duplicateValues" dxfId="34" priority="4"/>
  </conditionalFormatting>
  <conditionalFormatting sqref="J7">
    <cfRule type="cellIs" dxfId="33" priority="3" operator="greaterThan">
      <formula>0</formula>
    </cfRule>
  </conditionalFormatting>
  <conditionalFormatting sqref="J8:J50">
    <cfRule type="cellIs" dxfId="32" priority="2" operator="greaterThan">
      <formula>0</formula>
    </cfRule>
  </conditionalFormatting>
  <conditionalFormatting sqref="S7:S50">
    <cfRule type="cellIs" dxfId="31" priority="1" operator="greaterThan">
      <formula>0</formula>
    </cfRule>
  </conditionalFormatting>
  <dataValidations count="1">
    <dataValidation type="list" allowBlank="1" showInputMessage="1" showErrorMessage="1" sqref="K7:K50 E7:E50" xr:uid="{53076380-44C5-4EB5-B330-CAB376A61DDC}">
      <formula1>$Q$9:$Q$17</formula1>
    </dataValidation>
  </dataValidations>
  <pageMargins left="0.25" right="0.25" top="0.75" bottom="0.75" header="0.3" footer="0.3"/>
  <pageSetup paperSize="9" scale="88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9A944DD4-9F1A-44EA-BAE4-D53E87FFE0CA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AF0CC-D39B-4C07-8F42-C3290F53EB1B}">
  <sheetPr codeName="Feuil18">
    <tabColor rgb="FF92D050"/>
    <pageSetUpPr fitToPage="1"/>
  </sheetPr>
  <dimension ref="A1:HQ53"/>
  <sheetViews>
    <sheetView showGridLines="0" zoomScaleNormal="100" workbookViewId="0">
      <selection activeCell="X19" sqref="X19"/>
    </sheetView>
  </sheetViews>
  <sheetFormatPr baseColWidth="10" defaultColWidth="11.42578125" defaultRowHeight="12.75" x14ac:dyDescent="0.2"/>
  <cols>
    <col min="1" max="1" width="25.7109375" style="10" customWidth="1"/>
    <col min="2" max="3" width="10.7109375" style="10" hidden="1" customWidth="1"/>
    <col min="4" max="4" width="7.7109375" style="10" customWidth="1"/>
    <col min="5" max="5" width="50.7109375" style="10" customWidth="1"/>
    <col min="6" max="6" width="13.7109375" style="10" customWidth="1"/>
    <col min="7" max="7" width="25.7109375" style="10" customWidth="1"/>
    <col min="8" max="8" width="10.7109375" style="10" hidden="1" customWidth="1"/>
    <col min="9" max="9" width="10.7109375" style="9" hidden="1" customWidth="1"/>
    <col min="10" max="10" width="7.7109375" style="10" customWidth="1"/>
    <col min="11" max="11" width="50.7109375" style="10" customWidth="1"/>
    <col min="12" max="16" width="7.7109375" style="10" customWidth="1"/>
    <col min="17" max="17" width="22.7109375" style="9" hidden="1" customWidth="1"/>
    <col min="18" max="20" width="11.42578125" style="30" hidden="1" customWidth="1"/>
    <col min="21" max="21" width="11.42578125" style="30" customWidth="1"/>
    <col min="22" max="26" width="11.42578125" style="30"/>
    <col min="27" max="16384" width="11.42578125" style="10"/>
  </cols>
  <sheetData>
    <row r="1" spans="1:225" ht="13.5" thickBot="1" x14ac:dyDescent="0.25">
      <c r="A1" s="33"/>
      <c r="B1" s="35"/>
      <c r="C1" s="35"/>
      <c r="D1" s="35"/>
      <c r="F1" s="34"/>
      <c r="G1" s="9"/>
      <c r="H1" s="9"/>
      <c r="I1" s="10"/>
      <c r="J1" s="9"/>
      <c r="K1" s="9"/>
      <c r="L1" s="9"/>
      <c r="M1" s="9"/>
      <c r="N1" s="9"/>
      <c r="O1" s="9"/>
      <c r="P1" s="9"/>
    </row>
    <row r="2" spans="1:225" s="52" customFormat="1" ht="24.95" customHeight="1" x14ac:dyDescent="0.2">
      <c r="A2" s="36"/>
      <c r="B2" s="194" t="s">
        <v>48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4"/>
      <c r="S2" s="74"/>
      <c r="T2" s="74"/>
      <c r="U2" s="74"/>
      <c r="V2" s="74"/>
      <c r="W2" s="74"/>
      <c r="X2" s="74"/>
      <c r="Y2" s="74"/>
      <c r="Z2" s="74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51"/>
      <c r="CG2" s="51"/>
      <c r="CH2" s="51"/>
      <c r="CI2" s="51"/>
      <c r="CJ2" s="51"/>
      <c r="CK2" s="51"/>
      <c r="CL2" s="51"/>
      <c r="CM2" s="51"/>
      <c r="CN2" s="51"/>
      <c r="CO2" s="51"/>
      <c r="CP2" s="51"/>
      <c r="CQ2" s="51"/>
      <c r="CR2" s="51"/>
      <c r="CS2" s="51"/>
      <c r="CT2" s="51"/>
      <c r="CU2" s="51"/>
      <c r="CV2" s="51"/>
      <c r="CW2" s="51"/>
      <c r="CX2" s="51"/>
      <c r="CY2" s="51"/>
      <c r="CZ2" s="51"/>
      <c r="DA2" s="51"/>
      <c r="DB2" s="51"/>
      <c r="DC2" s="51"/>
      <c r="DD2" s="51"/>
      <c r="DE2" s="51"/>
      <c r="DF2" s="51"/>
      <c r="DG2" s="51"/>
      <c r="DH2" s="51"/>
      <c r="DI2" s="51"/>
      <c r="DJ2" s="51"/>
      <c r="DK2" s="51"/>
      <c r="DL2" s="51"/>
      <c r="DM2" s="51"/>
      <c r="DN2" s="51"/>
      <c r="DO2" s="51"/>
      <c r="DP2" s="51"/>
      <c r="DQ2" s="51"/>
      <c r="DR2" s="51"/>
      <c r="DS2" s="51"/>
      <c r="DT2" s="51"/>
      <c r="DU2" s="51"/>
      <c r="DV2" s="51"/>
      <c r="DW2" s="51"/>
      <c r="DX2" s="51"/>
      <c r="DY2" s="51"/>
      <c r="DZ2" s="51"/>
      <c r="EA2" s="51"/>
      <c r="EB2" s="51"/>
      <c r="EC2" s="51"/>
      <c r="ED2" s="51"/>
      <c r="EE2" s="51"/>
      <c r="EF2" s="51"/>
      <c r="EG2" s="51"/>
      <c r="EH2" s="51"/>
      <c r="EI2" s="51"/>
      <c r="EJ2" s="51"/>
      <c r="EK2" s="51"/>
      <c r="EL2" s="51"/>
      <c r="EM2" s="51"/>
      <c r="EN2" s="51"/>
      <c r="EO2" s="51"/>
      <c r="EP2" s="51"/>
      <c r="EQ2" s="51"/>
      <c r="ER2" s="51"/>
      <c r="ES2" s="51"/>
      <c r="ET2" s="51"/>
      <c r="EU2" s="51"/>
      <c r="EV2" s="51"/>
      <c r="EW2" s="51"/>
      <c r="EX2" s="51"/>
      <c r="EY2" s="51"/>
      <c r="EZ2" s="51"/>
      <c r="FA2" s="51"/>
      <c r="FB2" s="51"/>
      <c r="FC2" s="51"/>
      <c r="FD2" s="51"/>
      <c r="FE2" s="51"/>
      <c r="FF2" s="51"/>
      <c r="FG2" s="51"/>
      <c r="FH2" s="51"/>
      <c r="FI2" s="51"/>
      <c r="FJ2" s="51"/>
      <c r="FK2" s="51"/>
      <c r="FL2" s="51"/>
      <c r="FM2" s="51"/>
      <c r="FN2" s="51"/>
      <c r="FO2" s="51"/>
      <c r="FP2" s="51"/>
      <c r="FQ2" s="51"/>
      <c r="FR2" s="51"/>
      <c r="FS2" s="51"/>
      <c r="FT2" s="51"/>
      <c r="FU2" s="51"/>
      <c r="FV2" s="51"/>
      <c r="FW2" s="51"/>
      <c r="FX2" s="51"/>
      <c r="FY2" s="51"/>
      <c r="FZ2" s="51"/>
      <c r="GA2" s="51"/>
      <c r="GB2" s="51"/>
      <c r="GC2" s="51"/>
      <c r="GD2" s="51"/>
      <c r="GE2" s="51"/>
      <c r="GF2" s="51"/>
      <c r="GG2" s="51"/>
      <c r="GH2" s="51"/>
      <c r="GI2" s="51"/>
      <c r="GJ2" s="51"/>
      <c r="GK2" s="51"/>
      <c r="GL2" s="51"/>
      <c r="GM2" s="51"/>
      <c r="GN2" s="51"/>
      <c r="GO2" s="51"/>
      <c r="GP2" s="51"/>
      <c r="GQ2" s="51"/>
      <c r="GR2" s="51"/>
      <c r="GS2" s="51"/>
      <c r="GT2" s="51"/>
      <c r="GU2" s="51"/>
      <c r="GV2" s="51"/>
      <c r="GW2" s="51"/>
      <c r="GX2" s="51"/>
      <c r="GY2" s="51"/>
      <c r="GZ2" s="51"/>
      <c r="HA2" s="51"/>
      <c r="HB2" s="51"/>
      <c r="HC2" s="51"/>
      <c r="HD2" s="51"/>
      <c r="HE2" s="51"/>
      <c r="HF2" s="51"/>
      <c r="HG2" s="51"/>
      <c r="HH2" s="51"/>
      <c r="HI2" s="51"/>
      <c r="HJ2" s="51"/>
      <c r="HK2" s="51"/>
      <c r="HL2" s="51"/>
      <c r="HM2" s="51"/>
      <c r="HN2" s="51"/>
      <c r="HO2" s="51"/>
      <c r="HP2" s="51"/>
      <c r="HQ2" s="51"/>
    </row>
    <row r="3" spans="1:225" s="52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4"/>
      <c r="S3" s="74"/>
      <c r="T3" s="74"/>
      <c r="U3" s="74"/>
      <c r="V3" s="74"/>
      <c r="W3" s="74"/>
      <c r="X3" s="74"/>
      <c r="Y3" s="74"/>
      <c r="Z3" s="74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1"/>
      <c r="BC3" s="51"/>
      <c r="BD3" s="51"/>
      <c r="BE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  <c r="CO3" s="51"/>
      <c r="CP3" s="51"/>
      <c r="CQ3" s="51"/>
      <c r="CR3" s="51"/>
      <c r="CS3" s="51"/>
      <c r="CT3" s="51"/>
      <c r="CU3" s="51"/>
      <c r="CV3" s="51"/>
      <c r="CW3" s="51"/>
      <c r="CX3" s="51"/>
      <c r="CY3" s="51"/>
      <c r="CZ3" s="51"/>
      <c r="DA3" s="51"/>
      <c r="DB3" s="51"/>
      <c r="DC3" s="51"/>
      <c r="DD3" s="51"/>
      <c r="DE3" s="51"/>
      <c r="DF3" s="51"/>
      <c r="DG3" s="51"/>
      <c r="DH3" s="51"/>
      <c r="DI3" s="51"/>
      <c r="DJ3" s="51"/>
      <c r="DK3" s="51"/>
      <c r="DL3" s="51"/>
      <c r="DM3" s="51"/>
      <c r="DN3" s="51"/>
      <c r="DO3" s="51"/>
      <c r="DP3" s="51"/>
      <c r="DQ3" s="51"/>
      <c r="DR3" s="51"/>
      <c r="DS3" s="51"/>
      <c r="DT3" s="51"/>
      <c r="DU3" s="51"/>
      <c r="DV3" s="51"/>
      <c r="DW3" s="51"/>
      <c r="DX3" s="51"/>
      <c r="DY3" s="51"/>
      <c r="DZ3" s="51"/>
      <c r="EA3" s="51"/>
      <c r="EB3" s="51"/>
      <c r="EC3" s="51"/>
      <c r="ED3" s="51"/>
      <c r="EE3" s="51"/>
      <c r="EF3" s="51"/>
      <c r="EG3" s="51"/>
      <c r="EH3" s="51"/>
      <c r="EI3" s="51"/>
      <c r="EJ3" s="51"/>
      <c r="EK3" s="51"/>
      <c r="EL3" s="51"/>
      <c r="EM3" s="51"/>
      <c r="EN3" s="51"/>
      <c r="EO3" s="51"/>
      <c r="EP3" s="51"/>
      <c r="EQ3" s="51"/>
      <c r="ER3" s="51"/>
      <c r="ES3" s="51"/>
      <c r="ET3" s="51"/>
      <c r="EU3" s="51"/>
      <c r="EV3" s="51"/>
      <c r="EW3" s="51"/>
      <c r="EX3" s="51"/>
      <c r="EY3" s="51"/>
      <c r="EZ3" s="51"/>
      <c r="FA3" s="51"/>
      <c r="FB3" s="51"/>
      <c r="FC3" s="51"/>
      <c r="FD3" s="51"/>
      <c r="FE3" s="51"/>
      <c r="FF3" s="51"/>
      <c r="FG3" s="51"/>
      <c r="FH3" s="51"/>
      <c r="FI3" s="51"/>
      <c r="FJ3" s="51"/>
      <c r="FK3" s="51"/>
      <c r="FL3" s="51"/>
      <c r="FM3" s="51"/>
      <c r="FN3" s="51"/>
      <c r="FO3" s="51"/>
      <c r="FP3" s="51"/>
      <c r="FQ3" s="51"/>
      <c r="FR3" s="51"/>
      <c r="FS3" s="51"/>
      <c r="FT3" s="51"/>
      <c r="FU3" s="51"/>
      <c r="FV3" s="51"/>
      <c r="FW3" s="51"/>
      <c r="FX3" s="51"/>
      <c r="FY3" s="51"/>
      <c r="FZ3" s="51"/>
      <c r="GA3" s="51"/>
      <c r="GB3" s="51"/>
      <c r="GC3" s="51"/>
      <c r="GD3" s="51"/>
      <c r="GE3" s="51"/>
      <c r="GF3" s="51"/>
      <c r="GG3" s="51"/>
      <c r="GH3" s="51"/>
      <c r="GI3" s="51"/>
      <c r="GJ3" s="51"/>
      <c r="GK3" s="51"/>
      <c r="GL3" s="51"/>
      <c r="GM3" s="51"/>
      <c r="GN3" s="51"/>
      <c r="GO3" s="51"/>
      <c r="GP3" s="51"/>
      <c r="GQ3" s="51"/>
      <c r="GR3" s="51"/>
      <c r="GS3" s="51"/>
      <c r="GT3" s="51"/>
      <c r="GU3" s="51"/>
      <c r="GV3" s="51"/>
      <c r="GW3" s="51"/>
      <c r="GX3" s="51"/>
      <c r="GY3" s="51"/>
      <c r="GZ3" s="51"/>
      <c r="HA3" s="51"/>
      <c r="HB3" s="51"/>
      <c r="HC3" s="51"/>
      <c r="HD3" s="51"/>
      <c r="HE3" s="51"/>
      <c r="HF3" s="51"/>
      <c r="HG3" s="51"/>
      <c r="HH3" s="51"/>
      <c r="HI3" s="51"/>
      <c r="HJ3" s="51"/>
      <c r="HK3" s="51"/>
      <c r="HL3" s="51"/>
      <c r="HM3" s="51"/>
      <c r="HN3" s="51"/>
      <c r="HO3" s="51"/>
      <c r="HP3" s="51"/>
      <c r="HQ3" s="51"/>
    </row>
    <row r="4" spans="1:225" s="52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4"/>
      <c r="T4" s="74"/>
      <c r="U4" s="74"/>
      <c r="V4" s="74"/>
      <c r="W4" s="74"/>
      <c r="X4" s="74"/>
      <c r="Y4" s="74"/>
      <c r="Z4" s="74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51"/>
      <c r="CU4" s="51"/>
      <c r="CV4" s="51"/>
      <c r="CW4" s="51"/>
      <c r="CX4" s="51"/>
      <c r="CY4" s="51"/>
      <c r="CZ4" s="51"/>
      <c r="DA4" s="51"/>
      <c r="DB4" s="51"/>
      <c r="DC4" s="51"/>
      <c r="DD4" s="51"/>
      <c r="DE4" s="51"/>
      <c r="DF4" s="51"/>
      <c r="DG4" s="51"/>
      <c r="DH4" s="51"/>
      <c r="DI4" s="51"/>
      <c r="DJ4" s="51"/>
      <c r="DK4" s="51"/>
      <c r="DL4" s="51"/>
      <c r="DM4" s="51"/>
      <c r="DN4" s="51"/>
      <c r="DO4" s="51"/>
      <c r="DP4" s="51"/>
      <c r="DQ4" s="51"/>
      <c r="DR4" s="51"/>
      <c r="DS4" s="51"/>
      <c r="DT4" s="51"/>
      <c r="DU4" s="51"/>
      <c r="DV4" s="51"/>
      <c r="DW4" s="51"/>
      <c r="DX4" s="51"/>
      <c r="DY4" s="51"/>
      <c r="DZ4" s="51"/>
      <c r="EA4" s="51"/>
      <c r="EB4" s="51"/>
      <c r="EC4" s="51"/>
      <c r="ED4" s="51"/>
      <c r="EE4" s="51"/>
      <c r="EF4" s="51"/>
      <c r="EG4" s="51"/>
      <c r="EH4" s="51"/>
      <c r="EI4" s="51"/>
      <c r="EJ4" s="51"/>
      <c r="EK4" s="51"/>
      <c r="EL4" s="51"/>
      <c r="EM4" s="51"/>
      <c r="EN4" s="51"/>
      <c r="EO4" s="51"/>
      <c r="EP4" s="51"/>
      <c r="EQ4" s="51"/>
      <c r="ER4" s="51"/>
      <c r="ES4" s="51"/>
      <c r="ET4" s="51"/>
      <c r="EU4" s="51"/>
      <c r="EV4" s="51"/>
      <c r="EW4" s="51"/>
      <c r="EX4" s="51"/>
      <c r="EY4" s="51"/>
      <c r="EZ4" s="51"/>
      <c r="FA4" s="51"/>
      <c r="FB4" s="51"/>
      <c r="FC4" s="51"/>
      <c r="FD4" s="51"/>
      <c r="FE4" s="51"/>
      <c r="FF4" s="51"/>
      <c r="FG4" s="51"/>
      <c r="FH4" s="51"/>
      <c r="FI4" s="51"/>
      <c r="FJ4" s="51"/>
      <c r="FK4" s="51"/>
      <c r="FL4" s="51"/>
      <c r="FM4" s="51"/>
      <c r="FN4" s="51"/>
      <c r="FO4" s="51"/>
      <c r="FP4" s="51"/>
      <c r="FQ4" s="51"/>
      <c r="FR4" s="51"/>
      <c r="FS4" s="51"/>
      <c r="FT4" s="51"/>
      <c r="FU4" s="51"/>
      <c r="FV4" s="51"/>
      <c r="FW4" s="51"/>
      <c r="FX4" s="51"/>
      <c r="FY4" s="51"/>
      <c r="FZ4" s="51"/>
      <c r="GA4" s="51"/>
      <c r="GB4" s="51"/>
      <c r="GC4" s="51"/>
      <c r="GD4" s="51"/>
      <c r="GE4" s="51"/>
      <c r="GF4" s="51"/>
      <c r="GG4" s="51"/>
      <c r="GH4" s="51"/>
      <c r="GI4" s="51"/>
      <c r="GJ4" s="51"/>
      <c r="GK4" s="51"/>
      <c r="GL4" s="51"/>
      <c r="GM4" s="51"/>
      <c r="GN4" s="51"/>
      <c r="GO4" s="51"/>
      <c r="GP4" s="51"/>
      <c r="GQ4" s="51"/>
      <c r="GR4" s="51"/>
      <c r="GS4" s="51"/>
      <c r="GT4" s="51"/>
      <c r="GU4" s="51"/>
      <c r="GV4" s="51"/>
      <c r="GW4" s="51"/>
      <c r="GX4" s="51"/>
      <c r="GY4" s="51"/>
      <c r="GZ4" s="51"/>
      <c r="HA4" s="51"/>
      <c r="HB4" s="51"/>
      <c r="HC4" s="51"/>
      <c r="HD4" s="51"/>
      <c r="HE4" s="51"/>
      <c r="HF4" s="51"/>
      <c r="HG4" s="51"/>
      <c r="HH4" s="51"/>
      <c r="HI4" s="51"/>
      <c r="HJ4" s="51"/>
      <c r="HK4" s="51"/>
      <c r="HL4" s="51"/>
      <c r="HM4" s="51"/>
      <c r="HN4" s="51"/>
      <c r="HO4" s="51"/>
      <c r="HP4" s="51"/>
      <c r="HQ4" s="51"/>
    </row>
    <row r="5" spans="1:225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  <c r="R5" s="75"/>
      <c r="S5" s="75"/>
    </row>
    <row r="6" spans="1:225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  <c r="R6" s="75"/>
      <c r="S6" s="75"/>
    </row>
    <row r="7" spans="1:225" ht="24.95" customHeight="1" thickBot="1" x14ac:dyDescent="0.25">
      <c r="A7" s="19"/>
      <c r="B7" s="22">
        <f>(COUNTIF('2S EXPRESS'!$A$7:$A$50,'INSTANCE C2'!A7))+(COUNTIF('2 ZT'!$A$7:$A$50,'INSTANCE C2'!A7))+(COUNTIF('GO TRANSPORT'!$A$7:$A$50,'INSTANCE C2'!A7))+(COUNTIF('HMZ - KAIS'!$A$7:$A$50,'INSTANCE C2'!A7))+(COUNTIF('IB TRANSPORT'!$A$7:$A$50,'INSTANCE C2'!A7))+(COUNTIF(JSL!$A$7:$A$50,'INSTANCE C2'!A7))+(COUNTIF(KIFAITOUT!$A$7:$A$50,'INSTANCE C2'!A7))+(COUNTIF('LUXE DRIVE'!$A$7:$A$50,'INSTANCE C2'!A7))+(COUNTIF(SSN!$A$7:$A$50,'INSTANCE C2'!A7))+(COUNTIF('W3'!$A$7:$A$50,'INSTANCE C2'!A7))+(COUNTIF('ATHIS MONS'!$A$7:$A$50,'INSTANCE C2'!A7))+(COUNTIF('L HAY LES ROSES'!$A$7:$A$50,'INSTANCE C2'!A7))+(COUNTIF(RUNGIS!$A$7:$A$50,'INSTANCE C2'!A7))+(COUNTIF(SCEAUX!$A$7:$A$50,'INSTANCE C2'!A7))+(COUNTIF('INSTANCE C1'!$A$7:$A$50,'INSTANCE C2'!A7))+(COUNTIF('INSTANCE C2'!$A$7:$A$50,'INSTANCE C2'!A7))+(COUNTIF(INTERNES!$A$7:$A$50,'INSTANCE C2'!A7))+(COUNTIF('EN PANNE'!$A$7:$A$50,'INSTANCE C2'!A7))-C7</f>
        <v>0</v>
      </c>
      <c r="C7" s="23">
        <f>(COUNTIF('2S EXPRESS'!$G$7:$G$50,'INSTANCE C2'!A7))+(COUNTIF('2 ZT'!$G$7:$G$50,'INSTANCE C2'!A7))+(COUNTIF('GO TRANSPORT'!$G$7:$G$50,'INSTANCE C2'!A7))+(COUNTIF('INSTANCE C2'!$G$7:$G$50,'INSTANCE C2'!A7))+(COUNTIF('IB TRANSPORT'!$G$7:$G$50,'INSTANCE C2'!A7))+(COUNTIF(JSL!$G$7:$G$50,'INSTANCE C2'!A7))+(COUNTIF(KIFAITOUT!$G$7:$G$50,'INSTANCE C2'!A7))+(COUNTIF('LUXE DRIVE'!$G$7:$G$50,'INSTANCE C2'!A7))+(COUNTIF(SSN!$G$7:$G$50,'INSTANCE C2'!A7))+(COUNTIF('W3'!$G$7:$G$50,'INSTANCE C2'!A7))+(COUNTIF('ATHIS MONS'!$G$7:$G$50,'INSTANCE C2'!A7))+(COUNTIF('L HAY LES ROSES'!$G$7:$G$50,'INSTANCE C2'!A7))+(COUNTIF(RUNGIS!$G$7:$G$50,'INSTANCE C2'!A7))+(COUNTIF(SCEAUX!$G$7:$G$50,'INSTANCE C2'!A7))+(COUNTIF('INSTANCE C1'!$G$7:$G$50,'INSTANCE C2'!A7))+(COUNTIF('INSTANCE C2'!$G$7:$G$50,'INSTANCE C2'!A7))+(COUNTIF(INTERNES!$G$7:$G$50,'INSTANCE C2'!A7))+(COUNTIF('EN PANNE'!$G$7:$G$50,'INSTANCE C2'!A7))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EXPRESS'!$G$7:$G$50,'INSTANCE C2'!G7))+(COUNTIF('2 ZT'!$G$7:$G$50,'INSTANCE C2'!G7))+(COUNTIF('GO TRANSPORT'!$G$7:$G$50,'INSTANCE C2'!G7))+(COUNTIF('HMZ - KAIS'!$G$7:$G$50,'INSTANCE C2'!G7))+(COUNTIF('IB TRANSPORT'!$G$7:$G$50,'INSTANCE C2'!G7))+(COUNTIF(JSL!$G$7:$G$50,'INSTANCE C2'!G7))+(COUNTIF(KIFAITOUT!$G$7:$G$50,'INSTANCE C2'!G7))+(COUNTIF('LUXE DRIVE'!$G$7:$G$50,'INSTANCE C2'!G7))+(COUNTIF(SSN!$G$7:$G$50,'INSTANCE C2'!G7))+(COUNTIF('W3'!$G$7:$G$50,'INSTANCE C2'!G7))+(COUNTIF('ATHIS MONS'!$G$7:$G$50,'INSTANCE C2'!G7))+(COUNTIF('L HAY LES ROSES'!$G$7:$G$50,'INSTANCE C2'!G7))+(COUNTIF(RUNGIS!$G$7:$G$50,'INSTANCE C2'!G7))+(COUNTIF(SCEAUX!$G$7:$G$50,'INSTANCE C2'!G7))+(COUNTIF('INSTANCE C1'!$G$7:$G$50,'INSTANCE C2'!G7))+(COUNTIF('INSTANCE C2'!$G$7:$G$50,'INSTANCE C2'!G7))+(COUNTIF(INTERNES!$G$7:$G$50,'INSTANCE C2'!G7))+(COUNTIF('EN PANNE'!$G$7:$G$50,'INSTANCE C2'!G7))-I7</f>
        <v>0</v>
      </c>
      <c r="I7" s="22">
        <f>(COUNTIF('2S EXPRESS'!$A$7:$A$50,'INSTANCE C2'!G7))+(COUNTIF('2 ZT'!$A$7:$A$50,'INSTANCE C2'!G7))+(COUNTIF('GO TRANSPORT'!$A$7:$A$50,'INSTANCE C2'!G7))+(COUNTIF('HMZ - KAIS'!$A$7:$A$50,'INSTANCE C2'!G7))+(COUNTIF('IB TRANSPORT'!$A$7:$A$50,'INSTANCE C2'!G7))+(COUNTIF(JSL!$A$7:$A$50,'INSTANCE C2'!G7))+(COUNTIF(KIFAITOUT!$A$7:$A$50,'INSTANCE C2'!G7))+(COUNTIF('LUXE DRIVE'!$A$7:$A$50,'INSTANCE C2'!G7))+(COUNTIF(SSN!$A$7:$A$50,'INSTANCE C2'!G7))+(COUNTIF('W3'!$A$7:$A$50,'INSTANCE C2'!G7))+(COUNTIF('ATHIS MONS'!$A$7:$A$50,'INSTANCE C2'!G7))+(COUNTIF('L HAY LES ROSES'!$A$7:$A$50,'INSTANCE C2'!G7))+(COUNTIF(RUNGIS!$A$7:$A$50,'INSTANCE C2'!G7))+(COUNTIF(SCEAUX!$A$7:$A$50,'INSTANCE C2'!G7))+(COUNTIF('INSTANCE C1'!$A$7:$A$50,'INSTANCE C2'!G7))+(COUNTIF('INSTANCE C2'!$A$7:$A$50,'INSTANCE C2'!G7))+(COUNTIF(INTERNES!$A$7:$A$50,'INSTANCE C2'!G7))+(COUNTIF('EN PANNE'!$A$7:$A$50,'INSTANCE C2'!G7))</f>
        <v>0</v>
      </c>
      <c r="J7" s="27">
        <f>IF(H7&gt;=2,1,0)</f>
        <v>0</v>
      </c>
      <c r="K7" s="1"/>
      <c r="L7" s="47"/>
      <c r="M7" s="48"/>
      <c r="N7" s="9"/>
      <c r="O7" s="48"/>
      <c r="P7" s="48"/>
      <c r="Q7" s="48"/>
      <c r="R7" s="75"/>
      <c r="S7" s="60">
        <f t="shared" ref="S7:S50" si="1">COUNTIF($G$7:$G$50,$A7)</f>
        <v>0</v>
      </c>
      <c r="T7" s="67">
        <f t="shared" ref="T7:T50" si="2">IF($S7=1,"",$A7)</f>
        <v>0</v>
      </c>
    </row>
    <row r="8" spans="1:225" ht="24.95" customHeight="1" thickBot="1" x14ac:dyDescent="0.25">
      <c r="A8" s="20"/>
      <c r="B8" s="23">
        <f>(COUNTIF('2S EXPRESS'!$A$7:$A$50,'INSTANCE C2'!A8))+(COUNTIF('2 ZT'!$A$7:$A$50,'INSTANCE C2'!A8))+(COUNTIF('GO TRANSPORT'!$A$7:$A$50,'INSTANCE C2'!A8))+(COUNTIF('HMZ - KAIS'!$A$7:$A$50,'INSTANCE C2'!A8))+(COUNTIF('IB TRANSPORT'!$A$7:$A$50,'INSTANCE C2'!A8))+(COUNTIF(JSL!$A$7:$A$50,'INSTANCE C2'!A8))+(COUNTIF(KIFAITOUT!$A$7:$A$50,'INSTANCE C2'!A8))+(COUNTIF('LUXE DRIVE'!$A$7:$A$50,'INSTANCE C2'!A8))+(COUNTIF(SSN!$A$7:$A$50,'INSTANCE C2'!A8))+(COUNTIF('W3'!$A$7:$A$50,'INSTANCE C2'!A8))+(COUNTIF('ATHIS MONS'!$A$7:$A$50,'INSTANCE C2'!A8))+(COUNTIF('L HAY LES ROSES'!$A$7:$A$50,'INSTANCE C2'!A8))+(COUNTIF(RUNGIS!$A$7:$A$50,'INSTANCE C2'!A8))+(COUNTIF(SCEAUX!$A$7:$A$50,'INSTANCE C2'!A8))+(COUNTIF('INSTANCE C1'!$A$7:$A$50,'INSTANCE C2'!A8))+(COUNTIF('INSTANCE C2'!$A$7:$A$50,'INSTANCE C2'!A8))+(COUNTIF(INTERNES!$A$7:$A$50,'INSTANCE C2'!A8))+(COUNTIF('EN PANNE'!$A$7:$A$50,'INSTANCE C2'!A8))-C8</f>
        <v>0</v>
      </c>
      <c r="C8" s="23">
        <f>(COUNTIF('2S EXPRESS'!$G$7:$G$50,'INSTANCE C2'!A8))+(COUNTIF('2 ZT'!$G$7:$G$50,'INSTANCE C2'!A8))+(COUNTIF('GO TRANSPORT'!$G$7:$G$50,'INSTANCE C2'!A8))+(COUNTIF('INSTANCE C2'!$G$7:$G$50,'INSTANCE C2'!A8))+(COUNTIF('IB TRANSPORT'!$G$7:$G$50,'INSTANCE C2'!A8))+(COUNTIF(JSL!$G$7:$G$50,'INSTANCE C2'!A8))+(COUNTIF(KIFAITOUT!$G$7:$G$50,'INSTANCE C2'!A8))+(COUNTIF('LUXE DRIVE'!$G$7:$G$50,'INSTANCE C2'!A8))+(COUNTIF(SSN!$G$7:$G$50,'INSTANCE C2'!A8))+(COUNTIF('W3'!$G$7:$G$50,'INSTANCE C2'!A8))+(COUNTIF('ATHIS MONS'!$G$7:$G$50,'INSTANCE C2'!A8))+(COUNTIF('L HAY LES ROSES'!$G$7:$G$50,'INSTANCE C2'!A8))+(COUNTIF(RUNGIS!$G$7:$G$50,'INSTANCE C2'!A8))+(COUNTIF(SCEAUX!$G$7:$G$50,'INSTANCE C2'!A8))+(COUNTIF('INSTANCE C1'!$G$7:$G$50,'INSTANCE C2'!A8))+(COUNTIF('INSTANCE C2'!$G$7:$G$50,'INSTANCE C2'!A8))+(COUNTIF(INTERNES!$G$7:$G$50,'INSTANCE C2'!A8))+(COUNTIF('EN PANNE'!$G$7:$G$50,'INSTANCE C2'!A8))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EXPRESS'!$G$7:$G$50,'INSTANCE C2'!G8))+(COUNTIF('2 ZT'!$G$7:$G$50,'INSTANCE C2'!G8))+(COUNTIF('GO TRANSPORT'!$G$7:$G$50,'INSTANCE C2'!G8))+(COUNTIF('HMZ - KAIS'!$G$7:$G$50,'INSTANCE C2'!G8))+(COUNTIF('IB TRANSPORT'!$G$7:$G$50,'INSTANCE C2'!G8))+(COUNTIF(JSL!$G$7:$G$50,'INSTANCE C2'!G8))+(COUNTIF(KIFAITOUT!$G$7:$G$50,'INSTANCE C2'!G8))+(COUNTIF('LUXE DRIVE'!$G$7:$G$50,'INSTANCE C2'!G8))+(COUNTIF(SSN!$G$7:$G$50,'INSTANCE C2'!G8))+(COUNTIF('W3'!$G$7:$G$50,'INSTANCE C2'!G8))+(COUNTIF('ATHIS MONS'!$G$7:$G$50,'INSTANCE C2'!G8))+(COUNTIF('L HAY LES ROSES'!$G$7:$G$50,'INSTANCE C2'!G8))+(COUNTIF(RUNGIS!$G$7:$G$50,'INSTANCE C2'!G8))+(COUNTIF(SCEAUX!$G$7:$G$50,'INSTANCE C2'!G8))+(COUNTIF('INSTANCE C1'!$G$7:$G$50,'INSTANCE C2'!G8))+(COUNTIF('INSTANCE C2'!$G$7:$G$50,'INSTANCE C2'!G8))+(COUNTIF(INTERNES!$G$7:$G$50,'INSTANCE C2'!G8))+(COUNTIF('EN PANNE'!$G$7:$G$50,'INSTANCE C2'!G8))-I8</f>
        <v>0</v>
      </c>
      <c r="I8" s="23">
        <f>(COUNTIF('2S EXPRESS'!$A$7:$A$50,'INSTANCE C2'!G8))+(COUNTIF('2 ZT'!$A$7:$A$50,'INSTANCE C2'!G8))+(COUNTIF('GO TRANSPORT'!$A$7:$A$50,'INSTANCE C2'!G8))+(COUNTIF('HMZ - KAIS'!$A$7:$A$50,'INSTANCE C2'!G8))+(COUNTIF('IB TRANSPORT'!$A$7:$A$50,'INSTANCE C2'!G8))+(COUNTIF(JSL!$A$7:$A$50,'INSTANCE C2'!G8))+(COUNTIF(KIFAITOUT!$A$7:$A$50,'INSTANCE C2'!G8))+(COUNTIF('LUXE DRIVE'!$A$7:$A$50,'INSTANCE C2'!G8))+(COUNTIF(SSN!$A$7:$A$50,'INSTANCE C2'!G8))+(COUNTIF('W3'!$A$7:$A$50,'INSTANCE C2'!G8))+(COUNTIF('ATHIS MONS'!$A$7:$A$50,'INSTANCE C2'!G8))+(COUNTIF('L HAY LES ROSES'!$A$7:$A$50,'INSTANCE C2'!G8))+(COUNTIF(RUNGIS!$A$7:$A$50,'INSTANCE C2'!G8))+(COUNTIF(SCEAUX!$A$7:$A$50,'INSTANCE C2'!G8))+(COUNTIF('INSTANCE C1'!$A$7:$A$50,'INSTANCE C2'!G8))+(COUNTIF('INSTANCE C2'!$A$7:$A$50,'INSTANCE C2'!G8))+(COUNTIF(INTERNES!$A$7:$A$50,'INSTANCE C2'!G8))+(COUNTIF('EN PANNE'!$A$7:$A$50,'INSTANCE C2'!G8))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75"/>
      <c r="S8" s="60">
        <f t="shared" si="1"/>
        <v>0</v>
      </c>
      <c r="T8" s="67">
        <f t="shared" si="2"/>
        <v>0</v>
      </c>
    </row>
    <row r="9" spans="1:225" ht="24.95" customHeight="1" thickBot="1" x14ac:dyDescent="0.25">
      <c r="A9" s="20"/>
      <c r="B9" s="23">
        <f>(COUNTIF('2S EXPRESS'!$A$7:$A$50,'INSTANCE C2'!A9))+(COUNTIF('2 ZT'!$A$7:$A$50,'INSTANCE C2'!A9))+(COUNTIF('GO TRANSPORT'!$A$7:$A$50,'INSTANCE C2'!A9))+(COUNTIF('HMZ - KAIS'!$A$7:$A$50,'INSTANCE C2'!A9))+(COUNTIF('IB TRANSPORT'!$A$7:$A$50,'INSTANCE C2'!A9))+(COUNTIF(JSL!$A$7:$A$50,'INSTANCE C2'!A9))+(COUNTIF(KIFAITOUT!$A$7:$A$50,'INSTANCE C2'!A9))+(COUNTIF('LUXE DRIVE'!$A$7:$A$50,'INSTANCE C2'!A9))+(COUNTIF(SSN!$A$7:$A$50,'INSTANCE C2'!A9))+(COUNTIF('W3'!$A$7:$A$50,'INSTANCE C2'!A9))+(COUNTIF('ATHIS MONS'!$A$7:$A$50,'INSTANCE C2'!A9))+(COUNTIF('L HAY LES ROSES'!$A$7:$A$50,'INSTANCE C2'!A9))+(COUNTIF(RUNGIS!$A$7:$A$50,'INSTANCE C2'!A9))+(COUNTIF(SCEAUX!$A$7:$A$50,'INSTANCE C2'!A9))+(COUNTIF('INSTANCE C1'!$A$7:$A$50,'INSTANCE C2'!A9))+(COUNTIF('INSTANCE C2'!$A$7:$A$50,'INSTANCE C2'!A9))+(COUNTIF(INTERNES!$A$7:$A$50,'INSTANCE C2'!A9))+(COUNTIF('EN PANNE'!$A$7:$A$50,'INSTANCE C2'!A9))-C9</f>
        <v>0</v>
      </c>
      <c r="C9" s="23">
        <f>(COUNTIF('2S EXPRESS'!$G$7:$G$50,'INSTANCE C2'!A9))+(COUNTIF('2 ZT'!$G$7:$G$50,'INSTANCE C2'!A9))+(COUNTIF('GO TRANSPORT'!$G$7:$G$50,'INSTANCE C2'!A9))+(COUNTIF('INSTANCE C2'!$G$7:$G$50,'INSTANCE C2'!A9))+(COUNTIF('IB TRANSPORT'!$G$7:$G$50,'INSTANCE C2'!A9))+(COUNTIF(JSL!$G$7:$G$50,'INSTANCE C2'!A9))+(COUNTIF(KIFAITOUT!$G$7:$G$50,'INSTANCE C2'!A9))+(COUNTIF('LUXE DRIVE'!$G$7:$G$50,'INSTANCE C2'!A9))+(COUNTIF(SSN!$G$7:$G$50,'INSTANCE C2'!A9))+(COUNTIF('W3'!$G$7:$G$50,'INSTANCE C2'!A9))+(COUNTIF('ATHIS MONS'!$G$7:$G$50,'INSTANCE C2'!A9))+(COUNTIF('L HAY LES ROSES'!$G$7:$G$50,'INSTANCE C2'!A9))+(COUNTIF(RUNGIS!$G$7:$G$50,'INSTANCE C2'!A9))+(COUNTIF(SCEAUX!$G$7:$G$50,'INSTANCE C2'!A9))+(COUNTIF('INSTANCE C1'!$G$7:$G$50,'INSTANCE C2'!A9))+(COUNTIF('INSTANCE C2'!$G$7:$G$50,'INSTANCE C2'!A9))+(COUNTIF(INTERNES!$G$7:$G$50,'INSTANCE C2'!A9))+(COUNTIF('EN PANNE'!$G$7:$G$50,'INSTANCE C2'!A9))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EXPRESS'!$G$7:$G$50,'INSTANCE C2'!G9))+(COUNTIF('2 ZT'!$G$7:$G$50,'INSTANCE C2'!G9))+(COUNTIF('GO TRANSPORT'!$G$7:$G$50,'INSTANCE C2'!G9))+(COUNTIF('HMZ - KAIS'!$G$7:$G$50,'INSTANCE C2'!G9))+(COUNTIF('IB TRANSPORT'!$G$7:$G$50,'INSTANCE C2'!G9))+(COUNTIF(JSL!$G$7:$G$50,'INSTANCE C2'!G9))+(COUNTIF(KIFAITOUT!$G$7:$G$50,'INSTANCE C2'!G9))+(COUNTIF('LUXE DRIVE'!$G$7:$G$50,'INSTANCE C2'!G9))+(COUNTIF(SSN!$G$7:$G$50,'INSTANCE C2'!G9))+(COUNTIF('W3'!$G$7:$G$50,'INSTANCE C2'!G9))+(COUNTIF('ATHIS MONS'!$G$7:$G$50,'INSTANCE C2'!G9))+(COUNTIF('L HAY LES ROSES'!$G$7:$G$50,'INSTANCE C2'!G9))+(COUNTIF(RUNGIS!$G$7:$G$50,'INSTANCE C2'!G9))+(COUNTIF(SCEAUX!$G$7:$G$50,'INSTANCE C2'!G9))+(COUNTIF('INSTANCE C1'!$G$7:$G$50,'INSTANCE C2'!G9))+(COUNTIF('INSTANCE C2'!$G$7:$G$50,'INSTANCE C2'!G9))+(COUNTIF(INTERNES!$G$7:$G$50,'INSTANCE C2'!G9))+(COUNTIF('EN PANNE'!$G$7:$G$50,'INSTANCE C2'!G9))-I9</f>
        <v>0</v>
      </c>
      <c r="I9" s="23">
        <f>(COUNTIF('2S EXPRESS'!$A$7:$A$50,'INSTANCE C2'!G9))+(COUNTIF('2 ZT'!$A$7:$A$50,'INSTANCE C2'!G9))+(COUNTIF('GO TRANSPORT'!$A$7:$A$50,'INSTANCE C2'!G9))+(COUNTIF('HMZ - KAIS'!$A$7:$A$50,'INSTANCE C2'!G9))+(COUNTIF('IB TRANSPORT'!$A$7:$A$50,'INSTANCE C2'!G9))+(COUNTIF(JSL!$A$7:$A$50,'INSTANCE C2'!G9))+(COUNTIF(KIFAITOUT!$A$7:$A$50,'INSTANCE C2'!G9))+(COUNTIF('LUXE DRIVE'!$A$7:$A$50,'INSTANCE C2'!G9))+(COUNTIF(SSN!$A$7:$A$50,'INSTANCE C2'!G9))+(COUNTIF('W3'!$A$7:$A$50,'INSTANCE C2'!G9))+(COUNTIF('ATHIS MONS'!$A$7:$A$50,'INSTANCE C2'!G9))+(COUNTIF('L HAY LES ROSES'!$A$7:$A$50,'INSTANCE C2'!G9))+(COUNTIF(RUNGIS!$A$7:$A$50,'INSTANCE C2'!G9))+(COUNTIF(SCEAUX!$A$7:$A$50,'INSTANCE C2'!G9))+(COUNTIF('INSTANCE C1'!$A$7:$A$50,'INSTANCE C2'!G9))+(COUNTIF('INSTANCE C2'!$A$7:$A$50,'INSTANCE C2'!G9))+(COUNTIF(INTERNES!$A$7:$A$50,'INSTANCE C2'!G9))+(COUNTIF('EN PANNE'!$A$7:$A$50,'INSTANCE C2'!G9))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75"/>
      <c r="S9" s="60">
        <f t="shared" si="1"/>
        <v>0</v>
      </c>
      <c r="T9" s="67">
        <f t="shared" si="2"/>
        <v>0</v>
      </c>
    </row>
    <row r="10" spans="1:225" ht="24.95" customHeight="1" thickBot="1" x14ac:dyDescent="0.25">
      <c r="A10" s="20"/>
      <c r="B10" s="23">
        <f>(COUNTIF('2S EXPRESS'!$A$7:$A$50,'INSTANCE C2'!A10))+(COUNTIF('2 ZT'!$A$7:$A$50,'INSTANCE C2'!A10))+(COUNTIF('GO TRANSPORT'!$A$7:$A$50,'INSTANCE C2'!A10))+(COUNTIF('HMZ - KAIS'!$A$7:$A$50,'INSTANCE C2'!A10))+(COUNTIF('IB TRANSPORT'!$A$7:$A$50,'INSTANCE C2'!A10))+(COUNTIF(JSL!$A$7:$A$50,'INSTANCE C2'!A10))+(COUNTIF(KIFAITOUT!$A$7:$A$50,'INSTANCE C2'!A10))+(COUNTIF('LUXE DRIVE'!$A$7:$A$50,'INSTANCE C2'!A10))+(COUNTIF(SSN!$A$7:$A$50,'INSTANCE C2'!A10))+(COUNTIF('W3'!$A$7:$A$50,'INSTANCE C2'!A10))+(COUNTIF('ATHIS MONS'!$A$7:$A$50,'INSTANCE C2'!A10))+(COUNTIF('L HAY LES ROSES'!$A$7:$A$50,'INSTANCE C2'!A10))+(COUNTIF(RUNGIS!$A$7:$A$50,'INSTANCE C2'!A10))+(COUNTIF(SCEAUX!$A$7:$A$50,'INSTANCE C2'!A10))+(COUNTIF('INSTANCE C1'!$A$7:$A$50,'INSTANCE C2'!A10))+(COUNTIF('INSTANCE C2'!$A$7:$A$50,'INSTANCE C2'!A10))+(COUNTIF(INTERNES!$A$7:$A$50,'INSTANCE C2'!A10))+(COUNTIF('EN PANNE'!$A$7:$A$50,'INSTANCE C2'!A10))-C10</f>
        <v>0</v>
      </c>
      <c r="C10" s="23">
        <f>(COUNTIF('2S EXPRESS'!$G$7:$G$50,'INSTANCE C2'!A10))+(COUNTIF('2 ZT'!$G$7:$G$50,'INSTANCE C2'!A10))+(COUNTIF('GO TRANSPORT'!$G$7:$G$50,'INSTANCE C2'!A10))+(COUNTIF('INSTANCE C2'!$G$7:$G$50,'INSTANCE C2'!A10))+(COUNTIF('IB TRANSPORT'!$G$7:$G$50,'INSTANCE C2'!A10))+(COUNTIF(JSL!$G$7:$G$50,'INSTANCE C2'!A10))+(COUNTIF(KIFAITOUT!$G$7:$G$50,'INSTANCE C2'!A10))+(COUNTIF('LUXE DRIVE'!$G$7:$G$50,'INSTANCE C2'!A10))+(COUNTIF(SSN!$G$7:$G$50,'INSTANCE C2'!A10))+(COUNTIF('W3'!$G$7:$G$50,'INSTANCE C2'!A10))+(COUNTIF('ATHIS MONS'!$G$7:$G$50,'INSTANCE C2'!A10))+(COUNTIF('L HAY LES ROSES'!$G$7:$G$50,'INSTANCE C2'!A10))+(COUNTIF(RUNGIS!$G$7:$G$50,'INSTANCE C2'!A10))+(COUNTIF(SCEAUX!$G$7:$G$50,'INSTANCE C2'!A10))+(COUNTIF('INSTANCE C1'!$G$7:$G$50,'INSTANCE C2'!A10))+(COUNTIF('INSTANCE C2'!$G$7:$G$50,'INSTANCE C2'!A10))+(COUNTIF(INTERNES!$G$7:$G$50,'INSTANCE C2'!A10))+(COUNTIF('EN PANNE'!$G$7:$G$50,'INSTANCE C2'!A10))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EXPRESS'!$G$7:$G$50,'INSTANCE C2'!G10))+(COUNTIF('2 ZT'!$G$7:$G$50,'INSTANCE C2'!G10))+(COUNTIF('GO TRANSPORT'!$G$7:$G$50,'INSTANCE C2'!G10))+(COUNTIF('HMZ - KAIS'!$G$7:$G$50,'INSTANCE C2'!G10))+(COUNTIF('IB TRANSPORT'!$G$7:$G$50,'INSTANCE C2'!G10))+(COUNTIF(JSL!$G$7:$G$50,'INSTANCE C2'!G10))+(COUNTIF(KIFAITOUT!$G$7:$G$50,'INSTANCE C2'!G10))+(COUNTIF('LUXE DRIVE'!$G$7:$G$50,'INSTANCE C2'!G10))+(COUNTIF(SSN!$G$7:$G$50,'INSTANCE C2'!G10))+(COUNTIF('W3'!$G$7:$G$50,'INSTANCE C2'!G10))+(COUNTIF('ATHIS MONS'!$G$7:$G$50,'INSTANCE C2'!G10))+(COUNTIF('L HAY LES ROSES'!$G$7:$G$50,'INSTANCE C2'!G10))+(COUNTIF(RUNGIS!$G$7:$G$50,'INSTANCE C2'!G10))+(COUNTIF(SCEAUX!$G$7:$G$50,'INSTANCE C2'!G10))+(COUNTIF('INSTANCE C1'!$G$7:$G$50,'INSTANCE C2'!G10))+(COUNTIF('INSTANCE C2'!$G$7:$G$50,'INSTANCE C2'!G10))+(COUNTIF(INTERNES!$G$7:$G$50,'INSTANCE C2'!G10))+(COUNTIF('EN PANNE'!$G$7:$G$50,'INSTANCE C2'!G10))-I10</f>
        <v>0</v>
      </c>
      <c r="I10" s="23">
        <f>(COUNTIF('2S EXPRESS'!$A$7:$A$50,'INSTANCE C2'!G10))+(COUNTIF('2 ZT'!$A$7:$A$50,'INSTANCE C2'!G10))+(COUNTIF('GO TRANSPORT'!$A$7:$A$50,'INSTANCE C2'!G10))+(COUNTIF('HMZ - KAIS'!$A$7:$A$50,'INSTANCE C2'!G10))+(COUNTIF('IB TRANSPORT'!$A$7:$A$50,'INSTANCE C2'!G10))+(COUNTIF(JSL!$A$7:$A$50,'INSTANCE C2'!G10))+(COUNTIF(KIFAITOUT!$A$7:$A$50,'INSTANCE C2'!G10))+(COUNTIF('LUXE DRIVE'!$A$7:$A$50,'INSTANCE C2'!G10))+(COUNTIF(SSN!$A$7:$A$50,'INSTANCE C2'!G10))+(COUNTIF('W3'!$A$7:$A$50,'INSTANCE C2'!G10))+(COUNTIF('ATHIS MONS'!$A$7:$A$50,'INSTANCE C2'!G10))+(COUNTIF('L HAY LES ROSES'!$A$7:$A$50,'INSTANCE C2'!G10))+(COUNTIF(RUNGIS!$A$7:$A$50,'INSTANCE C2'!G10))+(COUNTIF(SCEAUX!$A$7:$A$50,'INSTANCE C2'!G10))+(COUNTIF('INSTANCE C1'!$A$7:$A$50,'INSTANCE C2'!G10))+(COUNTIF('INSTANCE C2'!$A$7:$A$50,'INSTANCE C2'!G10))+(COUNTIF(INTERNES!$A$7:$A$50,'INSTANCE C2'!G10))+(COUNTIF('EN PANNE'!$A$7:$A$50,'INSTANCE C2'!G10))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R10" s="75"/>
      <c r="S10" s="60">
        <f t="shared" si="1"/>
        <v>0</v>
      </c>
      <c r="T10" s="67">
        <f t="shared" si="2"/>
        <v>0</v>
      </c>
    </row>
    <row r="11" spans="1:225" ht="24.95" customHeight="1" thickBot="1" x14ac:dyDescent="0.25">
      <c r="A11" s="20"/>
      <c r="B11" s="23">
        <f>(COUNTIF('2S EXPRESS'!$A$7:$A$50,'INSTANCE C2'!A11))+(COUNTIF('2 ZT'!$A$7:$A$50,'INSTANCE C2'!A11))+(COUNTIF('GO TRANSPORT'!$A$7:$A$50,'INSTANCE C2'!A11))+(COUNTIF('HMZ - KAIS'!$A$7:$A$50,'INSTANCE C2'!A11))+(COUNTIF('IB TRANSPORT'!$A$7:$A$50,'INSTANCE C2'!A11))+(COUNTIF(JSL!$A$7:$A$50,'INSTANCE C2'!A11))+(COUNTIF(KIFAITOUT!$A$7:$A$50,'INSTANCE C2'!A11))+(COUNTIF('LUXE DRIVE'!$A$7:$A$50,'INSTANCE C2'!A11))+(COUNTIF(SSN!$A$7:$A$50,'INSTANCE C2'!A11))+(COUNTIF('W3'!$A$7:$A$50,'INSTANCE C2'!A11))+(COUNTIF('ATHIS MONS'!$A$7:$A$50,'INSTANCE C2'!A11))+(COUNTIF('L HAY LES ROSES'!$A$7:$A$50,'INSTANCE C2'!A11))+(COUNTIF(RUNGIS!$A$7:$A$50,'INSTANCE C2'!A11))+(COUNTIF(SCEAUX!$A$7:$A$50,'INSTANCE C2'!A11))+(COUNTIF('INSTANCE C1'!$A$7:$A$50,'INSTANCE C2'!A11))+(COUNTIF('INSTANCE C2'!$A$7:$A$50,'INSTANCE C2'!A11))+(COUNTIF(INTERNES!$A$7:$A$50,'INSTANCE C2'!A11))+(COUNTIF('EN PANNE'!$A$7:$A$50,'INSTANCE C2'!A11))-C11</f>
        <v>0</v>
      </c>
      <c r="C11" s="23">
        <f>(COUNTIF('2S EXPRESS'!$G$7:$G$50,'INSTANCE C2'!A11))+(COUNTIF('2 ZT'!$G$7:$G$50,'INSTANCE C2'!A11))+(COUNTIF('GO TRANSPORT'!$G$7:$G$50,'INSTANCE C2'!A11))+(COUNTIF('INSTANCE C2'!$G$7:$G$50,'INSTANCE C2'!A11))+(COUNTIF('IB TRANSPORT'!$G$7:$G$50,'INSTANCE C2'!A11))+(COUNTIF(JSL!$G$7:$G$50,'INSTANCE C2'!A11))+(COUNTIF(KIFAITOUT!$G$7:$G$50,'INSTANCE C2'!A11))+(COUNTIF('LUXE DRIVE'!$G$7:$G$50,'INSTANCE C2'!A11))+(COUNTIF(SSN!$G$7:$G$50,'INSTANCE C2'!A11))+(COUNTIF('W3'!$G$7:$G$50,'INSTANCE C2'!A11))+(COUNTIF('ATHIS MONS'!$G$7:$G$50,'INSTANCE C2'!A11))+(COUNTIF('L HAY LES ROSES'!$G$7:$G$50,'INSTANCE C2'!A11))+(COUNTIF(RUNGIS!$G$7:$G$50,'INSTANCE C2'!A11))+(COUNTIF(SCEAUX!$G$7:$G$50,'INSTANCE C2'!A11))+(COUNTIF('INSTANCE C1'!$G$7:$G$50,'INSTANCE C2'!A11))+(COUNTIF('INSTANCE C2'!$G$7:$G$50,'INSTANCE C2'!A11))+(COUNTIF(INTERNES!$G$7:$G$50,'INSTANCE C2'!A11))+(COUNTIF('EN PANNE'!$G$7:$G$50,'INSTANCE C2'!A11))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EXPRESS'!$G$7:$G$50,'INSTANCE C2'!G11))+(COUNTIF('2 ZT'!$G$7:$G$50,'INSTANCE C2'!G11))+(COUNTIF('GO TRANSPORT'!$G$7:$G$50,'INSTANCE C2'!G11))+(COUNTIF('HMZ - KAIS'!$G$7:$G$50,'INSTANCE C2'!G11))+(COUNTIF('IB TRANSPORT'!$G$7:$G$50,'INSTANCE C2'!G11))+(COUNTIF(JSL!$G$7:$G$50,'INSTANCE C2'!G11))+(COUNTIF(KIFAITOUT!$G$7:$G$50,'INSTANCE C2'!G11))+(COUNTIF('LUXE DRIVE'!$G$7:$G$50,'INSTANCE C2'!G11))+(COUNTIF(SSN!$G$7:$G$50,'INSTANCE C2'!G11))+(COUNTIF('W3'!$G$7:$G$50,'INSTANCE C2'!G11))+(COUNTIF('ATHIS MONS'!$G$7:$G$50,'INSTANCE C2'!G11))+(COUNTIF('L HAY LES ROSES'!$G$7:$G$50,'INSTANCE C2'!G11))+(COUNTIF(RUNGIS!$G$7:$G$50,'INSTANCE C2'!G11))+(COUNTIF(SCEAUX!$G$7:$G$50,'INSTANCE C2'!G11))+(COUNTIF('INSTANCE C1'!$G$7:$G$50,'INSTANCE C2'!G11))+(COUNTIF('INSTANCE C2'!$G$7:$G$50,'INSTANCE C2'!G11))+(COUNTIF(INTERNES!$G$7:$G$50,'INSTANCE C2'!G11))+(COUNTIF('EN PANNE'!$G$7:$G$50,'INSTANCE C2'!G11))-I11</f>
        <v>0</v>
      </c>
      <c r="I11" s="23">
        <f>(COUNTIF('2S EXPRESS'!$A$7:$A$50,'INSTANCE C2'!G11))+(COUNTIF('2 ZT'!$A$7:$A$50,'INSTANCE C2'!G11))+(COUNTIF('GO TRANSPORT'!$A$7:$A$50,'INSTANCE C2'!G11))+(COUNTIF('HMZ - KAIS'!$A$7:$A$50,'INSTANCE C2'!G11))+(COUNTIF('IB TRANSPORT'!$A$7:$A$50,'INSTANCE C2'!G11))+(COUNTIF(JSL!$A$7:$A$50,'INSTANCE C2'!G11))+(COUNTIF(KIFAITOUT!$A$7:$A$50,'INSTANCE C2'!G11))+(COUNTIF('LUXE DRIVE'!$A$7:$A$50,'INSTANCE C2'!G11))+(COUNTIF(SSN!$A$7:$A$50,'INSTANCE C2'!G11))+(COUNTIF('W3'!$A$7:$A$50,'INSTANCE C2'!G11))+(COUNTIF('ATHIS MONS'!$A$7:$A$50,'INSTANCE C2'!G11))+(COUNTIF('L HAY LES ROSES'!$A$7:$A$50,'INSTANCE C2'!G11))+(COUNTIF(RUNGIS!$A$7:$A$50,'INSTANCE C2'!G11))+(COUNTIF(SCEAUX!$A$7:$A$50,'INSTANCE C2'!G11))+(COUNTIF('INSTANCE C1'!$A$7:$A$50,'INSTANCE C2'!G11))+(COUNTIF('INSTANCE C2'!$A$7:$A$50,'INSTANCE C2'!G11))+(COUNTIF(INTERNES!$A$7:$A$50,'INSTANCE C2'!G11))+(COUNTIF('EN PANNE'!$A$7:$A$50,'INSTANCE C2'!G11))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R11" s="75"/>
      <c r="S11" s="60">
        <f t="shared" si="1"/>
        <v>0</v>
      </c>
      <c r="T11" s="67">
        <f t="shared" si="2"/>
        <v>0</v>
      </c>
    </row>
    <row r="12" spans="1:225" ht="24.95" customHeight="1" thickBot="1" x14ac:dyDescent="0.25">
      <c r="A12" s="20"/>
      <c r="B12" s="23">
        <f>(COUNTIF('2S EXPRESS'!$A$7:$A$50,'INSTANCE C2'!A12))+(COUNTIF('2 ZT'!$A$7:$A$50,'INSTANCE C2'!A12))+(COUNTIF('GO TRANSPORT'!$A$7:$A$50,'INSTANCE C2'!A12))+(COUNTIF('HMZ - KAIS'!$A$7:$A$50,'INSTANCE C2'!A12))+(COUNTIF('IB TRANSPORT'!$A$7:$A$50,'INSTANCE C2'!A12))+(COUNTIF(JSL!$A$7:$A$50,'INSTANCE C2'!A12))+(COUNTIF(KIFAITOUT!$A$7:$A$50,'INSTANCE C2'!A12))+(COUNTIF('LUXE DRIVE'!$A$7:$A$50,'INSTANCE C2'!A12))+(COUNTIF(SSN!$A$7:$A$50,'INSTANCE C2'!A12))+(COUNTIF('W3'!$A$7:$A$50,'INSTANCE C2'!A12))+(COUNTIF('ATHIS MONS'!$A$7:$A$50,'INSTANCE C2'!A12))+(COUNTIF('L HAY LES ROSES'!$A$7:$A$50,'INSTANCE C2'!A12))+(COUNTIF(RUNGIS!$A$7:$A$50,'INSTANCE C2'!A12))+(COUNTIF(SCEAUX!$A$7:$A$50,'INSTANCE C2'!A12))+(COUNTIF('INSTANCE C1'!$A$7:$A$50,'INSTANCE C2'!A12))+(COUNTIF('INSTANCE C2'!$A$7:$A$50,'INSTANCE C2'!A12))+(COUNTIF(INTERNES!$A$7:$A$50,'INSTANCE C2'!A12))+(COUNTIF('EN PANNE'!$A$7:$A$50,'INSTANCE C2'!A12))-C12</f>
        <v>0</v>
      </c>
      <c r="C12" s="23">
        <f>(COUNTIF('2S EXPRESS'!$G$7:$G$50,'INSTANCE C2'!A12))+(COUNTIF('2 ZT'!$G$7:$G$50,'INSTANCE C2'!A12))+(COUNTIF('GO TRANSPORT'!$G$7:$G$50,'INSTANCE C2'!A12))+(COUNTIF('INSTANCE C2'!$G$7:$G$50,'INSTANCE C2'!A12))+(COUNTIF('IB TRANSPORT'!$G$7:$G$50,'INSTANCE C2'!A12))+(COUNTIF(JSL!$G$7:$G$50,'INSTANCE C2'!A12))+(COUNTIF(KIFAITOUT!$G$7:$G$50,'INSTANCE C2'!A12))+(COUNTIF('LUXE DRIVE'!$G$7:$G$50,'INSTANCE C2'!A12))+(COUNTIF(SSN!$G$7:$G$50,'INSTANCE C2'!A12))+(COUNTIF('W3'!$G$7:$G$50,'INSTANCE C2'!A12))+(COUNTIF('ATHIS MONS'!$G$7:$G$50,'INSTANCE C2'!A12))+(COUNTIF('L HAY LES ROSES'!$G$7:$G$50,'INSTANCE C2'!A12))+(COUNTIF(RUNGIS!$G$7:$G$50,'INSTANCE C2'!A12))+(COUNTIF(SCEAUX!$G$7:$G$50,'INSTANCE C2'!A12))+(COUNTIF('INSTANCE C1'!$G$7:$G$50,'INSTANCE C2'!A12))+(COUNTIF('INSTANCE C2'!$G$7:$G$50,'INSTANCE C2'!A12))+(COUNTIF(INTERNES!$G$7:$G$50,'INSTANCE C2'!A12))+(COUNTIF('EN PANNE'!$G$7:$G$50,'INSTANCE C2'!A12))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EXPRESS'!$G$7:$G$50,'INSTANCE C2'!G12))+(COUNTIF('2 ZT'!$G$7:$G$50,'INSTANCE C2'!G12))+(COUNTIF('GO TRANSPORT'!$G$7:$G$50,'INSTANCE C2'!G12))+(COUNTIF('HMZ - KAIS'!$G$7:$G$50,'INSTANCE C2'!G12))+(COUNTIF('IB TRANSPORT'!$G$7:$G$50,'INSTANCE C2'!G12))+(COUNTIF(JSL!$G$7:$G$50,'INSTANCE C2'!G12))+(COUNTIF(KIFAITOUT!$G$7:$G$50,'INSTANCE C2'!G12))+(COUNTIF('LUXE DRIVE'!$G$7:$G$50,'INSTANCE C2'!G12))+(COUNTIF(SSN!$G$7:$G$50,'INSTANCE C2'!G12))+(COUNTIF('W3'!$G$7:$G$50,'INSTANCE C2'!G12))+(COUNTIF('ATHIS MONS'!$G$7:$G$50,'INSTANCE C2'!G12))+(COUNTIF('L HAY LES ROSES'!$G$7:$G$50,'INSTANCE C2'!G12))+(COUNTIF(RUNGIS!$G$7:$G$50,'INSTANCE C2'!G12))+(COUNTIF(SCEAUX!$G$7:$G$50,'INSTANCE C2'!G12))+(COUNTIF('INSTANCE C1'!$G$7:$G$50,'INSTANCE C2'!G12))+(COUNTIF('INSTANCE C2'!$G$7:$G$50,'INSTANCE C2'!G12))+(COUNTIF(INTERNES!$G$7:$G$50,'INSTANCE C2'!G12))+(COUNTIF('EN PANNE'!$G$7:$G$50,'INSTANCE C2'!G12))-I12</f>
        <v>0</v>
      </c>
      <c r="I12" s="23">
        <f>(COUNTIF('2S EXPRESS'!$A$7:$A$50,'INSTANCE C2'!G12))+(COUNTIF('2 ZT'!$A$7:$A$50,'INSTANCE C2'!G12))+(COUNTIF('GO TRANSPORT'!$A$7:$A$50,'INSTANCE C2'!G12))+(COUNTIF('HMZ - KAIS'!$A$7:$A$50,'INSTANCE C2'!G12))+(COUNTIF('IB TRANSPORT'!$A$7:$A$50,'INSTANCE C2'!G12))+(COUNTIF(JSL!$A$7:$A$50,'INSTANCE C2'!G12))+(COUNTIF(KIFAITOUT!$A$7:$A$50,'INSTANCE C2'!G12))+(COUNTIF('LUXE DRIVE'!$A$7:$A$50,'INSTANCE C2'!G12))+(COUNTIF(SSN!$A$7:$A$50,'INSTANCE C2'!G12))+(COUNTIF('W3'!$A$7:$A$50,'INSTANCE C2'!G12))+(COUNTIF('ATHIS MONS'!$A$7:$A$50,'INSTANCE C2'!G12))+(COUNTIF('L HAY LES ROSES'!$A$7:$A$50,'INSTANCE C2'!G12))+(COUNTIF(RUNGIS!$A$7:$A$50,'INSTANCE C2'!G12))+(COUNTIF(SCEAUX!$A$7:$A$50,'INSTANCE C2'!G12))+(COUNTIF('INSTANCE C1'!$A$7:$A$50,'INSTANCE C2'!G12))+(COUNTIF('INSTANCE C2'!$A$7:$A$50,'INSTANCE C2'!G12))+(COUNTIF(INTERNES!$A$7:$A$50,'INSTANCE C2'!G12))+(COUNTIF('EN PANNE'!$A$7:$A$50,'INSTANCE C2'!G12))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R12" s="75"/>
      <c r="S12" s="60">
        <f t="shared" si="1"/>
        <v>0</v>
      </c>
      <c r="T12" s="67">
        <f t="shared" si="2"/>
        <v>0</v>
      </c>
    </row>
    <row r="13" spans="1:225" ht="24.95" customHeight="1" x14ac:dyDescent="0.2">
      <c r="A13" s="20"/>
      <c r="B13" s="23">
        <f>(COUNTIF('2S EXPRESS'!$A$7:$A$50,'INSTANCE C2'!A13))+(COUNTIF('2 ZT'!$A$7:$A$50,'INSTANCE C2'!A13))+(COUNTIF('GO TRANSPORT'!$A$7:$A$50,'INSTANCE C2'!A13))+(COUNTIF('HMZ - KAIS'!$A$7:$A$50,'INSTANCE C2'!A13))+(COUNTIF('IB TRANSPORT'!$A$7:$A$50,'INSTANCE C2'!A13))+(COUNTIF(JSL!$A$7:$A$50,'INSTANCE C2'!A13))+(COUNTIF(KIFAITOUT!$A$7:$A$50,'INSTANCE C2'!A13))+(COUNTIF('LUXE DRIVE'!$A$7:$A$50,'INSTANCE C2'!A13))+(COUNTIF(SSN!$A$7:$A$50,'INSTANCE C2'!A13))+(COUNTIF('W3'!$A$7:$A$50,'INSTANCE C2'!A13))+(COUNTIF('ATHIS MONS'!$A$7:$A$50,'INSTANCE C2'!A13))+(COUNTIF('L HAY LES ROSES'!$A$7:$A$50,'INSTANCE C2'!A13))+(COUNTIF(RUNGIS!$A$7:$A$50,'INSTANCE C2'!A13))+(COUNTIF(SCEAUX!$A$7:$A$50,'INSTANCE C2'!A13))+(COUNTIF('INSTANCE C1'!$A$7:$A$50,'INSTANCE C2'!A13))+(COUNTIF('INSTANCE C2'!$A$7:$A$50,'INSTANCE C2'!A13))+(COUNTIF(INTERNES!$A$7:$A$50,'INSTANCE C2'!A13))+(COUNTIF('EN PANNE'!$A$7:$A$50,'INSTANCE C2'!A13))-C13</f>
        <v>0</v>
      </c>
      <c r="C13" s="23">
        <f>(COUNTIF('2S EXPRESS'!$G$7:$G$50,'INSTANCE C2'!A13))+(COUNTIF('2 ZT'!$G$7:$G$50,'INSTANCE C2'!A13))+(COUNTIF('GO TRANSPORT'!$G$7:$G$50,'INSTANCE C2'!A13))+(COUNTIF('INSTANCE C2'!$G$7:$G$50,'INSTANCE C2'!A13))+(COUNTIF('IB TRANSPORT'!$G$7:$G$50,'INSTANCE C2'!A13))+(COUNTIF(JSL!$G$7:$G$50,'INSTANCE C2'!A13))+(COUNTIF(KIFAITOUT!$G$7:$G$50,'INSTANCE C2'!A13))+(COUNTIF('LUXE DRIVE'!$G$7:$G$50,'INSTANCE C2'!A13))+(COUNTIF(SSN!$G$7:$G$50,'INSTANCE C2'!A13))+(COUNTIF('W3'!$G$7:$G$50,'INSTANCE C2'!A13))+(COUNTIF('ATHIS MONS'!$G$7:$G$50,'INSTANCE C2'!A13))+(COUNTIF('L HAY LES ROSES'!$G$7:$G$50,'INSTANCE C2'!A13))+(COUNTIF(RUNGIS!$G$7:$G$50,'INSTANCE C2'!A13))+(COUNTIF(SCEAUX!$G$7:$G$50,'INSTANCE C2'!A13))+(COUNTIF('INSTANCE C1'!$G$7:$G$50,'INSTANCE C2'!A13))+(COUNTIF('INSTANCE C2'!$G$7:$G$50,'INSTANCE C2'!A13))+(COUNTIF(INTERNES!$G$7:$G$50,'INSTANCE C2'!A13))+(COUNTIF('EN PANNE'!$G$7:$G$50,'INSTANCE C2'!A13))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EXPRESS'!$G$7:$G$50,'INSTANCE C2'!G13))+(COUNTIF('2 ZT'!$G$7:$G$50,'INSTANCE C2'!G13))+(COUNTIF('GO TRANSPORT'!$G$7:$G$50,'INSTANCE C2'!G13))+(COUNTIF('HMZ - KAIS'!$G$7:$G$50,'INSTANCE C2'!G13))+(COUNTIF('IB TRANSPORT'!$G$7:$G$50,'INSTANCE C2'!G13))+(COUNTIF(JSL!$G$7:$G$50,'INSTANCE C2'!G13))+(COUNTIF(KIFAITOUT!$G$7:$G$50,'INSTANCE C2'!G13))+(COUNTIF('LUXE DRIVE'!$G$7:$G$50,'INSTANCE C2'!G13))+(COUNTIF(SSN!$G$7:$G$50,'INSTANCE C2'!G13))+(COUNTIF('W3'!$G$7:$G$50,'INSTANCE C2'!G13))+(COUNTIF('ATHIS MONS'!$G$7:$G$50,'INSTANCE C2'!G13))+(COUNTIF('L HAY LES ROSES'!$G$7:$G$50,'INSTANCE C2'!G13))+(COUNTIF(RUNGIS!$G$7:$G$50,'INSTANCE C2'!G13))+(COUNTIF(SCEAUX!$G$7:$G$50,'INSTANCE C2'!G13))+(COUNTIF('INSTANCE C1'!$G$7:$G$50,'INSTANCE C2'!G13))+(COUNTIF('INSTANCE C2'!$G$7:$G$50,'INSTANCE C2'!G13))+(COUNTIF(INTERNES!$G$7:$G$50,'INSTANCE C2'!G13))+(COUNTIF('EN PANNE'!$G$7:$G$50,'INSTANCE C2'!G13))-I13</f>
        <v>0</v>
      </c>
      <c r="I13" s="23">
        <f>(COUNTIF('2S EXPRESS'!$A$7:$A$50,'INSTANCE C2'!G13))+(COUNTIF('2 ZT'!$A$7:$A$50,'INSTANCE C2'!G13))+(COUNTIF('GO TRANSPORT'!$A$7:$A$50,'INSTANCE C2'!G13))+(COUNTIF('HMZ - KAIS'!$A$7:$A$50,'INSTANCE C2'!G13))+(COUNTIF('IB TRANSPORT'!$A$7:$A$50,'INSTANCE C2'!G13))+(COUNTIF(JSL!$A$7:$A$50,'INSTANCE C2'!G13))+(COUNTIF(KIFAITOUT!$A$7:$A$50,'INSTANCE C2'!G13))+(COUNTIF('LUXE DRIVE'!$A$7:$A$50,'INSTANCE C2'!G13))+(COUNTIF(SSN!$A$7:$A$50,'INSTANCE C2'!G13))+(COUNTIF('W3'!$A$7:$A$50,'INSTANCE C2'!G13))+(COUNTIF('ATHIS MONS'!$A$7:$A$50,'INSTANCE C2'!G13))+(COUNTIF('L HAY LES ROSES'!$A$7:$A$50,'INSTANCE C2'!G13))+(COUNTIF(RUNGIS!$A$7:$A$50,'INSTANCE C2'!G13))+(COUNTIF(SCEAUX!$A$7:$A$50,'INSTANCE C2'!G13))+(COUNTIF('INSTANCE C1'!$A$7:$A$50,'INSTANCE C2'!G13))+(COUNTIF('INSTANCE C2'!$A$7:$A$50,'INSTANCE C2'!G13))+(COUNTIF(INTERNES!$A$7:$A$50,'INSTANCE C2'!G13))+(COUNTIF('EN PANNE'!$A$7:$A$50,'INSTANCE C2'!G13))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R13" s="75"/>
      <c r="S13" s="60">
        <f t="shared" si="1"/>
        <v>0</v>
      </c>
      <c r="T13" s="67">
        <f t="shared" si="2"/>
        <v>0</v>
      </c>
      <c r="V13" s="76"/>
    </row>
    <row r="14" spans="1:225" ht="24.95" customHeight="1" x14ac:dyDescent="0.2">
      <c r="A14" s="20"/>
      <c r="B14" s="23">
        <f>(COUNTIF('2S EXPRESS'!$A$7:$A$50,'INSTANCE C2'!A14))+(COUNTIF('2 ZT'!$A$7:$A$50,'INSTANCE C2'!A14))+(COUNTIF('GO TRANSPORT'!$A$7:$A$50,'INSTANCE C2'!A14))+(COUNTIF('HMZ - KAIS'!$A$7:$A$50,'INSTANCE C2'!A14))+(COUNTIF('IB TRANSPORT'!$A$7:$A$50,'INSTANCE C2'!A14))+(COUNTIF(JSL!$A$7:$A$50,'INSTANCE C2'!A14))+(COUNTIF(KIFAITOUT!$A$7:$A$50,'INSTANCE C2'!A14))+(COUNTIF('LUXE DRIVE'!$A$7:$A$50,'INSTANCE C2'!A14))+(COUNTIF(SSN!$A$7:$A$50,'INSTANCE C2'!A14))+(COUNTIF('W3'!$A$7:$A$50,'INSTANCE C2'!A14))+(COUNTIF('ATHIS MONS'!$A$7:$A$50,'INSTANCE C2'!A14))+(COUNTIF('L HAY LES ROSES'!$A$7:$A$50,'INSTANCE C2'!A14))+(COUNTIF(RUNGIS!$A$7:$A$50,'INSTANCE C2'!A14))+(COUNTIF(SCEAUX!$A$7:$A$50,'INSTANCE C2'!A14))+(COUNTIF('INSTANCE C1'!$A$7:$A$50,'INSTANCE C2'!A14))+(COUNTIF('INSTANCE C2'!$A$7:$A$50,'INSTANCE C2'!A14))+(COUNTIF(INTERNES!$A$7:$A$50,'INSTANCE C2'!A14))+(COUNTIF('EN PANNE'!$A$7:$A$50,'INSTANCE C2'!A14))-C14</f>
        <v>0</v>
      </c>
      <c r="C14" s="23">
        <f>(COUNTIF('2S EXPRESS'!$G$7:$G$50,'INSTANCE C2'!A14))+(COUNTIF('2 ZT'!$G$7:$G$50,'INSTANCE C2'!A14))+(COUNTIF('GO TRANSPORT'!$G$7:$G$50,'INSTANCE C2'!A14))+(COUNTIF('INSTANCE C2'!$G$7:$G$50,'INSTANCE C2'!A14))+(COUNTIF('IB TRANSPORT'!$G$7:$G$50,'INSTANCE C2'!A14))+(COUNTIF(JSL!$G$7:$G$50,'INSTANCE C2'!A14))+(COUNTIF(KIFAITOUT!$G$7:$G$50,'INSTANCE C2'!A14))+(COUNTIF('LUXE DRIVE'!$G$7:$G$50,'INSTANCE C2'!A14))+(COUNTIF(SSN!$G$7:$G$50,'INSTANCE C2'!A14))+(COUNTIF('W3'!$G$7:$G$50,'INSTANCE C2'!A14))+(COUNTIF('ATHIS MONS'!$G$7:$G$50,'INSTANCE C2'!A14))+(COUNTIF('L HAY LES ROSES'!$G$7:$G$50,'INSTANCE C2'!A14))+(COUNTIF(RUNGIS!$G$7:$G$50,'INSTANCE C2'!A14))+(COUNTIF(SCEAUX!$G$7:$G$50,'INSTANCE C2'!A14))+(COUNTIF('INSTANCE C1'!$G$7:$G$50,'INSTANCE C2'!A14))+(COUNTIF('INSTANCE C2'!$G$7:$G$50,'INSTANCE C2'!A14))+(COUNTIF(INTERNES!$G$7:$G$50,'INSTANCE C2'!A14))+(COUNTIF('EN PANNE'!$G$7:$G$50,'INSTANCE C2'!A14))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EXPRESS'!$G$7:$G$50,'INSTANCE C2'!G14))+(COUNTIF('2 ZT'!$G$7:$G$50,'INSTANCE C2'!G14))+(COUNTIF('GO TRANSPORT'!$G$7:$G$50,'INSTANCE C2'!G14))+(COUNTIF('HMZ - KAIS'!$G$7:$G$50,'INSTANCE C2'!G14))+(COUNTIF('IB TRANSPORT'!$G$7:$G$50,'INSTANCE C2'!G14))+(COUNTIF(JSL!$G$7:$G$50,'INSTANCE C2'!G14))+(COUNTIF(KIFAITOUT!$G$7:$G$50,'INSTANCE C2'!G14))+(COUNTIF('LUXE DRIVE'!$G$7:$G$50,'INSTANCE C2'!G14))+(COUNTIF(SSN!$G$7:$G$50,'INSTANCE C2'!G14))+(COUNTIF('W3'!$G$7:$G$50,'INSTANCE C2'!G14))+(COUNTIF('ATHIS MONS'!$G$7:$G$50,'INSTANCE C2'!G14))+(COUNTIF('L HAY LES ROSES'!$G$7:$G$50,'INSTANCE C2'!G14))+(COUNTIF(RUNGIS!$G$7:$G$50,'INSTANCE C2'!G14))+(COUNTIF(SCEAUX!$G$7:$G$50,'INSTANCE C2'!G14))+(COUNTIF('INSTANCE C1'!$G$7:$G$50,'INSTANCE C2'!G14))+(COUNTIF('INSTANCE C2'!$G$7:$G$50,'INSTANCE C2'!G14))+(COUNTIF(INTERNES!$G$7:$G$50,'INSTANCE C2'!G14))+(COUNTIF('EN PANNE'!$G$7:$G$50,'INSTANCE C2'!G14))-I14</f>
        <v>0</v>
      </c>
      <c r="I14" s="23">
        <f>(COUNTIF('2S EXPRESS'!$A$7:$A$50,'INSTANCE C2'!G14))+(COUNTIF('2 ZT'!$A$7:$A$50,'INSTANCE C2'!G14))+(COUNTIF('GO TRANSPORT'!$A$7:$A$50,'INSTANCE C2'!G14))+(COUNTIF('HMZ - KAIS'!$A$7:$A$50,'INSTANCE C2'!G14))+(COUNTIF('IB TRANSPORT'!$A$7:$A$50,'INSTANCE C2'!G14))+(COUNTIF(JSL!$A$7:$A$50,'INSTANCE C2'!G14))+(COUNTIF(KIFAITOUT!$A$7:$A$50,'INSTANCE C2'!G14))+(COUNTIF('LUXE DRIVE'!$A$7:$A$50,'INSTANCE C2'!G14))+(COUNTIF(SSN!$A$7:$A$50,'INSTANCE C2'!G14))+(COUNTIF('W3'!$A$7:$A$50,'INSTANCE C2'!G14))+(COUNTIF('ATHIS MONS'!$A$7:$A$50,'INSTANCE C2'!G14))+(COUNTIF('L HAY LES ROSES'!$A$7:$A$50,'INSTANCE C2'!G14))+(COUNTIF(RUNGIS!$A$7:$A$50,'INSTANCE C2'!G14))+(COUNTIF(SCEAUX!$A$7:$A$50,'INSTANCE C2'!G14))+(COUNTIF('INSTANCE C1'!$A$7:$A$50,'INSTANCE C2'!G14))+(COUNTIF('INSTANCE C2'!$A$7:$A$50,'INSTANCE C2'!G14))+(COUNTIF(INTERNES!$A$7:$A$50,'INSTANCE C2'!G14))+(COUNTIF('EN PANNE'!$A$7:$A$50,'INSTANCE C2'!G14))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R14" s="75"/>
      <c r="S14" s="60">
        <f t="shared" si="1"/>
        <v>0</v>
      </c>
      <c r="T14" s="67">
        <f t="shared" si="2"/>
        <v>0</v>
      </c>
    </row>
    <row r="15" spans="1:225" ht="24.95" customHeight="1" x14ac:dyDescent="0.2">
      <c r="A15" s="20"/>
      <c r="B15" s="23">
        <f>(COUNTIF('2S EXPRESS'!$A$7:$A$50,'INSTANCE C2'!A15))+(COUNTIF('2 ZT'!$A$7:$A$50,'INSTANCE C2'!A15))+(COUNTIF('GO TRANSPORT'!$A$7:$A$50,'INSTANCE C2'!A15))+(COUNTIF('HMZ - KAIS'!$A$7:$A$50,'INSTANCE C2'!A15))+(COUNTIF('IB TRANSPORT'!$A$7:$A$50,'INSTANCE C2'!A15))+(COUNTIF(JSL!$A$7:$A$50,'INSTANCE C2'!A15))+(COUNTIF(KIFAITOUT!$A$7:$A$50,'INSTANCE C2'!A15))+(COUNTIF('LUXE DRIVE'!$A$7:$A$50,'INSTANCE C2'!A15))+(COUNTIF(SSN!$A$7:$A$50,'INSTANCE C2'!A15))+(COUNTIF('W3'!$A$7:$A$50,'INSTANCE C2'!A15))+(COUNTIF('ATHIS MONS'!$A$7:$A$50,'INSTANCE C2'!A15))+(COUNTIF('L HAY LES ROSES'!$A$7:$A$50,'INSTANCE C2'!A15))+(COUNTIF(RUNGIS!$A$7:$A$50,'INSTANCE C2'!A15))+(COUNTIF(SCEAUX!$A$7:$A$50,'INSTANCE C2'!A15))+(COUNTIF('INSTANCE C1'!$A$7:$A$50,'INSTANCE C2'!A15))+(COUNTIF('INSTANCE C2'!$A$7:$A$50,'INSTANCE C2'!A15))+(COUNTIF(INTERNES!$A$7:$A$50,'INSTANCE C2'!A15))+(COUNTIF('EN PANNE'!$A$7:$A$50,'INSTANCE C2'!A15))-C15</f>
        <v>0</v>
      </c>
      <c r="C15" s="23">
        <f>(COUNTIF('2S EXPRESS'!$G$7:$G$50,'INSTANCE C2'!A15))+(COUNTIF('2 ZT'!$G$7:$G$50,'INSTANCE C2'!A15))+(COUNTIF('GO TRANSPORT'!$G$7:$G$50,'INSTANCE C2'!A15))+(COUNTIF('INSTANCE C2'!$G$7:$G$50,'INSTANCE C2'!A15))+(COUNTIF('IB TRANSPORT'!$G$7:$G$50,'INSTANCE C2'!A15))+(COUNTIF(JSL!$G$7:$G$50,'INSTANCE C2'!A15))+(COUNTIF(KIFAITOUT!$G$7:$G$50,'INSTANCE C2'!A15))+(COUNTIF('LUXE DRIVE'!$G$7:$G$50,'INSTANCE C2'!A15))+(COUNTIF(SSN!$G$7:$G$50,'INSTANCE C2'!A15))+(COUNTIF('W3'!$G$7:$G$50,'INSTANCE C2'!A15))+(COUNTIF('ATHIS MONS'!$G$7:$G$50,'INSTANCE C2'!A15))+(COUNTIF('L HAY LES ROSES'!$G$7:$G$50,'INSTANCE C2'!A15))+(COUNTIF(RUNGIS!$G$7:$G$50,'INSTANCE C2'!A15))+(COUNTIF(SCEAUX!$G$7:$G$50,'INSTANCE C2'!A15))+(COUNTIF('INSTANCE C1'!$G$7:$G$50,'INSTANCE C2'!A15))+(COUNTIF('INSTANCE C2'!$G$7:$G$50,'INSTANCE C2'!A15))+(COUNTIF(INTERNES!$G$7:$G$50,'INSTANCE C2'!A15))+(COUNTIF('EN PANNE'!$G$7:$G$50,'INSTANCE C2'!A15))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EXPRESS'!$G$7:$G$50,'INSTANCE C2'!G15))+(COUNTIF('2 ZT'!$G$7:$G$50,'INSTANCE C2'!G15))+(COUNTIF('GO TRANSPORT'!$G$7:$G$50,'INSTANCE C2'!G15))+(COUNTIF('HMZ - KAIS'!$G$7:$G$50,'INSTANCE C2'!G15))+(COUNTIF('IB TRANSPORT'!$G$7:$G$50,'INSTANCE C2'!G15))+(COUNTIF(JSL!$G$7:$G$50,'INSTANCE C2'!G15))+(COUNTIF(KIFAITOUT!$G$7:$G$50,'INSTANCE C2'!G15))+(COUNTIF('LUXE DRIVE'!$G$7:$G$50,'INSTANCE C2'!G15))+(COUNTIF(SSN!$G$7:$G$50,'INSTANCE C2'!G15))+(COUNTIF('W3'!$G$7:$G$50,'INSTANCE C2'!G15))+(COUNTIF('ATHIS MONS'!$G$7:$G$50,'INSTANCE C2'!G15))+(COUNTIF('L HAY LES ROSES'!$G$7:$G$50,'INSTANCE C2'!G15))+(COUNTIF(RUNGIS!$G$7:$G$50,'INSTANCE C2'!G15))+(COUNTIF(SCEAUX!$G$7:$G$50,'INSTANCE C2'!G15))+(COUNTIF('INSTANCE C1'!$G$7:$G$50,'INSTANCE C2'!G15))+(COUNTIF('INSTANCE C2'!$G$7:$G$50,'INSTANCE C2'!G15))+(COUNTIF(INTERNES!$G$7:$G$50,'INSTANCE C2'!G15))+(COUNTIF('EN PANNE'!$G$7:$G$50,'INSTANCE C2'!G15))-I15</f>
        <v>0</v>
      </c>
      <c r="I15" s="23">
        <f>(COUNTIF('2S EXPRESS'!$A$7:$A$50,'INSTANCE C2'!G15))+(COUNTIF('2 ZT'!$A$7:$A$50,'INSTANCE C2'!G15))+(COUNTIF('GO TRANSPORT'!$A$7:$A$50,'INSTANCE C2'!G15))+(COUNTIF('HMZ - KAIS'!$A$7:$A$50,'INSTANCE C2'!G15))+(COUNTIF('IB TRANSPORT'!$A$7:$A$50,'INSTANCE C2'!G15))+(COUNTIF(JSL!$A$7:$A$50,'INSTANCE C2'!G15))+(COUNTIF(KIFAITOUT!$A$7:$A$50,'INSTANCE C2'!G15))+(COUNTIF('LUXE DRIVE'!$A$7:$A$50,'INSTANCE C2'!G15))+(COUNTIF(SSN!$A$7:$A$50,'INSTANCE C2'!G15))+(COUNTIF('W3'!$A$7:$A$50,'INSTANCE C2'!G15))+(COUNTIF('ATHIS MONS'!$A$7:$A$50,'INSTANCE C2'!G15))+(COUNTIF('L HAY LES ROSES'!$A$7:$A$50,'INSTANCE C2'!G15))+(COUNTIF(RUNGIS!$A$7:$A$50,'INSTANCE C2'!G15))+(COUNTIF(SCEAUX!$A$7:$A$50,'INSTANCE C2'!G15))+(COUNTIF('INSTANCE C1'!$A$7:$A$50,'INSTANCE C2'!G15))+(COUNTIF('INSTANCE C2'!$A$7:$A$50,'INSTANCE C2'!G15))+(COUNTIF(INTERNES!$A$7:$A$50,'INSTANCE C2'!G15))+(COUNTIF('EN PANNE'!$A$7:$A$50,'INSTANCE C2'!G15))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R15" s="75"/>
      <c r="S15" s="60">
        <f t="shared" si="1"/>
        <v>0</v>
      </c>
      <c r="T15" s="67">
        <f t="shared" si="2"/>
        <v>0</v>
      </c>
    </row>
    <row r="16" spans="1:225" ht="24.95" customHeight="1" x14ac:dyDescent="0.2">
      <c r="A16" s="20"/>
      <c r="B16" s="23">
        <f>(COUNTIF('2S EXPRESS'!$A$7:$A$50,'INSTANCE C2'!A16))+(COUNTIF('2 ZT'!$A$7:$A$50,'INSTANCE C2'!A16))+(COUNTIF('GO TRANSPORT'!$A$7:$A$50,'INSTANCE C2'!A16))+(COUNTIF('HMZ - KAIS'!$A$7:$A$50,'INSTANCE C2'!A16))+(COUNTIF('IB TRANSPORT'!$A$7:$A$50,'INSTANCE C2'!A16))+(COUNTIF(JSL!$A$7:$A$50,'INSTANCE C2'!A16))+(COUNTIF(KIFAITOUT!$A$7:$A$50,'INSTANCE C2'!A16))+(COUNTIF('LUXE DRIVE'!$A$7:$A$50,'INSTANCE C2'!A16))+(COUNTIF(SSN!$A$7:$A$50,'INSTANCE C2'!A16))+(COUNTIF('W3'!$A$7:$A$50,'INSTANCE C2'!A16))+(COUNTIF('ATHIS MONS'!$A$7:$A$50,'INSTANCE C2'!A16))+(COUNTIF('L HAY LES ROSES'!$A$7:$A$50,'INSTANCE C2'!A16))+(COUNTIF(RUNGIS!$A$7:$A$50,'INSTANCE C2'!A16))+(COUNTIF(SCEAUX!$A$7:$A$50,'INSTANCE C2'!A16))+(COUNTIF('INSTANCE C1'!$A$7:$A$50,'INSTANCE C2'!A16))+(COUNTIF('INSTANCE C2'!$A$7:$A$50,'INSTANCE C2'!A16))+(COUNTIF(INTERNES!$A$7:$A$50,'INSTANCE C2'!A16))+(COUNTIF('EN PANNE'!$A$7:$A$50,'INSTANCE C2'!A16))-C16</f>
        <v>0</v>
      </c>
      <c r="C16" s="23">
        <f>(COUNTIF('2S EXPRESS'!$G$7:$G$50,'INSTANCE C2'!A16))+(COUNTIF('2 ZT'!$G$7:$G$50,'INSTANCE C2'!A16))+(COUNTIF('GO TRANSPORT'!$G$7:$G$50,'INSTANCE C2'!A16))+(COUNTIF('INSTANCE C2'!$G$7:$G$50,'INSTANCE C2'!A16))+(COUNTIF('IB TRANSPORT'!$G$7:$G$50,'INSTANCE C2'!A16))+(COUNTIF(JSL!$G$7:$G$50,'INSTANCE C2'!A16))+(COUNTIF(KIFAITOUT!$G$7:$G$50,'INSTANCE C2'!A16))+(COUNTIF('LUXE DRIVE'!$G$7:$G$50,'INSTANCE C2'!A16))+(COUNTIF(SSN!$G$7:$G$50,'INSTANCE C2'!A16))+(COUNTIF('W3'!$G$7:$G$50,'INSTANCE C2'!A16))+(COUNTIF('ATHIS MONS'!$G$7:$G$50,'INSTANCE C2'!A16))+(COUNTIF('L HAY LES ROSES'!$G$7:$G$50,'INSTANCE C2'!A16))+(COUNTIF(RUNGIS!$G$7:$G$50,'INSTANCE C2'!A16))+(COUNTIF(SCEAUX!$G$7:$G$50,'INSTANCE C2'!A16))+(COUNTIF('INSTANCE C1'!$G$7:$G$50,'INSTANCE C2'!A16))+(COUNTIF('INSTANCE C2'!$G$7:$G$50,'INSTANCE C2'!A16))+(COUNTIF(INTERNES!$G$7:$G$50,'INSTANCE C2'!A16))+(COUNTIF('EN PANNE'!$G$7:$G$50,'INSTANCE C2'!A16))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EXPRESS'!$G$7:$G$50,'INSTANCE C2'!G16))+(COUNTIF('2 ZT'!$G$7:$G$50,'INSTANCE C2'!G16))+(COUNTIF('GO TRANSPORT'!$G$7:$G$50,'INSTANCE C2'!G16))+(COUNTIF('HMZ - KAIS'!$G$7:$G$50,'INSTANCE C2'!G16))+(COUNTIF('IB TRANSPORT'!$G$7:$G$50,'INSTANCE C2'!G16))+(COUNTIF(JSL!$G$7:$G$50,'INSTANCE C2'!G16))+(COUNTIF(KIFAITOUT!$G$7:$G$50,'INSTANCE C2'!G16))+(COUNTIF('LUXE DRIVE'!$G$7:$G$50,'INSTANCE C2'!G16))+(COUNTIF(SSN!$G$7:$G$50,'INSTANCE C2'!G16))+(COUNTIF('W3'!$G$7:$G$50,'INSTANCE C2'!G16))+(COUNTIF('ATHIS MONS'!$G$7:$G$50,'INSTANCE C2'!G16))+(COUNTIF('L HAY LES ROSES'!$G$7:$G$50,'INSTANCE C2'!G16))+(COUNTIF(RUNGIS!$G$7:$G$50,'INSTANCE C2'!G16))+(COUNTIF(SCEAUX!$G$7:$G$50,'INSTANCE C2'!G16))+(COUNTIF('INSTANCE C1'!$G$7:$G$50,'INSTANCE C2'!G16))+(COUNTIF('INSTANCE C2'!$G$7:$G$50,'INSTANCE C2'!G16))+(COUNTIF(INTERNES!$G$7:$G$50,'INSTANCE C2'!G16))+(COUNTIF('EN PANNE'!$G$7:$G$50,'INSTANCE C2'!G16))-I16</f>
        <v>0</v>
      </c>
      <c r="I16" s="23">
        <f>(COUNTIF('2S EXPRESS'!$A$7:$A$50,'INSTANCE C2'!G16))+(COUNTIF('2 ZT'!$A$7:$A$50,'INSTANCE C2'!G16))+(COUNTIF('GO TRANSPORT'!$A$7:$A$50,'INSTANCE C2'!G16))+(COUNTIF('HMZ - KAIS'!$A$7:$A$50,'INSTANCE C2'!G16))+(COUNTIF('IB TRANSPORT'!$A$7:$A$50,'INSTANCE C2'!G16))+(COUNTIF(JSL!$A$7:$A$50,'INSTANCE C2'!G16))+(COUNTIF(KIFAITOUT!$A$7:$A$50,'INSTANCE C2'!G16))+(COUNTIF('LUXE DRIVE'!$A$7:$A$50,'INSTANCE C2'!G16))+(COUNTIF(SSN!$A$7:$A$50,'INSTANCE C2'!G16))+(COUNTIF('W3'!$A$7:$A$50,'INSTANCE C2'!G16))+(COUNTIF('ATHIS MONS'!$A$7:$A$50,'INSTANCE C2'!G16))+(COUNTIF('L HAY LES ROSES'!$A$7:$A$50,'INSTANCE C2'!G16))+(COUNTIF(RUNGIS!$A$7:$A$50,'INSTANCE C2'!G16))+(COUNTIF(SCEAUX!$A$7:$A$50,'INSTANCE C2'!G16))+(COUNTIF('INSTANCE C1'!$A$7:$A$50,'INSTANCE C2'!G16))+(COUNTIF('INSTANCE C2'!$A$7:$A$50,'INSTANCE C2'!G16))+(COUNTIF(INTERNES!$A$7:$A$50,'INSTANCE C2'!G16))+(COUNTIF('EN PANNE'!$A$7:$A$50,'INSTANCE C2'!G16))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R16" s="75"/>
      <c r="S16" s="60">
        <f t="shared" si="1"/>
        <v>0</v>
      </c>
      <c r="T16" s="67">
        <f t="shared" si="2"/>
        <v>0</v>
      </c>
    </row>
    <row r="17" spans="1:20" ht="24.95" customHeight="1" x14ac:dyDescent="0.2">
      <c r="A17" s="20"/>
      <c r="B17" s="23">
        <f>(COUNTIF('2S EXPRESS'!$A$7:$A$50,'INSTANCE C2'!A17))+(COUNTIF('2 ZT'!$A$7:$A$50,'INSTANCE C2'!A17))+(COUNTIF('GO TRANSPORT'!$A$7:$A$50,'INSTANCE C2'!A17))+(COUNTIF('HMZ - KAIS'!$A$7:$A$50,'INSTANCE C2'!A17))+(COUNTIF('IB TRANSPORT'!$A$7:$A$50,'INSTANCE C2'!A17))+(COUNTIF(JSL!$A$7:$A$50,'INSTANCE C2'!A17))+(COUNTIF(KIFAITOUT!$A$7:$A$50,'INSTANCE C2'!A17))+(COUNTIF('LUXE DRIVE'!$A$7:$A$50,'INSTANCE C2'!A17))+(COUNTIF(SSN!$A$7:$A$50,'INSTANCE C2'!A17))+(COUNTIF('W3'!$A$7:$A$50,'INSTANCE C2'!A17))+(COUNTIF('ATHIS MONS'!$A$7:$A$50,'INSTANCE C2'!A17))+(COUNTIF('L HAY LES ROSES'!$A$7:$A$50,'INSTANCE C2'!A17))+(COUNTIF(RUNGIS!$A$7:$A$50,'INSTANCE C2'!A17))+(COUNTIF(SCEAUX!$A$7:$A$50,'INSTANCE C2'!A17))+(COUNTIF('INSTANCE C1'!$A$7:$A$50,'INSTANCE C2'!A17))+(COUNTIF('INSTANCE C2'!$A$7:$A$50,'INSTANCE C2'!A17))+(COUNTIF(INTERNES!$A$7:$A$50,'INSTANCE C2'!A17))+(COUNTIF('EN PANNE'!$A$7:$A$50,'INSTANCE C2'!A17))-C17</f>
        <v>0</v>
      </c>
      <c r="C17" s="23">
        <f>(COUNTIF('2S EXPRESS'!$G$7:$G$50,'INSTANCE C2'!A17))+(COUNTIF('2 ZT'!$G$7:$G$50,'INSTANCE C2'!A17))+(COUNTIF('GO TRANSPORT'!$G$7:$G$50,'INSTANCE C2'!A17))+(COUNTIF('INSTANCE C2'!$G$7:$G$50,'INSTANCE C2'!A17))+(COUNTIF('IB TRANSPORT'!$G$7:$G$50,'INSTANCE C2'!A17))+(COUNTIF(JSL!$G$7:$G$50,'INSTANCE C2'!A17))+(COUNTIF(KIFAITOUT!$G$7:$G$50,'INSTANCE C2'!A17))+(COUNTIF('LUXE DRIVE'!$G$7:$G$50,'INSTANCE C2'!A17))+(COUNTIF(SSN!$G$7:$G$50,'INSTANCE C2'!A17))+(COUNTIF('W3'!$G$7:$G$50,'INSTANCE C2'!A17))+(COUNTIF('ATHIS MONS'!$G$7:$G$50,'INSTANCE C2'!A17))+(COUNTIF('L HAY LES ROSES'!$G$7:$G$50,'INSTANCE C2'!A17))+(COUNTIF(RUNGIS!$G$7:$G$50,'INSTANCE C2'!A17))+(COUNTIF(SCEAUX!$G$7:$G$50,'INSTANCE C2'!A17))+(COUNTIF('INSTANCE C1'!$G$7:$G$50,'INSTANCE C2'!A17))+(COUNTIF('INSTANCE C2'!$G$7:$G$50,'INSTANCE C2'!A17))+(COUNTIF(INTERNES!$G$7:$G$50,'INSTANCE C2'!A17))+(COUNTIF('EN PANNE'!$G$7:$G$50,'INSTANCE C2'!A17))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EXPRESS'!$G$7:$G$50,'INSTANCE C2'!G17))+(COUNTIF('2 ZT'!$G$7:$G$50,'INSTANCE C2'!G17))+(COUNTIF('GO TRANSPORT'!$G$7:$G$50,'INSTANCE C2'!G17))+(COUNTIF('HMZ - KAIS'!$G$7:$G$50,'INSTANCE C2'!G17))+(COUNTIF('IB TRANSPORT'!$G$7:$G$50,'INSTANCE C2'!G17))+(COUNTIF(JSL!$G$7:$G$50,'INSTANCE C2'!G17))+(COUNTIF(KIFAITOUT!$G$7:$G$50,'INSTANCE C2'!G17))+(COUNTIF('LUXE DRIVE'!$G$7:$G$50,'INSTANCE C2'!G17))+(COUNTIF(SSN!$G$7:$G$50,'INSTANCE C2'!G17))+(COUNTIF('W3'!$G$7:$G$50,'INSTANCE C2'!G17))+(COUNTIF('ATHIS MONS'!$G$7:$G$50,'INSTANCE C2'!G17))+(COUNTIF('L HAY LES ROSES'!$G$7:$G$50,'INSTANCE C2'!G17))+(COUNTIF(RUNGIS!$G$7:$G$50,'INSTANCE C2'!G17))+(COUNTIF(SCEAUX!$G$7:$G$50,'INSTANCE C2'!G17))+(COUNTIF('INSTANCE C1'!$G$7:$G$50,'INSTANCE C2'!G17))+(COUNTIF('INSTANCE C2'!$G$7:$G$50,'INSTANCE C2'!G17))+(COUNTIF(INTERNES!$G$7:$G$50,'INSTANCE C2'!G17))+(COUNTIF('EN PANNE'!$G$7:$G$50,'INSTANCE C2'!G17))-I17</f>
        <v>0</v>
      </c>
      <c r="I17" s="23">
        <f>(COUNTIF('2S EXPRESS'!$A$7:$A$50,'INSTANCE C2'!G17))+(COUNTIF('2 ZT'!$A$7:$A$50,'INSTANCE C2'!G17))+(COUNTIF('GO TRANSPORT'!$A$7:$A$50,'INSTANCE C2'!G17))+(COUNTIF('HMZ - KAIS'!$A$7:$A$50,'INSTANCE C2'!G17))+(COUNTIF('IB TRANSPORT'!$A$7:$A$50,'INSTANCE C2'!G17))+(COUNTIF(JSL!$A$7:$A$50,'INSTANCE C2'!G17))+(COUNTIF(KIFAITOUT!$A$7:$A$50,'INSTANCE C2'!G17))+(COUNTIF('LUXE DRIVE'!$A$7:$A$50,'INSTANCE C2'!G17))+(COUNTIF(SSN!$A$7:$A$50,'INSTANCE C2'!G17))+(COUNTIF('W3'!$A$7:$A$50,'INSTANCE C2'!G17))+(COUNTIF('ATHIS MONS'!$A$7:$A$50,'INSTANCE C2'!G17))+(COUNTIF('L HAY LES ROSES'!$A$7:$A$50,'INSTANCE C2'!G17))+(COUNTIF(RUNGIS!$A$7:$A$50,'INSTANCE C2'!G17))+(COUNTIF(SCEAUX!$A$7:$A$50,'INSTANCE C2'!G17))+(COUNTIF('INSTANCE C1'!$A$7:$A$50,'INSTANCE C2'!G17))+(COUNTIF('INSTANCE C2'!$A$7:$A$50,'INSTANCE C2'!G17))+(COUNTIF(INTERNES!$A$7:$A$50,'INSTANCE C2'!G17))+(COUNTIF('EN PANNE'!$A$7:$A$50,'INSTANCE C2'!G17))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R17" s="75"/>
      <c r="S17" s="60">
        <f t="shared" si="1"/>
        <v>0</v>
      </c>
      <c r="T17" s="67">
        <f t="shared" si="2"/>
        <v>0</v>
      </c>
    </row>
    <row r="18" spans="1:20" ht="24.95" customHeight="1" x14ac:dyDescent="0.2">
      <c r="A18" s="20"/>
      <c r="B18" s="23">
        <f>(COUNTIF('2S EXPRESS'!$A$7:$A$50,'INSTANCE C2'!A18))+(COUNTIF('2 ZT'!$A$7:$A$50,'INSTANCE C2'!A18))+(COUNTIF('GO TRANSPORT'!$A$7:$A$50,'INSTANCE C2'!A18))+(COUNTIF('HMZ - KAIS'!$A$7:$A$50,'INSTANCE C2'!A18))+(COUNTIF('IB TRANSPORT'!$A$7:$A$50,'INSTANCE C2'!A18))+(COUNTIF(JSL!$A$7:$A$50,'INSTANCE C2'!A18))+(COUNTIF(KIFAITOUT!$A$7:$A$50,'INSTANCE C2'!A18))+(COUNTIF('LUXE DRIVE'!$A$7:$A$50,'INSTANCE C2'!A18))+(COUNTIF(SSN!$A$7:$A$50,'INSTANCE C2'!A18))+(COUNTIF('W3'!$A$7:$A$50,'INSTANCE C2'!A18))+(COUNTIF('ATHIS MONS'!$A$7:$A$50,'INSTANCE C2'!A18))+(COUNTIF('L HAY LES ROSES'!$A$7:$A$50,'INSTANCE C2'!A18))+(COUNTIF(RUNGIS!$A$7:$A$50,'INSTANCE C2'!A18))+(COUNTIF(SCEAUX!$A$7:$A$50,'INSTANCE C2'!A18))+(COUNTIF('INSTANCE C1'!$A$7:$A$50,'INSTANCE C2'!A18))+(COUNTIF('INSTANCE C2'!$A$7:$A$50,'INSTANCE C2'!A18))+(COUNTIF(INTERNES!$A$7:$A$50,'INSTANCE C2'!A18))+(COUNTIF('EN PANNE'!$A$7:$A$50,'INSTANCE C2'!A18))-C18</f>
        <v>0</v>
      </c>
      <c r="C18" s="23">
        <f>(COUNTIF('2S EXPRESS'!$G$7:$G$50,'INSTANCE C2'!A18))+(COUNTIF('2 ZT'!$G$7:$G$50,'INSTANCE C2'!A18))+(COUNTIF('GO TRANSPORT'!$G$7:$G$50,'INSTANCE C2'!A18))+(COUNTIF('INSTANCE C2'!$G$7:$G$50,'INSTANCE C2'!A18))+(COUNTIF('IB TRANSPORT'!$G$7:$G$50,'INSTANCE C2'!A18))+(COUNTIF(JSL!$G$7:$G$50,'INSTANCE C2'!A18))+(COUNTIF(KIFAITOUT!$G$7:$G$50,'INSTANCE C2'!A18))+(COUNTIF('LUXE DRIVE'!$G$7:$G$50,'INSTANCE C2'!A18))+(COUNTIF(SSN!$G$7:$G$50,'INSTANCE C2'!A18))+(COUNTIF('W3'!$G$7:$G$50,'INSTANCE C2'!A18))+(COUNTIF('ATHIS MONS'!$G$7:$G$50,'INSTANCE C2'!A18))+(COUNTIF('L HAY LES ROSES'!$G$7:$G$50,'INSTANCE C2'!A18))+(COUNTIF(RUNGIS!$G$7:$G$50,'INSTANCE C2'!A18))+(COUNTIF(SCEAUX!$G$7:$G$50,'INSTANCE C2'!A18))+(COUNTIF('INSTANCE C1'!$G$7:$G$50,'INSTANCE C2'!A18))+(COUNTIF('INSTANCE C2'!$G$7:$G$50,'INSTANCE C2'!A18))+(COUNTIF(INTERNES!$G$7:$G$50,'INSTANCE C2'!A18))+(COUNTIF('EN PANNE'!$G$7:$G$50,'INSTANCE C2'!A18))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EXPRESS'!$G$7:$G$50,'INSTANCE C2'!G18))+(COUNTIF('2 ZT'!$G$7:$G$50,'INSTANCE C2'!G18))+(COUNTIF('GO TRANSPORT'!$G$7:$G$50,'INSTANCE C2'!G18))+(COUNTIF('HMZ - KAIS'!$G$7:$G$50,'INSTANCE C2'!G18))+(COUNTIF('IB TRANSPORT'!$G$7:$G$50,'INSTANCE C2'!G18))+(COUNTIF(JSL!$G$7:$G$50,'INSTANCE C2'!G18))+(COUNTIF(KIFAITOUT!$G$7:$G$50,'INSTANCE C2'!G18))+(COUNTIF('LUXE DRIVE'!$G$7:$G$50,'INSTANCE C2'!G18))+(COUNTIF(SSN!$G$7:$G$50,'INSTANCE C2'!G18))+(COUNTIF('W3'!$G$7:$G$50,'INSTANCE C2'!G18))+(COUNTIF('ATHIS MONS'!$G$7:$G$50,'INSTANCE C2'!G18))+(COUNTIF('L HAY LES ROSES'!$G$7:$G$50,'INSTANCE C2'!G18))+(COUNTIF(RUNGIS!$G$7:$G$50,'INSTANCE C2'!G18))+(COUNTIF(SCEAUX!$G$7:$G$50,'INSTANCE C2'!G18))+(COUNTIF('INSTANCE C1'!$G$7:$G$50,'INSTANCE C2'!G18))+(COUNTIF('INSTANCE C2'!$G$7:$G$50,'INSTANCE C2'!G18))+(COUNTIF(INTERNES!$G$7:$G$50,'INSTANCE C2'!G18))+(COUNTIF('EN PANNE'!$G$7:$G$50,'INSTANCE C2'!G18))-I18</f>
        <v>0</v>
      </c>
      <c r="I18" s="23">
        <f>(COUNTIF('2S EXPRESS'!$A$7:$A$50,'INSTANCE C2'!G18))+(COUNTIF('2 ZT'!$A$7:$A$50,'INSTANCE C2'!G18))+(COUNTIF('GO TRANSPORT'!$A$7:$A$50,'INSTANCE C2'!G18))+(COUNTIF('HMZ - KAIS'!$A$7:$A$50,'INSTANCE C2'!G18))+(COUNTIF('IB TRANSPORT'!$A$7:$A$50,'INSTANCE C2'!G18))+(COUNTIF(JSL!$A$7:$A$50,'INSTANCE C2'!G18))+(COUNTIF(KIFAITOUT!$A$7:$A$50,'INSTANCE C2'!G18))+(COUNTIF('LUXE DRIVE'!$A$7:$A$50,'INSTANCE C2'!G18))+(COUNTIF(SSN!$A$7:$A$50,'INSTANCE C2'!G18))+(COUNTIF('W3'!$A$7:$A$50,'INSTANCE C2'!G18))+(COUNTIF('ATHIS MONS'!$A$7:$A$50,'INSTANCE C2'!G18))+(COUNTIF('L HAY LES ROSES'!$A$7:$A$50,'INSTANCE C2'!G18))+(COUNTIF(RUNGIS!$A$7:$A$50,'INSTANCE C2'!G18))+(COUNTIF(SCEAUX!$A$7:$A$50,'INSTANCE C2'!G18))+(COUNTIF('INSTANCE C1'!$A$7:$A$50,'INSTANCE C2'!G18))+(COUNTIF('INSTANCE C2'!$A$7:$A$50,'INSTANCE C2'!G18))+(COUNTIF(INTERNES!$A$7:$A$50,'INSTANCE C2'!G18))+(COUNTIF('EN PANNE'!$A$7:$A$50,'INSTANCE C2'!G18))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R18" s="75"/>
      <c r="S18" s="60">
        <f t="shared" si="1"/>
        <v>0</v>
      </c>
      <c r="T18" s="67">
        <f t="shared" si="2"/>
        <v>0</v>
      </c>
    </row>
    <row r="19" spans="1:20" ht="24.95" customHeight="1" x14ac:dyDescent="0.2">
      <c r="A19" s="20"/>
      <c r="B19" s="23">
        <f>(COUNTIF('2S EXPRESS'!$A$7:$A$50,'INSTANCE C2'!A19))+(COUNTIF('2 ZT'!$A$7:$A$50,'INSTANCE C2'!A19))+(COUNTIF('GO TRANSPORT'!$A$7:$A$50,'INSTANCE C2'!A19))+(COUNTIF('HMZ - KAIS'!$A$7:$A$50,'INSTANCE C2'!A19))+(COUNTIF('IB TRANSPORT'!$A$7:$A$50,'INSTANCE C2'!A19))+(COUNTIF(JSL!$A$7:$A$50,'INSTANCE C2'!A19))+(COUNTIF(KIFAITOUT!$A$7:$A$50,'INSTANCE C2'!A19))+(COUNTIF('LUXE DRIVE'!$A$7:$A$50,'INSTANCE C2'!A19))+(COUNTIF(SSN!$A$7:$A$50,'INSTANCE C2'!A19))+(COUNTIF('W3'!$A$7:$A$50,'INSTANCE C2'!A19))+(COUNTIF('ATHIS MONS'!$A$7:$A$50,'INSTANCE C2'!A19))+(COUNTIF('L HAY LES ROSES'!$A$7:$A$50,'INSTANCE C2'!A19))+(COUNTIF(RUNGIS!$A$7:$A$50,'INSTANCE C2'!A19))+(COUNTIF(SCEAUX!$A$7:$A$50,'INSTANCE C2'!A19))+(COUNTIF('INSTANCE C1'!$A$7:$A$50,'INSTANCE C2'!A19))+(COUNTIF('INSTANCE C2'!$A$7:$A$50,'INSTANCE C2'!A19))+(COUNTIF(INTERNES!$A$7:$A$50,'INSTANCE C2'!A19))+(COUNTIF('EN PANNE'!$A$7:$A$50,'INSTANCE C2'!A19))-C19</f>
        <v>0</v>
      </c>
      <c r="C19" s="23">
        <f>(COUNTIF('2S EXPRESS'!$G$7:$G$50,'INSTANCE C2'!A19))+(COUNTIF('2 ZT'!$G$7:$G$50,'INSTANCE C2'!A19))+(COUNTIF('GO TRANSPORT'!$G$7:$G$50,'INSTANCE C2'!A19))+(COUNTIF('INSTANCE C2'!$G$7:$G$50,'INSTANCE C2'!A19))+(COUNTIF('IB TRANSPORT'!$G$7:$G$50,'INSTANCE C2'!A19))+(COUNTIF(JSL!$G$7:$G$50,'INSTANCE C2'!A19))+(COUNTIF(KIFAITOUT!$G$7:$G$50,'INSTANCE C2'!A19))+(COUNTIF('LUXE DRIVE'!$G$7:$G$50,'INSTANCE C2'!A19))+(COUNTIF(SSN!$G$7:$G$50,'INSTANCE C2'!A19))+(COUNTIF('W3'!$G$7:$G$50,'INSTANCE C2'!A19))+(COUNTIF('ATHIS MONS'!$G$7:$G$50,'INSTANCE C2'!A19))+(COUNTIF('L HAY LES ROSES'!$G$7:$G$50,'INSTANCE C2'!A19))+(COUNTIF(RUNGIS!$G$7:$G$50,'INSTANCE C2'!A19))+(COUNTIF(SCEAUX!$G$7:$G$50,'INSTANCE C2'!A19))+(COUNTIF('INSTANCE C1'!$G$7:$G$50,'INSTANCE C2'!A19))+(COUNTIF('INSTANCE C2'!$G$7:$G$50,'INSTANCE C2'!A19))+(COUNTIF(INTERNES!$G$7:$G$50,'INSTANCE C2'!A19))+(COUNTIF('EN PANNE'!$G$7:$G$50,'INSTANCE C2'!A19))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EXPRESS'!$G$7:$G$50,'INSTANCE C2'!G19))+(COUNTIF('2 ZT'!$G$7:$G$50,'INSTANCE C2'!G19))+(COUNTIF('GO TRANSPORT'!$G$7:$G$50,'INSTANCE C2'!G19))+(COUNTIF('HMZ - KAIS'!$G$7:$G$50,'INSTANCE C2'!G19))+(COUNTIF('IB TRANSPORT'!$G$7:$G$50,'INSTANCE C2'!G19))+(COUNTIF(JSL!$G$7:$G$50,'INSTANCE C2'!G19))+(COUNTIF(KIFAITOUT!$G$7:$G$50,'INSTANCE C2'!G19))+(COUNTIF('LUXE DRIVE'!$G$7:$G$50,'INSTANCE C2'!G19))+(COUNTIF(SSN!$G$7:$G$50,'INSTANCE C2'!G19))+(COUNTIF('W3'!$G$7:$G$50,'INSTANCE C2'!G19))+(COUNTIF('ATHIS MONS'!$G$7:$G$50,'INSTANCE C2'!G19))+(COUNTIF('L HAY LES ROSES'!$G$7:$G$50,'INSTANCE C2'!G19))+(COUNTIF(RUNGIS!$G$7:$G$50,'INSTANCE C2'!G19))+(COUNTIF(SCEAUX!$G$7:$G$50,'INSTANCE C2'!G19))+(COUNTIF('INSTANCE C1'!$G$7:$G$50,'INSTANCE C2'!G19))+(COUNTIF('INSTANCE C2'!$G$7:$G$50,'INSTANCE C2'!G19))+(COUNTIF(INTERNES!$G$7:$G$50,'INSTANCE C2'!G19))+(COUNTIF('EN PANNE'!$G$7:$G$50,'INSTANCE C2'!G19))-I19</f>
        <v>0</v>
      </c>
      <c r="I19" s="23">
        <f>(COUNTIF('2S EXPRESS'!$A$7:$A$50,'INSTANCE C2'!G19))+(COUNTIF('2 ZT'!$A$7:$A$50,'INSTANCE C2'!G19))+(COUNTIF('GO TRANSPORT'!$A$7:$A$50,'INSTANCE C2'!G19))+(COUNTIF('HMZ - KAIS'!$A$7:$A$50,'INSTANCE C2'!G19))+(COUNTIF('IB TRANSPORT'!$A$7:$A$50,'INSTANCE C2'!G19))+(COUNTIF(JSL!$A$7:$A$50,'INSTANCE C2'!G19))+(COUNTIF(KIFAITOUT!$A$7:$A$50,'INSTANCE C2'!G19))+(COUNTIF('LUXE DRIVE'!$A$7:$A$50,'INSTANCE C2'!G19))+(COUNTIF(SSN!$A$7:$A$50,'INSTANCE C2'!G19))+(COUNTIF('W3'!$A$7:$A$50,'INSTANCE C2'!G19))+(COUNTIF('ATHIS MONS'!$A$7:$A$50,'INSTANCE C2'!G19))+(COUNTIF('L HAY LES ROSES'!$A$7:$A$50,'INSTANCE C2'!G19))+(COUNTIF(RUNGIS!$A$7:$A$50,'INSTANCE C2'!G19))+(COUNTIF(SCEAUX!$A$7:$A$50,'INSTANCE C2'!G19))+(COUNTIF('INSTANCE C1'!$A$7:$A$50,'INSTANCE C2'!G19))+(COUNTIF('INSTANCE C2'!$A$7:$A$50,'INSTANCE C2'!G19))+(COUNTIF(INTERNES!$A$7:$A$50,'INSTANCE C2'!G19))+(COUNTIF('EN PANNE'!$A$7:$A$50,'INSTANCE C2'!G19))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R19" s="75"/>
      <c r="S19" s="60">
        <f t="shared" si="1"/>
        <v>0</v>
      </c>
      <c r="T19" s="67">
        <f t="shared" si="2"/>
        <v>0</v>
      </c>
    </row>
    <row r="20" spans="1:20" ht="24.95" customHeight="1" x14ac:dyDescent="0.2">
      <c r="A20" s="20"/>
      <c r="B20" s="23">
        <f>(COUNTIF('2S EXPRESS'!$A$7:$A$50,'INSTANCE C2'!A20))+(COUNTIF('2 ZT'!$A$7:$A$50,'INSTANCE C2'!A20))+(COUNTIF('GO TRANSPORT'!$A$7:$A$50,'INSTANCE C2'!A20))+(COUNTIF('HMZ - KAIS'!$A$7:$A$50,'INSTANCE C2'!A20))+(COUNTIF('IB TRANSPORT'!$A$7:$A$50,'INSTANCE C2'!A20))+(COUNTIF(JSL!$A$7:$A$50,'INSTANCE C2'!A20))+(COUNTIF(KIFAITOUT!$A$7:$A$50,'INSTANCE C2'!A20))+(COUNTIF('LUXE DRIVE'!$A$7:$A$50,'INSTANCE C2'!A20))+(COUNTIF(SSN!$A$7:$A$50,'INSTANCE C2'!A20))+(COUNTIF('W3'!$A$7:$A$50,'INSTANCE C2'!A20))+(COUNTIF('ATHIS MONS'!$A$7:$A$50,'INSTANCE C2'!A20))+(COUNTIF('L HAY LES ROSES'!$A$7:$A$50,'INSTANCE C2'!A20))+(COUNTIF(RUNGIS!$A$7:$A$50,'INSTANCE C2'!A20))+(COUNTIF(SCEAUX!$A$7:$A$50,'INSTANCE C2'!A20))+(COUNTIF('INSTANCE C1'!$A$7:$A$50,'INSTANCE C2'!A20))+(COUNTIF('INSTANCE C2'!$A$7:$A$50,'INSTANCE C2'!A20))+(COUNTIF(INTERNES!$A$7:$A$50,'INSTANCE C2'!A20))+(COUNTIF('EN PANNE'!$A$7:$A$50,'INSTANCE C2'!A20))-C20</f>
        <v>0</v>
      </c>
      <c r="C20" s="23">
        <f>(COUNTIF('2S EXPRESS'!$G$7:$G$50,'INSTANCE C2'!A20))+(COUNTIF('2 ZT'!$G$7:$G$50,'INSTANCE C2'!A20))+(COUNTIF('GO TRANSPORT'!$G$7:$G$50,'INSTANCE C2'!A20))+(COUNTIF('INSTANCE C2'!$G$7:$G$50,'INSTANCE C2'!A20))+(COUNTIF('IB TRANSPORT'!$G$7:$G$50,'INSTANCE C2'!A20))+(COUNTIF(JSL!$G$7:$G$50,'INSTANCE C2'!A20))+(COUNTIF(KIFAITOUT!$G$7:$G$50,'INSTANCE C2'!A20))+(COUNTIF('LUXE DRIVE'!$G$7:$G$50,'INSTANCE C2'!A20))+(COUNTIF(SSN!$G$7:$G$50,'INSTANCE C2'!A20))+(COUNTIF('W3'!$G$7:$G$50,'INSTANCE C2'!A20))+(COUNTIF('ATHIS MONS'!$G$7:$G$50,'INSTANCE C2'!A20))+(COUNTIF('L HAY LES ROSES'!$G$7:$G$50,'INSTANCE C2'!A20))+(COUNTIF(RUNGIS!$G$7:$G$50,'INSTANCE C2'!A20))+(COUNTIF(SCEAUX!$G$7:$G$50,'INSTANCE C2'!A20))+(COUNTIF('INSTANCE C1'!$G$7:$G$50,'INSTANCE C2'!A20))+(COUNTIF('INSTANCE C2'!$G$7:$G$50,'INSTANCE C2'!A20))+(COUNTIF(INTERNES!$G$7:$G$50,'INSTANCE C2'!A20))+(COUNTIF('EN PANNE'!$G$7:$G$50,'INSTANCE C2'!A20))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EXPRESS'!$G$7:$G$50,'INSTANCE C2'!G20))+(COUNTIF('2 ZT'!$G$7:$G$50,'INSTANCE C2'!G20))+(COUNTIF('GO TRANSPORT'!$G$7:$G$50,'INSTANCE C2'!G20))+(COUNTIF('HMZ - KAIS'!$G$7:$G$50,'INSTANCE C2'!G20))+(COUNTIF('IB TRANSPORT'!$G$7:$G$50,'INSTANCE C2'!G20))+(COUNTIF(JSL!$G$7:$G$50,'INSTANCE C2'!G20))+(COUNTIF(KIFAITOUT!$G$7:$G$50,'INSTANCE C2'!G20))+(COUNTIF('LUXE DRIVE'!$G$7:$G$50,'INSTANCE C2'!G20))+(COUNTIF(SSN!$G$7:$G$50,'INSTANCE C2'!G20))+(COUNTIF('W3'!$G$7:$G$50,'INSTANCE C2'!G20))+(COUNTIF('ATHIS MONS'!$G$7:$G$50,'INSTANCE C2'!G20))+(COUNTIF('L HAY LES ROSES'!$G$7:$G$50,'INSTANCE C2'!G20))+(COUNTIF(RUNGIS!$G$7:$G$50,'INSTANCE C2'!G20))+(COUNTIF(SCEAUX!$G$7:$G$50,'INSTANCE C2'!G20))+(COUNTIF('INSTANCE C1'!$G$7:$G$50,'INSTANCE C2'!G20))+(COUNTIF('INSTANCE C2'!$G$7:$G$50,'INSTANCE C2'!G20))+(COUNTIF(INTERNES!$G$7:$G$50,'INSTANCE C2'!G20))+(COUNTIF('EN PANNE'!$G$7:$G$50,'INSTANCE C2'!G20))-I20</f>
        <v>0</v>
      </c>
      <c r="I20" s="23">
        <f>(COUNTIF('2S EXPRESS'!$A$7:$A$50,'INSTANCE C2'!G20))+(COUNTIF('2 ZT'!$A$7:$A$50,'INSTANCE C2'!G20))+(COUNTIF('GO TRANSPORT'!$A$7:$A$50,'INSTANCE C2'!G20))+(COUNTIF('HMZ - KAIS'!$A$7:$A$50,'INSTANCE C2'!G20))+(COUNTIF('IB TRANSPORT'!$A$7:$A$50,'INSTANCE C2'!G20))+(COUNTIF(JSL!$A$7:$A$50,'INSTANCE C2'!G20))+(COUNTIF(KIFAITOUT!$A$7:$A$50,'INSTANCE C2'!G20))+(COUNTIF('LUXE DRIVE'!$A$7:$A$50,'INSTANCE C2'!G20))+(COUNTIF(SSN!$A$7:$A$50,'INSTANCE C2'!G20))+(COUNTIF('W3'!$A$7:$A$50,'INSTANCE C2'!G20))+(COUNTIF('ATHIS MONS'!$A$7:$A$50,'INSTANCE C2'!G20))+(COUNTIF('L HAY LES ROSES'!$A$7:$A$50,'INSTANCE C2'!G20))+(COUNTIF(RUNGIS!$A$7:$A$50,'INSTANCE C2'!G20))+(COUNTIF(SCEAUX!$A$7:$A$50,'INSTANCE C2'!G20))+(COUNTIF('INSTANCE C1'!$A$7:$A$50,'INSTANCE C2'!G20))+(COUNTIF('INSTANCE C2'!$A$7:$A$50,'INSTANCE C2'!G20))+(COUNTIF(INTERNES!$A$7:$A$50,'INSTANCE C2'!G20))+(COUNTIF('EN PANNE'!$A$7:$A$50,'INSTANCE C2'!G20))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R20" s="75"/>
      <c r="S20" s="60">
        <f t="shared" si="1"/>
        <v>0</v>
      </c>
      <c r="T20" s="67">
        <f t="shared" si="2"/>
        <v>0</v>
      </c>
    </row>
    <row r="21" spans="1:20" ht="24.95" customHeight="1" x14ac:dyDescent="0.2">
      <c r="A21" s="20"/>
      <c r="B21" s="23">
        <f>(COUNTIF('2S EXPRESS'!$A$7:$A$50,'INSTANCE C2'!A21))+(COUNTIF('2 ZT'!$A$7:$A$50,'INSTANCE C2'!A21))+(COUNTIF('GO TRANSPORT'!$A$7:$A$50,'INSTANCE C2'!A21))+(COUNTIF('HMZ - KAIS'!$A$7:$A$50,'INSTANCE C2'!A21))+(COUNTIF('IB TRANSPORT'!$A$7:$A$50,'INSTANCE C2'!A21))+(COUNTIF(JSL!$A$7:$A$50,'INSTANCE C2'!A21))+(COUNTIF(KIFAITOUT!$A$7:$A$50,'INSTANCE C2'!A21))+(COUNTIF('LUXE DRIVE'!$A$7:$A$50,'INSTANCE C2'!A21))+(COUNTIF(SSN!$A$7:$A$50,'INSTANCE C2'!A21))+(COUNTIF('W3'!$A$7:$A$50,'INSTANCE C2'!A21))+(COUNTIF('ATHIS MONS'!$A$7:$A$50,'INSTANCE C2'!A21))+(COUNTIF('L HAY LES ROSES'!$A$7:$A$50,'INSTANCE C2'!A21))+(COUNTIF(RUNGIS!$A$7:$A$50,'INSTANCE C2'!A21))+(COUNTIF(SCEAUX!$A$7:$A$50,'INSTANCE C2'!A21))+(COUNTIF('INSTANCE C1'!$A$7:$A$50,'INSTANCE C2'!A21))+(COUNTIF('INSTANCE C2'!$A$7:$A$50,'INSTANCE C2'!A21))+(COUNTIF(INTERNES!$A$7:$A$50,'INSTANCE C2'!A21))+(COUNTIF('EN PANNE'!$A$7:$A$50,'INSTANCE C2'!A21))-C21</f>
        <v>0</v>
      </c>
      <c r="C21" s="23">
        <f>(COUNTIF('2S EXPRESS'!$G$7:$G$50,'INSTANCE C2'!A21))+(COUNTIF('2 ZT'!$G$7:$G$50,'INSTANCE C2'!A21))+(COUNTIF('GO TRANSPORT'!$G$7:$G$50,'INSTANCE C2'!A21))+(COUNTIF('INSTANCE C2'!$G$7:$G$50,'INSTANCE C2'!A21))+(COUNTIF('IB TRANSPORT'!$G$7:$G$50,'INSTANCE C2'!A21))+(COUNTIF(JSL!$G$7:$G$50,'INSTANCE C2'!A21))+(COUNTIF(KIFAITOUT!$G$7:$G$50,'INSTANCE C2'!A21))+(COUNTIF('LUXE DRIVE'!$G$7:$G$50,'INSTANCE C2'!A21))+(COUNTIF(SSN!$G$7:$G$50,'INSTANCE C2'!A21))+(COUNTIF('W3'!$G$7:$G$50,'INSTANCE C2'!A21))+(COUNTIF('ATHIS MONS'!$G$7:$G$50,'INSTANCE C2'!A21))+(COUNTIF('L HAY LES ROSES'!$G$7:$G$50,'INSTANCE C2'!A21))+(COUNTIF(RUNGIS!$G$7:$G$50,'INSTANCE C2'!A21))+(COUNTIF(SCEAUX!$G$7:$G$50,'INSTANCE C2'!A21))+(COUNTIF('INSTANCE C1'!$G$7:$G$50,'INSTANCE C2'!A21))+(COUNTIF('INSTANCE C2'!$G$7:$G$50,'INSTANCE C2'!A21))+(COUNTIF(INTERNES!$G$7:$G$50,'INSTANCE C2'!A21))+(COUNTIF('EN PANNE'!$G$7:$G$50,'INSTANCE C2'!A21))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EXPRESS'!$G$7:$G$50,'INSTANCE C2'!G21))+(COUNTIF('2 ZT'!$G$7:$G$50,'INSTANCE C2'!G21))+(COUNTIF('GO TRANSPORT'!$G$7:$G$50,'INSTANCE C2'!G21))+(COUNTIF('HMZ - KAIS'!$G$7:$G$50,'INSTANCE C2'!G21))+(COUNTIF('IB TRANSPORT'!$G$7:$G$50,'INSTANCE C2'!G21))+(COUNTIF(JSL!$G$7:$G$50,'INSTANCE C2'!G21))+(COUNTIF(KIFAITOUT!$G$7:$G$50,'INSTANCE C2'!G21))+(COUNTIF('LUXE DRIVE'!$G$7:$G$50,'INSTANCE C2'!G21))+(COUNTIF(SSN!$G$7:$G$50,'INSTANCE C2'!G21))+(COUNTIF('W3'!$G$7:$G$50,'INSTANCE C2'!G21))+(COUNTIF('ATHIS MONS'!$G$7:$G$50,'INSTANCE C2'!G21))+(COUNTIF('L HAY LES ROSES'!$G$7:$G$50,'INSTANCE C2'!G21))+(COUNTIF(RUNGIS!$G$7:$G$50,'INSTANCE C2'!G21))+(COUNTIF(SCEAUX!$G$7:$G$50,'INSTANCE C2'!G21))+(COUNTIF('INSTANCE C1'!$G$7:$G$50,'INSTANCE C2'!G21))+(COUNTIF('INSTANCE C2'!$G$7:$G$50,'INSTANCE C2'!G21))+(COUNTIF(INTERNES!$G$7:$G$50,'INSTANCE C2'!G21))+(COUNTIF('EN PANNE'!$G$7:$G$50,'INSTANCE C2'!G21))-I21</f>
        <v>0</v>
      </c>
      <c r="I21" s="23">
        <f>(COUNTIF('2S EXPRESS'!$A$7:$A$50,'INSTANCE C2'!G21))+(COUNTIF('2 ZT'!$A$7:$A$50,'INSTANCE C2'!G21))+(COUNTIF('GO TRANSPORT'!$A$7:$A$50,'INSTANCE C2'!G21))+(COUNTIF('HMZ - KAIS'!$A$7:$A$50,'INSTANCE C2'!G21))+(COUNTIF('IB TRANSPORT'!$A$7:$A$50,'INSTANCE C2'!G21))+(COUNTIF(JSL!$A$7:$A$50,'INSTANCE C2'!G21))+(COUNTIF(KIFAITOUT!$A$7:$A$50,'INSTANCE C2'!G21))+(COUNTIF('LUXE DRIVE'!$A$7:$A$50,'INSTANCE C2'!G21))+(COUNTIF(SSN!$A$7:$A$50,'INSTANCE C2'!G21))+(COUNTIF('W3'!$A$7:$A$50,'INSTANCE C2'!G21))+(COUNTIF('ATHIS MONS'!$A$7:$A$50,'INSTANCE C2'!G21))+(COUNTIF('L HAY LES ROSES'!$A$7:$A$50,'INSTANCE C2'!G21))+(COUNTIF(RUNGIS!$A$7:$A$50,'INSTANCE C2'!G21))+(COUNTIF(SCEAUX!$A$7:$A$50,'INSTANCE C2'!G21))+(COUNTIF('INSTANCE C1'!$A$7:$A$50,'INSTANCE C2'!G21))+(COUNTIF('INSTANCE C2'!$A$7:$A$50,'INSTANCE C2'!G21))+(COUNTIF(INTERNES!$A$7:$A$50,'INSTANCE C2'!G21))+(COUNTIF('EN PANNE'!$A$7:$A$50,'INSTANCE C2'!G21))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R21" s="75"/>
      <c r="S21" s="60">
        <f t="shared" si="1"/>
        <v>0</v>
      </c>
      <c r="T21" s="67">
        <f t="shared" si="2"/>
        <v>0</v>
      </c>
    </row>
    <row r="22" spans="1:20" ht="24.95" customHeight="1" x14ac:dyDescent="0.2">
      <c r="A22" s="20"/>
      <c r="B22" s="23">
        <f>(COUNTIF('2S EXPRESS'!$A$7:$A$50,'INSTANCE C2'!A22))+(COUNTIF('2 ZT'!$A$7:$A$50,'INSTANCE C2'!A22))+(COUNTIF('GO TRANSPORT'!$A$7:$A$50,'INSTANCE C2'!A22))+(COUNTIF('HMZ - KAIS'!$A$7:$A$50,'INSTANCE C2'!A22))+(COUNTIF('IB TRANSPORT'!$A$7:$A$50,'INSTANCE C2'!A22))+(COUNTIF(JSL!$A$7:$A$50,'INSTANCE C2'!A22))+(COUNTIF(KIFAITOUT!$A$7:$A$50,'INSTANCE C2'!A22))+(COUNTIF('LUXE DRIVE'!$A$7:$A$50,'INSTANCE C2'!A22))+(COUNTIF(SSN!$A$7:$A$50,'INSTANCE C2'!A22))+(COUNTIF('W3'!$A$7:$A$50,'INSTANCE C2'!A22))+(COUNTIF('ATHIS MONS'!$A$7:$A$50,'INSTANCE C2'!A22))+(COUNTIF('L HAY LES ROSES'!$A$7:$A$50,'INSTANCE C2'!A22))+(COUNTIF(RUNGIS!$A$7:$A$50,'INSTANCE C2'!A22))+(COUNTIF(SCEAUX!$A$7:$A$50,'INSTANCE C2'!A22))+(COUNTIF('INSTANCE C1'!$A$7:$A$50,'INSTANCE C2'!A22))+(COUNTIF('INSTANCE C2'!$A$7:$A$50,'INSTANCE C2'!A22))+(COUNTIF(INTERNES!$A$7:$A$50,'INSTANCE C2'!A22))+(COUNTIF('EN PANNE'!$A$7:$A$50,'INSTANCE C2'!A22))-C22</f>
        <v>0</v>
      </c>
      <c r="C22" s="23">
        <f>(COUNTIF('2S EXPRESS'!$G$7:$G$50,'INSTANCE C2'!A22))+(COUNTIF('2 ZT'!$G$7:$G$50,'INSTANCE C2'!A22))+(COUNTIF('GO TRANSPORT'!$G$7:$G$50,'INSTANCE C2'!A22))+(COUNTIF('INSTANCE C2'!$G$7:$G$50,'INSTANCE C2'!A22))+(COUNTIF('IB TRANSPORT'!$G$7:$G$50,'INSTANCE C2'!A22))+(COUNTIF(JSL!$G$7:$G$50,'INSTANCE C2'!A22))+(COUNTIF(KIFAITOUT!$G$7:$G$50,'INSTANCE C2'!A22))+(COUNTIF('LUXE DRIVE'!$G$7:$G$50,'INSTANCE C2'!A22))+(COUNTIF(SSN!$G$7:$G$50,'INSTANCE C2'!A22))+(COUNTIF('W3'!$G$7:$G$50,'INSTANCE C2'!A22))+(COUNTIF('ATHIS MONS'!$G$7:$G$50,'INSTANCE C2'!A22))+(COUNTIF('L HAY LES ROSES'!$G$7:$G$50,'INSTANCE C2'!A22))+(COUNTIF(RUNGIS!$G$7:$G$50,'INSTANCE C2'!A22))+(COUNTIF(SCEAUX!$G$7:$G$50,'INSTANCE C2'!A22))+(COUNTIF('INSTANCE C1'!$G$7:$G$50,'INSTANCE C2'!A22))+(COUNTIF('INSTANCE C2'!$G$7:$G$50,'INSTANCE C2'!A22))+(COUNTIF(INTERNES!$G$7:$G$50,'INSTANCE C2'!A22))+(COUNTIF('EN PANNE'!$G$7:$G$50,'INSTANCE C2'!A22))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EXPRESS'!$G$7:$G$50,'INSTANCE C2'!G22))+(COUNTIF('2 ZT'!$G$7:$G$50,'INSTANCE C2'!G22))+(COUNTIF('GO TRANSPORT'!$G$7:$G$50,'INSTANCE C2'!G22))+(COUNTIF('HMZ - KAIS'!$G$7:$G$50,'INSTANCE C2'!G22))+(COUNTIF('IB TRANSPORT'!$G$7:$G$50,'INSTANCE C2'!G22))+(COUNTIF(JSL!$G$7:$G$50,'INSTANCE C2'!G22))+(COUNTIF(KIFAITOUT!$G$7:$G$50,'INSTANCE C2'!G22))+(COUNTIF('LUXE DRIVE'!$G$7:$G$50,'INSTANCE C2'!G22))+(COUNTIF(SSN!$G$7:$G$50,'INSTANCE C2'!G22))+(COUNTIF('W3'!$G$7:$G$50,'INSTANCE C2'!G22))+(COUNTIF('ATHIS MONS'!$G$7:$G$50,'INSTANCE C2'!G22))+(COUNTIF('L HAY LES ROSES'!$G$7:$G$50,'INSTANCE C2'!G22))+(COUNTIF(RUNGIS!$G$7:$G$50,'INSTANCE C2'!G22))+(COUNTIF(SCEAUX!$G$7:$G$50,'INSTANCE C2'!G22))+(COUNTIF('INSTANCE C1'!$G$7:$G$50,'INSTANCE C2'!G22))+(COUNTIF('INSTANCE C2'!$G$7:$G$50,'INSTANCE C2'!G22))+(COUNTIF(INTERNES!$G$7:$G$50,'INSTANCE C2'!G22))+(COUNTIF('EN PANNE'!$G$7:$G$50,'INSTANCE C2'!G22))-I22</f>
        <v>0</v>
      </c>
      <c r="I22" s="23">
        <f>(COUNTIF('2S EXPRESS'!$A$7:$A$50,'INSTANCE C2'!G22))+(COUNTIF('2 ZT'!$A$7:$A$50,'INSTANCE C2'!G22))+(COUNTIF('GO TRANSPORT'!$A$7:$A$50,'INSTANCE C2'!G22))+(COUNTIF('HMZ - KAIS'!$A$7:$A$50,'INSTANCE C2'!G22))+(COUNTIF('IB TRANSPORT'!$A$7:$A$50,'INSTANCE C2'!G22))+(COUNTIF(JSL!$A$7:$A$50,'INSTANCE C2'!G22))+(COUNTIF(KIFAITOUT!$A$7:$A$50,'INSTANCE C2'!G22))+(COUNTIF('LUXE DRIVE'!$A$7:$A$50,'INSTANCE C2'!G22))+(COUNTIF(SSN!$A$7:$A$50,'INSTANCE C2'!G22))+(COUNTIF('W3'!$A$7:$A$50,'INSTANCE C2'!G22))+(COUNTIF('ATHIS MONS'!$A$7:$A$50,'INSTANCE C2'!G22))+(COUNTIF('L HAY LES ROSES'!$A$7:$A$50,'INSTANCE C2'!G22))+(COUNTIF(RUNGIS!$A$7:$A$50,'INSTANCE C2'!G22))+(COUNTIF(SCEAUX!$A$7:$A$50,'INSTANCE C2'!G22))+(COUNTIF('INSTANCE C1'!$A$7:$A$50,'INSTANCE C2'!G22))+(COUNTIF('INSTANCE C2'!$A$7:$A$50,'INSTANCE C2'!G22))+(COUNTIF(INTERNES!$A$7:$A$50,'INSTANCE C2'!G22))+(COUNTIF('EN PANNE'!$A$7:$A$50,'INSTANCE C2'!G22))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R22" s="75"/>
      <c r="S22" s="60">
        <f t="shared" si="1"/>
        <v>0</v>
      </c>
      <c r="T22" s="67">
        <f t="shared" si="2"/>
        <v>0</v>
      </c>
    </row>
    <row r="23" spans="1:20" ht="24.95" customHeight="1" x14ac:dyDescent="0.2">
      <c r="A23" s="20"/>
      <c r="B23" s="23">
        <f>(COUNTIF('2S EXPRESS'!$A$7:$A$50,'INSTANCE C2'!A23))+(COUNTIF('2 ZT'!$A$7:$A$50,'INSTANCE C2'!A23))+(COUNTIF('GO TRANSPORT'!$A$7:$A$50,'INSTANCE C2'!A23))+(COUNTIF('HMZ - KAIS'!$A$7:$A$50,'INSTANCE C2'!A23))+(COUNTIF('IB TRANSPORT'!$A$7:$A$50,'INSTANCE C2'!A23))+(COUNTIF(JSL!$A$7:$A$50,'INSTANCE C2'!A23))+(COUNTIF(KIFAITOUT!$A$7:$A$50,'INSTANCE C2'!A23))+(COUNTIF('LUXE DRIVE'!$A$7:$A$50,'INSTANCE C2'!A23))+(COUNTIF(SSN!$A$7:$A$50,'INSTANCE C2'!A23))+(COUNTIF('W3'!$A$7:$A$50,'INSTANCE C2'!A23))+(COUNTIF('ATHIS MONS'!$A$7:$A$50,'INSTANCE C2'!A23))+(COUNTIF('L HAY LES ROSES'!$A$7:$A$50,'INSTANCE C2'!A23))+(COUNTIF(RUNGIS!$A$7:$A$50,'INSTANCE C2'!A23))+(COUNTIF(SCEAUX!$A$7:$A$50,'INSTANCE C2'!A23))+(COUNTIF('INSTANCE C1'!$A$7:$A$50,'INSTANCE C2'!A23))+(COUNTIF('INSTANCE C2'!$A$7:$A$50,'INSTANCE C2'!A23))+(COUNTIF(INTERNES!$A$7:$A$50,'INSTANCE C2'!A23))+(COUNTIF('EN PANNE'!$A$7:$A$50,'INSTANCE C2'!A23))-C23</f>
        <v>0</v>
      </c>
      <c r="C23" s="23">
        <f>(COUNTIF('2S EXPRESS'!$G$7:$G$50,'INSTANCE C2'!A23))+(COUNTIF('2 ZT'!$G$7:$G$50,'INSTANCE C2'!A23))+(COUNTIF('GO TRANSPORT'!$G$7:$G$50,'INSTANCE C2'!A23))+(COUNTIF('INSTANCE C2'!$G$7:$G$50,'INSTANCE C2'!A23))+(COUNTIF('IB TRANSPORT'!$G$7:$G$50,'INSTANCE C2'!A23))+(COUNTIF(JSL!$G$7:$G$50,'INSTANCE C2'!A23))+(COUNTIF(KIFAITOUT!$G$7:$G$50,'INSTANCE C2'!A23))+(COUNTIF('LUXE DRIVE'!$G$7:$G$50,'INSTANCE C2'!A23))+(COUNTIF(SSN!$G$7:$G$50,'INSTANCE C2'!A23))+(COUNTIF('W3'!$G$7:$G$50,'INSTANCE C2'!A23))+(COUNTIF('ATHIS MONS'!$G$7:$G$50,'INSTANCE C2'!A23))+(COUNTIF('L HAY LES ROSES'!$G$7:$G$50,'INSTANCE C2'!A23))+(COUNTIF(RUNGIS!$G$7:$G$50,'INSTANCE C2'!A23))+(COUNTIF(SCEAUX!$G$7:$G$50,'INSTANCE C2'!A23))+(COUNTIF('INSTANCE C1'!$G$7:$G$50,'INSTANCE C2'!A23))+(COUNTIF('INSTANCE C2'!$G$7:$G$50,'INSTANCE C2'!A23))+(COUNTIF(INTERNES!$G$7:$G$50,'INSTANCE C2'!A23))+(COUNTIF('EN PANNE'!$G$7:$G$50,'INSTANCE C2'!A23))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EXPRESS'!$G$7:$G$50,'INSTANCE C2'!G23))+(COUNTIF('2 ZT'!$G$7:$G$50,'INSTANCE C2'!G23))+(COUNTIF('GO TRANSPORT'!$G$7:$G$50,'INSTANCE C2'!G23))+(COUNTIF('HMZ - KAIS'!$G$7:$G$50,'INSTANCE C2'!G23))+(COUNTIF('IB TRANSPORT'!$G$7:$G$50,'INSTANCE C2'!G23))+(COUNTIF(JSL!$G$7:$G$50,'INSTANCE C2'!G23))+(COUNTIF(KIFAITOUT!$G$7:$G$50,'INSTANCE C2'!G23))+(COUNTIF('LUXE DRIVE'!$G$7:$G$50,'INSTANCE C2'!G23))+(COUNTIF(SSN!$G$7:$G$50,'INSTANCE C2'!G23))+(COUNTIF('W3'!$G$7:$G$50,'INSTANCE C2'!G23))+(COUNTIF('ATHIS MONS'!$G$7:$G$50,'INSTANCE C2'!G23))+(COUNTIF('L HAY LES ROSES'!$G$7:$G$50,'INSTANCE C2'!G23))+(COUNTIF(RUNGIS!$G$7:$G$50,'INSTANCE C2'!G23))+(COUNTIF(SCEAUX!$G$7:$G$50,'INSTANCE C2'!G23))+(COUNTIF('INSTANCE C1'!$G$7:$G$50,'INSTANCE C2'!G23))+(COUNTIF('INSTANCE C2'!$G$7:$G$50,'INSTANCE C2'!G23))+(COUNTIF(INTERNES!$G$7:$G$50,'INSTANCE C2'!G23))+(COUNTIF('EN PANNE'!$G$7:$G$50,'INSTANCE C2'!G23))-I23</f>
        <v>0</v>
      </c>
      <c r="I23" s="23">
        <f>(COUNTIF('2S EXPRESS'!$A$7:$A$50,'INSTANCE C2'!G23))+(COUNTIF('2 ZT'!$A$7:$A$50,'INSTANCE C2'!G23))+(COUNTIF('GO TRANSPORT'!$A$7:$A$50,'INSTANCE C2'!G23))+(COUNTIF('HMZ - KAIS'!$A$7:$A$50,'INSTANCE C2'!G23))+(COUNTIF('IB TRANSPORT'!$A$7:$A$50,'INSTANCE C2'!G23))+(COUNTIF(JSL!$A$7:$A$50,'INSTANCE C2'!G23))+(COUNTIF(KIFAITOUT!$A$7:$A$50,'INSTANCE C2'!G23))+(COUNTIF('LUXE DRIVE'!$A$7:$A$50,'INSTANCE C2'!G23))+(COUNTIF(SSN!$A$7:$A$50,'INSTANCE C2'!G23))+(COUNTIF('W3'!$A$7:$A$50,'INSTANCE C2'!G23))+(COUNTIF('ATHIS MONS'!$A$7:$A$50,'INSTANCE C2'!G23))+(COUNTIF('L HAY LES ROSES'!$A$7:$A$50,'INSTANCE C2'!G23))+(COUNTIF(RUNGIS!$A$7:$A$50,'INSTANCE C2'!G23))+(COUNTIF(SCEAUX!$A$7:$A$50,'INSTANCE C2'!G23))+(COUNTIF('INSTANCE C1'!$A$7:$A$50,'INSTANCE C2'!G23))+(COUNTIF('INSTANCE C2'!$A$7:$A$50,'INSTANCE C2'!G23))+(COUNTIF(INTERNES!$A$7:$A$50,'INSTANCE C2'!G23))+(COUNTIF('EN PANNE'!$A$7:$A$50,'INSTANCE C2'!G23))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R23" s="75"/>
      <c r="S23" s="60">
        <f t="shared" si="1"/>
        <v>0</v>
      </c>
      <c r="T23" s="67">
        <f t="shared" si="2"/>
        <v>0</v>
      </c>
    </row>
    <row r="24" spans="1:20" ht="24.95" customHeight="1" x14ac:dyDescent="0.2">
      <c r="A24" s="20"/>
      <c r="B24" s="23">
        <f>(COUNTIF('2S EXPRESS'!$A$7:$A$50,'INSTANCE C2'!A24))+(COUNTIF('2 ZT'!$A$7:$A$50,'INSTANCE C2'!A24))+(COUNTIF('GO TRANSPORT'!$A$7:$A$50,'INSTANCE C2'!A24))+(COUNTIF('HMZ - KAIS'!$A$7:$A$50,'INSTANCE C2'!A24))+(COUNTIF('IB TRANSPORT'!$A$7:$A$50,'INSTANCE C2'!A24))+(COUNTIF(JSL!$A$7:$A$50,'INSTANCE C2'!A24))+(COUNTIF(KIFAITOUT!$A$7:$A$50,'INSTANCE C2'!A24))+(COUNTIF('LUXE DRIVE'!$A$7:$A$50,'INSTANCE C2'!A24))+(COUNTIF(SSN!$A$7:$A$50,'INSTANCE C2'!A24))+(COUNTIF('W3'!$A$7:$A$50,'INSTANCE C2'!A24))+(COUNTIF('ATHIS MONS'!$A$7:$A$50,'INSTANCE C2'!A24))+(COUNTIF('L HAY LES ROSES'!$A$7:$A$50,'INSTANCE C2'!A24))+(COUNTIF(RUNGIS!$A$7:$A$50,'INSTANCE C2'!A24))+(COUNTIF(SCEAUX!$A$7:$A$50,'INSTANCE C2'!A24))+(COUNTIF('INSTANCE C1'!$A$7:$A$50,'INSTANCE C2'!A24))+(COUNTIF('INSTANCE C2'!$A$7:$A$50,'INSTANCE C2'!A24))+(COUNTIF(INTERNES!$A$7:$A$50,'INSTANCE C2'!A24))+(COUNTIF('EN PANNE'!$A$7:$A$50,'INSTANCE C2'!A24))-C24</f>
        <v>0</v>
      </c>
      <c r="C24" s="23">
        <f>(COUNTIF('2S EXPRESS'!$G$7:$G$50,'INSTANCE C2'!A24))+(COUNTIF('2 ZT'!$G$7:$G$50,'INSTANCE C2'!A24))+(COUNTIF('GO TRANSPORT'!$G$7:$G$50,'INSTANCE C2'!A24))+(COUNTIF('INSTANCE C2'!$G$7:$G$50,'INSTANCE C2'!A24))+(COUNTIF('IB TRANSPORT'!$G$7:$G$50,'INSTANCE C2'!A24))+(COUNTIF(JSL!$G$7:$G$50,'INSTANCE C2'!A24))+(COUNTIF(KIFAITOUT!$G$7:$G$50,'INSTANCE C2'!A24))+(COUNTIF('LUXE DRIVE'!$G$7:$G$50,'INSTANCE C2'!A24))+(COUNTIF(SSN!$G$7:$G$50,'INSTANCE C2'!A24))+(COUNTIF('W3'!$G$7:$G$50,'INSTANCE C2'!A24))+(COUNTIF('ATHIS MONS'!$G$7:$G$50,'INSTANCE C2'!A24))+(COUNTIF('L HAY LES ROSES'!$G$7:$G$50,'INSTANCE C2'!A24))+(COUNTIF(RUNGIS!$G$7:$G$50,'INSTANCE C2'!A24))+(COUNTIF(SCEAUX!$G$7:$G$50,'INSTANCE C2'!A24))+(COUNTIF('INSTANCE C1'!$G$7:$G$50,'INSTANCE C2'!A24))+(COUNTIF('INSTANCE C2'!$G$7:$G$50,'INSTANCE C2'!A24))+(COUNTIF(INTERNES!$G$7:$G$50,'INSTANCE C2'!A24))+(COUNTIF('EN PANNE'!$G$7:$G$50,'INSTANCE C2'!A24))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EXPRESS'!$G$7:$G$50,'INSTANCE C2'!G24))+(COUNTIF('2 ZT'!$G$7:$G$50,'INSTANCE C2'!G24))+(COUNTIF('GO TRANSPORT'!$G$7:$G$50,'INSTANCE C2'!G24))+(COUNTIF('HMZ - KAIS'!$G$7:$G$50,'INSTANCE C2'!G24))+(COUNTIF('IB TRANSPORT'!$G$7:$G$50,'INSTANCE C2'!G24))+(COUNTIF(JSL!$G$7:$G$50,'INSTANCE C2'!G24))+(COUNTIF(KIFAITOUT!$G$7:$G$50,'INSTANCE C2'!G24))+(COUNTIF('LUXE DRIVE'!$G$7:$G$50,'INSTANCE C2'!G24))+(COUNTIF(SSN!$G$7:$G$50,'INSTANCE C2'!G24))+(COUNTIF('W3'!$G$7:$G$50,'INSTANCE C2'!G24))+(COUNTIF('ATHIS MONS'!$G$7:$G$50,'INSTANCE C2'!G24))+(COUNTIF('L HAY LES ROSES'!$G$7:$G$50,'INSTANCE C2'!G24))+(COUNTIF(RUNGIS!$G$7:$G$50,'INSTANCE C2'!G24))+(COUNTIF(SCEAUX!$G$7:$G$50,'INSTANCE C2'!G24))+(COUNTIF('INSTANCE C1'!$G$7:$G$50,'INSTANCE C2'!G24))+(COUNTIF('INSTANCE C2'!$G$7:$G$50,'INSTANCE C2'!G24))+(COUNTIF(INTERNES!$G$7:$G$50,'INSTANCE C2'!G24))+(COUNTIF('EN PANNE'!$G$7:$G$50,'INSTANCE C2'!G24))-I24</f>
        <v>0</v>
      </c>
      <c r="I24" s="23">
        <f>(COUNTIF('2S EXPRESS'!$A$7:$A$50,'INSTANCE C2'!G24))+(COUNTIF('2 ZT'!$A$7:$A$50,'INSTANCE C2'!G24))+(COUNTIF('GO TRANSPORT'!$A$7:$A$50,'INSTANCE C2'!G24))+(COUNTIF('HMZ - KAIS'!$A$7:$A$50,'INSTANCE C2'!G24))+(COUNTIF('IB TRANSPORT'!$A$7:$A$50,'INSTANCE C2'!G24))+(COUNTIF(JSL!$A$7:$A$50,'INSTANCE C2'!G24))+(COUNTIF(KIFAITOUT!$A$7:$A$50,'INSTANCE C2'!G24))+(COUNTIF('LUXE DRIVE'!$A$7:$A$50,'INSTANCE C2'!G24))+(COUNTIF(SSN!$A$7:$A$50,'INSTANCE C2'!G24))+(COUNTIF('W3'!$A$7:$A$50,'INSTANCE C2'!G24))+(COUNTIF('ATHIS MONS'!$A$7:$A$50,'INSTANCE C2'!G24))+(COUNTIF('L HAY LES ROSES'!$A$7:$A$50,'INSTANCE C2'!G24))+(COUNTIF(RUNGIS!$A$7:$A$50,'INSTANCE C2'!G24))+(COUNTIF(SCEAUX!$A$7:$A$50,'INSTANCE C2'!G24))+(COUNTIF('INSTANCE C1'!$A$7:$A$50,'INSTANCE C2'!G24))+(COUNTIF('INSTANCE C2'!$A$7:$A$50,'INSTANCE C2'!G24))+(COUNTIF(INTERNES!$A$7:$A$50,'INSTANCE C2'!G24))+(COUNTIF('EN PANNE'!$A$7:$A$50,'INSTANCE C2'!G24))</f>
        <v>0</v>
      </c>
      <c r="J24" s="28">
        <f t="shared" si="4"/>
        <v>0</v>
      </c>
      <c r="K24" s="2"/>
      <c r="L24" s="47"/>
      <c r="M24" s="9"/>
      <c r="N24" s="9"/>
      <c r="O24" s="9"/>
      <c r="P24" s="9"/>
      <c r="S24" s="60">
        <f t="shared" si="1"/>
        <v>0</v>
      </c>
      <c r="T24" s="67">
        <f t="shared" si="2"/>
        <v>0</v>
      </c>
    </row>
    <row r="25" spans="1:20" ht="24.95" customHeight="1" x14ac:dyDescent="0.2">
      <c r="A25" s="20"/>
      <c r="B25" s="23">
        <f>(COUNTIF('2S EXPRESS'!$A$7:$A$50,'INSTANCE C2'!A25))+(COUNTIF('2 ZT'!$A$7:$A$50,'INSTANCE C2'!A25))+(COUNTIF('GO TRANSPORT'!$A$7:$A$50,'INSTANCE C2'!A25))+(COUNTIF('HMZ - KAIS'!$A$7:$A$50,'INSTANCE C2'!A25))+(COUNTIF('IB TRANSPORT'!$A$7:$A$50,'INSTANCE C2'!A25))+(COUNTIF(JSL!$A$7:$A$50,'INSTANCE C2'!A25))+(COUNTIF(KIFAITOUT!$A$7:$A$50,'INSTANCE C2'!A25))+(COUNTIF('LUXE DRIVE'!$A$7:$A$50,'INSTANCE C2'!A25))+(COUNTIF(SSN!$A$7:$A$50,'INSTANCE C2'!A25))+(COUNTIF('W3'!$A$7:$A$50,'INSTANCE C2'!A25))+(COUNTIF('ATHIS MONS'!$A$7:$A$50,'INSTANCE C2'!A25))+(COUNTIF('L HAY LES ROSES'!$A$7:$A$50,'INSTANCE C2'!A25))+(COUNTIF(RUNGIS!$A$7:$A$50,'INSTANCE C2'!A25))+(COUNTIF(SCEAUX!$A$7:$A$50,'INSTANCE C2'!A25))+(COUNTIF('INSTANCE C1'!$A$7:$A$50,'INSTANCE C2'!A25))+(COUNTIF('INSTANCE C2'!$A$7:$A$50,'INSTANCE C2'!A25))+(COUNTIF(INTERNES!$A$7:$A$50,'INSTANCE C2'!A25))+(COUNTIF('EN PANNE'!$A$7:$A$50,'INSTANCE C2'!A25))-C25</f>
        <v>0</v>
      </c>
      <c r="C25" s="23">
        <f>(COUNTIF('2S EXPRESS'!$G$7:$G$50,'INSTANCE C2'!A25))+(COUNTIF('2 ZT'!$G$7:$G$50,'INSTANCE C2'!A25))+(COUNTIF('GO TRANSPORT'!$G$7:$G$50,'INSTANCE C2'!A25))+(COUNTIF('INSTANCE C2'!$G$7:$G$50,'INSTANCE C2'!A25))+(COUNTIF('IB TRANSPORT'!$G$7:$G$50,'INSTANCE C2'!A25))+(COUNTIF(JSL!$G$7:$G$50,'INSTANCE C2'!A25))+(COUNTIF(KIFAITOUT!$G$7:$G$50,'INSTANCE C2'!A25))+(COUNTIF('LUXE DRIVE'!$G$7:$G$50,'INSTANCE C2'!A25))+(COUNTIF(SSN!$G$7:$G$50,'INSTANCE C2'!A25))+(COUNTIF('W3'!$G$7:$G$50,'INSTANCE C2'!A25))+(COUNTIF('ATHIS MONS'!$G$7:$G$50,'INSTANCE C2'!A25))+(COUNTIF('L HAY LES ROSES'!$G$7:$G$50,'INSTANCE C2'!A25))+(COUNTIF(RUNGIS!$G$7:$G$50,'INSTANCE C2'!A25))+(COUNTIF(SCEAUX!$G$7:$G$50,'INSTANCE C2'!A25))+(COUNTIF('INSTANCE C1'!$G$7:$G$50,'INSTANCE C2'!A25))+(COUNTIF('INSTANCE C2'!$G$7:$G$50,'INSTANCE C2'!A25))+(COUNTIF(INTERNES!$G$7:$G$50,'INSTANCE C2'!A25))+(COUNTIF('EN PANNE'!$G$7:$G$50,'INSTANCE C2'!A25))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EXPRESS'!$G$7:$G$50,'INSTANCE C2'!G25))+(COUNTIF('2 ZT'!$G$7:$G$50,'INSTANCE C2'!G25))+(COUNTIF('GO TRANSPORT'!$G$7:$G$50,'INSTANCE C2'!G25))+(COUNTIF('HMZ - KAIS'!$G$7:$G$50,'INSTANCE C2'!G25))+(COUNTIF('IB TRANSPORT'!$G$7:$G$50,'INSTANCE C2'!G25))+(COUNTIF(JSL!$G$7:$G$50,'INSTANCE C2'!G25))+(COUNTIF(KIFAITOUT!$G$7:$G$50,'INSTANCE C2'!G25))+(COUNTIF('LUXE DRIVE'!$G$7:$G$50,'INSTANCE C2'!G25))+(COUNTIF(SSN!$G$7:$G$50,'INSTANCE C2'!G25))+(COUNTIF('W3'!$G$7:$G$50,'INSTANCE C2'!G25))+(COUNTIF('ATHIS MONS'!$G$7:$G$50,'INSTANCE C2'!G25))+(COUNTIF('L HAY LES ROSES'!$G$7:$G$50,'INSTANCE C2'!G25))+(COUNTIF(RUNGIS!$G$7:$G$50,'INSTANCE C2'!G25))+(COUNTIF(SCEAUX!$G$7:$G$50,'INSTANCE C2'!G25))+(COUNTIF('INSTANCE C1'!$G$7:$G$50,'INSTANCE C2'!G25))+(COUNTIF('INSTANCE C2'!$G$7:$G$50,'INSTANCE C2'!G25))+(COUNTIF(INTERNES!$G$7:$G$50,'INSTANCE C2'!G25))+(COUNTIF('EN PANNE'!$G$7:$G$50,'INSTANCE C2'!G25))-I25</f>
        <v>0</v>
      </c>
      <c r="I25" s="23">
        <f>(COUNTIF('2S EXPRESS'!$A$7:$A$50,'INSTANCE C2'!G25))+(COUNTIF('2 ZT'!$A$7:$A$50,'INSTANCE C2'!G25))+(COUNTIF('GO TRANSPORT'!$A$7:$A$50,'INSTANCE C2'!G25))+(COUNTIF('HMZ - KAIS'!$A$7:$A$50,'INSTANCE C2'!G25))+(COUNTIF('IB TRANSPORT'!$A$7:$A$50,'INSTANCE C2'!G25))+(COUNTIF(JSL!$A$7:$A$50,'INSTANCE C2'!G25))+(COUNTIF(KIFAITOUT!$A$7:$A$50,'INSTANCE C2'!G25))+(COUNTIF('LUXE DRIVE'!$A$7:$A$50,'INSTANCE C2'!G25))+(COUNTIF(SSN!$A$7:$A$50,'INSTANCE C2'!G25))+(COUNTIF('W3'!$A$7:$A$50,'INSTANCE C2'!G25))+(COUNTIF('ATHIS MONS'!$A$7:$A$50,'INSTANCE C2'!G25))+(COUNTIF('L HAY LES ROSES'!$A$7:$A$50,'INSTANCE C2'!G25))+(COUNTIF(RUNGIS!$A$7:$A$50,'INSTANCE C2'!G25))+(COUNTIF(SCEAUX!$A$7:$A$50,'INSTANCE C2'!G25))+(COUNTIF('INSTANCE C1'!$A$7:$A$50,'INSTANCE C2'!G25))+(COUNTIF('INSTANCE C2'!$A$7:$A$50,'INSTANCE C2'!G25))+(COUNTIF(INTERNES!$A$7:$A$50,'INSTANCE C2'!G25))+(COUNTIF('EN PANNE'!$A$7:$A$50,'INSTANCE C2'!G25))</f>
        <v>0</v>
      </c>
      <c r="J25" s="28">
        <f t="shared" si="4"/>
        <v>0</v>
      </c>
      <c r="K25" s="2"/>
      <c r="L25" s="47"/>
      <c r="M25" s="9"/>
      <c r="N25" s="9"/>
      <c r="O25" s="9"/>
      <c r="P25" s="9"/>
      <c r="S25" s="60">
        <f t="shared" si="1"/>
        <v>0</v>
      </c>
      <c r="T25" s="67">
        <f t="shared" si="2"/>
        <v>0</v>
      </c>
    </row>
    <row r="26" spans="1:20" ht="24.95" customHeight="1" x14ac:dyDescent="0.2">
      <c r="A26" s="20"/>
      <c r="B26" s="23">
        <f>(COUNTIF('2S EXPRESS'!$A$7:$A$50,'INSTANCE C2'!A26))+(COUNTIF('2 ZT'!$A$7:$A$50,'INSTANCE C2'!A26))+(COUNTIF('GO TRANSPORT'!$A$7:$A$50,'INSTANCE C2'!A26))+(COUNTIF('HMZ - KAIS'!$A$7:$A$50,'INSTANCE C2'!A26))+(COUNTIF('IB TRANSPORT'!$A$7:$A$50,'INSTANCE C2'!A26))+(COUNTIF(JSL!$A$7:$A$50,'INSTANCE C2'!A26))+(COUNTIF(KIFAITOUT!$A$7:$A$50,'INSTANCE C2'!A26))+(COUNTIF('LUXE DRIVE'!$A$7:$A$50,'INSTANCE C2'!A26))+(COUNTIF(SSN!$A$7:$A$50,'INSTANCE C2'!A26))+(COUNTIF('W3'!$A$7:$A$50,'INSTANCE C2'!A26))+(COUNTIF('ATHIS MONS'!$A$7:$A$50,'INSTANCE C2'!A26))+(COUNTIF('L HAY LES ROSES'!$A$7:$A$50,'INSTANCE C2'!A26))+(COUNTIF(RUNGIS!$A$7:$A$50,'INSTANCE C2'!A26))+(COUNTIF(SCEAUX!$A$7:$A$50,'INSTANCE C2'!A26))+(COUNTIF('INSTANCE C1'!$A$7:$A$50,'INSTANCE C2'!A26))+(COUNTIF('INSTANCE C2'!$A$7:$A$50,'INSTANCE C2'!A26))+(COUNTIF(INTERNES!$A$7:$A$50,'INSTANCE C2'!A26))+(COUNTIF('EN PANNE'!$A$7:$A$50,'INSTANCE C2'!A26))-C26</f>
        <v>0</v>
      </c>
      <c r="C26" s="23">
        <f>(COUNTIF('2S EXPRESS'!$G$7:$G$50,'INSTANCE C2'!A26))+(COUNTIF('2 ZT'!$G$7:$G$50,'INSTANCE C2'!A26))+(COUNTIF('GO TRANSPORT'!$G$7:$G$50,'INSTANCE C2'!A26))+(COUNTIF('INSTANCE C2'!$G$7:$G$50,'INSTANCE C2'!A26))+(COUNTIF('IB TRANSPORT'!$G$7:$G$50,'INSTANCE C2'!A26))+(COUNTIF(JSL!$G$7:$G$50,'INSTANCE C2'!A26))+(COUNTIF(KIFAITOUT!$G$7:$G$50,'INSTANCE C2'!A26))+(COUNTIF('LUXE DRIVE'!$G$7:$G$50,'INSTANCE C2'!A26))+(COUNTIF(SSN!$G$7:$G$50,'INSTANCE C2'!A26))+(COUNTIF('W3'!$G$7:$G$50,'INSTANCE C2'!A26))+(COUNTIF('ATHIS MONS'!$G$7:$G$50,'INSTANCE C2'!A26))+(COUNTIF('L HAY LES ROSES'!$G$7:$G$50,'INSTANCE C2'!A26))+(COUNTIF(RUNGIS!$G$7:$G$50,'INSTANCE C2'!A26))+(COUNTIF(SCEAUX!$G$7:$G$50,'INSTANCE C2'!A26))+(COUNTIF('INSTANCE C1'!$G$7:$G$50,'INSTANCE C2'!A26))+(COUNTIF('INSTANCE C2'!$G$7:$G$50,'INSTANCE C2'!A26))+(COUNTIF(INTERNES!$G$7:$G$50,'INSTANCE C2'!A26))+(COUNTIF('EN PANNE'!$G$7:$G$50,'INSTANCE C2'!A26))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EXPRESS'!$G$7:$G$50,'INSTANCE C2'!G26))+(COUNTIF('2 ZT'!$G$7:$G$50,'INSTANCE C2'!G26))+(COUNTIF('GO TRANSPORT'!$G$7:$G$50,'INSTANCE C2'!G26))+(COUNTIF('HMZ - KAIS'!$G$7:$G$50,'INSTANCE C2'!G26))+(COUNTIF('IB TRANSPORT'!$G$7:$G$50,'INSTANCE C2'!G26))+(COUNTIF(JSL!$G$7:$G$50,'INSTANCE C2'!G26))+(COUNTIF(KIFAITOUT!$G$7:$G$50,'INSTANCE C2'!G26))+(COUNTIF('LUXE DRIVE'!$G$7:$G$50,'INSTANCE C2'!G26))+(COUNTIF(SSN!$G$7:$G$50,'INSTANCE C2'!G26))+(COUNTIF('W3'!$G$7:$G$50,'INSTANCE C2'!G26))+(COUNTIF('ATHIS MONS'!$G$7:$G$50,'INSTANCE C2'!G26))+(COUNTIF('L HAY LES ROSES'!$G$7:$G$50,'INSTANCE C2'!G26))+(COUNTIF(RUNGIS!$G$7:$G$50,'INSTANCE C2'!G26))+(COUNTIF(SCEAUX!$G$7:$G$50,'INSTANCE C2'!G26))+(COUNTIF('INSTANCE C1'!$G$7:$G$50,'INSTANCE C2'!G26))+(COUNTIF('INSTANCE C2'!$G$7:$G$50,'INSTANCE C2'!G26))+(COUNTIF(INTERNES!$G$7:$G$50,'INSTANCE C2'!G26))+(COUNTIF('EN PANNE'!$G$7:$G$50,'INSTANCE C2'!G26))-I26</f>
        <v>0</v>
      </c>
      <c r="I26" s="23">
        <f>(COUNTIF('2S EXPRESS'!$A$7:$A$50,'INSTANCE C2'!G26))+(COUNTIF('2 ZT'!$A$7:$A$50,'INSTANCE C2'!G26))+(COUNTIF('GO TRANSPORT'!$A$7:$A$50,'INSTANCE C2'!G26))+(COUNTIF('HMZ - KAIS'!$A$7:$A$50,'INSTANCE C2'!G26))+(COUNTIF('IB TRANSPORT'!$A$7:$A$50,'INSTANCE C2'!G26))+(COUNTIF(JSL!$A$7:$A$50,'INSTANCE C2'!G26))+(COUNTIF(KIFAITOUT!$A$7:$A$50,'INSTANCE C2'!G26))+(COUNTIF('LUXE DRIVE'!$A$7:$A$50,'INSTANCE C2'!G26))+(COUNTIF(SSN!$A$7:$A$50,'INSTANCE C2'!G26))+(COUNTIF('W3'!$A$7:$A$50,'INSTANCE C2'!G26))+(COUNTIF('ATHIS MONS'!$A$7:$A$50,'INSTANCE C2'!G26))+(COUNTIF('L HAY LES ROSES'!$A$7:$A$50,'INSTANCE C2'!G26))+(COUNTIF(RUNGIS!$A$7:$A$50,'INSTANCE C2'!G26))+(COUNTIF(SCEAUX!$A$7:$A$50,'INSTANCE C2'!G26))+(COUNTIF('INSTANCE C1'!$A$7:$A$50,'INSTANCE C2'!G26))+(COUNTIF('INSTANCE C2'!$A$7:$A$50,'INSTANCE C2'!G26))+(COUNTIF(INTERNES!$A$7:$A$50,'INSTANCE C2'!G26))+(COUNTIF('EN PANNE'!$A$7:$A$50,'INSTANCE C2'!G26))</f>
        <v>0</v>
      </c>
      <c r="J26" s="28">
        <f t="shared" si="4"/>
        <v>0</v>
      </c>
      <c r="K26" s="2"/>
      <c r="L26" s="47"/>
      <c r="M26" s="9"/>
      <c r="N26" s="9"/>
      <c r="O26" s="9"/>
      <c r="P26" s="9"/>
      <c r="S26" s="60">
        <f t="shared" si="1"/>
        <v>0</v>
      </c>
      <c r="T26" s="67">
        <f t="shared" si="2"/>
        <v>0</v>
      </c>
    </row>
    <row r="27" spans="1:20" ht="24.95" customHeight="1" x14ac:dyDescent="0.2">
      <c r="A27" s="20"/>
      <c r="B27" s="23">
        <f>(COUNTIF('2S EXPRESS'!$A$7:$A$50,'INSTANCE C2'!A27))+(COUNTIF('2 ZT'!$A$7:$A$50,'INSTANCE C2'!A27))+(COUNTIF('GO TRANSPORT'!$A$7:$A$50,'INSTANCE C2'!A27))+(COUNTIF('HMZ - KAIS'!$A$7:$A$50,'INSTANCE C2'!A27))+(COUNTIF('IB TRANSPORT'!$A$7:$A$50,'INSTANCE C2'!A27))+(COUNTIF(JSL!$A$7:$A$50,'INSTANCE C2'!A27))+(COUNTIF(KIFAITOUT!$A$7:$A$50,'INSTANCE C2'!A27))+(COUNTIF('LUXE DRIVE'!$A$7:$A$50,'INSTANCE C2'!A27))+(COUNTIF(SSN!$A$7:$A$50,'INSTANCE C2'!A27))+(COUNTIF('W3'!$A$7:$A$50,'INSTANCE C2'!A27))+(COUNTIF('ATHIS MONS'!$A$7:$A$50,'INSTANCE C2'!A27))+(COUNTIF('L HAY LES ROSES'!$A$7:$A$50,'INSTANCE C2'!A27))+(COUNTIF(RUNGIS!$A$7:$A$50,'INSTANCE C2'!A27))+(COUNTIF(SCEAUX!$A$7:$A$50,'INSTANCE C2'!A27))+(COUNTIF('INSTANCE C1'!$A$7:$A$50,'INSTANCE C2'!A27))+(COUNTIF('INSTANCE C2'!$A$7:$A$50,'INSTANCE C2'!A27))+(COUNTIF(INTERNES!$A$7:$A$50,'INSTANCE C2'!A27))+(COUNTIF('EN PANNE'!$A$7:$A$50,'INSTANCE C2'!A27))-C27</f>
        <v>0</v>
      </c>
      <c r="C27" s="23">
        <f>(COUNTIF('2S EXPRESS'!$G$7:$G$50,'INSTANCE C2'!A27))+(COUNTIF('2 ZT'!$G$7:$G$50,'INSTANCE C2'!A27))+(COUNTIF('GO TRANSPORT'!$G$7:$G$50,'INSTANCE C2'!A27))+(COUNTIF('INSTANCE C2'!$G$7:$G$50,'INSTANCE C2'!A27))+(COUNTIF('IB TRANSPORT'!$G$7:$G$50,'INSTANCE C2'!A27))+(COUNTIF(JSL!$G$7:$G$50,'INSTANCE C2'!A27))+(COUNTIF(KIFAITOUT!$G$7:$G$50,'INSTANCE C2'!A27))+(COUNTIF('LUXE DRIVE'!$G$7:$G$50,'INSTANCE C2'!A27))+(COUNTIF(SSN!$G$7:$G$50,'INSTANCE C2'!A27))+(COUNTIF('W3'!$G$7:$G$50,'INSTANCE C2'!A27))+(COUNTIF('ATHIS MONS'!$G$7:$G$50,'INSTANCE C2'!A27))+(COUNTIF('L HAY LES ROSES'!$G$7:$G$50,'INSTANCE C2'!A27))+(COUNTIF(RUNGIS!$G$7:$G$50,'INSTANCE C2'!A27))+(COUNTIF(SCEAUX!$G$7:$G$50,'INSTANCE C2'!A27))+(COUNTIF('INSTANCE C1'!$G$7:$G$50,'INSTANCE C2'!A27))+(COUNTIF('INSTANCE C2'!$G$7:$G$50,'INSTANCE C2'!A27))+(COUNTIF(INTERNES!$G$7:$G$50,'INSTANCE C2'!A27))+(COUNTIF('EN PANNE'!$G$7:$G$50,'INSTANCE C2'!A27))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EXPRESS'!$G$7:$G$50,'INSTANCE C2'!G27))+(COUNTIF('2 ZT'!$G$7:$G$50,'INSTANCE C2'!G27))+(COUNTIF('GO TRANSPORT'!$G$7:$G$50,'INSTANCE C2'!G27))+(COUNTIF('HMZ - KAIS'!$G$7:$G$50,'INSTANCE C2'!G27))+(COUNTIF('IB TRANSPORT'!$G$7:$G$50,'INSTANCE C2'!G27))+(COUNTIF(JSL!$G$7:$G$50,'INSTANCE C2'!G27))+(COUNTIF(KIFAITOUT!$G$7:$G$50,'INSTANCE C2'!G27))+(COUNTIF('LUXE DRIVE'!$G$7:$G$50,'INSTANCE C2'!G27))+(COUNTIF(SSN!$G$7:$G$50,'INSTANCE C2'!G27))+(COUNTIF('W3'!$G$7:$G$50,'INSTANCE C2'!G27))+(COUNTIF('ATHIS MONS'!$G$7:$G$50,'INSTANCE C2'!G27))+(COUNTIF('L HAY LES ROSES'!$G$7:$G$50,'INSTANCE C2'!G27))+(COUNTIF(RUNGIS!$G$7:$G$50,'INSTANCE C2'!G27))+(COUNTIF(SCEAUX!$G$7:$G$50,'INSTANCE C2'!G27))+(COUNTIF('INSTANCE C1'!$G$7:$G$50,'INSTANCE C2'!G27))+(COUNTIF('INSTANCE C2'!$G$7:$G$50,'INSTANCE C2'!G27))+(COUNTIF(INTERNES!$G$7:$G$50,'INSTANCE C2'!G27))+(COUNTIF('EN PANNE'!$G$7:$G$50,'INSTANCE C2'!G27))-I27</f>
        <v>0</v>
      </c>
      <c r="I27" s="23">
        <f>(COUNTIF('2S EXPRESS'!$A$7:$A$50,'INSTANCE C2'!G27))+(COUNTIF('2 ZT'!$A$7:$A$50,'INSTANCE C2'!G27))+(COUNTIF('GO TRANSPORT'!$A$7:$A$50,'INSTANCE C2'!G27))+(COUNTIF('HMZ - KAIS'!$A$7:$A$50,'INSTANCE C2'!G27))+(COUNTIF('IB TRANSPORT'!$A$7:$A$50,'INSTANCE C2'!G27))+(COUNTIF(JSL!$A$7:$A$50,'INSTANCE C2'!G27))+(COUNTIF(KIFAITOUT!$A$7:$A$50,'INSTANCE C2'!G27))+(COUNTIF('LUXE DRIVE'!$A$7:$A$50,'INSTANCE C2'!G27))+(COUNTIF(SSN!$A$7:$A$50,'INSTANCE C2'!G27))+(COUNTIF('W3'!$A$7:$A$50,'INSTANCE C2'!G27))+(COUNTIF('ATHIS MONS'!$A$7:$A$50,'INSTANCE C2'!G27))+(COUNTIF('L HAY LES ROSES'!$A$7:$A$50,'INSTANCE C2'!G27))+(COUNTIF(RUNGIS!$A$7:$A$50,'INSTANCE C2'!G27))+(COUNTIF(SCEAUX!$A$7:$A$50,'INSTANCE C2'!G27))+(COUNTIF('INSTANCE C1'!$A$7:$A$50,'INSTANCE C2'!G27))+(COUNTIF('INSTANCE C2'!$A$7:$A$50,'INSTANCE C2'!G27))+(COUNTIF(INTERNES!$A$7:$A$50,'INSTANCE C2'!G27))+(COUNTIF('EN PANNE'!$A$7:$A$50,'INSTANCE C2'!G27))</f>
        <v>0</v>
      </c>
      <c r="J27" s="28">
        <f t="shared" si="4"/>
        <v>0</v>
      </c>
      <c r="K27" s="2"/>
      <c r="L27" s="47"/>
      <c r="M27" s="9"/>
      <c r="N27" s="9"/>
      <c r="O27" s="9"/>
      <c r="P27" s="9"/>
      <c r="S27" s="60">
        <f t="shared" si="1"/>
        <v>0</v>
      </c>
      <c r="T27" s="67">
        <f t="shared" si="2"/>
        <v>0</v>
      </c>
    </row>
    <row r="28" spans="1:20" ht="24.95" customHeight="1" x14ac:dyDescent="0.2">
      <c r="A28" s="20"/>
      <c r="B28" s="23">
        <f>(COUNTIF('2S EXPRESS'!$A$7:$A$50,'INSTANCE C2'!A28))+(COUNTIF('2 ZT'!$A$7:$A$50,'INSTANCE C2'!A28))+(COUNTIF('GO TRANSPORT'!$A$7:$A$50,'INSTANCE C2'!A28))+(COUNTIF('HMZ - KAIS'!$A$7:$A$50,'INSTANCE C2'!A28))+(COUNTIF('IB TRANSPORT'!$A$7:$A$50,'INSTANCE C2'!A28))+(COUNTIF(JSL!$A$7:$A$50,'INSTANCE C2'!A28))+(COUNTIF(KIFAITOUT!$A$7:$A$50,'INSTANCE C2'!A28))+(COUNTIF('LUXE DRIVE'!$A$7:$A$50,'INSTANCE C2'!A28))+(COUNTIF(SSN!$A$7:$A$50,'INSTANCE C2'!A28))+(COUNTIF('W3'!$A$7:$A$50,'INSTANCE C2'!A28))+(COUNTIF('ATHIS MONS'!$A$7:$A$50,'INSTANCE C2'!A28))+(COUNTIF('L HAY LES ROSES'!$A$7:$A$50,'INSTANCE C2'!A28))+(COUNTIF(RUNGIS!$A$7:$A$50,'INSTANCE C2'!A28))+(COUNTIF(SCEAUX!$A$7:$A$50,'INSTANCE C2'!A28))+(COUNTIF('INSTANCE C1'!$A$7:$A$50,'INSTANCE C2'!A28))+(COUNTIF('INSTANCE C2'!$A$7:$A$50,'INSTANCE C2'!A28))+(COUNTIF(INTERNES!$A$7:$A$50,'INSTANCE C2'!A28))+(COUNTIF('EN PANNE'!$A$7:$A$50,'INSTANCE C2'!A28))-C28</f>
        <v>0</v>
      </c>
      <c r="C28" s="23">
        <f>(COUNTIF('2S EXPRESS'!$G$7:$G$50,'INSTANCE C2'!A28))+(COUNTIF('2 ZT'!$G$7:$G$50,'INSTANCE C2'!A28))+(COUNTIF('GO TRANSPORT'!$G$7:$G$50,'INSTANCE C2'!A28))+(COUNTIF('INSTANCE C2'!$G$7:$G$50,'INSTANCE C2'!A28))+(COUNTIF('IB TRANSPORT'!$G$7:$G$50,'INSTANCE C2'!A28))+(COUNTIF(JSL!$G$7:$G$50,'INSTANCE C2'!A28))+(COUNTIF(KIFAITOUT!$G$7:$G$50,'INSTANCE C2'!A28))+(COUNTIF('LUXE DRIVE'!$G$7:$G$50,'INSTANCE C2'!A28))+(COUNTIF(SSN!$G$7:$G$50,'INSTANCE C2'!A28))+(COUNTIF('W3'!$G$7:$G$50,'INSTANCE C2'!A28))+(COUNTIF('ATHIS MONS'!$G$7:$G$50,'INSTANCE C2'!A28))+(COUNTIF('L HAY LES ROSES'!$G$7:$G$50,'INSTANCE C2'!A28))+(COUNTIF(RUNGIS!$G$7:$G$50,'INSTANCE C2'!A28))+(COUNTIF(SCEAUX!$G$7:$G$50,'INSTANCE C2'!A28))+(COUNTIF('INSTANCE C1'!$G$7:$G$50,'INSTANCE C2'!A28))+(COUNTIF('INSTANCE C2'!$G$7:$G$50,'INSTANCE C2'!A28))+(COUNTIF(INTERNES!$G$7:$G$50,'INSTANCE C2'!A28))+(COUNTIF('EN PANNE'!$G$7:$G$50,'INSTANCE C2'!A28))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EXPRESS'!$G$7:$G$50,'INSTANCE C2'!G28))+(COUNTIF('2 ZT'!$G$7:$G$50,'INSTANCE C2'!G28))+(COUNTIF('GO TRANSPORT'!$G$7:$G$50,'INSTANCE C2'!G28))+(COUNTIF('HMZ - KAIS'!$G$7:$G$50,'INSTANCE C2'!G28))+(COUNTIF('IB TRANSPORT'!$G$7:$G$50,'INSTANCE C2'!G28))+(COUNTIF(JSL!$G$7:$G$50,'INSTANCE C2'!G28))+(COUNTIF(KIFAITOUT!$G$7:$G$50,'INSTANCE C2'!G28))+(COUNTIF('LUXE DRIVE'!$G$7:$G$50,'INSTANCE C2'!G28))+(COUNTIF(SSN!$G$7:$G$50,'INSTANCE C2'!G28))+(COUNTIF('W3'!$G$7:$G$50,'INSTANCE C2'!G28))+(COUNTIF('ATHIS MONS'!$G$7:$G$50,'INSTANCE C2'!G28))+(COUNTIF('L HAY LES ROSES'!$G$7:$G$50,'INSTANCE C2'!G28))+(COUNTIF(RUNGIS!$G$7:$G$50,'INSTANCE C2'!G28))+(COUNTIF(SCEAUX!$G$7:$G$50,'INSTANCE C2'!G28))+(COUNTIF('INSTANCE C1'!$G$7:$G$50,'INSTANCE C2'!G28))+(COUNTIF('INSTANCE C2'!$G$7:$G$50,'INSTANCE C2'!G28))+(COUNTIF(INTERNES!$G$7:$G$50,'INSTANCE C2'!G28))+(COUNTIF('EN PANNE'!$G$7:$G$50,'INSTANCE C2'!G28))-I28</f>
        <v>0</v>
      </c>
      <c r="I28" s="23">
        <f>(COUNTIF('2S EXPRESS'!$A$7:$A$50,'INSTANCE C2'!G28))+(COUNTIF('2 ZT'!$A$7:$A$50,'INSTANCE C2'!G28))+(COUNTIF('GO TRANSPORT'!$A$7:$A$50,'INSTANCE C2'!G28))+(COUNTIF('HMZ - KAIS'!$A$7:$A$50,'INSTANCE C2'!G28))+(COUNTIF('IB TRANSPORT'!$A$7:$A$50,'INSTANCE C2'!G28))+(COUNTIF(JSL!$A$7:$A$50,'INSTANCE C2'!G28))+(COUNTIF(KIFAITOUT!$A$7:$A$50,'INSTANCE C2'!G28))+(COUNTIF('LUXE DRIVE'!$A$7:$A$50,'INSTANCE C2'!G28))+(COUNTIF(SSN!$A$7:$A$50,'INSTANCE C2'!G28))+(COUNTIF('W3'!$A$7:$A$50,'INSTANCE C2'!G28))+(COUNTIF('ATHIS MONS'!$A$7:$A$50,'INSTANCE C2'!G28))+(COUNTIF('L HAY LES ROSES'!$A$7:$A$50,'INSTANCE C2'!G28))+(COUNTIF(RUNGIS!$A$7:$A$50,'INSTANCE C2'!G28))+(COUNTIF(SCEAUX!$A$7:$A$50,'INSTANCE C2'!G28))+(COUNTIF('INSTANCE C1'!$A$7:$A$50,'INSTANCE C2'!G28))+(COUNTIF('INSTANCE C2'!$A$7:$A$50,'INSTANCE C2'!G28))+(COUNTIF(INTERNES!$A$7:$A$50,'INSTANCE C2'!G28))+(COUNTIF('EN PANNE'!$A$7:$A$50,'INSTANCE C2'!G28))</f>
        <v>0</v>
      </c>
      <c r="J28" s="28">
        <f t="shared" si="4"/>
        <v>0</v>
      </c>
      <c r="K28" s="2"/>
      <c r="L28" s="47"/>
      <c r="M28" s="9"/>
      <c r="N28" s="9"/>
      <c r="O28" s="9"/>
      <c r="P28" s="9"/>
      <c r="S28" s="60">
        <f t="shared" si="1"/>
        <v>0</v>
      </c>
      <c r="T28" s="67">
        <f t="shared" si="2"/>
        <v>0</v>
      </c>
    </row>
    <row r="29" spans="1:20" ht="24.95" customHeight="1" x14ac:dyDescent="0.2">
      <c r="A29" s="20"/>
      <c r="B29" s="23">
        <f>(COUNTIF('2S EXPRESS'!$A$7:$A$50,'INSTANCE C2'!A29))+(COUNTIF('2 ZT'!$A$7:$A$50,'INSTANCE C2'!A29))+(COUNTIF('GO TRANSPORT'!$A$7:$A$50,'INSTANCE C2'!A29))+(COUNTIF('HMZ - KAIS'!$A$7:$A$50,'INSTANCE C2'!A29))+(COUNTIF('IB TRANSPORT'!$A$7:$A$50,'INSTANCE C2'!A29))+(COUNTIF(JSL!$A$7:$A$50,'INSTANCE C2'!A29))+(COUNTIF(KIFAITOUT!$A$7:$A$50,'INSTANCE C2'!A29))+(COUNTIF('LUXE DRIVE'!$A$7:$A$50,'INSTANCE C2'!A29))+(COUNTIF(SSN!$A$7:$A$50,'INSTANCE C2'!A29))+(COUNTIF('W3'!$A$7:$A$50,'INSTANCE C2'!A29))+(COUNTIF('ATHIS MONS'!$A$7:$A$50,'INSTANCE C2'!A29))+(COUNTIF('L HAY LES ROSES'!$A$7:$A$50,'INSTANCE C2'!A29))+(COUNTIF(RUNGIS!$A$7:$A$50,'INSTANCE C2'!A29))+(COUNTIF(SCEAUX!$A$7:$A$50,'INSTANCE C2'!A29))+(COUNTIF('INSTANCE C1'!$A$7:$A$50,'INSTANCE C2'!A29))+(COUNTIF('INSTANCE C2'!$A$7:$A$50,'INSTANCE C2'!A29))+(COUNTIF(INTERNES!$A$7:$A$50,'INSTANCE C2'!A29))+(COUNTIF('EN PANNE'!$A$7:$A$50,'INSTANCE C2'!A29))-C29</f>
        <v>0</v>
      </c>
      <c r="C29" s="23">
        <f>(COUNTIF('2S EXPRESS'!$G$7:$G$50,'INSTANCE C2'!A29))+(COUNTIF('2 ZT'!$G$7:$G$50,'INSTANCE C2'!A29))+(COUNTIF('GO TRANSPORT'!$G$7:$G$50,'INSTANCE C2'!A29))+(COUNTIF('INSTANCE C2'!$G$7:$G$50,'INSTANCE C2'!A29))+(COUNTIF('IB TRANSPORT'!$G$7:$G$50,'INSTANCE C2'!A29))+(COUNTIF(JSL!$G$7:$G$50,'INSTANCE C2'!A29))+(COUNTIF(KIFAITOUT!$G$7:$G$50,'INSTANCE C2'!A29))+(COUNTIF('LUXE DRIVE'!$G$7:$G$50,'INSTANCE C2'!A29))+(COUNTIF(SSN!$G$7:$G$50,'INSTANCE C2'!A29))+(COUNTIF('W3'!$G$7:$G$50,'INSTANCE C2'!A29))+(COUNTIF('ATHIS MONS'!$G$7:$G$50,'INSTANCE C2'!A29))+(COUNTIF('L HAY LES ROSES'!$G$7:$G$50,'INSTANCE C2'!A29))+(COUNTIF(RUNGIS!$G$7:$G$50,'INSTANCE C2'!A29))+(COUNTIF(SCEAUX!$G$7:$G$50,'INSTANCE C2'!A29))+(COUNTIF('INSTANCE C1'!$G$7:$G$50,'INSTANCE C2'!A29))+(COUNTIF('INSTANCE C2'!$G$7:$G$50,'INSTANCE C2'!A29))+(COUNTIF(INTERNES!$G$7:$G$50,'INSTANCE C2'!A29))+(COUNTIF('EN PANNE'!$G$7:$G$50,'INSTANCE C2'!A29))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EXPRESS'!$G$7:$G$50,'INSTANCE C2'!G29))+(COUNTIF('2 ZT'!$G$7:$G$50,'INSTANCE C2'!G29))+(COUNTIF('GO TRANSPORT'!$G$7:$G$50,'INSTANCE C2'!G29))+(COUNTIF('HMZ - KAIS'!$G$7:$G$50,'INSTANCE C2'!G29))+(COUNTIF('IB TRANSPORT'!$G$7:$G$50,'INSTANCE C2'!G29))+(COUNTIF(JSL!$G$7:$G$50,'INSTANCE C2'!G29))+(COUNTIF(KIFAITOUT!$G$7:$G$50,'INSTANCE C2'!G29))+(COUNTIF('LUXE DRIVE'!$G$7:$G$50,'INSTANCE C2'!G29))+(COUNTIF(SSN!$G$7:$G$50,'INSTANCE C2'!G29))+(COUNTIF('W3'!$G$7:$G$50,'INSTANCE C2'!G29))+(COUNTIF('ATHIS MONS'!$G$7:$G$50,'INSTANCE C2'!G29))+(COUNTIF('L HAY LES ROSES'!$G$7:$G$50,'INSTANCE C2'!G29))+(COUNTIF(RUNGIS!$G$7:$G$50,'INSTANCE C2'!G29))+(COUNTIF(SCEAUX!$G$7:$G$50,'INSTANCE C2'!G29))+(COUNTIF('INSTANCE C1'!$G$7:$G$50,'INSTANCE C2'!G29))+(COUNTIF('INSTANCE C2'!$G$7:$G$50,'INSTANCE C2'!G29))+(COUNTIF(INTERNES!$G$7:$G$50,'INSTANCE C2'!G29))+(COUNTIF('EN PANNE'!$G$7:$G$50,'INSTANCE C2'!G29))-I29</f>
        <v>0</v>
      </c>
      <c r="I29" s="23">
        <f>(COUNTIF('2S EXPRESS'!$A$7:$A$50,'INSTANCE C2'!G29))+(COUNTIF('2 ZT'!$A$7:$A$50,'INSTANCE C2'!G29))+(COUNTIF('GO TRANSPORT'!$A$7:$A$50,'INSTANCE C2'!G29))+(COUNTIF('HMZ - KAIS'!$A$7:$A$50,'INSTANCE C2'!G29))+(COUNTIF('IB TRANSPORT'!$A$7:$A$50,'INSTANCE C2'!G29))+(COUNTIF(JSL!$A$7:$A$50,'INSTANCE C2'!G29))+(COUNTIF(KIFAITOUT!$A$7:$A$50,'INSTANCE C2'!G29))+(COUNTIF('LUXE DRIVE'!$A$7:$A$50,'INSTANCE C2'!G29))+(COUNTIF(SSN!$A$7:$A$50,'INSTANCE C2'!G29))+(COUNTIF('W3'!$A$7:$A$50,'INSTANCE C2'!G29))+(COUNTIF('ATHIS MONS'!$A$7:$A$50,'INSTANCE C2'!G29))+(COUNTIF('L HAY LES ROSES'!$A$7:$A$50,'INSTANCE C2'!G29))+(COUNTIF(RUNGIS!$A$7:$A$50,'INSTANCE C2'!G29))+(COUNTIF(SCEAUX!$A$7:$A$50,'INSTANCE C2'!G29))+(COUNTIF('INSTANCE C1'!$A$7:$A$50,'INSTANCE C2'!G29))+(COUNTIF('INSTANCE C2'!$A$7:$A$50,'INSTANCE C2'!G29))+(COUNTIF(INTERNES!$A$7:$A$50,'INSTANCE C2'!G29))+(COUNTIF('EN PANNE'!$A$7:$A$50,'INSTANCE C2'!G29))</f>
        <v>0</v>
      </c>
      <c r="J29" s="28">
        <f t="shared" si="4"/>
        <v>0</v>
      </c>
      <c r="K29" s="2"/>
      <c r="L29" s="47"/>
      <c r="M29" s="9"/>
      <c r="N29" s="9"/>
      <c r="O29" s="9"/>
      <c r="P29" s="9"/>
      <c r="S29" s="60">
        <f t="shared" si="1"/>
        <v>0</v>
      </c>
      <c r="T29" s="67">
        <f t="shared" si="2"/>
        <v>0</v>
      </c>
    </row>
    <row r="30" spans="1:20" ht="24.95" customHeight="1" x14ac:dyDescent="0.2">
      <c r="A30" s="20"/>
      <c r="B30" s="23">
        <f>(COUNTIF('2S EXPRESS'!$A$7:$A$50,'INSTANCE C2'!A30))+(COUNTIF('2 ZT'!$A$7:$A$50,'INSTANCE C2'!A30))+(COUNTIF('GO TRANSPORT'!$A$7:$A$50,'INSTANCE C2'!A30))+(COUNTIF('HMZ - KAIS'!$A$7:$A$50,'INSTANCE C2'!A30))+(COUNTIF('IB TRANSPORT'!$A$7:$A$50,'INSTANCE C2'!A30))+(COUNTIF(JSL!$A$7:$A$50,'INSTANCE C2'!A30))+(COUNTIF(KIFAITOUT!$A$7:$A$50,'INSTANCE C2'!A30))+(COUNTIF('LUXE DRIVE'!$A$7:$A$50,'INSTANCE C2'!A30))+(COUNTIF(SSN!$A$7:$A$50,'INSTANCE C2'!A30))+(COUNTIF('W3'!$A$7:$A$50,'INSTANCE C2'!A30))+(COUNTIF('ATHIS MONS'!$A$7:$A$50,'INSTANCE C2'!A30))+(COUNTIF('L HAY LES ROSES'!$A$7:$A$50,'INSTANCE C2'!A30))+(COUNTIF(RUNGIS!$A$7:$A$50,'INSTANCE C2'!A30))+(COUNTIF(SCEAUX!$A$7:$A$50,'INSTANCE C2'!A30))+(COUNTIF('INSTANCE C1'!$A$7:$A$50,'INSTANCE C2'!A30))+(COUNTIF('INSTANCE C2'!$A$7:$A$50,'INSTANCE C2'!A30))+(COUNTIF(INTERNES!$A$7:$A$50,'INSTANCE C2'!A30))+(COUNTIF('EN PANNE'!$A$7:$A$50,'INSTANCE C2'!A30))-C30</f>
        <v>0</v>
      </c>
      <c r="C30" s="23">
        <f>(COUNTIF('2S EXPRESS'!$G$7:$G$50,'INSTANCE C2'!A30))+(COUNTIF('2 ZT'!$G$7:$G$50,'INSTANCE C2'!A30))+(COUNTIF('GO TRANSPORT'!$G$7:$G$50,'INSTANCE C2'!A30))+(COUNTIF('INSTANCE C2'!$G$7:$G$50,'INSTANCE C2'!A30))+(COUNTIF('IB TRANSPORT'!$G$7:$G$50,'INSTANCE C2'!A30))+(COUNTIF(JSL!$G$7:$G$50,'INSTANCE C2'!A30))+(COUNTIF(KIFAITOUT!$G$7:$G$50,'INSTANCE C2'!A30))+(COUNTIF('LUXE DRIVE'!$G$7:$G$50,'INSTANCE C2'!A30))+(COUNTIF(SSN!$G$7:$G$50,'INSTANCE C2'!A30))+(COUNTIF('W3'!$G$7:$G$50,'INSTANCE C2'!A30))+(COUNTIF('ATHIS MONS'!$G$7:$G$50,'INSTANCE C2'!A30))+(COUNTIF('L HAY LES ROSES'!$G$7:$G$50,'INSTANCE C2'!A30))+(COUNTIF(RUNGIS!$G$7:$G$50,'INSTANCE C2'!A30))+(COUNTIF(SCEAUX!$G$7:$G$50,'INSTANCE C2'!A30))+(COUNTIF('INSTANCE C1'!$G$7:$G$50,'INSTANCE C2'!A30))+(COUNTIF('INSTANCE C2'!$G$7:$G$50,'INSTANCE C2'!A30))+(COUNTIF(INTERNES!$G$7:$G$50,'INSTANCE C2'!A30))+(COUNTIF('EN PANNE'!$G$7:$G$50,'INSTANCE C2'!A30))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EXPRESS'!$G$7:$G$50,'INSTANCE C2'!G30))+(COUNTIF('2 ZT'!$G$7:$G$50,'INSTANCE C2'!G30))+(COUNTIF('GO TRANSPORT'!$G$7:$G$50,'INSTANCE C2'!G30))+(COUNTIF('HMZ - KAIS'!$G$7:$G$50,'INSTANCE C2'!G30))+(COUNTIF('IB TRANSPORT'!$G$7:$G$50,'INSTANCE C2'!G30))+(COUNTIF(JSL!$G$7:$G$50,'INSTANCE C2'!G30))+(COUNTIF(KIFAITOUT!$G$7:$G$50,'INSTANCE C2'!G30))+(COUNTIF('LUXE DRIVE'!$G$7:$G$50,'INSTANCE C2'!G30))+(COUNTIF(SSN!$G$7:$G$50,'INSTANCE C2'!G30))+(COUNTIF('W3'!$G$7:$G$50,'INSTANCE C2'!G30))+(COUNTIF('ATHIS MONS'!$G$7:$G$50,'INSTANCE C2'!G30))+(COUNTIF('L HAY LES ROSES'!$G$7:$G$50,'INSTANCE C2'!G30))+(COUNTIF(RUNGIS!$G$7:$G$50,'INSTANCE C2'!G30))+(COUNTIF(SCEAUX!$G$7:$G$50,'INSTANCE C2'!G30))+(COUNTIF('INSTANCE C1'!$G$7:$G$50,'INSTANCE C2'!G30))+(COUNTIF('INSTANCE C2'!$G$7:$G$50,'INSTANCE C2'!G30))+(COUNTIF(INTERNES!$G$7:$G$50,'INSTANCE C2'!G30))+(COUNTIF('EN PANNE'!$G$7:$G$50,'INSTANCE C2'!G30))-I30</f>
        <v>0</v>
      </c>
      <c r="I30" s="23">
        <f>(COUNTIF('2S EXPRESS'!$A$7:$A$50,'INSTANCE C2'!G30))+(COUNTIF('2 ZT'!$A$7:$A$50,'INSTANCE C2'!G30))+(COUNTIF('GO TRANSPORT'!$A$7:$A$50,'INSTANCE C2'!G30))+(COUNTIF('HMZ - KAIS'!$A$7:$A$50,'INSTANCE C2'!G30))+(COUNTIF('IB TRANSPORT'!$A$7:$A$50,'INSTANCE C2'!G30))+(COUNTIF(JSL!$A$7:$A$50,'INSTANCE C2'!G30))+(COUNTIF(KIFAITOUT!$A$7:$A$50,'INSTANCE C2'!G30))+(COUNTIF('LUXE DRIVE'!$A$7:$A$50,'INSTANCE C2'!G30))+(COUNTIF(SSN!$A$7:$A$50,'INSTANCE C2'!G30))+(COUNTIF('W3'!$A$7:$A$50,'INSTANCE C2'!G30))+(COUNTIF('ATHIS MONS'!$A$7:$A$50,'INSTANCE C2'!G30))+(COUNTIF('L HAY LES ROSES'!$A$7:$A$50,'INSTANCE C2'!G30))+(COUNTIF(RUNGIS!$A$7:$A$50,'INSTANCE C2'!G30))+(COUNTIF(SCEAUX!$A$7:$A$50,'INSTANCE C2'!G30))+(COUNTIF('INSTANCE C1'!$A$7:$A$50,'INSTANCE C2'!G30))+(COUNTIF('INSTANCE C2'!$A$7:$A$50,'INSTANCE C2'!G30))+(COUNTIF(INTERNES!$A$7:$A$50,'INSTANCE C2'!G30))+(COUNTIF('EN PANNE'!$A$7:$A$50,'INSTANCE C2'!G30))</f>
        <v>0</v>
      </c>
      <c r="J30" s="28">
        <f t="shared" si="4"/>
        <v>0</v>
      </c>
      <c r="K30" s="2"/>
      <c r="L30" s="47"/>
      <c r="M30" s="9"/>
      <c r="N30" s="9"/>
      <c r="O30" s="9"/>
      <c r="P30" s="9"/>
      <c r="S30" s="60">
        <f t="shared" si="1"/>
        <v>0</v>
      </c>
      <c r="T30" s="67">
        <f t="shared" si="2"/>
        <v>0</v>
      </c>
    </row>
    <row r="31" spans="1:20" ht="24.95" customHeight="1" x14ac:dyDescent="0.2">
      <c r="A31" s="20"/>
      <c r="B31" s="23">
        <f>(COUNTIF('2S EXPRESS'!$A$7:$A$50,'INSTANCE C2'!A31))+(COUNTIF('2 ZT'!$A$7:$A$50,'INSTANCE C2'!A31))+(COUNTIF('GO TRANSPORT'!$A$7:$A$50,'INSTANCE C2'!A31))+(COUNTIF('HMZ - KAIS'!$A$7:$A$50,'INSTANCE C2'!A31))+(COUNTIF('IB TRANSPORT'!$A$7:$A$50,'INSTANCE C2'!A31))+(COUNTIF(JSL!$A$7:$A$50,'INSTANCE C2'!A31))+(COUNTIF(KIFAITOUT!$A$7:$A$50,'INSTANCE C2'!A31))+(COUNTIF('LUXE DRIVE'!$A$7:$A$50,'INSTANCE C2'!A31))+(COUNTIF(SSN!$A$7:$A$50,'INSTANCE C2'!A31))+(COUNTIF('W3'!$A$7:$A$50,'INSTANCE C2'!A31))+(COUNTIF('ATHIS MONS'!$A$7:$A$50,'INSTANCE C2'!A31))+(COUNTIF('L HAY LES ROSES'!$A$7:$A$50,'INSTANCE C2'!A31))+(COUNTIF(RUNGIS!$A$7:$A$50,'INSTANCE C2'!A31))+(COUNTIF(SCEAUX!$A$7:$A$50,'INSTANCE C2'!A31))+(COUNTIF('INSTANCE C1'!$A$7:$A$50,'INSTANCE C2'!A31))+(COUNTIF('INSTANCE C2'!$A$7:$A$50,'INSTANCE C2'!A31))+(COUNTIF(INTERNES!$A$7:$A$50,'INSTANCE C2'!A31))+(COUNTIF('EN PANNE'!$A$7:$A$50,'INSTANCE C2'!A31))-C31</f>
        <v>0</v>
      </c>
      <c r="C31" s="23">
        <f>(COUNTIF('2S EXPRESS'!$G$7:$G$50,'INSTANCE C2'!A31))+(COUNTIF('2 ZT'!$G$7:$G$50,'INSTANCE C2'!A31))+(COUNTIF('GO TRANSPORT'!$G$7:$G$50,'INSTANCE C2'!A31))+(COUNTIF('INSTANCE C2'!$G$7:$G$50,'INSTANCE C2'!A31))+(COUNTIF('IB TRANSPORT'!$G$7:$G$50,'INSTANCE C2'!A31))+(COUNTIF(JSL!$G$7:$G$50,'INSTANCE C2'!A31))+(COUNTIF(KIFAITOUT!$G$7:$G$50,'INSTANCE C2'!A31))+(COUNTIF('LUXE DRIVE'!$G$7:$G$50,'INSTANCE C2'!A31))+(COUNTIF(SSN!$G$7:$G$50,'INSTANCE C2'!A31))+(COUNTIF('W3'!$G$7:$G$50,'INSTANCE C2'!A31))+(COUNTIF('ATHIS MONS'!$G$7:$G$50,'INSTANCE C2'!A31))+(COUNTIF('L HAY LES ROSES'!$G$7:$G$50,'INSTANCE C2'!A31))+(COUNTIF(RUNGIS!$G$7:$G$50,'INSTANCE C2'!A31))+(COUNTIF(SCEAUX!$G$7:$G$50,'INSTANCE C2'!A31))+(COUNTIF('INSTANCE C1'!$G$7:$G$50,'INSTANCE C2'!A31))+(COUNTIF('INSTANCE C2'!$G$7:$G$50,'INSTANCE C2'!A31))+(COUNTIF(INTERNES!$G$7:$G$50,'INSTANCE C2'!A31))+(COUNTIF('EN PANNE'!$G$7:$G$50,'INSTANCE C2'!A31))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EXPRESS'!$G$7:$G$50,'INSTANCE C2'!G31))+(COUNTIF('2 ZT'!$G$7:$G$50,'INSTANCE C2'!G31))+(COUNTIF('GO TRANSPORT'!$G$7:$G$50,'INSTANCE C2'!G31))+(COUNTIF('HMZ - KAIS'!$G$7:$G$50,'INSTANCE C2'!G31))+(COUNTIF('IB TRANSPORT'!$G$7:$G$50,'INSTANCE C2'!G31))+(COUNTIF(JSL!$G$7:$G$50,'INSTANCE C2'!G31))+(COUNTIF(KIFAITOUT!$G$7:$G$50,'INSTANCE C2'!G31))+(COUNTIF('LUXE DRIVE'!$G$7:$G$50,'INSTANCE C2'!G31))+(COUNTIF(SSN!$G$7:$G$50,'INSTANCE C2'!G31))+(COUNTIF('W3'!$G$7:$G$50,'INSTANCE C2'!G31))+(COUNTIF('ATHIS MONS'!$G$7:$G$50,'INSTANCE C2'!G31))+(COUNTIF('L HAY LES ROSES'!$G$7:$G$50,'INSTANCE C2'!G31))+(COUNTIF(RUNGIS!$G$7:$G$50,'INSTANCE C2'!G31))+(COUNTIF(SCEAUX!$G$7:$G$50,'INSTANCE C2'!G31))+(COUNTIF('INSTANCE C1'!$G$7:$G$50,'INSTANCE C2'!G31))+(COUNTIF('INSTANCE C2'!$G$7:$G$50,'INSTANCE C2'!G31))+(COUNTIF(INTERNES!$G$7:$G$50,'INSTANCE C2'!G31))+(COUNTIF('EN PANNE'!$G$7:$G$50,'INSTANCE C2'!G31))-I31</f>
        <v>0</v>
      </c>
      <c r="I31" s="23">
        <f>(COUNTIF('2S EXPRESS'!$A$7:$A$50,'INSTANCE C2'!G31))+(COUNTIF('2 ZT'!$A$7:$A$50,'INSTANCE C2'!G31))+(COUNTIF('GO TRANSPORT'!$A$7:$A$50,'INSTANCE C2'!G31))+(COUNTIF('HMZ - KAIS'!$A$7:$A$50,'INSTANCE C2'!G31))+(COUNTIF('IB TRANSPORT'!$A$7:$A$50,'INSTANCE C2'!G31))+(COUNTIF(JSL!$A$7:$A$50,'INSTANCE C2'!G31))+(COUNTIF(KIFAITOUT!$A$7:$A$50,'INSTANCE C2'!G31))+(COUNTIF('LUXE DRIVE'!$A$7:$A$50,'INSTANCE C2'!G31))+(COUNTIF(SSN!$A$7:$A$50,'INSTANCE C2'!G31))+(COUNTIF('W3'!$A$7:$A$50,'INSTANCE C2'!G31))+(COUNTIF('ATHIS MONS'!$A$7:$A$50,'INSTANCE C2'!G31))+(COUNTIF('L HAY LES ROSES'!$A$7:$A$50,'INSTANCE C2'!G31))+(COUNTIF(RUNGIS!$A$7:$A$50,'INSTANCE C2'!G31))+(COUNTIF(SCEAUX!$A$7:$A$50,'INSTANCE C2'!G31))+(COUNTIF('INSTANCE C1'!$A$7:$A$50,'INSTANCE C2'!G31))+(COUNTIF('INSTANCE C2'!$A$7:$A$50,'INSTANCE C2'!G31))+(COUNTIF(INTERNES!$A$7:$A$50,'INSTANCE C2'!G31))+(COUNTIF('EN PANNE'!$A$7:$A$50,'INSTANCE C2'!G31))</f>
        <v>0</v>
      </c>
      <c r="J31" s="28">
        <f t="shared" si="4"/>
        <v>0</v>
      </c>
      <c r="K31" s="2"/>
      <c r="L31" s="47"/>
      <c r="M31" s="9"/>
      <c r="N31" s="9"/>
      <c r="O31" s="9"/>
      <c r="P31" s="9"/>
      <c r="S31" s="60">
        <f t="shared" si="1"/>
        <v>0</v>
      </c>
      <c r="T31" s="67">
        <f t="shared" si="2"/>
        <v>0</v>
      </c>
    </row>
    <row r="32" spans="1:20" ht="24.95" customHeight="1" x14ac:dyDescent="0.2">
      <c r="A32" s="20"/>
      <c r="B32" s="23">
        <f>(COUNTIF('2S EXPRESS'!$A$7:$A$50,'INSTANCE C2'!A32))+(COUNTIF('2 ZT'!$A$7:$A$50,'INSTANCE C2'!A32))+(COUNTIF('GO TRANSPORT'!$A$7:$A$50,'INSTANCE C2'!A32))+(COUNTIF('HMZ - KAIS'!$A$7:$A$50,'INSTANCE C2'!A32))+(COUNTIF('IB TRANSPORT'!$A$7:$A$50,'INSTANCE C2'!A32))+(COUNTIF(JSL!$A$7:$A$50,'INSTANCE C2'!A32))+(COUNTIF(KIFAITOUT!$A$7:$A$50,'INSTANCE C2'!A32))+(COUNTIF('LUXE DRIVE'!$A$7:$A$50,'INSTANCE C2'!A32))+(COUNTIF(SSN!$A$7:$A$50,'INSTANCE C2'!A32))+(COUNTIF('W3'!$A$7:$A$50,'INSTANCE C2'!A32))+(COUNTIF('ATHIS MONS'!$A$7:$A$50,'INSTANCE C2'!A32))+(COUNTIF('L HAY LES ROSES'!$A$7:$A$50,'INSTANCE C2'!A32))+(COUNTIF(RUNGIS!$A$7:$A$50,'INSTANCE C2'!A32))+(COUNTIF(SCEAUX!$A$7:$A$50,'INSTANCE C2'!A32))+(COUNTIF('INSTANCE C1'!$A$7:$A$50,'INSTANCE C2'!A32))+(COUNTIF('INSTANCE C2'!$A$7:$A$50,'INSTANCE C2'!A32))+(COUNTIF(INTERNES!$A$7:$A$50,'INSTANCE C2'!A32))+(COUNTIF('EN PANNE'!$A$7:$A$50,'INSTANCE C2'!A32))-C32</f>
        <v>0</v>
      </c>
      <c r="C32" s="23">
        <f>(COUNTIF('2S EXPRESS'!$G$7:$G$50,'INSTANCE C2'!A32))+(COUNTIF('2 ZT'!$G$7:$G$50,'INSTANCE C2'!A32))+(COUNTIF('GO TRANSPORT'!$G$7:$G$50,'INSTANCE C2'!A32))+(COUNTIF('INSTANCE C2'!$G$7:$G$50,'INSTANCE C2'!A32))+(COUNTIF('IB TRANSPORT'!$G$7:$G$50,'INSTANCE C2'!A32))+(COUNTIF(JSL!$G$7:$G$50,'INSTANCE C2'!A32))+(COUNTIF(KIFAITOUT!$G$7:$G$50,'INSTANCE C2'!A32))+(COUNTIF('LUXE DRIVE'!$G$7:$G$50,'INSTANCE C2'!A32))+(COUNTIF(SSN!$G$7:$G$50,'INSTANCE C2'!A32))+(COUNTIF('W3'!$G$7:$G$50,'INSTANCE C2'!A32))+(COUNTIF('ATHIS MONS'!$G$7:$G$50,'INSTANCE C2'!A32))+(COUNTIF('L HAY LES ROSES'!$G$7:$G$50,'INSTANCE C2'!A32))+(COUNTIF(RUNGIS!$G$7:$G$50,'INSTANCE C2'!A32))+(COUNTIF(SCEAUX!$G$7:$G$50,'INSTANCE C2'!A32))+(COUNTIF('INSTANCE C1'!$G$7:$G$50,'INSTANCE C2'!A32))+(COUNTIF('INSTANCE C2'!$G$7:$G$50,'INSTANCE C2'!A32))+(COUNTIF(INTERNES!$G$7:$G$50,'INSTANCE C2'!A32))+(COUNTIF('EN PANNE'!$G$7:$G$50,'INSTANCE C2'!A32))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EXPRESS'!$G$7:$G$50,'INSTANCE C2'!G32))+(COUNTIF('2 ZT'!$G$7:$G$50,'INSTANCE C2'!G32))+(COUNTIF('GO TRANSPORT'!$G$7:$G$50,'INSTANCE C2'!G32))+(COUNTIF('HMZ - KAIS'!$G$7:$G$50,'INSTANCE C2'!G32))+(COUNTIF('IB TRANSPORT'!$G$7:$G$50,'INSTANCE C2'!G32))+(COUNTIF(JSL!$G$7:$G$50,'INSTANCE C2'!G32))+(COUNTIF(KIFAITOUT!$G$7:$G$50,'INSTANCE C2'!G32))+(COUNTIF('LUXE DRIVE'!$G$7:$G$50,'INSTANCE C2'!G32))+(COUNTIF(SSN!$G$7:$G$50,'INSTANCE C2'!G32))+(COUNTIF('W3'!$G$7:$G$50,'INSTANCE C2'!G32))+(COUNTIF('ATHIS MONS'!$G$7:$G$50,'INSTANCE C2'!G32))+(COUNTIF('L HAY LES ROSES'!$G$7:$G$50,'INSTANCE C2'!G32))+(COUNTIF(RUNGIS!$G$7:$G$50,'INSTANCE C2'!G32))+(COUNTIF(SCEAUX!$G$7:$G$50,'INSTANCE C2'!G32))+(COUNTIF('INSTANCE C1'!$G$7:$G$50,'INSTANCE C2'!G32))+(COUNTIF('INSTANCE C2'!$G$7:$G$50,'INSTANCE C2'!G32))+(COUNTIF(INTERNES!$G$7:$G$50,'INSTANCE C2'!G32))+(COUNTIF('EN PANNE'!$G$7:$G$50,'INSTANCE C2'!G32))-I32</f>
        <v>0</v>
      </c>
      <c r="I32" s="23">
        <f>(COUNTIF('2S EXPRESS'!$A$7:$A$50,'INSTANCE C2'!G32))+(COUNTIF('2 ZT'!$A$7:$A$50,'INSTANCE C2'!G32))+(COUNTIF('GO TRANSPORT'!$A$7:$A$50,'INSTANCE C2'!G32))+(COUNTIF('HMZ - KAIS'!$A$7:$A$50,'INSTANCE C2'!G32))+(COUNTIF('IB TRANSPORT'!$A$7:$A$50,'INSTANCE C2'!G32))+(COUNTIF(JSL!$A$7:$A$50,'INSTANCE C2'!G32))+(COUNTIF(KIFAITOUT!$A$7:$A$50,'INSTANCE C2'!G32))+(COUNTIF('LUXE DRIVE'!$A$7:$A$50,'INSTANCE C2'!G32))+(COUNTIF(SSN!$A$7:$A$50,'INSTANCE C2'!G32))+(COUNTIF('W3'!$A$7:$A$50,'INSTANCE C2'!G32))+(COUNTIF('ATHIS MONS'!$A$7:$A$50,'INSTANCE C2'!G32))+(COUNTIF('L HAY LES ROSES'!$A$7:$A$50,'INSTANCE C2'!G32))+(COUNTIF(RUNGIS!$A$7:$A$50,'INSTANCE C2'!G32))+(COUNTIF(SCEAUX!$A$7:$A$50,'INSTANCE C2'!G32))+(COUNTIF('INSTANCE C1'!$A$7:$A$50,'INSTANCE C2'!G32))+(COUNTIF('INSTANCE C2'!$A$7:$A$50,'INSTANCE C2'!G32))+(COUNTIF(INTERNES!$A$7:$A$50,'INSTANCE C2'!G32))+(COUNTIF('EN PANNE'!$A$7:$A$50,'INSTANCE C2'!G32))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S32" s="60">
        <f t="shared" si="1"/>
        <v>0</v>
      </c>
      <c r="T32" s="67">
        <f t="shared" si="2"/>
        <v>0</v>
      </c>
    </row>
    <row r="33" spans="1:20" ht="24.95" customHeight="1" x14ac:dyDescent="0.2">
      <c r="A33" s="20"/>
      <c r="B33" s="23">
        <f>(COUNTIF('2S EXPRESS'!$A$7:$A$50,'INSTANCE C2'!A33))+(COUNTIF('2 ZT'!$A$7:$A$50,'INSTANCE C2'!A33))+(COUNTIF('GO TRANSPORT'!$A$7:$A$50,'INSTANCE C2'!A33))+(COUNTIF('HMZ - KAIS'!$A$7:$A$50,'INSTANCE C2'!A33))+(COUNTIF('IB TRANSPORT'!$A$7:$A$50,'INSTANCE C2'!A33))+(COUNTIF(JSL!$A$7:$A$50,'INSTANCE C2'!A33))+(COUNTIF(KIFAITOUT!$A$7:$A$50,'INSTANCE C2'!A33))+(COUNTIF('LUXE DRIVE'!$A$7:$A$50,'INSTANCE C2'!A33))+(COUNTIF(SSN!$A$7:$A$50,'INSTANCE C2'!A33))+(COUNTIF('W3'!$A$7:$A$50,'INSTANCE C2'!A33))+(COUNTIF('ATHIS MONS'!$A$7:$A$50,'INSTANCE C2'!A33))+(COUNTIF('L HAY LES ROSES'!$A$7:$A$50,'INSTANCE C2'!A33))+(COUNTIF(RUNGIS!$A$7:$A$50,'INSTANCE C2'!A33))+(COUNTIF(SCEAUX!$A$7:$A$50,'INSTANCE C2'!A33))+(COUNTIF('INSTANCE C1'!$A$7:$A$50,'INSTANCE C2'!A33))+(COUNTIF('INSTANCE C2'!$A$7:$A$50,'INSTANCE C2'!A33))+(COUNTIF(INTERNES!$A$7:$A$50,'INSTANCE C2'!A33))+(COUNTIF('EN PANNE'!$A$7:$A$50,'INSTANCE C2'!A33))-C33</f>
        <v>0</v>
      </c>
      <c r="C33" s="23">
        <f>(COUNTIF('2S EXPRESS'!$G$7:$G$50,'INSTANCE C2'!A33))+(COUNTIF('2 ZT'!$G$7:$G$50,'INSTANCE C2'!A33))+(COUNTIF('GO TRANSPORT'!$G$7:$G$50,'INSTANCE C2'!A33))+(COUNTIF('INSTANCE C2'!$G$7:$G$50,'INSTANCE C2'!A33))+(COUNTIF('IB TRANSPORT'!$G$7:$G$50,'INSTANCE C2'!A33))+(COUNTIF(JSL!$G$7:$G$50,'INSTANCE C2'!A33))+(COUNTIF(KIFAITOUT!$G$7:$G$50,'INSTANCE C2'!A33))+(COUNTIF('LUXE DRIVE'!$G$7:$G$50,'INSTANCE C2'!A33))+(COUNTIF(SSN!$G$7:$G$50,'INSTANCE C2'!A33))+(COUNTIF('W3'!$G$7:$G$50,'INSTANCE C2'!A33))+(COUNTIF('ATHIS MONS'!$G$7:$G$50,'INSTANCE C2'!A33))+(COUNTIF('L HAY LES ROSES'!$G$7:$G$50,'INSTANCE C2'!A33))+(COUNTIF(RUNGIS!$G$7:$G$50,'INSTANCE C2'!A33))+(COUNTIF(SCEAUX!$G$7:$G$50,'INSTANCE C2'!A33))+(COUNTIF('INSTANCE C1'!$G$7:$G$50,'INSTANCE C2'!A33))+(COUNTIF('INSTANCE C2'!$G$7:$G$50,'INSTANCE C2'!A33))+(COUNTIF(INTERNES!$G$7:$G$50,'INSTANCE C2'!A33))+(COUNTIF('EN PANNE'!$G$7:$G$50,'INSTANCE C2'!A33))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EXPRESS'!$G$7:$G$50,'INSTANCE C2'!G33))+(COUNTIF('2 ZT'!$G$7:$G$50,'INSTANCE C2'!G33))+(COUNTIF('GO TRANSPORT'!$G$7:$G$50,'INSTANCE C2'!G33))+(COUNTIF('HMZ - KAIS'!$G$7:$G$50,'INSTANCE C2'!G33))+(COUNTIF('IB TRANSPORT'!$G$7:$G$50,'INSTANCE C2'!G33))+(COUNTIF(JSL!$G$7:$G$50,'INSTANCE C2'!G33))+(COUNTIF(KIFAITOUT!$G$7:$G$50,'INSTANCE C2'!G33))+(COUNTIF('LUXE DRIVE'!$G$7:$G$50,'INSTANCE C2'!G33))+(COUNTIF(SSN!$G$7:$G$50,'INSTANCE C2'!G33))+(COUNTIF('W3'!$G$7:$G$50,'INSTANCE C2'!G33))+(COUNTIF('ATHIS MONS'!$G$7:$G$50,'INSTANCE C2'!G33))+(COUNTIF('L HAY LES ROSES'!$G$7:$G$50,'INSTANCE C2'!G33))+(COUNTIF(RUNGIS!$G$7:$G$50,'INSTANCE C2'!G33))+(COUNTIF(SCEAUX!$G$7:$G$50,'INSTANCE C2'!G33))+(COUNTIF('INSTANCE C1'!$G$7:$G$50,'INSTANCE C2'!G33))+(COUNTIF('INSTANCE C2'!$G$7:$G$50,'INSTANCE C2'!G33))+(COUNTIF(INTERNES!$G$7:$G$50,'INSTANCE C2'!G33))+(COUNTIF('EN PANNE'!$G$7:$G$50,'INSTANCE C2'!G33))-I33</f>
        <v>0</v>
      </c>
      <c r="I33" s="23">
        <f>(COUNTIF('2S EXPRESS'!$A$7:$A$50,'INSTANCE C2'!G33))+(COUNTIF('2 ZT'!$A$7:$A$50,'INSTANCE C2'!G33))+(COUNTIF('GO TRANSPORT'!$A$7:$A$50,'INSTANCE C2'!G33))+(COUNTIF('HMZ - KAIS'!$A$7:$A$50,'INSTANCE C2'!G33))+(COUNTIF('IB TRANSPORT'!$A$7:$A$50,'INSTANCE C2'!G33))+(COUNTIF(JSL!$A$7:$A$50,'INSTANCE C2'!G33))+(COUNTIF(KIFAITOUT!$A$7:$A$50,'INSTANCE C2'!G33))+(COUNTIF('LUXE DRIVE'!$A$7:$A$50,'INSTANCE C2'!G33))+(COUNTIF(SSN!$A$7:$A$50,'INSTANCE C2'!G33))+(COUNTIF('W3'!$A$7:$A$50,'INSTANCE C2'!G33))+(COUNTIF('ATHIS MONS'!$A$7:$A$50,'INSTANCE C2'!G33))+(COUNTIF('L HAY LES ROSES'!$A$7:$A$50,'INSTANCE C2'!G33))+(COUNTIF(RUNGIS!$A$7:$A$50,'INSTANCE C2'!G33))+(COUNTIF(SCEAUX!$A$7:$A$50,'INSTANCE C2'!G33))+(COUNTIF('INSTANCE C1'!$A$7:$A$50,'INSTANCE C2'!G33))+(COUNTIF('INSTANCE C2'!$A$7:$A$50,'INSTANCE C2'!G33))+(COUNTIF(INTERNES!$A$7:$A$50,'INSTANCE C2'!G33))+(COUNTIF('EN PANNE'!$A$7:$A$50,'INSTANCE C2'!G33))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S33" s="60">
        <f t="shared" si="1"/>
        <v>0</v>
      </c>
      <c r="T33" s="67">
        <f t="shared" si="2"/>
        <v>0</v>
      </c>
    </row>
    <row r="34" spans="1:20" ht="24.95" customHeight="1" x14ac:dyDescent="0.2">
      <c r="A34" s="20"/>
      <c r="B34" s="23">
        <f>(COUNTIF('2S EXPRESS'!$A$7:$A$50,'INSTANCE C2'!A34))+(COUNTIF('2 ZT'!$A$7:$A$50,'INSTANCE C2'!A34))+(COUNTIF('GO TRANSPORT'!$A$7:$A$50,'INSTANCE C2'!A34))+(COUNTIF('HMZ - KAIS'!$A$7:$A$50,'INSTANCE C2'!A34))+(COUNTIF('IB TRANSPORT'!$A$7:$A$50,'INSTANCE C2'!A34))+(COUNTIF(JSL!$A$7:$A$50,'INSTANCE C2'!A34))+(COUNTIF(KIFAITOUT!$A$7:$A$50,'INSTANCE C2'!A34))+(COUNTIF('LUXE DRIVE'!$A$7:$A$50,'INSTANCE C2'!A34))+(COUNTIF(SSN!$A$7:$A$50,'INSTANCE C2'!A34))+(COUNTIF('W3'!$A$7:$A$50,'INSTANCE C2'!A34))+(COUNTIF('ATHIS MONS'!$A$7:$A$50,'INSTANCE C2'!A34))+(COUNTIF('L HAY LES ROSES'!$A$7:$A$50,'INSTANCE C2'!A34))+(COUNTIF(RUNGIS!$A$7:$A$50,'INSTANCE C2'!A34))+(COUNTIF(SCEAUX!$A$7:$A$50,'INSTANCE C2'!A34))+(COUNTIF('INSTANCE C1'!$A$7:$A$50,'INSTANCE C2'!A34))+(COUNTIF('INSTANCE C2'!$A$7:$A$50,'INSTANCE C2'!A34))+(COUNTIF(INTERNES!$A$7:$A$50,'INSTANCE C2'!A34))+(COUNTIF('EN PANNE'!$A$7:$A$50,'INSTANCE C2'!A34))-C34</f>
        <v>0</v>
      </c>
      <c r="C34" s="23">
        <f>(COUNTIF('2S EXPRESS'!$G$7:$G$50,'INSTANCE C2'!A34))+(COUNTIF('2 ZT'!$G$7:$G$50,'INSTANCE C2'!A34))+(COUNTIF('GO TRANSPORT'!$G$7:$G$50,'INSTANCE C2'!A34))+(COUNTIF('INSTANCE C2'!$G$7:$G$50,'INSTANCE C2'!A34))+(COUNTIF('IB TRANSPORT'!$G$7:$G$50,'INSTANCE C2'!A34))+(COUNTIF(JSL!$G$7:$G$50,'INSTANCE C2'!A34))+(COUNTIF(KIFAITOUT!$G$7:$G$50,'INSTANCE C2'!A34))+(COUNTIF('LUXE DRIVE'!$G$7:$G$50,'INSTANCE C2'!A34))+(COUNTIF(SSN!$G$7:$G$50,'INSTANCE C2'!A34))+(COUNTIF('W3'!$G$7:$G$50,'INSTANCE C2'!A34))+(COUNTIF('ATHIS MONS'!$G$7:$G$50,'INSTANCE C2'!A34))+(COUNTIF('L HAY LES ROSES'!$G$7:$G$50,'INSTANCE C2'!A34))+(COUNTIF(RUNGIS!$G$7:$G$50,'INSTANCE C2'!A34))+(COUNTIF(SCEAUX!$G$7:$G$50,'INSTANCE C2'!A34))+(COUNTIF('INSTANCE C1'!$G$7:$G$50,'INSTANCE C2'!A34))+(COUNTIF('INSTANCE C2'!$G$7:$G$50,'INSTANCE C2'!A34))+(COUNTIF(INTERNES!$G$7:$G$50,'INSTANCE C2'!A34))+(COUNTIF('EN PANNE'!$G$7:$G$50,'INSTANCE C2'!A34))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EXPRESS'!$G$7:$G$50,'INSTANCE C2'!G34))+(COUNTIF('2 ZT'!$G$7:$G$50,'INSTANCE C2'!G34))+(COUNTIF('GO TRANSPORT'!$G$7:$G$50,'INSTANCE C2'!G34))+(COUNTIF('HMZ - KAIS'!$G$7:$G$50,'INSTANCE C2'!G34))+(COUNTIF('IB TRANSPORT'!$G$7:$G$50,'INSTANCE C2'!G34))+(COUNTIF(JSL!$G$7:$G$50,'INSTANCE C2'!G34))+(COUNTIF(KIFAITOUT!$G$7:$G$50,'INSTANCE C2'!G34))+(COUNTIF('LUXE DRIVE'!$G$7:$G$50,'INSTANCE C2'!G34))+(COUNTIF(SSN!$G$7:$G$50,'INSTANCE C2'!G34))+(COUNTIF('W3'!$G$7:$G$50,'INSTANCE C2'!G34))+(COUNTIF('ATHIS MONS'!$G$7:$G$50,'INSTANCE C2'!G34))+(COUNTIF('L HAY LES ROSES'!$G$7:$G$50,'INSTANCE C2'!G34))+(COUNTIF(RUNGIS!$G$7:$G$50,'INSTANCE C2'!G34))+(COUNTIF(SCEAUX!$G$7:$G$50,'INSTANCE C2'!G34))+(COUNTIF('INSTANCE C1'!$G$7:$G$50,'INSTANCE C2'!G34))+(COUNTIF('INSTANCE C2'!$G$7:$G$50,'INSTANCE C2'!G34))+(COUNTIF(INTERNES!$G$7:$G$50,'INSTANCE C2'!G34))+(COUNTIF('EN PANNE'!$G$7:$G$50,'INSTANCE C2'!G34))-I34</f>
        <v>0</v>
      </c>
      <c r="I34" s="23">
        <f>(COUNTIF('2S EXPRESS'!$A$7:$A$50,'INSTANCE C2'!G34))+(COUNTIF('2 ZT'!$A$7:$A$50,'INSTANCE C2'!G34))+(COUNTIF('GO TRANSPORT'!$A$7:$A$50,'INSTANCE C2'!G34))+(COUNTIF('HMZ - KAIS'!$A$7:$A$50,'INSTANCE C2'!G34))+(COUNTIF('IB TRANSPORT'!$A$7:$A$50,'INSTANCE C2'!G34))+(COUNTIF(JSL!$A$7:$A$50,'INSTANCE C2'!G34))+(COUNTIF(KIFAITOUT!$A$7:$A$50,'INSTANCE C2'!G34))+(COUNTIF('LUXE DRIVE'!$A$7:$A$50,'INSTANCE C2'!G34))+(COUNTIF(SSN!$A$7:$A$50,'INSTANCE C2'!G34))+(COUNTIF('W3'!$A$7:$A$50,'INSTANCE C2'!G34))+(COUNTIF('ATHIS MONS'!$A$7:$A$50,'INSTANCE C2'!G34))+(COUNTIF('L HAY LES ROSES'!$A$7:$A$50,'INSTANCE C2'!G34))+(COUNTIF(RUNGIS!$A$7:$A$50,'INSTANCE C2'!G34))+(COUNTIF(SCEAUX!$A$7:$A$50,'INSTANCE C2'!G34))+(COUNTIF('INSTANCE C1'!$A$7:$A$50,'INSTANCE C2'!G34))+(COUNTIF('INSTANCE C2'!$A$7:$A$50,'INSTANCE C2'!G34))+(COUNTIF(INTERNES!$A$7:$A$50,'INSTANCE C2'!G34))+(COUNTIF('EN PANNE'!$A$7:$A$50,'INSTANCE C2'!G34))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S34" s="60">
        <f t="shared" si="1"/>
        <v>0</v>
      </c>
      <c r="T34" s="67">
        <f t="shared" si="2"/>
        <v>0</v>
      </c>
    </row>
    <row r="35" spans="1:20" ht="24.95" customHeight="1" x14ac:dyDescent="0.2">
      <c r="A35" s="20"/>
      <c r="B35" s="23">
        <f>(COUNTIF('2S EXPRESS'!$A$7:$A$50,'INSTANCE C2'!A35))+(COUNTIF('2 ZT'!$A$7:$A$50,'INSTANCE C2'!A35))+(COUNTIF('GO TRANSPORT'!$A$7:$A$50,'INSTANCE C2'!A35))+(COUNTIF('HMZ - KAIS'!$A$7:$A$50,'INSTANCE C2'!A35))+(COUNTIF('IB TRANSPORT'!$A$7:$A$50,'INSTANCE C2'!A35))+(COUNTIF(JSL!$A$7:$A$50,'INSTANCE C2'!A35))+(COUNTIF(KIFAITOUT!$A$7:$A$50,'INSTANCE C2'!A35))+(COUNTIF('LUXE DRIVE'!$A$7:$A$50,'INSTANCE C2'!A35))+(COUNTIF(SSN!$A$7:$A$50,'INSTANCE C2'!A35))+(COUNTIF('W3'!$A$7:$A$50,'INSTANCE C2'!A35))+(COUNTIF('ATHIS MONS'!$A$7:$A$50,'INSTANCE C2'!A35))+(COUNTIF('L HAY LES ROSES'!$A$7:$A$50,'INSTANCE C2'!A35))+(COUNTIF(RUNGIS!$A$7:$A$50,'INSTANCE C2'!A35))+(COUNTIF(SCEAUX!$A$7:$A$50,'INSTANCE C2'!A35))+(COUNTIF('INSTANCE C1'!$A$7:$A$50,'INSTANCE C2'!A35))+(COUNTIF('INSTANCE C2'!$A$7:$A$50,'INSTANCE C2'!A35))+(COUNTIF(INTERNES!$A$7:$A$50,'INSTANCE C2'!A35))+(COUNTIF('EN PANNE'!$A$7:$A$50,'INSTANCE C2'!A35))-C35</f>
        <v>0</v>
      </c>
      <c r="C35" s="23">
        <f>(COUNTIF('2S EXPRESS'!$G$7:$G$50,'INSTANCE C2'!A35))+(COUNTIF('2 ZT'!$G$7:$G$50,'INSTANCE C2'!A35))+(COUNTIF('GO TRANSPORT'!$G$7:$G$50,'INSTANCE C2'!A35))+(COUNTIF('INSTANCE C2'!$G$7:$G$50,'INSTANCE C2'!A35))+(COUNTIF('IB TRANSPORT'!$G$7:$G$50,'INSTANCE C2'!A35))+(COUNTIF(JSL!$G$7:$G$50,'INSTANCE C2'!A35))+(COUNTIF(KIFAITOUT!$G$7:$G$50,'INSTANCE C2'!A35))+(COUNTIF('LUXE DRIVE'!$G$7:$G$50,'INSTANCE C2'!A35))+(COUNTIF(SSN!$G$7:$G$50,'INSTANCE C2'!A35))+(COUNTIF('W3'!$G$7:$G$50,'INSTANCE C2'!A35))+(COUNTIF('ATHIS MONS'!$G$7:$G$50,'INSTANCE C2'!A35))+(COUNTIF('L HAY LES ROSES'!$G$7:$G$50,'INSTANCE C2'!A35))+(COUNTIF(RUNGIS!$G$7:$G$50,'INSTANCE C2'!A35))+(COUNTIF(SCEAUX!$G$7:$G$50,'INSTANCE C2'!A35))+(COUNTIF('INSTANCE C1'!$G$7:$G$50,'INSTANCE C2'!A35))+(COUNTIF('INSTANCE C2'!$G$7:$G$50,'INSTANCE C2'!A35))+(COUNTIF(INTERNES!$G$7:$G$50,'INSTANCE C2'!A35))+(COUNTIF('EN PANNE'!$G$7:$G$50,'INSTANCE C2'!A35))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EXPRESS'!$G$7:$G$50,'INSTANCE C2'!G35))+(COUNTIF('2 ZT'!$G$7:$G$50,'INSTANCE C2'!G35))+(COUNTIF('GO TRANSPORT'!$G$7:$G$50,'INSTANCE C2'!G35))+(COUNTIF('HMZ - KAIS'!$G$7:$G$50,'INSTANCE C2'!G35))+(COUNTIF('IB TRANSPORT'!$G$7:$G$50,'INSTANCE C2'!G35))+(COUNTIF(JSL!$G$7:$G$50,'INSTANCE C2'!G35))+(COUNTIF(KIFAITOUT!$G$7:$G$50,'INSTANCE C2'!G35))+(COUNTIF('LUXE DRIVE'!$G$7:$G$50,'INSTANCE C2'!G35))+(COUNTIF(SSN!$G$7:$G$50,'INSTANCE C2'!G35))+(COUNTIF('W3'!$G$7:$G$50,'INSTANCE C2'!G35))+(COUNTIF('ATHIS MONS'!$G$7:$G$50,'INSTANCE C2'!G35))+(COUNTIF('L HAY LES ROSES'!$G$7:$G$50,'INSTANCE C2'!G35))+(COUNTIF(RUNGIS!$G$7:$G$50,'INSTANCE C2'!G35))+(COUNTIF(SCEAUX!$G$7:$G$50,'INSTANCE C2'!G35))+(COUNTIF('INSTANCE C1'!$G$7:$G$50,'INSTANCE C2'!G35))+(COUNTIF('INSTANCE C2'!$G$7:$G$50,'INSTANCE C2'!G35))+(COUNTIF(INTERNES!$G$7:$G$50,'INSTANCE C2'!G35))+(COUNTIF('EN PANNE'!$G$7:$G$50,'INSTANCE C2'!G35))-I35</f>
        <v>0</v>
      </c>
      <c r="I35" s="23">
        <f>(COUNTIF('2S EXPRESS'!$A$7:$A$50,'INSTANCE C2'!G35))+(COUNTIF('2 ZT'!$A$7:$A$50,'INSTANCE C2'!G35))+(COUNTIF('GO TRANSPORT'!$A$7:$A$50,'INSTANCE C2'!G35))+(COUNTIF('HMZ - KAIS'!$A$7:$A$50,'INSTANCE C2'!G35))+(COUNTIF('IB TRANSPORT'!$A$7:$A$50,'INSTANCE C2'!G35))+(COUNTIF(JSL!$A$7:$A$50,'INSTANCE C2'!G35))+(COUNTIF(KIFAITOUT!$A$7:$A$50,'INSTANCE C2'!G35))+(COUNTIF('LUXE DRIVE'!$A$7:$A$50,'INSTANCE C2'!G35))+(COUNTIF(SSN!$A$7:$A$50,'INSTANCE C2'!G35))+(COUNTIF('W3'!$A$7:$A$50,'INSTANCE C2'!G35))+(COUNTIF('ATHIS MONS'!$A$7:$A$50,'INSTANCE C2'!G35))+(COUNTIF('L HAY LES ROSES'!$A$7:$A$50,'INSTANCE C2'!G35))+(COUNTIF(RUNGIS!$A$7:$A$50,'INSTANCE C2'!G35))+(COUNTIF(SCEAUX!$A$7:$A$50,'INSTANCE C2'!G35))+(COUNTIF('INSTANCE C1'!$A$7:$A$50,'INSTANCE C2'!G35))+(COUNTIF('INSTANCE C2'!$A$7:$A$50,'INSTANCE C2'!G35))+(COUNTIF(INTERNES!$A$7:$A$50,'INSTANCE C2'!G35))+(COUNTIF('EN PANNE'!$A$7:$A$50,'INSTANCE C2'!G35))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S35" s="60">
        <f t="shared" si="1"/>
        <v>0</v>
      </c>
      <c r="T35" s="67">
        <f t="shared" si="2"/>
        <v>0</v>
      </c>
    </row>
    <row r="36" spans="1:20" ht="24.95" customHeight="1" x14ac:dyDescent="0.2">
      <c r="A36" s="20"/>
      <c r="B36" s="23">
        <f>(COUNTIF('2S EXPRESS'!$A$7:$A$50,'INSTANCE C2'!A36))+(COUNTIF('2 ZT'!$A$7:$A$50,'INSTANCE C2'!A36))+(COUNTIF('GO TRANSPORT'!$A$7:$A$50,'INSTANCE C2'!A36))+(COUNTIF('HMZ - KAIS'!$A$7:$A$50,'INSTANCE C2'!A36))+(COUNTIF('IB TRANSPORT'!$A$7:$A$50,'INSTANCE C2'!A36))+(COUNTIF(JSL!$A$7:$A$50,'INSTANCE C2'!A36))+(COUNTIF(KIFAITOUT!$A$7:$A$50,'INSTANCE C2'!A36))+(COUNTIF('LUXE DRIVE'!$A$7:$A$50,'INSTANCE C2'!A36))+(COUNTIF(SSN!$A$7:$A$50,'INSTANCE C2'!A36))+(COUNTIF('W3'!$A$7:$A$50,'INSTANCE C2'!A36))+(COUNTIF('ATHIS MONS'!$A$7:$A$50,'INSTANCE C2'!A36))+(COUNTIF('L HAY LES ROSES'!$A$7:$A$50,'INSTANCE C2'!A36))+(COUNTIF(RUNGIS!$A$7:$A$50,'INSTANCE C2'!A36))+(COUNTIF(SCEAUX!$A$7:$A$50,'INSTANCE C2'!A36))+(COUNTIF('INSTANCE C1'!$A$7:$A$50,'INSTANCE C2'!A36))+(COUNTIF('INSTANCE C2'!$A$7:$A$50,'INSTANCE C2'!A36))+(COUNTIF(INTERNES!$A$7:$A$50,'INSTANCE C2'!A36))+(COUNTIF('EN PANNE'!$A$7:$A$50,'INSTANCE C2'!A36))-C36</f>
        <v>0</v>
      </c>
      <c r="C36" s="23">
        <f>(COUNTIF('2S EXPRESS'!$G$7:$G$50,'INSTANCE C2'!A36))+(COUNTIF('2 ZT'!$G$7:$G$50,'INSTANCE C2'!A36))+(COUNTIF('GO TRANSPORT'!$G$7:$G$50,'INSTANCE C2'!A36))+(COUNTIF('INSTANCE C2'!$G$7:$G$50,'INSTANCE C2'!A36))+(COUNTIF('IB TRANSPORT'!$G$7:$G$50,'INSTANCE C2'!A36))+(COUNTIF(JSL!$G$7:$G$50,'INSTANCE C2'!A36))+(COUNTIF(KIFAITOUT!$G$7:$G$50,'INSTANCE C2'!A36))+(COUNTIF('LUXE DRIVE'!$G$7:$G$50,'INSTANCE C2'!A36))+(COUNTIF(SSN!$G$7:$G$50,'INSTANCE C2'!A36))+(COUNTIF('W3'!$G$7:$G$50,'INSTANCE C2'!A36))+(COUNTIF('ATHIS MONS'!$G$7:$G$50,'INSTANCE C2'!A36))+(COUNTIF('L HAY LES ROSES'!$G$7:$G$50,'INSTANCE C2'!A36))+(COUNTIF(RUNGIS!$G$7:$G$50,'INSTANCE C2'!A36))+(COUNTIF(SCEAUX!$G$7:$G$50,'INSTANCE C2'!A36))+(COUNTIF('INSTANCE C1'!$G$7:$G$50,'INSTANCE C2'!A36))+(COUNTIF('INSTANCE C2'!$G$7:$G$50,'INSTANCE C2'!A36))+(COUNTIF(INTERNES!$G$7:$G$50,'INSTANCE C2'!A36))+(COUNTIF('EN PANNE'!$G$7:$G$50,'INSTANCE C2'!A36))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EXPRESS'!$G$7:$G$50,'INSTANCE C2'!G36))+(COUNTIF('2 ZT'!$G$7:$G$50,'INSTANCE C2'!G36))+(COUNTIF('GO TRANSPORT'!$G$7:$G$50,'INSTANCE C2'!G36))+(COUNTIF('HMZ - KAIS'!$G$7:$G$50,'INSTANCE C2'!G36))+(COUNTIF('IB TRANSPORT'!$G$7:$G$50,'INSTANCE C2'!G36))+(COUNTIF(JSL!$G$7:$G$50,'INSTANCE C2'!G36))+(COUNTIF(KIFAITOUT!$G$7:$G$50,'INSTANCE C2'!G36))+(COUNTIF('LUXE DRIVE'!$G$7:$G$50,'INSTANCE C2'!G36))+(COUNTIF(SSN!$G$7:$G$50,'INSTANCE C2'!G36))+(COUNTIF('W3'!$G$7:$G$50,'INSTANCE C2'!G36))+(COUNTIF('ATHIS MONS'!$G$7:$G$50,'INSTANCE C2'!G36))+(COUNTIF('L HAY LES ROSES'!$G$7:$G$50,'INSTANCE C2'!G36))+(COUNTIF(RUNGIS!$G$7:$G$50,'INSTANCE C2'!G36))+(COUNTIF(SCEAUX!$G$7:$G$50,'INSTANCE C2'!G36))+(COUNTIF('INSTANCE C1'!$G$7:$G$50,'INSTANCE C2'!G36))+(COUNTIF('INSTANCE C2'!$G$7:$G$50,'INSTANCE C2'!G36))+(COUNTIF(INTERNES!$G$7:$G$50,'INSTANCE C2'!G36))+(COUNTIF('EN PANNE'!$G$7:$G$50,'INSTANCE C2'!G36))-I36</f>
        <v>0</v>
      </c>
      <c r="I36" s="23">
        <f>(COUNTIF('2S EXPRESS'!$A$7:$A$50,'INSTANCE C2'!G36))+(COUNTIF('2 ZT'!$A$7:$A$50,'INSTANCE C2'!G36))+(COUNTIF('GO TRANSPORT'!$A$7:$A$50,'INSTANCE C2'!G36))+(COUNTIF('HMZ - KAIS'!$A$7:$A$50,'INSTANCE C2'!G36))+(COUNTIF('IB TRANSPORT'!$A$7:$A$50,'INSTANCE C2'!G36))+(COUNTIF(JSL!$A$7:$A$50,'INSTANCE C2'!G36))+(COUNTIF(KIFAITOUT!$A$7:$A$50,'INSTANCE C2'!G36))+(COUNTIF('LUXE DRIVE'!$A$7:$A$50,'INSTANCE C2'!G36))+(COUNTIF(SSN!$A$7:$A$50,'INSTANCE C2'!G36))+(COUNTIF('W3'!$A$7:$A$50,'INSTANCE C2'!G36))+(COUNTIF('ATHIS MONS'!$A$7:$A$50,'INSTANCE C2'!G36))+(COUNTIF('L HAY LES ROSES'!$A$7:$A$50,'INSTANCE C2'!G36))+(COUNTIF(RUNGIS!$A$7:$A$50,'INSTANCE C2'!G36))+(COUNTIF(SCEAUX!$A$7:$A$50,'INSTANCE C2'!G36))+(COUNTIF('INSTANCE C1'!$A$7:$A$50,'INSTANCE C2'!G36))+(COUNTIF('INSTANCE C2'!$A$7:$A$50,'INSTANCE C2'!G36))+(COUNTIF(INTERNES!$A$7:$A$50,'INSTANCE C2'!G36))+(COUNTIF('EN PANNE'!$A$7:$A$50,'INSTANCE C2'!G36))</f>
        <v>0</v>
      </c>
      <c r="J36" s="28">
        <f t="shared" si="4"/>
        <v>0</v>
      </c>
      <c r="K36" s="2"/>
      <c r="L36" s="47"/>
      <c r="M36" s="9"/>
      <c r="N36" s="9"/>
      <c r="O36" s="9"/>
      <c r="P36" s="9"/>
      <c r="R36" s="30" t="s">
        <v>49</v>
      </c>
      <c r="S36" s="60">
        <f t="shared" si="1"/>
        <v>0</v>
      </c>
      <c r="T36" s="67">
        <f t="shared" si="2"/>
        <v>0</v>
      </c>
    </row>
    <row r="37" spans="1:20" ht="24.95" customHeight="1" x14ac:dyDescent="0.2">
      <c r="A37" s="20"/>
      <c r="B37" s="23">
        <f>(COUNTIF('2S EXPRESS'!$A$7:$A$50,'INSTANCE C2'!A37))+(COUNTIF('2 ZT'!$A$7:$A$50,'INSTANCE C2'!A37))+(COUNTIF('GO TRANSPORT'!$A$7:$A$50,'INSTANCE C2'!A37))+(COUNTIF('HMZ - KAIS'!$A$7:$A$50,'INSTANCE C2'!A37))+(COUNTIF('IB TRANSPORT'!$A$7:$A$50,'INSTANCE C2'!A37))+(COUNTIF(JSL!$A$7:$A$50,'INSTANCE C2'!A37))+(COUNTIF(KIFAITOUT!$A$7:$A$50,'INSTANCE C2'!A37))+(COUNTIF('LUXE DRIVE'!$A$7:$A$50,'INSTANCE C2'!A37))+(COUNTIF(SSN!$A$7:$A$50,'INSTANCE C2'!A37))+(COUNTIF('W3'!$A$7:$A$50,'INSTANCE C2'!A37))+(COUNTIF('ATHIS MONS'!$A$7:$A$50,'INSTANCE C2'!A37))+(COUNTIF('L HAY LES ROSES'!$A$7:$A$50,'INSTANCE C2'!A37))+(COUNTIF(RUNGIS!$A$7:$A$50,'INSTANCE C2'!A37))+(COUNTIF(SCEAUX!$A$7:$A$50,'INSTANCE C2'!A37))+(COUNTIF('INSTANCE C1'!$A$7:$A$50,'INSTANCE C2'!A37))+(COUNTIF('INSTANCE C2'!$A$7:$A$50,'INSTANCE C2'!A37))+(COUNTIF(INTERNES!$A$7:$A$50,'INSTANCE C2'!A37))+(COUNTIF('EN PANNE'!$A$7:$A$50,'INSTANCE C2'!A37))-C37</f>
        <v>0</v>
      </c>
      <c r="C37" s="23">
        <f>(COUNTIF('2S EXPRESS'!$G$7:$G$50,'INSTANCE C2'!A37))+(COUNTIF('2 ZT'!$G$7:$G$50,'INSTANCE C2'!A37))+(COUNTIF('GO TRANSPORT'!$G$7:$G$50,'INSTANCE C2'!A37))+(COUNTIF('INSTANCE C2'!$G$7:$G$50,'INSTANCE C2'!A37))+(COUNTIF('IB TRANSPORT'!$G$7:$G$50,'INSTANCE C2'!A37))+(COUNTIF(JSL!$G$7:$G$50,'INSTANCE C2'!A37))+(COUNTIF(KIFAITOUT!$G$7:$G$50,'INSTANCE C2'!A37))+(COUNTIF('LUXE DRIVE'!$G$7:$G$50,'INSTANCE C2'!A37))+(COUNTIF(SSN!$G$7:$G$50,'INSTANCE C2'!A37))+(COUNTIF('W3'!$G$7:$G$50,'INSTANCE C2'!A37))+(COUNTIF('ATHIS MONS'!$G$7:$G$50,'INSTANCE C2'!A37))+(COUNTIF('L HAY LES ROSES'!$G$7:$G$50,'INSTANCE C2'!A37))+(COUNTIF(RUNGIS!$G$7:$G$50,'INSTANCE C2'!A37))+(COUNTIF(SCEAUX!$G$7:$G$50,'INSTANCE C2'!A37))+(COUNTIF('INSTANCE C1'!$G$7:$G$50,'INSTANCE C2'!A37))+(COUNTIF('INSTANCE C2'!$G$7:$G$50,'INSTANCE C2'!A37))+(COUNTIF(INTERNES!$G$7:$G$50,'INSTANCE C2'!A37))+(COUNTIF('EN PANNE'!$G$7:$G$50,'INSTANCE C2'!A37))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EXPRESS'!$G$7:$G$50,'INSTANCE C2'!G37))+(COUNTIF('2 ZT'!$G$7:$G$50,'INSTANCE C2'!G37))+(COUNTIF('GO TRANSPORT'!$G$7:$G$50,'INSTANCE C2'!G37))+(COUNTIF('HMZ - KAIS'!$G$7:$G$50,'INSTANCE C2'!G37))+(COUNTIF('IB TRANSPORT'!$G$7:$G$50,'INSTANCE C2'!G37))+(COUNTIF(JSL!$G$7:$G$50,'INSTANCE C2'!G37))+(COUNTIF(KIFAITOUT!$G$7:$G$50,'INSTANCE C2'!G37))+(COUNTIF('LUXE DRIVE'!$G$7:$G$50,'INSTANCE C2'!G37))+(COUNTIF(SSN!$G$7:$G$50,'INSTANCE C2'!G37))+(COUNTIF('W3'!$G$7:$G$50,'INSTANCE C2'!G37))+(COUNTIF('ATHIS MONS'!$G$7:$G$50,'INSTANCE C2'!G37))+(COUNTIF('L HAY LES ROSES'!$G$7:$G$50,'INSTANCE C2'!G37))+(COUNTIF(RUNGIS!$G$7:$G$50,'INSTANCE C2'!G37))+(COUNTIF(SCEAUX!$G$7:$G$50,'INSTANCE C2'!G37))+(COUNTIF('INSTANCE C1'!$G$7:$G$50,'INSTANCE C2'!G37))+(COUNTIF('INSTANCE C2'!$G$7:$G$50,'INSTANCE C2'!G37))+(COUNTIF(INTERNES!$G$7:$G$50,'INSTANCE C2'!G37))+(COUNTIF('EN PANNE'!$G$7:$G$50,'INSTANCE C2'!G37))-I37</f>
        <v>0</v>
      </c>
      <c r="I37" s="23">
        <f>(COUNTIF('2S EXPRESS'!$A$7:$A$50,'INSTANCE C2'!G37))+(COUNTIF('2 ZT'!$A$7:$A$50,'INSTANCE C2'!G37))+(COUNTIF('GO TRANSPORT'!$A$7:$A$50,'INSTANCE C2'!G37))+(COUNTIF('HMZ - KAIS'!$A$7:$A$50,'INSTANCE C2'!G37))+(COUNTIF('IB TRANSPORT'!$A$7:$A$50,'INSTANCE C2'!G37))+(COUNTIF(JSL!$A$7:$A$50,'INSTANCE C2'!G37))+(COUNTIF(KIFAITOUT!$A$7:$A$50,'INSTANCE C2'!G37))+(COUNTIF('LUXE DRIVE'!$A$7:$A$50,'INSTANCE C2'!G37))+(COUNTIF(SSN!$A$7:$A$50,'INSTANCE C2'!G37))+(COUNTIF('W3'!$A$7:$A$50,'INSTANCE C2'!G37))+(COUNTIF('ATHIS MONS'!$A$7:$A$50,'INSTANCE C2'!G37))+(COUNTIF('L HAY LES ROSES'!$A$7:$A$50,'INSTANCE C2'!G37))+(COUNTIF(RUNGIS!$A$7:$A$50,'INSTANCE C2'!G37))+(COUNTIF(SCEAUX!$A$7:$A$50,'INSTANCE C2'!G37))+(COUNTIF('INSTANCE C1'!$A$7:$A$50,'INSTANCE C2'!G37))+(COUNTIF('INSTANCE C2'!$A$7:$A$50,'INSTANCE C2'!G37))+(COUNTIF(INTERNES!$A$7:$A$50,'INSTANCE C2'!G37))+(COUNTIF('EN PANNE'!$A$7:$A$50,'INSTANCE C2'!G37))</f>
        <v>0</v>
      </c>
      <c r="J37" s="28">
        <f t="shared" si="4"/>
        <v>0</v>
      </c>
      <c r="K37" s="2"/>
      <c r="L37" s="47"/>
      <c r="M37" s="9"/>
      <c r="N37" s="9"/>
      <c r="O37" s="9"/>
      <c r="P37" s="9"/>
      <c r="S37" s="60">
        <f t="shared" si="1"/>
        <v>0</v>
      </c>
      <c r="T37" s="67">
        <f t="shared" si="2"/>
        <v>0</v>
      </c>
    </row>
    <row r="38" spans="1:20" ht="24.95" customHeight="1" x14ac:dyDescent="0.2">
      <c r="A38" s="20"/>
      <c r="B38" s="23">
        <f>(COUNTIF('2S EXPRESS'!$A$7:$A$50,'INSTANCE C2'!A38))+(COUNTIF('2 ZT'!$A$7:$A$50,'INSTANCE C2'!A38))+(COUNTIF('GO TRANSPORT'!$A$7:$A$50,'INSTANCE C2'!A38))+(COUNTIF('HMZ - KAIS'!$A$7:$A$50,'INSTANCE C2'!A38))+(COUNTIF('IB TRANSPORT'!$A$7:$A$50,'INSTANCE C2'!A38))+(COUNTIF(JSL!$A$7:$A$50,'INSTANCE C2'!A38))+(COUNTIF(KIFAITOUT!$A$7:$A$50,'INSTANCE C2'!A38))+(COUNTIF('LUXE DRIVE'!$A$7:$A$50,'INSTANCE C2'!A38))+(COUNTIF(SSN!$A$7:$A$50,'INSTANCE C2'!A38))+(COUNTIF('W3'!$A$7:$A$50,'INSTANCE C2'!A38))+(COUNTIF('ATHIS MONS'!$A$7:$A$50,'INSTANCE C2'!A38))+(COUNTIF('L HAY LES ROSES'!$A$7:$A$50,'INSTANCE C2'!A38))+(COUNTIF(RUNGIS!$A$7:$A$50,'INSTANCE C2'!A38))+(COUNTIF(SCEAUX!$A$7:$A$50,'INSTANCE C2'!A38))+(COUNTIF('INSTANCE C1'!$A$7:$A$50,'INSTANCE C2'!A38))+(COUNTIF('INSTANCE C2'!$A$7:$A$50,'INSTANCE C2'!A38))+(COUNTIF(INTERNES!$A$7:$A$50,'INSTANCE C2'!A38))+(COUNTIF('EN PANNE'!$A$7:$A$50,'INSTANCE C2'!A38))-C38</f>
        <v>0</v>
      </c>
      <c r="C38" s="23">
        <f>(COUNTIF('2S EXPRESS'!$G$7:$G$50,'INSTANCE C2'!A38))+(COUNTIF('2 ZT'!$G$7:$G$50,'INSTANCE C2'!A38))+(COUNTIF('GO TRANSPORT'!$G$7:$G$50,'INSTANCE C2'!A38))+(COUNTIF('INSTANCE C2'!$G$7:$G$50,'INSTANCE C2'!A38))+(COUNTIF('IB TRANSPORT'!$G$7:$G$50,'INSTANCE C2'!A38))+(COUNTIF(JSL!$G$7:$G$50,'INSTANCE C2'!A38))+(COUNTIF(KIFAITOUT!$G$7:$G$50,'INSTANCE C2'!A38))+(COUNTIF('LUXE DRIVE'!$G$7:$G$50,'INSTANCE C2'!A38))+(COUNTIF(SSN!$G$7:$G$50,'INSTANCE C2'!A38))+(COUNTIF('W3'!$G$7:$G$50,'INSTANCE C2'!A38))+(COUNTIF('ATHIS MONS'!$G$7:$G$50,'INSTANCE C2'!A38))+(COUNTIF('L HAY LES ROSES'!$G$7:$G$50,'INSTANCE C2'!A38))+(COUNTIF(RUNGIS!$G$7:$G$50,'INSTANCE C2'!A38))+(COUNTIF(SCEAUX!$G$7:$G$50,'INSTANCE C2'!A38))+(COUNTIF('INSTANCE C1'!$G$7:$G$50,'INSTANCE C2'!A38))+(COUNTIF('INSTANCE C2'!$G$7:$G$50,'INSTANCE C2'!A38))+(COUNTIF(INTERNES!$G$7:$G$50,'INSTANCE C2'!A38))+(COUNTIF('EN PANNE'!$G$7:$G$50,'INSTANCE C2'!A38))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EXPRESS'!$G$7:$G$50,'INSTANCE C2'!G38))+(COUNTIF('2 ZT'!$G$7:$G$50,'INSTANCE C2'!G38))+(COUNTIF('GO TRANSPORT'!$G$7:$G$50,'INSTANCE C2'!G38))+(COUNTIF('HMZ - KAIS'!$G$7:$G$50,'INSTANCE C2'!G38))+(COUNTIF('IB TRANSPORT'!$G$7:$G$50,'INSTANCE C2'!G38))+(COUNTIF(JSL!$G$7:$G$50,'INSTANCE C2'!G38))+(COUNTIF(KIFAITOUT!$G$7:$G$50,'INSTANCE C2'!G38))+(COUNTIF('LUXE DRIVE'!$G$7:$G$50,'INSTANCE C2'!G38))+(COUNTIF(SSN!$G$7:$G$50,'INSTANCE C2'!G38))+(COUNTIF('W3'!$G$7:$G$50,'INSTANCE C2'!G38))+(COUNTIF('ATHIS MONS'!$G$7:$G$50,'INSTANCE C2'!G38))+(COUNTIF('L HAY LES ROSES'!$G$7:$G$50,'INSTANCE C2'!G38))+(COUNTIF(RUNGIS!$G$7:$G$50,'INSTANCE C2'!G38))+(COUNTIF(SCEAUX!$G$7:$G$50,'INSTANCE C2'!G38))+(COUNTIF('INSTANCE C1'!$G$7:$G$50,'INSTANCE C2'!G38))+(COUNTIF('INSTANCE C2'!$G$7:$G$50,'INSTANCE C2'!G38))+(COUNTIF(INTERNES!$G$7:$G$50,'INSTANCE C2'!G38))+(COUNTIF('EN PANNE'!$G$7:$G$50,'INSTANCE C2'!G38))-I38</f>
        <v>0</v>
      </c>
      <c r="I38" s="23">
        <f>(COUNTIF('2S EXPRESS'!$A$7:$A$50,'INSTANCE C2'!G38))+(COUNTIF('2 ZT'!$A$7:$A$50,'INSTANCE C2'!G38))+(COUNTIF('GO TRANSPORT'!$A$7:$A$50,'INSTANCE C2'!G38))+(COUNTIF('HMZ - KAIS'!$A$7:$A$50,'INSTANCE C2'!G38))+(COUNTIF('IB TRANSPORT'!$A$7:$A$50,'INSTANCE C2'!G38))+(COUNTIF(JSL!$A$7:$A$50,'INSTANCE C2'!G38))+(COUNTIF(KIFAITOUT!$A$7:$A$50,'INSTANCE C2'!G38))+(COUNTIF('LUXE DRIVE'!$A$7:$A$50,'INSTANCE C2'!G38))+(COUNTIF(SSN!$A$7:$A$50,'INSTANCE C2'!G38))+(COUNTIF('W3'!$A$7:$A$50,'INSTANCE C2'!G38))+(COUNTIF('ATHIS MONS'!$A$7:$A$50,'INSTANCE C2'!G38))+(COUNTIF('L HAY LES ROSES'!$A$7:$A$50,'INSTANCE C2'!G38))+(COUNTIF(RUNGIS!$A$7:$A$50,'INSTANCE C2'!G38))+(COUNTIF(SCEAUX!$A$7:$A$50,'INSTANCE C2'!G38))+(COUNTIF('INSTANCE C1'!$A$7:$A$50,'INSTANCE C2'!G38))+(COUNTIF('INSTANCE C2'!$A$7:$A$50,'INSTANCE C2'!G38))+(COUNTIF(INTERNES!$A$7:$A$50,'INSTANCE C2'!G38))+(COUNTIF('EN PANNE'!$A$7:$A$50,'INSTANCE C2'!G38))</f>
        <v>0</v>
      </c>
      <c r="J38" s="28">
        <f t="shared" si="4"/>
        <v>0</v>
      </c>
      <c r="K38" s="2"/>
      <c r="L38" s="47"/>
      <c r="M38" s="9"/>
      <c r="N38" s="9"/>
      <c r="O38" s="9"/>
      <c r="P38" s="9"/>
      <c r="S38" s="60">
        <f t="shared" si="1"/>
        <v>0</v>
      </c>
      <c r="T38" s="67">
        <f t="shared" si="2"/>
        <v>0</v>
      </c>
    </row>
    <row r="39" spans="1:20" ht="24.95" customHeight="1" x14ac:dyDescent="0.2">
      <c r="A39" s="20"/>
      <c r="B39" s="23">
        <f>(COUNTIF('2S EXPRESS'!$A$7:$A$50,'INSTANCE C2'!A39))+(COUNTIF('2 ZT'!$A$7:$A$50,'INSTANCE C2'!A39))+(COUNTIF('GO TRANSPORT'!$A$7:$A$50,'INSTANCE C2'!A39))+(COUNTIF('HMZ - KAIS'!$A$7:$A$50,'INSTANCE C2'!A39))+(COUNTIF('IB TRANSPORT'!$A$7:$A$50,'INSTANCE C2'!A39))+(COUNTIF(JSL!$A$7:$A$50,'INSTANCE C2'!A39))+(COUNTIF(KIFAITOUT!$A$7:$A$50,'INSTANCE C2'!A39))+(COUNTIF('LUXE DRIVE'!$A$7:$A$50,'INSTANCE C2'!A39))+(COUNTIF(SSN!$A$7:$A$50,'INSTANCE C2'!A39))+(COUNTIF('W3'!$A$7:$A$50,'INSTANCE C2'!A39))+(COUNTIF('ATHIS MONS'!$A$7:$A$50,'INSTANCE C2'!A39))+(COUNTIF('L HAY LES ROSES'!$A$7:$A$50,'INSTANCE C2'!A39))+(COUNTIF(RUNGIS!$A$7:$A$50,'INSTANCE C2'!A39))+(COUNTIF(SCEAUX!$A$7:$A$50,'INSTANCE C2'!A39))+(COUNTIF('INSTANCE C1'!$A$7:$A$50,'INSTANCE C2'!A39))+(COUNTIF('INSTANCE C2'!$A$7:$A$50,'INSTANCE C2'!A39))+(COUNTIF(INTERNES!$A$7:$A$50,'INSTANCE C2'!A39))+(COUNTIF('EN PANNE'!$A$7:$A$50,'INSTANCE C2'!A39))-C39</f>
        <v>0</v>
      </c>
      <c r="C39" s="23">
        <f>(COUNTIF('2S EXPRESS'!$G$7:$G$50,'INSTANCE C2'!A39))+(COUNTIF('2 ZT'!$G$7:$G$50,'INSTANCE C2'!A39))+(COUNTIF('GO TRANSPORT'!$G$7:$G$50,'INSTANCE C2'!A39))+(COUNTIF('INSTANCE C2'!$G$7:$G$50,'INSTANCE C2'!A39))+(COUNTIF('IB TRANSPORT'!$G$7:$G$50,'INSTANCE C2'!A39))+(COUNTIF(JSL!$G$7:$G$50,'INSTANCE C2'!A39))+(COUNTIF(KIFAITOUT!$G$7:$G$50,'INSTANCE C2'!A39))+(COUNTIF('LUXE DRIVE'!$G$7:$G$50,'INSTANCE C2'!A39))+(COUNTIF(SSN!$G$7:$G$50,'INSTANCE C2'!A39))+(COUNTIF('W3'!$G$7:$G$50,'INSTANCE C2'!A39))+(COUNTIF('ATHIS MONS'!$G$7:$G$50,'INSTANCE C2'!A39))+(COUNTIF('L HAY LES ROSES'!$G$7:$G$50,'INSTANCE C2'!A39))+(COUNTIF(RUNGIS!$G$7:$G$50,'INSTANCE C2'!A39))+(COUNTIF(SCEAUX!$G$7:$G$50,'INSTANCE C2'!A39))+(COUNTIF('INSTANCE C1'!$G$7:$G$50,'INSTANCE C2'!A39))+(COUNTIF('INSTANCE C2'!$G$7:$G$50,'INSTANCE C2'!A39))+(COUNTIF(INTERNES!$G$7:$G$50,'INSTANCE C2'!A39))+(COUNTIF('EN PANNE'!$G$7:$G$50,'INSTANCE C2'!A39))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EXPRESS'!$G$7:$G$50,'INSTANCE C2'!G39))+(COUNTIF('2 ZT'!$G$7:$G$50,'INSTANCE C2'!G39))+(COUNTIF('GO TRANSPORT'!$G$7:$G$50,'INSTANCE C2'!G39))+(COUNTIF('HMZ - KAIS'!$G$7:$G$50,'INSTANCE C2'!G39))+(COUNTIF('IB TRANSPORT'!$G$7:$G$50,'INSTANCE C2'!G39))+(COUNTIF(JSL!$G$7:$G$50,'INSTANCE C2'!G39))+(COUNTIF(KIFAITOUT!$G$7:$G$50,'INSTANCE C2'!G39))+(COUNTIF('LUXE DRIVE'!$G$7:$G$50,'INSTANCE C2'!G39))+(COUNTIF(SSN!$G$7:$G$50,'INSTANCE C2'!G39))+(COUNTIF('W3'!$G$7:$G$50,'INSTANCE C2'!G39))+(COUNTIF('ATHIS MONS'!$G$7:$G$50,'INSTANCE C2'!G39))+(COUNTIF('L HAY LES ROSES'!$G$7:$G$50,'INSTANCE C2'!G39))+(COUNTIF(RUNGIS!$G$7:$G$50,'INSTANCE C2'!G39))+(COUNTIF(SCEAUX!$G$7:$G$50,'INSTANCE C2'!G39))+(COUNTIF('INSTANCE C1'!$G$7:$G$50,'INSTANCE C2'!G39))+(COUNTIF('INSTANCE C2'!$G$7:$G$50,'INSTANCE C2'!G39))+(COUNTIF(INTERNES!$G$7:$G$50,'INSTANCE C2'!G39))+(COUNTIF('EN PANNE'!$G$7:$G$50,'INSTANCE C2'!G39))-I39</f>
        <v>0</v>
      </c>
      <c r="I39" s="23">
        <f>(COUNTIF('2S EXPRESS'!$A$7:$A$50,'INSTANCE C2'!G39))+(COUNTIF('2 ZT'!$A$7:$A$50,'INSTANCE C2'!G39))+(COUNTIF('GO TRANSPORT'!$A$7:$A$50,'INSTANCE C2'!G39))+(COUNTIF('HMZ - KAIS'!$A$7:$A$50,'INSTANCE C2'!G39))+(COUNTIF('IB TRANSPORT'!$A$7:$A$50,'INSTANCE C2'!G39))+(COUNTIF(JSL!$A$7:$A$50,'INSTANCE C2'!G39))+(COUNTIF(KIFAITOUT!$A$7:$A$50,'INSTANCE C2'!G39))+(COUNTIF('LUXE DRIVE'!$A$7:$A$50,'INSTANCE C2'!G39))+(COUNTIF(SSN!$A$7:$A$50,'INSTANCE C2'!G39))+(COUNTIF('W3'!$A$7:$A$50,'INSTANCE C2'!G39))+(COUNTIF('ATHIS MONS'!$A$7:$A$50,'INSTANCE C2'!G39))+(COUNTIF('L HAY LES ROSES'!$A$7:$A$50,'INSTANCE C2'!G39))+(COUNTIF(RUNGIS!$A$7:$A$50,'INSTANCE C2'!G39))+(COUNTIF(SCEAUX!$A$7:$A$50,'INSTANCE C2'!G39))+(COUNTIF('INSTANCE C1'!$A$7:$A$50,'INSTANCE C2'!G39))+(COUNTIF('INSTANCE C2'!$A$7:$A$50,'INSTANCE C2'!G39))+(COUNTIF(INTERNES!$A$7:$A$50,'INSTANCE C2'!G39))+(COUNTIF('EN PANNE'!$A$7:$A$50,'INSTANCE C2'!G39))</f>
        <v>0</v>
      </c>
      <c r="J39" s="28">
        <f t="shared" si="4"/>
        <v>0</v>
      </c>
      <c r="K39" s="2"/>
      <c r="L39" s="47"/>
      <c r="M39" s="9"/>
      <c r="N39" s="9"/>
      <c r="O39" s="9"/>
      <c r="P39" s="9"/>
      <c r="S39" s="60">
        <f t="shared" si="1"/>
        <v>0</v>
      </c>
      <c r="T39" s="67">
        <f t="shared" si="2"/>
        <v>0</v>
      </c>
    </row>
    <row r="40" spans="1:20" ht="24.95" customHeight="1" x14ac:dyDescent="0.2">
      <c r="A40" s="20"/>
      <c r="B40" s="23">
        <f>(COUNTIF('2S EXPRESS'!$A$7:$A$50,'INSTANCE C2'!A40))+(COUNTIF('2 ZT'!$A$7:$A$50,'INSTANCE C2'!A40))+(COUNTIF('GO TRANSPORT'!$A$7:$A$50,'INSTANCE C2'!A40))+(COUNTIF('HMZ - KAIS'!$A$7:$A$50,'INSTANCE C2'!A40))+(COUNTIF('IB TRANSPORT'!$A$7:$A$50,'INSTANCE C2'!A40))+(COUNTIF(JSL!$A$7:$A$50,'INSTANCE C2'!A40))+(COUNTIF(KIFAITOUT!$A$7:$A$50,'INSTANCE C2'!A40))+(COUNTIF('LUXE DRIVE'!$A$7:$A$50,'INSTANCE C2'!A40))+(COUNTIF(SSN!$A$7:$A$50,'INSTANCE C2'!A40))+(COUNTIF('W3'!$A$7:$A$50,'INSTANCE C2'!A40))+(COUNTIF('ATHIS MONS'!$A$7:$A$50,'INSTANCE C2'!A40))+(COUNTIF('L HAY LES ROSES'!$A$7:$A$50,'INSTANCE C2'!A40))+(COUNTIF(RUNGIS!$A$7:$A$50,'INSTANCE C2'!A40))+(COUNTIF(SCEAUX!$A$7:$A$50,'INSTANCE C2'!A40))+(COUNTIF('INSTANCE C1'!$A$7:$A$50,'INSTANCE C2'!A40))+(COUNTIF('INSTANCE C2'!$A$7:$A$50,'INSTANCE C2'!A40))+(COUNTIF(INTERNES!$A$7:$A$50,'INSTANCE C2'!A40))+(COUNTIF('EN PANNE'!$A$7:$A$50,'INSTANCE C2'!A40))-C40</f>
        <v>0</v>
      </c>
      <c r="C40" s="23">
        <f>(COUNTIF('2S EXPRESS'!$G$7:$G$50,'INSTANCE C2'!A40))+(COUNTIF('2 ZT'!$G$7:$G$50,'INSTANCE C2'!A40))+(COUNTIF('GO TRANSPORT'!$G$7:$G$50,'INSTANCE C2'!A40))+(COUNTIF('INSTANCE C2'!$G$7:$G$50,'INSTANCE C2'!A40))+(COUNTIF('IB TRANSPORT'!$G$7:$G$50,'INSTANCE C2'!A40))+(COUNTIF(JSL!$G$7:$G$50,'INSTANCE C2'!A40))+(COUNTIF(KIFAITOUT!$G$7:$G$50,'INSTANCE C2'!A40))+(COUNTIF('LUXE DRIVE'!$G$7:$G$50,'INSTANCE C2'!A40))+(COUNTIF(SSN!$G$7:$G$50,'INSTANCE C2'!A40))+(COUNTIF('W3'!$G$7:$G$50,'INSTANCE C2'!A40))+(COUNTIF('ATHIS MONS'!$G$7:$G$50,'INSTANCE C2'!A40))+(COUNTIF('L HAY LES ROSES'!$G$7:$G$50,'INSTANCE C2'!A40))+(COUNTIF(RUNGIS!$G$7:$G$50,'INSTANCE C2'!A40))+(COUNTIF(SCEAUX!$G$7:$G$50,'INSTANCE C2'!A40))+(COUNTIF('INSTANCE C1'!$G$7:$G$50,'INSTANCE C2'!A40))+(COUNTIF('INSTANCE C2'!$G$7:$G$50,'INSTANCE C2'!A40))+(COUNTIF(INTERNES!$G$7:$G$50,'INSTANCE C2'!A40))+(COUNTIF('EN PANNE'!$G$7:$G$50,'INSTANCE C2'!A40))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EXPRESS'!$G$7:$G$50,'INSTANCE C2'!G40))+(COUNTIF('2 ZT'!$G$7:$G$50,'INSTANCE C2'!G40))+(COUNTIF('GO TRANSPORT'!$G$7:$G$50,'INSTANCE C2'!G40))+(COUNTIF('HMZ - KAIS'!$G$7:$G$50,'INSTANCE C2'!G40))+(COUNTIF('IB TRANSPORT'!$G$7:$G$50,'INSTANCE C2'!G40))+(COUNTIF(JSL!$G$7:$G$50,'INSTANCE C2'!G40))+(COUNTIF(KIFAITOUT!$G$7:$G$50,'INSTANCE C2'!G40))+(COUNTIF('LUXE DRIVE'!$G$7:$G$50,'INSTANCE C2'!G40))+(COUNTIF(SSN!$G$7:$G$50,'INSTANCE C2'!G40))+(COUNTIF('W3'!$G$7:$G$50,'INSTANCE C2'!G40))+(COUNTIF('ATHIS MONS'!$G$7:$G$50,'INSTANCE C2'!G40))+(COUNTIF('L HAY LES ROSES'!$G$7:$G$50,'INSTANCE C2'!G40))+(COUNTIF(RUNGIS!$G$7:$G$50,'INSTANCE C2'!G40))+(COUNTIF(SCEAUX!$G$7:$G$50,'INSTANCE C2'!G40))+(COUNTIF('INSTANCE C1'!$G$7:$G$50,'INSTANCE C2'!G40))+(COUNTIF('INSTANCE C2'!$G$7:$G$50,'INSTANCE C2'!G40))+(COUNTIF(INTERNES!$G$7:$G$50,'INSTANCE C2'!G40))+(COUNTIF('EN PANNE'!$G$7:$G$50,'INSTANCE C2'!G40))-I40</f>
        <v>0</v>
      </c>
      <c r="I40" s="23">
        <f>(COUNTIF('2S EXPRESS'!$A$7:$A$50,'INSTANCE C2'!G40))+(COUNTIF('2 ZT'!$A$7:$A$50,'INSTANCE C2'!G40))+(COUNTIF('GO TRANSPORT'!$A$7:$A$50,'INSTANCE C2'!G40))+(COUNTIF('HMZ - KAIS'!$A$7:$A$50,'INSTANCE C2'!G40))+(COUNTIF('IB TRANSPORT'!$A$7:$A$50,'INSTANCE C2'!G40))+(COUNTIF(JSL!$A$7:$A$50,'INSTANCE C2'!G40))+(COUNTIF(KIFAITOUT!$A$7:$A$50,'INSTANCE C2'!G40))+(COUNTIF('LUXE DRIVE'!$A$7:$A$50,'INSTANCE C2'!G40))+(COUNTIF(SSN!$A$7:$A$50,'INSTANCE C2'!G40))+(COUNTIF('W3'!$A$7:$A$50,'INSTANCE C2'!G40))+(COUNTIF('ATHIS MONS'!$A$7:$A$50,'INSTANCE C2'!G40))+(COUNTIF('L HAY LES ROSES'!$A$7:$A$50,'INSTANCE C2'!G40))+(COUNTIF(RUNGIS!$A$7:$A$50,'INSTANCE C2'!G40))+(COUNTIF(SCEAUX!$A$7:$A$50,'INSTANCE C2'!G40))+(COUNTIF('INSTANCE C1'!$A$7:$A$50,'INSTANCE C2'!G40))+(COUNTIF('INSTANCE C2'!$A$7:$A$50,'INSTANCE C2'!G40))+(COUNTIF(INTERNES!$A$7:$A$50,'INSTANCE C2'!G40))+(COUNTIF('EN PANNE'!$A$7:$A$50,'INSTANCE C2'!G40))</f>
        <v>0</v>
      </c>
      <c r="J40" s="28">
        <f t="shared" si="4"/>
        <v>0</v>
      </c>
      <c r="K40" s="2"/>
      <c r="L40" s="47"/>
      <c r="M40" s="9"/>
      <c r="N40" s="9"/>
      <c r="O40" s="9"/>
      <c r="P40" s="9"/>
      <c r="S40" s="60">
        <f t="shared" si="1"/>
        <v>0</v>
      </c>
      <c r="T40" s="67">
        <f t="shared" si="2"/>
        <v>0</v>
      </c>
    </row>
    <row r="41" spans="1:20" ht="24.95" customHeight="1" x14ac:dyDescent="0.2">
      <c r="A41" s="20"/>
      <c r="B41" s="23">
        <f>(COUNTIF('2S EXPRESS'!$A$7:$A$50,'INSTANCE C2'!A41))+(COUNTIF('2 ZT'!$A$7:$A$50,'INSTANCE C2'!A41))+(COUNTIF('GO TRANSPORT'!$A$7:$A$50,'INSTANCE C2'!A41))+(COUNTIF('HMZ - KAIS'!$A$7:$A$50,'INSTANCE C2'!A41))+(COUNTIF('IB TRANSPORT'!$A$7:$A$50,'INSTANCE C2'!A41))+(COUNTIF(JSL!$A$7:$A$50,'INSTANCE C2'!A41))+(COUNTIF(KIFAITOUT!$A$7:$A$50,'INSTANCE C2'!A41))+(COUNTIF('LUXE DRIVE'!$A$7:$A$50,'INSTANCE C2'!A41))+(COUNTIF(SSN!$A$7:$A$50,'INSTANCE C2'!A41))+(COUNTIF('W3'!$A$7:$A$50,'INSTANCE C2'!A41))+(COUNTIF('ATHIS MONS'!$A$7:$A$50,'INSTANCE C2'!A41))+(COUNTIF('L HAY LES ROSES'!$A$7:$A$50,'INSTANCE C2'!A41))+(COUNTIF(RUNGIS!$A$7:$A$50,'INSTANCE C2'!A41))+(COUNTIF(SCEAUX!$A$7:$A$50,'INSTANCE C2'!A41))+(COUNTIF('INSTANCE C1'!$A$7:$A$50,'INSTANCE C2'!A41))+(COUNTIF('INSTANCE C2'!$A$7:$A$50,'INSTANCE C2'!A41))+(COUNTIF(INTERNES!$A$7:$A$50,'INSTANCE C2'!A41))+(COUNTIF('EN PANNE'!$A$7:$A$50,'INSTANCE C2'!A41))-C41</f>
        <v>0</v>
      </c>
      <c r="C41" s="23">
        <f>(COUNTIF('2S EXPRESS'!$G$7:$G$50,'INSTANCE C2'!A41))+(COUNTIF('2 ZT'!$G$7:$G$50,'INSTANCE C2'!A41))+(COUNTIF('GO TRANSPORT'!$G$7:$G$50,'INSTANCE C2'!A41))+(COUNTIF('INSTANCE C2'!$G$7:$G$50,'INSTANCE C2'!A41))+(COUNTIF('IB TRANSPORT'!$G$7:$G$50,'INSTANCE C2'!A41))+(COUNTIF(JSL!$G$7:$G$50,'INSTANCE C2'!A41))+(COUNTIF(KIFAITOUT!$G$7:$G$50,'INSTANCE C2'!A41))+(COUNTIF('LUXE DRIVE'!$G$7:$G$50,'INSTANCE C2'!A41))+(COUNTIF(SSN!$G$7:$G$50,'INSTANCE C2'!A41))+(COUNTIF('W3'!$G$7:$G$50,'INSTANCE C2'!A41))+(COUNTIF('ATHIS MONS'!$G$7:$G$50,'INSTANCE C2'!A41))+(COUNTIF('L HAY LES ROSES'!$G$7:$G$50,'INSTANCE C2'!A41))+(COUNTIF(RUNGIS!$G$7:$G$50,'INSTANCE C2'!A41))+(COUNTIF(SCEAUX!$G$7:$G$50,'INSTANCE C2'!A41))+(COUNTIF('INSTANCE C1'!$G$7:$G$50,'INSTANCE C2'!A41))+(COUNTIF('INSTANCE C2'!$G$7:$G$50,'INSTANCE C2'!A41))+(COUNTIF(INTERNES!$G$7:$G$50,'INSTANCE C2'!A41))+(COUNTIF('EN PANNE'!$G$7:$G$50,'INSTANCE C2'!A41))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EXPRESS'!$G$7:$G$50,'INSTANCE C2'!G41))+(COUNTIF('2 ZT'!$G$7:$G$50,'INSTANCE C2'!G41))+(COUNTIF('GO TRANSPORT'!$G$7:$G$50,'INSTANCE C2'!G41))+(COUNTIF('HMZ - KAIS'!$G$7:$G$50,'INSTANCE C2'!G41))+(COUNTIF('IB TRANSPORT'!$G$7:$G$50,'INSTANCE C2'!G41))+(COUNTIF(JSL!$G$7:$G$50,'INSTANCE C2'!G41))+(COUNTIF(KIFAITOUT!$G$7:$G$50,'INSTANCE C2'!G41))+(COUNTIF('LUXE DRIVE'!$G$7:$G$50,'INSTANCE C2'!G41))+(COUNTIF(SSN!$G$7:$G$50,'INSTANCE C2'!G41))+(COUNTIF('W3'!$G$7:$G$50,'INSTANCE C2'!G41))+(COUNTIF('ATHIS MONS'!$G$7:$G$50,'INSTANCE C2'!G41))+(COUNTIF('L HAY LES ROSES'!$G$7:$G$50,'INSTANCE C2'!G41))+(COUNTIF(RUNGIS!$G$7:$G$50,'INSTANCE C2'!G41))+(COUNTIF(SCEAUX!$G$7:$G$50,'INSTANCE C2'!G41))+(COUNTIF('INSTANCE C1'!$G$7:$G$50,'INSTANCE C2'!G41))+(COUNTIF('INSTANCE C2'!$G$7:$G$50,'INSTANCE C2'!G41))+(COUNTIF(INTERNES!$G$7:$G$50,'INSTANCE C2'!G41))+(COUNTIF('EN PANNE'!$G$7:$G$50,'INSTANCE C2'!G41))-I41</f>
        <v>0</v>
      </c>
      <c r="I41" s="23">
        <f>(COUNTIF('2S EXPRESS'!$A$7:$A$50,'INSTANCE C2'!G41))+(COUNTIF('2 ZT'!$A$7:$A$50,'INSTANCE C2'!G41))+(COUNTIF('GO TRANSPORT'!$A$7:$A$50,'INSTANCE C2'!G41))+(COUNTIF('HMZ - KAIS'!$A$7:$A$50,'INSTANCE C2'!G41))+(COUNTIF('IB TRANSPORT'!$A$7:$A$50,'INSTANCE C2'!G41))+(COUNTIF(JSL!$A$7:$A$50,'INSTANCE C2'!G41))+(COUNTIF(KIFAITOUT!$A$7:$A$50,'INSTANCE C2'!G41))+(COUNTIF('LUXE DRIVE'!$A$7:$A$50,'INSTANCE C2'!G41))+(COUNTIF(SSN!$A$7:$A$50,'INSTANCE C2'!G41))+(COUNTIF('W3'!$A$7:$A$50,'INSTANCE C2'!G41))+(COUNTIF('ATHIS MONS'!$A$7:$A$50,'INSTANCE C2'!G41))+(COUNTIF('L HAY LES ROSES'!$A$7:$A$50,'INSTANCE C2'!G41))+(COUNTIF(RUNGIS!$A$7:$A$50,'INSTANCE C2'!G41))+(COUNTIF(SCEAUX!$A$7:$A$50,'INSTANCE C2'!G41))+(COUNTIF('INSTANCE C1'!$A$7:$A$50,'INSTANCE C2'!G41))+(COUNTIF('INSTANCE C2'!$A$7:$A$50,'INSTANCE C2'!G41))+(COUNTIF(INTERNES!$A$7:$A$50,'INSTANCE C2'!G41))+(COUNTIF('EN PANNE'!$A$7:$A$50,'INSTANCE C2'!G41))</f>
        <v>0</v>
      </c>
      <c r="J41" s="28">
        <f t="shared" si="4"/>
        <v>0</v>
      </c>
      <c r="K41" s="2"/>
      <c r="L41" s="47"/>
      <c r="M41" s="9"/>
      <c r="N41" s="9"/>
      <c r="O41" s="9"/>
      <c r="P41" s="9"/>
      <c r="S41" s="60">
        <f t="shared" si="1"/>
        <v>0</v>
      </c>
      <c r="T41" s="67">
        <f t="shared" si="2"/>
        <v>0</v>
      </c>
    </row>
    <row r="42" spans="1:20" ht="24.95" customHeight="1" x14ac:dyDescent="0.2">
      <c r="A42" s="20"/>
      <c r="B42" s="23">
        <f>(COUNTIF('2S EXPRESS'!$A$7:$A$50,'INSTANCE C2'!A42))+(COUNTIF('2 ZT'!$A$7:$A$50,'INSTANCE C2'!A42))+(COUNTIF('GO TRANSPORT'!$A$7:$A$50,'INSTANCE C2'!A42))+(COUNTIF('HMZ - KAIS'!$A$7:$A$50,'INSTANCE C2'!A42))+(COUNTIF('IB TRANSPORT'!$A$7:$A$50,'INSTANCE C2'!A42))+(COUNTIF(JSL!$A$7:$A$50,'INSTANCE C2'!A42))+(COUNTIF(KIFAITOUT!$A$7:$A$50,'INSTANCE C2'!A42))+(COUNTIF('LUXE DRIVE'!$A$7:$A$50,'INSTANCE C2'!A42))+(COUNTIF(SSN!$A$7:$A$50,'INSTANCE C2'!A42))+(COUNTIF('W3'!$A$7:$A$50,'INSTANCE C2'!A42))+(COUNTIF('ATHIS MONS'!$A$7:$A$50,'INSTANCE C2'!A42))+(COUNTIF('L HAY LES ROSES'!$A$7:$A$50,'INSTANCE C2'!A42))+(COUNTIF(RUNGIS!$A$7:$A$50,'INSTANCE C2'!A42))+(COUNTIF(SCEAUX!$A$7:$A$50,'INSTANCE C2'!A42))+(COUNTIF('INSTANCE C1'!$A$7:$A$50,'INSTANCE C2'!A42))+(COUNTIF('INSTANCE C2'!$A$7:$A$50,'INSTANCE C2'!A42))+(COUNTIF(INTERNES!$A$7:$A$50,'INSTANCE C2'!A42))+(COUNTIF('EN PANNE'!$A$7:$A$50,'INSTANCE C2'!A42))-C42</f>
        <v>0</v>
      </c>
      <c r="C42" s="23">
        <f>(COUNTIF('2S EXPRESS'!$G$7:$G$50,'INSTANCE C2'!A42))+(COUNTIF('2 ZT'!$G$7:$G$50,'INSTANCE C2'!A42))+(COUNTIF('GO TRANSPORT'!$G$7:$G$50,'INSTANCE C2'!A42))+(COUNTIF('INSTANCE C2'!$G$7:$G$50,'INSTANCE C2'!A42))+(COUNTIF('IB TRANSPORT'!$G$7:$G$50,'INSTANCE C2'!A42))+(COUNTIF(JSL!$G$7:$G$50,'INSTANCE C2'!A42))+(COUNTIF(KIFAITOUT!$G$7:$G$50,'INSTANCE C2'!A42))+(COUNTIF('LUXE DRIVE'!$G$7:$G$50,'INSTANCE C2'!A42))+(COUNTIF(SSN!$G$7:$G$50,'INSTANCE C2'!A42))+(COUNTIF('W3'!$G$7:$G$50,'INSTANCE C2'!A42))+(COUNTIF('ATHIS MONS'!$G$7:$G$50,'INSTANCE C2'!A42))+(COUNTIF('L HAY LES ROSES'!$G$7:$G$50,'INSTANCE C2'!A42))+(COUNTIF(RUNGIS!$G$7:$G$50,'INSTANCE C2'!A42))+(COUNTIF(SCEAUX!$G$7:$G$50,'INSTANCE C2'!A42))+(COUNTIF('INSTANCE C1'!$G$7:$G$50,'INSTANCE C2'!A42))+(COUNTIF('INSTANCE C2'!$G$7:$G$50,'INSTANCE C2'!A42))+(COUNTIF(INTERNES!$G$7:$G$50,'INSTANCE C2'!A42))+(COUNTIF('EN PANNE'!$G$7:$G$50,'INSTANCE C2'!A42))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EXPRESS'!$G$7:$G$50,'INSTANCE C2'!G42))+(COUNTIF('2 ZT'!$G$7:$G$50,'INSTANCE C2'!G42))+(COUNTIF('GO TRANSPORT'!$G$7:$G$50,'INSTANCE C2'!G42))+(COUNTIF('HMZ - KAIS'!$G$7:$G$50,'INSTANCE C2'!G42))+(COUNTIF('IB TRANSPORT'!$G$7:$G$50,'INSTANCE C2'!G42))+(COUNTIF(JSL!$G$7:$G$50,'INSTANCE C2'!G42))+(COUNTIF(KIFAITOUT!$G$7:$G$50,'INSTANCE C2'!G42))+(COUNTIF('LUXE DRIVE'!$G$7:$G$50,'INSTANCE C2'!G42))+(COUNTIF(SSN!$G$7:$G$50,'INSTANCE C2'!G42))+(COUNTIF('W3'!$G$7:$G$50,'INSTANCE C2'!G42))+(COUNTIF('ATHIS MONS'!$G$7:$G$50,'INSTANCE C2'!G42))+(COUNTIF('L HAY LES ROSES'!$G$7:$G$50,'INSTANCE C2'!G42))+(COUNTIF(RUNGIS!$G$7:$G$50,'INSTANCE C2'!G42))+(COUNTIF(SCEAUX!$G$7:$G$50,'INSTANCE C2'!G42))+(COUNTIF('INSTANCE C1'!$G$7:$G$50,'INSTANCE C2'!G42))+(COUNTIF('INSTANCE C2'!$G$7:$G$50,'INSTANCE C2'!G42))+(COUNTIF(INTERNES!$G$7:$G$50,'INSTANCE C2'!G42))+(COUNTIF('EN PANNE'!$G$7:$G$50,'INSTANCE C2'!G42))-I42</f>
        <v>0</v>
      </c>
      <c r="I42" s="23">
        <f>(COUNTIF('2S EXPRESS'!$A$7:$A$50,'INSTANCE C2'!G42))+(COUNTIF('2 ZT'!$A$7:$A$50,'INSTANCE C2'!G42))+(COUNTIF('GO TRANSPORT'!$A$7:$A$50,'INSTANCE C2'!G42))+(COUNTIF('HMZ - KAIS'!$A$7:$A$50,'INSTANCE C2'!G42))+(COUNTIF('IB TRANSPORT'!$A$7:$A$50,'INSTANCE C2'!G42))+(COUNTIF(JSL!$A$7:$A$50,'INSTANCE C2'!G42))+(COUNTIF(KIFAITOUT!$A$7:$A$50,'INSTANCE C2'!G42))+(COUNTIF('LUXE DRIVE'!$A$7:$A$50,'INSTANCE C2'!G42))+(COUNTIF(SSN!$A$7:$A$50,'INSTANCE C2'!G42))+(COUNTIF('W3'!$A$7:$A$50,'INSTANCE C2'!G42))+(COUNTIF('ATHIS MONS'!$A$7:$A$50,'INSTANCE C2'!G42))+(COUNTIF('L HAY LES ROSES'!$A$7:$A$50,'INSTANCE C2'!G42))+(COUNTIF(RUNGIS!$A$7:$A$50,'INSTANCE C2'!G42))+(COUNTIF(SCEAUX!$A$7:$A$50,'INSTANCE C2'!G42))+(COUNTIF('INSTANCE C1'!$A$7:$A$50,'INSTANCE C2'!G42))+(COUNTIF('INSTANCE C2'!$A$7:$A$50,'INSTANCE C2'!G42))+(COUNTIF(INTERNES!$A$7:$A$50,'INSTANCE C2'!G42))+(COUNTIF('EN PANNE'!$A$7:$A$50,'INSTANCE C2'!G42))</f>
        <v>0</v>
      </c>
      <c r="J42" s="28">
        <f t="shared" si="4"/>
        <v>0</v>
      </c>
      <c r="K42" s="2"/>
      <c r="L42" s="47"/>
      <c r="M42" s="9"/>
      <c r="N42" s="9"/>
      <c r="O42" s="9"/>
      <c r="P42" s="9"/>
      <c r="S42" s="60">
        <f t="shared" si="1"/>
        <v>0</v>
      </c>
      <c r="T42" s="67">
        <f t="shared" si="2"/>
        <v>0</v>
      </c>
    </row>
    <row r="43" spans="1:20" ht="24.95" customHeight="1" x14ac:dyDescent="0.2">
      <c r="A43" s="20"/>
      <c r="B43" s="23">
        <f>(COUNTIF('2S EXPRESS'!$A$7:$A$50,'INSTANCE C2'!A43))+(COUNTIF('2 ZT'!$A$7:$A$50,'INSTANCE C2'!A43))+(COUNTIF('GO TRANSPORT'!$A$7:$A$50,'INSTANCE C2'!A43))+(COUNTIF('HMZ - KAIS'!$A$7:$A$50,'INSTANCE C2'!A43))+(COUNTIF('IB TRANSPORT'!$A$7:$A$50,'INSTANCE C2'!A43))+(COUNTIF(JSL!$A$7:$A$50,'INSTANCE C2'!A43))+(COUNTIF(KIFAITOUT!$A$7:$A$50,'INSTANCE C2'!A43))+(COUNTIF('LUXE DRIVE'!$A$7:$A$50,'INSTANCE C2'!A43))+(COUNTIF(SSN!$A$7:$A$50,'INSTANCE C2'!A43))+(COUNTIF('W3'!$A$7:$A$50,'INSTANCE C2'!A43))+(COUNTIF('ATHIS MONS'!$A$7:$A$50,'INSTANCE C2'!A43))+(COUNTIF('L HAY LES ROSES'!$A$7:$A$50,'INSTANCE C2'!A43))+(COUNTIF(RUNGIS!$A$7:$A$50,'INSTANCE C2'!A43))+(COUNTIF(SCEAUX!$A$7:$A$50,'INSTANCE C2'!A43))+(COUNTIF('INSTANCE C1'!$A$7:$A$50,'INSTANCE C2'!A43))+(COUNTIF('INSTANCE C2'!$A$7:$A$50,'INSTANCE C2'!A43))+(COUNTIF(INTERNES!$A$7:$A$50,'INSTANCE C2'!A43))+(COUNTIF('EN PANNE'!$A$7:$A$50,'INSTANCE C2'!A43))-C43</f>
        <v>0</v>
      </c>
      <c r="C43" s="23">
        <f>(COUNTIF('2S EXPRESS'!$G$7:$G$50,'INSTANCE C2'!A43))+(COUNTIF('2 ZT'!$G$7:$G$50,'INSTANCE C2'!A43))+(COUNTIF('GO TRANSPORT'!$G$7:$G$50,'INSTANCE C2'!A43))+(COUNTIF('INSTANCE C2'!$G$7:$G$50,'INSTANCE C2'!A43))+(COUNTIF('IB TRANSPORT'!$G$7:$G$50,'INSTANCE C2'!A43))+(COUNTIF(JSL!$G$7:$G$50,'INSTANCE C2'!A43))+(COUNTIF(KIFAITOUT!$G$7:$G$50,'INSTANCE C2'!A43))+(COUNTIF('LUXE DRIVE'!$G$7:$G$50,'INSTANCE C2'!A43))+(COUNTIF(SSN!$G$7:$G$50,'INSTANCE C2'!A43))+(COUNTIF('W3'!$G$7:$G$50,'INSTANCE C2'!A43))+(COUNTIF('ATHIS MONS'!$G$7:$G$50,'INSTANCE C2'!A43))+(COUNTIF('L HAY LES ROSES'!$G$7:$G$50,'INSTANCE C2'!A43))+(COUNTIF(RUNGIS!$G$7:$G$50,'INSTANCE C2'!A43))+(COUNTIF(SCEAUX!$G$7:$G$50,'INSTANCE C2'!A43))+(COUNTIF('INSTANCE C1'!$G$7:$G$50,'INSTANCE C2'!A43))+(COUNTIF('INSTANCE C2'!$G$7:$G$50,'INSTANCE C2'!A43))+(COUNTIF(INTERNES!$G$7:$G$50,'INSTANCE C2'!A43))+(COUNTIF('EN PANNE'!$G$7:$G$50,'INSTANCE C2'!A43))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EXPRESS'!$G$7:$G$50,'INSTANCE C2'!G43))+(COUNTIF('2 ZT'!$G$7:$G$50,'INSTANCE C2'!G43))+(COUNTIF('GO TRANSPORT'!$G$7:$G$50,'INSTANCE C2'!G43))+(COUNTIF('HMZ - KAIS'!$G$7:$G$50,'INSTANCE C2'!G43))+(COUNTIF('IB TRANSPORT'!$G$7:$G$50,'INSTANCE C2'!G43))+(COUNTIF(JSL!$G$7:$G$50,'INSTANCE C2'!G43))+(COUNTIF(KIFAITOUT!$G$7:$G$50,'INSTANCE C2'!G43))+(COUNTIF('LUXE DRIVE'!$G$7:$G$50,'INSTANCE C2'!G43))+(COUNTIF(SSN!$G$7:$G$50,'INSTANCE C2'!G43))+(COUNTIF('W3'!$G$7:$G$50,'INSTANCE C2'!G43))+(COUNTIF('ATHIS MONS'!$G$7:$G$50,'INSTANCE C2'!G43))+(COUNTIF('L HAY LES ROSES'!$G$7:$G$50,'INSTANCE C2'!G43))+(COUNTIF(RUNGIS!$G$7:$G$50,'INSTANCE C2'!G43))+(COUNTIF(SCEAUX!$G$7:$G$50,'INSTANCE C2'!G43))+(COUNTIF('INSTANCE C1'!$G$7:$G$50,'INSTANCE C2'!G43))+(COUNTIF('INSTANCE C2'!$G$7:$G$50,'INSTANCE C2'!G43))+(COUNTIF(INTERNES!$G$7:$G$50,'INSTANCE C2'!G43))+(COUNTIF('EN PANNE'!$G$7:$G$50,'INSTANCE C2'!G43))-I43</f>
        <v>0</v>
      </c>
      <c r="I43" s="23">
        <f>(COUNTIF('2S EXPRESS'!$A$7:$A$50,'INSTANCE C2'!G43))+(COUNTIF('2 ZT'!$A$7:$A$50,'INSTANCE C2'!G43))+(COUNTIF('GO TRANSPORT'!$A$7:$A$50,'INSTANCE C2'!G43))+(COUNTIF('HMZ - KAIS'!$A$7:$A$50,'INSTANCE C2'!G43))+(COUNTIF('IB TRANSPORT'!$A$7:$A$50,'INSTANCE C2'!G43))+(COUNTIF(JSL!$A$7:$A$50,'INSTANCE C2'!G43))+(COUNTIF(KIFAITOUT!$A$7:$A$50,'INSTANCE C2'!G43))+(COUNTIF('LUXE DRIVE'!$A$7:$A$50,'INSTANCE C2'!G43))+(COUNTIF(SSN!$A$7:$A$50,'INSTANCE C2'!G43))+(COUNTIF('W3'!$A$7:$A$50,'INSTANCE C2'!G43))+(COUNTIF('ATHIS MONS'!$A$7:$A$50,'INSTANCE C2'!G43))+(COUNTIF('L HAY LES ROSES'!$A$7:$A$50,'INSTANCE C2'!G43))+(COUNTIF(RUNGIS!$A$7:$A$50,'INSTANCE C2'!G43))+(COUNTIF(SCEAUX!$A$7:$A$50,'INSTANCE C2'!G43))+(COUNTIF('INSTANCE C1'!$A$7:$A$50,'INSTANCE C2'!G43))+(COUNTIF('INSTANCE C2'!$A$7:$A$50,'INSTANCE C2'!G43))+(COUNTIF(INTERNES!$A$7:$A$50,'INSTANCE C2'!G43))+(COUNTIF('EN PANNE'!$A$7:$A$50,'INSTANCE C2'!G43))</f>
        <v>0</v>
      </c>
      <c r="J43" s="28">
        <f t="shared" si="4"/>
        <v>0</v>
      </c>
      <c r="K43" s="2"/>
      <c r="L43" s="47"/>
      <c r="M43" s="9"/>
      <c r="N43" s="9"/>
      <c r="O43" s="9"/>
      <c r="P43" s="9"/>
      <c r="S43" s="60">
        <f t="shared" si="1"/>
        <v>0</v>
      </c>
      <c r="T43" s="67">
        <f t="shared" si="2"/>
        <v>0</v>
      </c>
    </row>
    <row r="44" spans="1:20" ht="24.95" customHeight="1" x14ac:dyDescent="0.2">
      <c r="A44" s="20"/>
      <c r="B44" s="23">
        <f>(COUNTIF('2S EXPRESS'!$A$7:$A$50,'INSTANCE C2'!A44))+(COUNTIF('2 ZT'!$A$7:$A$50,'INSTANCE C2'!A44))+(COUNTIF('GO TRANSPORT'!$A$7:$A$50,'INSTANCE C2'!A44))+(COUNTIF('HMZ - KAIS'!$A$7:$A$50,'INSTANCE C2'!A44))+(COUNTIF('IB TRANSPORT'!$A$7:$A$50,'INSTANCE C2'!A44))+(COUNTIF(JSL!$A$7:$A$50,'INSTANCE C2'!A44))+(COUNTIF(KIFAITOUT!$A$7:$A$50,'INSTANCE C2'!A44))+(COUNTIF('LUXE DRIVE'!$A$7:$A$50,'INSTANCE C2'!A44))+(COUNTIF(SSN!$A$7:$A$50,'INSTANCE C2'!A44))+(COUNTIF('W3'!$A$7:$A$50,'INSTANCE C2'!A44))+(COUNTIF('ATHIS MONS'!$A$7:$A$50,'INSTANCE C2'!A44))+(COUNTIF('L HAY LES ROSES'!$A$7:$A$50,'INSTANCE C2'!A44))+(COUNTIF(RUNGIS!$A$7:$A$50,'INSTANCE C2'!A44))+(COUNTIF(SCEAUX!$A$7:$A$50,'INSTANCE C2'!A44))+(COUNTIF('INSTANCE C1'!$A$7:$A$50,'INSTANCE C2'!A44))+(COUNTIF('INSTANCE C2'!$A$7:$A$50,'INSTANCE C2'!A44))+(COUNTIF(INTERNES!$A$7:$A$50,'INSTANCE C2'!A44))+(COUNTIF('EN PANNE'!$A$7:$A$50,'INSTANCE C2'!A44))-C44</f>
        <v>0</v>
      </c>
      <c r="C44" s="23">
        <f>(COUNTIF('2S EXPRESS'!$G$7:$G$50,'INSTANCE C2'!A44))+(COUNTIF('2 ZT'!$G$7:$G$50,'INSTANCE C2'!A44))+(COUNTIF('GO TRANSPORT'!$G$7:$G$50,'INSTANCE C2'!A44))+(COUNTIF('INSTANCE C2'!$G$7:$G$50,'INSTANCE C2'!A44))+(COUNTIF('IB TRANSPORT'!$G$7:$G$50,'INSTANCE C2'!A44))+(COUNTIF(JSL!$G$7:$G$50,'INSTANCE C2'!A44))+(COUNTIF(KIFAITOUT!$G$7:$G$50,'INSTANCE C2'!A44))+(COUNTIF('LUXE DRIVE'!$G$7:$G$50,'INSTANCE C2'!A44))+(COUNTIF(SSN!$G$7:$G$50,'INSTANCE C2'!A44))+(COUNTIF('W3'!$G$7:$G$50,'INSTANCE C2'!A44))+(COUNTIF('ATHIS MONS'!$G$7:$G$50,'INSTANCE C2'!A44))+(COUNTIF('L HAY LES ROSES'!$G$7:$G$50,'INSTANCE C2'!A44))+(COUNTIF(RUNGIS!$G$7:$G$50,'INSTANCE C2'!A44))+(COUNTIF(SCEAUX!$G$7:$G$50,'INSTANCE C2'!A44))+(COUNTIF('INSTANCE C1'!$G$7:$G$50,'INSTANCE C2'!A44))+(COUNTIF('INSTANCE C2'!$G$7:$G$50,'INSTANCE C2'!A44))+(COUNTIF(INTERNES!$G$7:$G$50,'INSTANCE C2'!A44))+(COUNTIF('EN PANNE'!$G$7:$G$50,'INSTANCE C2'!A44))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EXPRESS'!$G$7:$G$50,'INSTANCE C2'!G44))+(COUNTIF('2 ZT'!$G$7:$G$50,'INSTANCE C2'!G44))+(COUNTIF('GO TRANSPORT'!$G$7:$G$50,'INSTANCE C2'!G44))+(COUNTIF('HMZ - KAIS'!$G$7:$G$50,'INSTANCE C2'!G44))+(COUNTIF('IB TRANSPORT'!$G$7:$G$50,'INSTANCE C2'!G44))+(COUNTIF(JSL!$G$7:$G$50,'INSTANCE C2'!G44))+(COUNTIF(KIFAITOUT!$G$7:$G$50,'INSTANCE C2'!G44))+(COUNTIF('LUXE DRIVE'!$G$7:$G$50,'INSTANCE C2'!G44))+(COUNTIF(SSN!$G$7:$G$50,'INSTANCE C2'!G44))+(COUNTIF('W3'!$G$7:$G$50,'INSTANCE C2'!G44))+(COUNTIF('ATHIS MONS'!$G$7:$G$50,'INSTANCE C2'!G44))+(COUNTIF('L HAY LES ROSES'!$G$7:$G$50,'INSTANCE C2'!G44))+(COUNTIF(RUNGIS!$G$7:$G$50,'INSTANCE C2'!G44))+(COUNTIF(SCEAUX!$G$7:$G$50,'INSTANCE C2'!G44))+(COUNTIF('INSTANCE C1'!$G$7:$G$50,'INSTANCE C2'!G44))+(COUNTIF('INSTANCE C2'!$G$7:$G$50,'INSTANCE C2'!G44))+(COUNTIF(INTERNES!$G$7:$G$50,'INSTANCE C2'!G44))+(COUNTIF('EN PANNE'!$G$7:$G$50,'INSTANCE C2'!G44))-I44</f>
        <v>0</v>
      </c>
      <c r="I44" s="23">
        <f>(COUNTIF('2S EXPRESS'!$A$7:$A$50,'INSTANCE C2'!G44))+(COUNTIF('2 ZT'!$A$7:$A$50,'INSTANCE C2'!G44))+(COUNTIF('GO TRANSPORT'!$A$7:$A$50,'INSTANCE C2'!G44))+(COUNTIF('HMZ - KAIS'!$A$7:$A$50,'INSTANCE C2'!G44))+(COUNTIF('IB TRANSPORT'!$A$7:$A$50,'INSTANCE C2'!G44))+(COUNTIF(JSL!$A$7:$A$50,'INSTANCE C2'!G44))+(COUNTIF(KIFAITOUT!$A$7:$A$50,'INSTANCE C2'!G44))+(COUNTIF('LUXE DRIVE'!$A$7:$A$50,'INSTANCE C2'!G44))+(COUNTIF(SSN!$A$7:$A$50,'INSTANCE C2'!G44))+(COUNTIF('W3'!$A$7:$A$50,'INSTANCE C2'!G44))+(COUNTIF('ATHIS MONS'!$A$7:$A$50,'INSTANCE C2'!G44))+(COUNTIF('L HAY LES ROSES'!$A$7:$A$50,'INSTANCE C2'!G44))+(COUNTIF(RUNGIS!$A$7:$A$50,'INSTANCE C2'!G44))+(COUNTIF(SCEAUX!$A$7:$A$50,'INSTANCE C2'!G44))+(COUNTIF('INSTANCE C1'!$A$7:$A$50,'INSTANCE C2'!G44))+(COUNTIF('INSTANCE C2'!$A$7:$A$50,'INSTANCE C2'!G44))+(COUNTIF(INTERNES!$A$7:$A$50,'INSTANCE C2'!G44))+(COUNTIF('EN PANNE'!$A$7:$A$50,'INSTANCE C2'!G44))</f>
        <v>0</v>
      </c>
      <c r="J44" s="28">
        <f t="shared" si="4"/>
        <v>0</v>
      </c>
      <c r="K44" s="2"/>
      <c r="L44" s="47"/>
      <c r="M44" s="9"/>
      <c r="N44" s="9"/>
      <c r="O44" s="9"/>
      <c r="P44" s="9"/>
      <c r="S44" s="60">
        <f t="shared" si="1"/>
        <v>0</v>
      </c>
      <c r="T44" s="67">
        <f t="shared" si="2"/>
        <v>0</v>
      </c>
    </row>
    <row r="45" spans="1:20" ht="24.95" customHeight="1" x14ac:dyDescent="0.2">
      <c r="A45" s="20"/>
      <c r="B45" s="23">
        <f>(COUNTIF('2S EXPRESS'!$A$7:$A$50,'INSTANCE C2'!A45))+(COUNTIF('2 ZT'!$A$7:$A$50,'INSTANCE C2'!A45))+(COUNTIF('GO TRANSPORT'!$A$7:$A$50,'INSTANCE C2'!A45))+(COUNTIF('HMZ - KAIS'!$A$7:$A$50,'INSTANCE C2'!A45))+(COUNTIF('IB TRANSPORT'!$A$7:$A$50,'INSTANCE C2'!A45))+(COUNTIF(JSL!$A$7:$A$50,'INSTANCE C2'!A45))+(COUNTIF(KIFAITOUT!$A$7:$A$50,'INSTANCE C2'!A45))+(COUNTIF('LUXE DRIVE'!$A$7:$A$50,'INSTANCE C2'!A45))+(COUNTIF(SSN!$A$7:$A$50,'INSTANCE C2'!A45))+(COUNTIF('W3'!$A$7:$A$50,'INSTANCE C2'!A45))+(COUNTIF('ATHIS MONS'!$A$7:$A$50,'INSTANCE C2'!A45))+(COUNTIF('L HAY LES ROSES'!$A$7:$A$50,'INSTANCE C2'!A45))+(COUNTIF(RUNGIS!$A$7:$A$50,'INSTANCE C2'!A45))+(COUNTIF(SCEAUX!$A$7:$A$50,'INSTANCE C2'!A45))+(COUNTIF('INSTANCE C1'!$A$7:$A$50,'INSTANCE C2'!A45))+(COUNTIF('INSTANCE C2'!$A$7:$A$50,'INSTANCE C2'!A45))+(COUNTIF(INTERNES!$A$7:$A$50,'INSTANCE C2'!A45))+(COUNTIF('EN PANNE'!$A$7:$A$50,'INSTANCE C2'!A45))-C45</f>
        <v>0</v>
      </c>
      <c r="C45" s="23">
        <f>(COUNTIF('2S EXPRESS'!$G$7:$G$50,'INSTANCE C2'!A45))+(COUNTIF('2 ZT'!$G$7:$G$50,'INSTANCE C2'!A45))+(COUNTIF('GO TRANSPORT'!$G$7:$G$50,'INSTANCE C2'!A45))+(COUNTIF('INSTANCE C2'!$G$7:$G$50,'INSTANCE C2'!A45))+(COUNTIF('IB TRANSPORT'!$G$7:$G$50,'INSTANCE C2'!A45))+(COUNTIF(JSL!$G$7:$G$50,'INSTANCE C2'!A45))+(COUNTIF(KIFAITOUT!$G$7:$G$50,'INSTANCE C2'!A45))+(COUNTIF('LUXE DRIVE'!$G$7:$G$50,'INSTANCE C2'!A45))+(COUNTIF(SSN!$G$7:$G$50,'INSTANCE C2'!A45))+(COUNTIF('W3'!$G$7:$G$50,'INSTANCE C2'!A45))+(COUNTIF('ATHIS MONS'!$G$7:$G$50,'INSTANCE C2'!A45))+(COUNTIF('L HAY LES ROSES'!$G$7:$G$50,'INSTANCE C2'!A45))+(COUNTIF(RUNGIS!$G$7:$G$50,'INSTANCE C2'!A45))+(COUNTIF(SCEAUX!$G$7:$G$50,'INSTANCE C2'!A45))+(COUNTIF('INSTANCE C1'!$G$7:$G$50,'INSTANCE C2'!A45))+(COUNTIF('INSTANCE C2'!$G$7:$G$50,'INSTANCE C2'!A45))+(COUNTIF(INTERNES!$G$7:$G$50,'INSTANCE C2'!A45))+(COUNTIF('EN PANNE'!$G$7:$G$50,'INSTANCE C2'!A45))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EXPRESS'!$G$7:$G$50,'INSTANCE C2'!G45))+(COUNTIF('2 ZT'!$G$7:$G$50,'INSTANCE C2'!G45))+(COUNTIF('GO TRANSPORT'!$G$7:$G$50,'INSTANCE C2'!G45))+(COUNTIF('HMZ - KAIS'!$G$7:$G$50,'INSTANCE C2'!G45))+(COUNTIF('IB TRANSPORT'!$G$7:$G$50,'INSTANCE C2'!G45))+(COUNTIF(JSL!$G$7:$G$50,'INSTANCE C2'!G45))+(COUNTIF(KIFAITOUT!$G$7:$G$50,'INSTANCE C2'!G45))+(COUNTIF('LUXE DRIVE'!$G$7:$G$50,'INSTANCE C2'!G45))+(COUNTIF(SSN!$G$7:$G$50,'INSTANCE C2'!G45))+(COUNTIF('W3'!$G$7:$G$50,'INSTANCE C2'!G45))+(COUNTIF('ATHIS MONS'!$G$7:$G$50,'INSTANCE C2'!G45))+(COUNTIF('L HAY LES ROSES'!$G$7:$G$50,'INSTANCE C2'!G45))+(COUNTIF(RUNGIS!$G$7:$G$50,'INSTANCE C2'!G45))+(COUNTIF(SCEAUX!$G$7:$G$50,'INSTANCE C2'!G45))+(COUNTIF('INSTANCE C1'!$G$7:$G$50,'INSTANCE C2'!G45))+(COUNTIF('INSTANCE C2'!$G$7:$G$50,'INSTANCE C2'!G45))+(COUNTIF(INTERNES!$G$7:$G$50,'INSTANCE C2'!G45))+(COUNTIF('EN PANNE'!$G$7:$G$50,'INSTANCE C2'!G45))-I45</f>
        <v>0</v>
      </c>
      <c r="I45" s="23">
        <f>(COUNTIF('2S EXPRESS'!$A$7:$A$50,'INSTANCE C2'!G45))+(COUNTIF('2 ZT'!$A$7:$A$50,'INSTANCE C2'!G45))+(COUNTIF('GO TRANSPORT'!$A$7:$A$50,'INSTANCE C2'!G45))+(COUNTIF('HMZ - KAIS'!$A$7:$A$50,'INSTANCE C2'!G45))+(COUNTIF('IB TRANSPORT'!$A$7:$A$50,'INSTANCE C2'!G45))+(COUNTIF(JSL!$A$7:$A$50,'INSTANCE C2'!G45))+(COUNTIF(KIFAITOUT!$A$7:$A$50,'INSTANCE C2'!G45))+(COUNTIF('LUXE DRIVE'!$A$7:$A$50,'INSTANCE C2'!G45))+(COUNTIF(SSN!$A$7:$A$50,'INSTANCE C2'!G45))+(COUNTIF('W3'!$A$7:$A$50,'INSTANCE C2'!G45))+(COUNTIF('ATHIS MONS'!$A$7:$A$50,'INSTANCE C2'!G45))+(COUNTIF('L HAY LES ROSES'!$A$7:$A$50,'INSTANCE C2'!G45))+(COUNTIF(RUNGIS!$A$7:$A$50,'INSTANCE C2'!G45))+(COUNTIF(SCEAUX!$A$7:$A$50,'INSTANCE C2'!G45))+(COUNTIF('INSTANCE C1'!$A$7:$A$50,'INSTANCE C2'!G45))+(COUNTIF('INSTANCE C2'!$A$7:$A$50,'INSTANCE C2'!G45))+(COUNTIF(INTERNES!$A$7:$A$50,'INSTANCE C2'!G45))+(COUNTIF('EN PANNE'!$A$7:$A$50,'INSTANCE C2'!G45))</f>
        <v>0</v>
      </c>
      <c r="J45" s="28">
        <f t="shared" si="4"/>
        <v>0</v>
      </c>
      <c r="K45" s="2"/>
      <c r="L45" s="47"/>
      <c r="M45" s="9"/>
      <c r="N45" s="9"/>
      <c r="O45" s="9"/>
      <c r="P45" s="9"/>
      <c r="S45" s="60">
        <f t="shared" si="1"/>
        <v>0</v>
      </c>
      <c r="T45" s="67">
        <f t="shared" si="2"/>
        <v>0</v>
      </c>
    </row>
    <row r="46" spans="1:20" ht="24.95" customHeight="1" x14ac:dyDescent="0.2">
      <c r="A46" s="20"/>
      <c r="B46" s="23">
        <f>(COUNTIF('2S EXPRESS'!$A$7:$A$50,'INSTANCE C2'!A46))+(COUNTIF('2 ZT'!$A$7:$A$50,'INSTANCE C2'!A46))+(COUNTIF('GO TRANSPORT'!$A$7:$A$50,'INSTANCE C2'!A46))+(COUNTIF('HMZ - KAIS'!$A$7:$A$50,'INSTANCE C2'!A46))+(COUNTIF('IB TRANSPORT'!$A$7:$A$50,'INSTANCE C2'!A46))+(COUNTIF(JSL!$A$7:$A$50,'INSTANCE C2'!A46))+(COUNTIF(KIFAITOUT!$A$7:$A$50,'INSTANCE C2'!A46))+(COUNTIF('LUXE DRIVE'!$A$7:$A$50,'INSTANCE C2'!A46))+(COUNTIF(SSN!$A$7:$A$50,'INSTANCE C2'!A46))+(COUNTIF('W3'!$A$7:$A$50,'INSTANCE C2'!A46))+(COUNTIF('ATHIS MONS'!$A$7:$A$50,'INSTANCE C2'!A46))+(COUNTIF('L HAY LES ROSES'!$A$7:$A$50,'INSTANCE C2'!A46))+(COUNTIF(RUNGIS!$A$7:$A$50,'INSTANCE C2'!A46))+(COUNTIF(SCEAUX!$A$7:$A$50,'INSTANCE C2'!A46))+(COUNTIF('INSTANCE C1'!$A$7:$A$50,'INSTANCE C2'!A46))+(COUNTIF('INSTANCE C2'!$A$7:$A$50,'INSTANCE C2'!A46))+(COUNTIF(INTERNES!$A$7:$A$50,'INSTANCE C2'!A46))+(COUNTIF('EN PANNE'!$A$7:$A$50,'INSTANCE C2'!A46))-C46</f>
        <v>0</v>
      </c>
      <c r="C46" s="23">
        <f>(COUNTIF('2S EXPRESS'!$G$7:$G$50,'INSTANCE C2'!A46))+(COUNTIF('2 ZT'!$G$7:$G$50,'INSTANCE C2'!A46))+(COUNTIF('GO TRANSPORT'!$G$7:$G$50,'INSTANCE C2'!A46))+(COUNTIF('INSTANCE C2'!$G$7:$G$50,'INSTANCE C2'!A46))+(COUNTIF('IB TRANSPORT'!$G$7:$G$50,'INSTANCE C2'!A46))+(COUNTIF(JSL!$G$7:$G$50,'INSTANCE C2'!A46))+(COUNTIF(KIFAITOUT!$G$7:$G$50,'INSTANCE C2'!A46))+(COUNTIF('LUXE DRIVE'!$G$7:$G$50,'INSTANCE C2'!A46))+(COUNTIF(SSN!$G$7:$G$50,'INSTANCE C2'!A46))+(COUNTIF('W3'!$G$7:$G$50,'INSTANCE C2'!A46))+(COUNTIF('ATHIS MONS'!$G$7:$G$50,'INSTANCE C2'!A46))+(COUNTIF('L HAY LES ROSES'!$G$7:$G$50,'INSTANCE C2'!A46))+(COUNTIF(RUNGIS!$G$7:$G$50,'INSTANCE C2'!A46))+(COUNTIF(SCEAUX!$G$7:$G$50,'INSTANCE C2'!A46))+(COUNTIF('INSTANCE C1'!$G$7:$G$50,'INSTANCE C2'!A46))+(COUNTIF('INSTANCE C2'!$G$7:$G$50,'INSTANCE C2'!A46))+(COUNTIF(INTERNES!$G$7:$G$50,'INSTANCE C2'!A46))+(COUNTIF('EN PANNE'!$G$7:$G$50,'INSTANCE C2'!A46))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EXPRESS'!$G$7:$G$50,'INSTANCE C2'!G46))+(COUNTIF('2 ZT'!$G$7:$G$50,'INSTANCE C2'!G46))+(COUNTIF('GO TRANSPORT'!$G$7:$G$50,'INSTANCE C2'!G46))+(COUNTIF('HMZ - KAIS'!$G$7:$G$50,'INSTANCE C2'!G46))+(COUNTIF('IB TRANSPORT'!$G$7:$G$50,'INSTANCE C2'!G46))+(COUNTIF(JSL!$G$7:$G$50,'INSTANCE C2'!G46))+(COUNTIF(KIFAITOUT!$G$7:$G$50,'INSTANCE C2'!G46))+(COUNTIF('LUXE DRIVE'!$G$7:$G$50,'INSTANCE C2'!G46))+(COUNTIF(SSN!$G$7:$G$50,'INSTANCE C2'!G46))+(COUNTIF('W3'!$G$7:$G$50,'INSTANCE C2'!G46))+(COUNTIF('ATHIS MONS'!$G$7:$G$50,'INSTANCE C2'!G46))+(COUNTIF('L HAY LES ROSES'!$G$7:$G$50,'INSTANCE C2'!G46))+(COUNTIF(RUNGIS!$G$7:$G$50,'INSTANCE C2'!G46))+(COUNTIF(SCEAUX!$G$7:$G$50,'INSTANCE C2'!G46))+(COUNTIF('INSTANCE C1'!$G$7:$G$50,'INSTANCE C2'!G46))+(COUNTIF('INSTANCE C2'!$G$7:$G$50,'INSTANCE C2'!G46))+(COUNTIF(INTERNES!$G$7:$G$50,'INSTANCE C2'!G46))+(COUNTIF('EN PANNE'!$G$7:$G$50,'INSTANCE C2'!G46))-I46</f>
        <v>0</v>
      </c>
      <c r="I46" s="23">
        <f>(COUNTIF('2S EXPRESS'!$A$7:$A$50,'INSTANCE C2'!G46))+(COUNTIF('2 ZT'!$A$7:$A$50,'INSTANCE C2'!G46))+(COUNTIF('GO TRANSPORT'!$A$7:$A$50,'INSTANCE C2'!G46))+(COUNTIF('HMZ - KAIS'!$A$7:$A$50,'INSTANCE C2'!G46))+(COUNTIF('IB TRANSPORT'!$A$7:$A$50,'INSTANCE C2'!G46))+(COUNTIF(JSL!$A$7:$A$50,'INSTANCE C2'!G46))+(COUNTIF(KIFAITOUT!$A$7:$A$50,'INSTANCE C2'!G46))+(COUNTIF('LUXE DRIVE'!$A$7:$A$50,'INSTANCE C2'!G46))+(COUNTIF(SSN!$A$7:$A$50,'INSTANCE C2'!G46))+(COUNTIF('W3'!$A$7:$A$50,'INSTANCE C2'!G46))+(COUNTIF('ATHIS MONS'!$A$7:$A$50,'INSTANCE C2'!G46))+(COUNTIF('L HAY LES ROSES'!$A$7:$A$50,'INSTANCE C2'!G46))+(COUNTIF(RUNGIS!$A$7:$A$50,'INSTANCE C2'!G46))+(COUNTIF(SCEAUX!$A$7:$A$50,'INSTANCE C2'!G46))+(COUNTIF('INSTANCE C1'!$A$7:$A$50,'INSTANCE C2'!G46))+(COUNTIF('INSTANCE C2'!$A$7:$A$50,'INSTANCE C2'!G46))+(COUNTIF(INTERNES!$A$7:$A$50,'INSTANCE C2'!G46))+(COUNTIF('EN PANNE'!$A$7:$A$50,'INSTANCE C2'!G46))</f>
        <v>0</v>
      </c>
      <c r="J46" s="28">
        <f t="shared" si="4"/>
        <v>0</v>
      </c>
      <c r="K46" s="2"/>
      <c r="L46" s="47"/>
      <c r="M46" s="9"/>
      <c r="N46" s="9"/>
      <c r="O46" s="9"/>
      <c r="P46" s="9"/>
      <c r="S46" s="60">
        <f t="shared" si="1"/>
        <v>0</v>
      </c>
      <c r="T46" s="67">
        <f t="shared" si="2"/>
        <v>0</v>
      </c>
    </row>
    <row r="47" spans="1:20" ht="24.95" customHeight="1" x14ac:dyDescent="0.2">
      <c r="A47" s="20"/>
      <c r="B47" s="23">
        <f>(COUNTIF('2S EXPRESS'!$A$7:$A$50,'INSTANCE C2'!A47))+(COUNTIF('2 ZT'!$A$7:$A$50,'INSTANCE C2'!A47))+(COUNTIF('GO TRANSPORT'!$A$7:$A$50,'INSTANCE C2'!A47))+(COUNTIF('HMZ - KAIS'!$A$7:$A$50,'INSTANCE C2'!A47))+(COUNTIF('IB TRANSPORT'!$A$7:$A$50,'INSTANCE C2'!A47))+(COUNTIF(JSL!$A$7:$A$50,'INSTANCE C2'!A47))+(COUNTIF(KIFAITOUT!$A$7:$A$50,'INSTANCE C2'!A47))+(COUNTIF('LUXE DRIVE'!$A$7:$A$50,'INSTANCE C2'!A47))+(COUNTIF(SSN!$A$7:$A$50,'INSTANCE C2'!A47))+(COUNTIF('W3'!$A$7:$A$50,'INSTANCE C2'!A47))+(COUNTIF('ATHIS MONS'!$A$7:$A$50,'INSTANCE C2'!A47))+(COUNTIF('L HAY LES ROSES'!$A$7:$A$50,'INSTANCE C2'!A47))+(COUNTIF(RUNGIS!$A$7:$A$50,'INSTANCE C2'!A47))+(COUNTIF(SCEAUX!$A$7:$A$50,'INSTANCE C2'!A47))+(COUNTIF('INSTANCE C1'!$A$7:$A$50,'INSTANCE C2'!A47))+(COUNTIF('INSTANCE C2'!$A$7:$A$50,'INSTANCE C2'!A47))+(COUNTIF(INTERNES!$A$7:$A$50,'INSTANCE C2'!A47))+(COUNTIF('EN PANNE'!$A$7:$A$50,'INSTANCE C2'!A47))-C47</f>
        <v>0</v>
      </c>
      <c r="C47" s="23">
        <f>(COUNTIF('2S EXPRESS'!$G$7:$G$50,'INSTANCE C2'!A47))+(COUNTIF('2 ZT'!$G$7:$G$50,'INSTANCE C2'!A47))+(COUNTIF('GO TRANSPORT'!$G$7:$G$50,'INSTANCE C2'!A47))+(COUNTIF('INSTANCE C2'!$G$7:$G$50,'INSTANCE C2'!A47))+(COUNTIF('IB TRANSPORT'!$G$7:$G$50,'INSTANCE C2'!A47))+(COUNTIF(JSL!$G$7:$G$50,'INSTANCE C2'!A47))+(COUNTIF(KIFAITOUT!$G$7:$G$50,'INSTANCE C2'!A47))+(COUNTIF('LUXE DRIVE'!$G$7:$G$50,'INSTANCE C2'!A47))+(COUNTIF(SSN!$G$7:$G$50,'INSTANCE C2'!A47))+(COUNTIF('W3'!$G$7:$G$50,'INSTANCE C2'!A47))+(COUNTIF('ATHIS MONS'!$G$7:$G$50,'INSTANCE C2'!A47))+(COUNTIF('L HAY LES ROSES'!$G$7:$G$50,'INSTANCE C2'!A47))+(COUNTIF(RUNGIS!$G$7:$G$50,'INSTANCE C2'!A47))+(COUNTIF(SCEAUX!$G$7:$G$50,'INSTANCE C2'!A47))+(COUNTIF('INSTANCE C1'!$G$7:$G$50,'INSTANCE C2'!A47))+(COUNTIF('INSTANCE C2'!$G$7:$G$50,'INSTANCE C2'!A47))+(COUNTIF(INTERNES!$G$7:$G$50,'INSTANCE C2'!A47))+(COUNTIF('EN PANNE'!$G$7:$G$50,'INSTANCE C2'!A47))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EXPRESS'!$G$7:$G$50,'INSTANCE C2'!G47))+(COUNTIF('2 ZT'!$G$7:$G$50,'INSTANCE C2'!G47))+(COUNTIF('GO TRANSPORT'!$G$7:$G$50,'INSTANCE C2'!G47))+(COUNTIF('HMZ - KAIS'!$G$7:$G$50,'INSTANCE C2'!G47))+(COUNTIF('IB TRANSPORT'!$G$7:$G$50,'INSTANCE C2'!G47))+(COUNTIF(JSL!$G$7:$G$50,'INSTANCE C2'!G47))+(COUNTIF(KIFAITOUT!$G$7:$G$50,'INSTANCE C2'!G47))+(COUNTIF('LUXE DRIVE'!$G$7:$G$50,'INSTANCE C2'!G47))+(COUNTIF(SSN!$G$7:$G$50,'INSTANCE C2'!G47))+(COUNTIF('W3'!$G$7:$G$50,'INSTANCE C2'!G47))+(COUNTIF('ATHIS MONS'!$G$7:$G$50,'INSTANCE C2'!G47))+(COUNTIF('L HAY LES ROSES'!$G$7:$G$50,'INSTANCE C2'!G47))+(COUNTIF(RUNGIS!$G$7:$G$50,'INSTANCE C2'!G47))+(COUNTIF(SCEAUX!$G$7:$G$50,'INSTANCE C2'!G47))+(COUNTIF('INSTANCE C1'!$G$7:$G$50,'INSTANCE C2'!G47))+(COUNTIF('INSTANCE C2'!$G$7:$G$50,'INSTANCE C2'!G47))+(COUNTIF(INTERNES!$G$7:$G$50,'INSTANCE C2'!G47))+(COUNTIF('EN PANNE'!$G$7:$G$50,'INSTANCE C2'!G47))-I47</f>
        <v>0</v>
      </c>
      <c r="I47" s="23">
        <f>(COUNTIF('2S EXPRESS'!$A$7:$A$50,'INSTANCE C2'!G47))+(COUNTIF('2 ZT'!$A$7:$A$50,'INSTANCE C2'!G47))+(COUNTIF('GO TRANSPORT'!$A$7:$A$50,'INSTANCE C2'!G47))+(COUNTIF('HMZ - KAIS'!$A$7:$A$50,'INSTANCE C2'!G47))+(COUNTIF('IB TRANSPORT'!$A$7:$A$50,'INSTANCE C2'!G47))+(COUNTIF(JSL!$A$7:$A$50,'INSTANCE C2'!G47))+(COUNTIF(KIFAITOUT!$A$7:$A$50,'INSTANCE C2'!G47))+(COUNTIF('LUXE DRIVE'!$A$7:$A$50,'INSTANCE C2'!G47))+(COUNTIF(SSN!$A$7:$A$50,'INSTANCE C2'!G47))+(COUNTIF('W3'!$A$7:$A$50,'INSTANCE C2'!G47))+(COUNTIF('ATHIS MONS'!$A$7:$A$50,'INSTANCE C2'!G47))+(COUNTIF('L HAY LES ROSES'!$A$7:$A$50,'INSTANCE C2'!G47))+(COUNTIF(RUNGIS!$A$7:$A$50,'INSTANCE C2'!G47))+(COUNTIF(SCEAUX!$A$7:$A$50,'INSTANCE C2'!G47))+(COUNTIF('INSTANCE C1'!$A$7:$A$50,'INSTANCE C2'!G47))+(COUNTIF('INSTANCE C2'!$A$7:$A$50,'INSTANCE C2'!G47))+(COUNTIF(INTERNES!$A$7:$A$50,'INSTANCE C2'!G47))+(COUNTIF('EN PANNE'!$A$7:$A$50,'INSTANCE C2'!G47))</f>
        <v>0</v>
      </c>
      <c r="J47" s="28">
        <f t="shared" si="4"/>
        <v>0</v>
      </c>
      <c r="K47" s="2"/>
      <c r="L47" s="47"/>
      <c r="M47" s="9"/>
      <c r="N47" s="9"/>
      <c r="O47" s="9"/>
      <c r="P47" s="9"/>
      <c r="S47" s="60">
        <f t="shared" si="1"/>
        <v>0</v>
      </c>
      <c r="T47" s="67">
        <f t="shared" si="2"/>
        <v>0</v>
      </c>
    </row>
    <row r="48" spans="1:20" ht="24.95" customHeight="1" x14ac:dyDescent="0.2">
      <c r="A48" s="20"/>
      <c r="B48" s="23">
        <f>(COUNTIF('2S EXPRESS'!$A$7:$A$50,'INSTANCE C2'!A48))+(COUNTIF('2 ZT'!$A$7:$A$50,'INSTANCE C2'!A48))+(COUNTIF('GO TRANSPORT'!$A$7:$A$50,'INSTANCE C2'!A48))+(COUNTIF('HMZ - KAIS'!$A$7:$A$50,'INSTANCE C2'!A48))+(COUNTIF('IB TRANSPORT'!$A$7:$A$50,'INSTANCE C2'!A48))+(COUNTIF(JSL!$A$7:$A$50,'INSTANCE C2'!A48))+(COUNTIF(KIFAITOUT!$A$7:$A$50,'INSTANCE C2'!A48))+(COUNTIF('LUXE DRIVE'!$A$7:$A$50,'INSTANCE C2'!A48))+(COUNTIF(SSN!$A$7:$A$50,'INSTANCE C2'!A48))+(COUNTIF('W3'!$A$7:$A$50,'INSTANCE C2'!A48))+(COUNTIF('ATHIS MONS'!$A$7:$A$50,'INSTANCE C2'!A48))+(COUNTIF('L HAY LES ROSES'!$A$7:$A$50,'INSTANCE C2'!A48))+(COUNTIF(RUNGIS!$A$7:$A$50,'INSTANCE C2'!A48))+(COUNTIF(SCEAUX!$A$7:$A$50,'INSTANCE C2'!A48))+(COUNTIF('INSTANCE C1'!$A$7:$A$50,'INSTANCE C2'!A48))+(COUNTIF('INSTANCE C2'!$A$7:$A$50,'INSTANCE C2'!A48))+(COUNTIF(INTERNES!$A$7:$A$50,'INSTANCE C2'!A48))+(COUNTIF('EN PANNE'!$A$7:$A$50,'INSTANCE C2'!A48))-C48</f>
        <v>0</v>
      </c>
      <c r="C48" s="23">
        <f>(COUNTIF('2S EXPRESS'!$G$7:$G$50,'INSTANCE C2'!A48))+(COUNTIF('2 ZT'!$G$7:$G$50,'INSTANCE C2'!A48))+(COUNTIF('GO TRANSPORT'!$G$7:$G$50,'INSTANCE C2'!A48))+(COUNTIF('INSTANCE C2'!$G$7:$G$50,'INSTANCE C2'!A48))+(COUNTIF('IB TRANSPORT'!$G$7:$G$50,'INSTANCE C2'!A48))+(COUNTIF(JSL!$G$7:$G$50,'INSTANCE C2'!A48))+(COUNTIF(KIFAITOUT!$G$7:$G$50,'INSTANCE C2'!A48))+(COUNTIF('LUXE DRIVE'!$G$7:$G$50,'INSTANCE C2'!A48))+(COUNTIF(SSN!$G$7:$G$50,'INSTANCE C2'!A48))+(COUNTIF('W3'!$G$7:$G$50,'INSTANCE C2'!A48))+(COUNTIF('ATHIS MONS'!$G$7:$G$50,'INSTANCE C2'!A48))+(COUNTIF('L HAY LES ROSES'!$G$7:$G$50,'INSTANCE C2'!A48))+(COUNTIF(RUNGIS!$G$7:$G$50,'INSTANCE C2'!A48))+(COUNTIF(SCEAUX!$G$7:$G$50,'INSTANCE C2'!A48))+(COUNTIF('INSTANCE C1'!$G$7:$G$50,'INSTANCE C2'!A48))+(COUNTIF('INSTANCE C2'!$G$7:$G$50,'INSTANCE C2'!A48))+(COUNTIF(INTERNES!$G$7:$G$50,'INSTANCE C2'!A48))+(COUNTIF('EN PANNE'!$G$7:$G$50,'INSTANCE C2'!A48))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EXPRESS'!$G$7:$G$50,'INSTANCE C2'!G48))+(COUNTIF('2 ZT'!$G$7:$G$50,'INSTANCE C2'!G48))+(COUNTIF('GO TRANSPORT'!$G$7:$G$50,'INSTANCE C2'!G48))+(COUNTIF('HMZ - KAIS'!$G$7:$G$50,'INSTANCE C2'!G48))+(COUNTIF('IB TRANSPORT'!$G$7:$G$50,'INSTANCE C2'!G48))+(COUNTIF(JSL!$G$7:$G$50,'INSTANCE C2'!G48))+(COUNTIF(KIFAITOUT!$G$7:$G$50,'INSTANCE C2'!G48))+(COUNTIF('LUXE DRIVE'!$G$7:$G$50,'INSTANCE C2'!G48))+(COUNTIF(SSN!$G$7:$G$50,'INSTANCE C2'!G48))+(COUNTIF('W3'!$G$7:$G$50,'INSTANCE C2'!G48))+(COUNTIF('ATHIS MONS'!$G$7:$G$50,'INSTANCE C2'!G48))+(COUNTIF('L HAY LES ROSES'!$G$7:$G$50,'INSTANCE C2'!G48))+(COUNTIF(RUNGIS!$G$7:$G$50,'INSTANCE C2'!G48))+(COUNTIF(SCEAUX!$G$7:$G$50,'INSTANCE C2'!G48))+(COUNTIF('INSTANCE C1'!$G$7:$G$50,'INSTANCE C2'!G48))+(COUNTIF('INSTANCE C2'!$G$7:$G$50,'INSTANCE C2'!G48))+(COUNTIF(INTERNES!$G$7:$G$50,'INSTANCE C2'!G48))+(COUNTIF('EN PANNE'!$G$7:$G$50,'INSTANCE C2'!G48))-I48</f>
        <v>0</v>
      </c>
      <c r="I48" s="23">
        <f>(COUNTIF('2S EXPRESS'!$A$7:$A$50,'INSTANCE C2'!G48))+(COUNTIF('2 ZT'!$A$7:$A$50,'INSTANCE C2'!G48))+(COUNTIF('GO TRANSPORT'!$A$7:$A$50,'INSTANCE C2'!G48))+(COUNTIF('HMZ - KAIS'!$A$7:$A$50,'INSTANCE C2'!G48))+(COUNTIF('IB TRANSPORT'!$A$7:$A$50,'INSTANCE C2'!G48))+(COUNTIF(JSL!$A$7:$A$50,'INSTANCE C2'!G48))+(COUNTIF(KIFAITOUT!$A$7:$A$50,'INSTANCE C2'!G48))+(COUNTIF('LUXE DRIVE'!$A$7:$A$50,'INSTANCE C2'!G48))+(COUNTIF(SSN!$A$7:$A$50,'INSTANCE C2'!G48))+(COUNTIF('W3'!$A$7:$A$50,'INSTANCE C2'!G48))+(COUNTIF('ATHIS MONS'!$A$7:$A$50,'INSTANCE C2'!G48))+(COUNTIF('L HAY LES ROSES'!$A$7:$A$50,'INSTANCE C2'!G48))+(COUNTIF(RUNGIS!$A$7:$A$50,'INSTANCE C2'!G48))+(COUNTIF(SCEAUX!$A$7:$A$50,'INSTANCE C2'!G48))+(COUNTIF('INSTANCE C1'!$A$7:$A$50,'INSTANCE C2'!G48))+(COUNTIF('INSTANCE C2'!$A$7:$A$50,'INSTANCE C2'!G48))+(COUNTIF(INTERNES!$A$7:$A$50,'INSTANCE C2'!G48))+(COUNTIF('EN PANNE'!$A$7:$A$50,'INSTANCE C2'!G48))</f>
        <v>0</v>
      </c>
      <c r="J48" s="28">
        <f t="shared" si="4"/>
        <v>0</v>
      </c>
      <c r="K48" s="2"/>
      <c r="L48" s="47"/>
      <c r="M48" s="9"/>
      <c r="N48" s="9"/>
      <c r="O48" s="9"/>
      <c r="P48" s="9"/>
      <c r="S48" s="60">
        <f t="shared" si="1"/>
        <v>0</v>
      </c>
      <c r="T48" s="67">
        <f t="shared" si="2"/>
        <v>0</v>
      </c>
    </row>
    <row r="49" spans="1:26" ht="24.95" customHeight="1" x14ac:dyDescent="0.2">
      <c r="A49" s="20"/>
      <c r="B49" s="23">
        <f>(COUNTIF('2S EXPRESS'!$A$7:$A$50,'INSTANCE C2'!A49))+(COUNTIF('2 ZT'!$A$7:$A$50,'INSTANCE C2'!A49))+(COUNTIF('GO TRANSPORT'!$A$7:$A$50,'INSTANCE C2'!A49))+(COUNTIF('HMZ - KAIS'!$A$7:$A$50,'INSTANCE C2'!A49))+(COUNTIF('IB TRANSPORT'!$A$7:$A$50,'INSTANCE C2'!A49))+(COUNTIF(JSL!$A$7:$A$50,'INSTANCE C2'!A49))+(COUNTIF(KIFAITOUT!$A$7:$A$50,'INSTANCE C2'!A49))+(COUNTIF('LUXE DRIVE'!$A$7:$A$50,'INSTANCE C2'!A49))+(COUNTIF(SSN!$A$7:$A$50,'INSTANCE C2'!A49))+(COUNTIF('W3'!$A$7:$A$50,'INSTANCE C2'!A49))+(COUNTIF('ATHIS MONS'!$A$7:$A$50,'INSTANCE C2'!A49))+(COUNTIF('L HAY LES ROSES'!$A$7:$A$50,'INSTANCE C2'!A49))+(COUNTIF(RUNGIS!$A$7:$A$50,'INSTANCE C2'!A49))+(COUNTIF(SCEAUX!$A$7:$A$50,'INSTANCE C2'!A49))+(COUNTIF('INSTANCE C1'!$A$7:$A$50,'INSTANCE C2'!A49))+(COUNTIF('INSTANCE C2'!$A$7:$A$50,'INSTANCE C2'!A49))+(COUNTIF(INTERNES!$A$7:$A$50,'INSTANCE C2'!A49))+(COUNTIF('EN PANNE'!$A$7:$A$50,'INSTANCE C2'!A49))-C49</f>
        <v>0</v>
      </c>
      <c r="C49" s="23">
        <f>(COUNTIF('2S EXPRESS'!$G$7:$G$50,'INSTANCE C2'!A49))+(COUNTIF('2 ZT'!$G$7:$G$50,'INSTANCE C2'!A49))+(COUNTIF('GO TRANSPORT'!$G$7:$G$50,'INSTANCE C2'!A49))+(COUNTIF('INSTANCE C2'!$G$7:$G$50,'INSTANCE C2'!A49))+(COUNTIF('IB TRANSPORT'!$G$7:$G$50,'INSTANCE C2'!A49))+(COUNTIF(JSL!$G$7:$G$50,'INSTANCE C2'!A49))+(COUNTIF(KIFAITOUT!$G$7:$G$50,'INSTANCE C2'!A49))+(COUNTIF('LUXE DRIVE'!$G$7:$G$50,'INSTANCE C2'!A49))+(COUNTIF(SSN!$G$7:$G$50,'INSTANCE C2'!A49))+(COUNTIF('W3'!$G$7:$G$50,'INSTANCE C2'!A49))+(COUNTIF('ATHIS MONS'!$G$7:$G$50,'INSTANCE C2'!A49))+(COUNTIF('L HAY LES ROSES'!$G$7:$G$50,'INSTANCE C2'!A49))+(COUNTIF(RUNGIS!$G$7:$G$50,'INSTANCE C2'!A49))+(COUNTIF(SCEAUX!$G$7:$G$50,'INSTANCE C2'!A49))+(COUNTIF('INSTANCE C1'!$G$7:$G$50,'INSTANCE C2'!A49))+(COUNTIF('INSTANCE C2'!$G$7:$G$50,'INSTANCE C2'!A49))+(COUNTIF(INTERNES!$G$7:$G$50,'INSTANCE C2'!A49))+(COUNTIF('EN PANNE'!$G$7:$G$50,'INSTANCE C2'!A49))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EXPRESS'!$G$7:$G$50,'INSTANCE C2'!G49))+(COUNTIF('2 ZT'!$G$7:$G$50,'INSTANCE C2'!G49))+(COUNTIF('GO TRANSPORT'!$G$7:$G$50,'INSTANCE C2'!G49))+(COUNTIF('HMZ - KAIS'!$G$7:$G$50,'INSTANCE C2'!G49))+(COUNTIF('IB TRANSPORT'!$G$7:$G$50,'INSTANCE C2'!G49))+(COUNTIF(JSL!$G$7:$G$50,'INSTANCE C2'!G49))+(COUNTIF(KIFAITOUT!$G$7:$G$50,'INSTANCE C2'!G49))+(COUNTIF('LUXE DRIVE'!$G$7:$G$50,'INSTANCE C2'!G49))+(COUNTIF(SSN!$G$7:$G$50,'INSTANCE C2'!G49))+(COUNTIF('W3'!$G$7:$G$50,'INSTANCE C2'!G49))+(COUNTIF('ATHIS MONS'!$G$7:$G$50,'INSTANCE C2'!G49))+(COUNTIF('L HAY LES ROSES'!$G$7:$G$50,'INSTANCE C2'!G49))+(COUNTIF(RUNGIS!$G$7:$G$50,'INSTANCE C2'!G49))+(COUNTIF(SCEAUX!$G$7:$G$50,'INSTANCE C2'!G49))+(COUNTIF('INSTANCE C1'!$G$7:$G$50,'INSTANCE C2'!G49))+(COUNTIF('INSTANCE C2'!$G$7:$G$50,'INSTANCE C2'!G49))+(COUNTIF(INTERNES!$G$7:$G$50,'INSTANCE C2'!G49))+(COUNTIF('EN PANNE'!$G$7:$G$50,'INSTANCE C2'!G49))-I49</f>
        <v>0</v>
      </c>
      <c r="I49" s="23">
        <f>(COUNTIF('2S EXPRESS'!$A$7:$A$50,'INSTANCE C2'!G49))+(COUNTIF('2 ZT'!$A$7:$A$50,'INSTANCE C2'!G49))+(COUNTIF('GO TRANSPORT'!$A$7:$A$50,'INSTANCE C2'!G49))+(COUNTIF('HMZ - KAIS'!$A$7:$A$50,'INSTANCE C2'!G49))+(COUNTIF('IB TRANSPORT'!$A$7:$A$50,'INSTANCE C2'!G49))+(COUNTIF(JSL!$A$7:$A$50,'INSTANCE C2'!G49))+(COUNTIF(KIFAITOUT!$A$7:$A$50,'INSTANCE C2'!G49))+(COUNTIF('LUXE DRIVE'!$A$7:$A$50,'INSTANCE C2'!G49))+(COUNTIF(SSN!$A$7:$A$50,'INSTANCE C2'!G49))+(COUNTIF('W3'!$A$7:$A$50,'INSTANCE C2'!G49))+(COUNTIF('ATHIS MONS'!$A$7:$A$50,'INSTANCE C2'!G49))+(COUNTIF('L HAY LES ROSES'!$A$7:$A$50,'INSTANCE C2'!G49))+(COUNTIF(RUNGIS!$A$7:$A$50,'INSTANCE C2'!G49))+(COUNTIF(SCEAUX!$A$7:$A$50,'INSTANCE C2'!G49))+(COUNTIF('INSTANCE C1'!$A$7:$A$50,'INSTANCE C2'!G49))+(COUNTIF('INSTANCE C2'!$A$7:$A$50,'INSTANCE C2'!G49))+(COUNTIF(INTERNES!$A$7:$A$50,'INSTANCE C2'!G49))+(COUNTIF('EN PANNE'!$A$7:$A$50,'INSTANCE C2'!G49))</f>
        <v>0</v>
      </c>
      <c r="J49" s="28">
        <f t="shared" si="4"/>
        <v>0</v>
      </c>
      <c r="K49" s="2"/>
      <c r="L49" s="47"/>
      <c r="M49" s="9"/>
      <c r="N49" s="9"/>
      <c r="O49" s="9"/>
      <c r="P49" s="9"/>
      <c r="S49" s="60">
        <f t="shared" si="1"/>
        <v>0</v>
      </c>
      <c r="T49" s="67">
        <f t="shared" si="2"/>
        <v>0</v>
      </c>
    </row>
    <row r="50" spans="1:26" ht="24.95" customHeight="1" thickBot="1" x14ac:dyDescent="0.25">
      <c r="A50" s="21"/>
      <c r="B50" s="25">
        <f>(COUNTIF('2S EXPRESS'!$A$7:$A$50,'INSTANCE C2'!A50))+(COUNTIF('2 ZT'!$A$7:$A$50,'INSTANCE C2'!A50))+(COUNTIF('GO TRANSPORT'!$A$7:$A$50,'INSTANCE C2'!A50))+(COUNTIF('HMZ - KAIS'!$A$7:$A$50,'INSTANCE C2'!A50))+(COUNTIF('IB TRANSPORT'!$A$7:$A$50,'INSTANCE C2'!A50))+(COUNTIF(JSL!$A$7:$A$50,'INSTANCE C2'!A50))+(COUNTIF(KIFAITOUT!$A$7:$A$50,'INSTANCE C2'!A50))+(COUNTIF('LUXE DRIVE'!$A$7:$A$50,'INSTANCE C2'!A50))+(COUNTIF(SSN!$A$7:$A$50,'INSTANCE C2'!A50))+(COUNTIF('W3'!$A$7:$A$50,'INSTANCE C2'!A50))+(COUNTIF('ATHIS MONS'!$A$7:$A$50,'INSTANCE C2'!A50))+(COUNTIF('L HAY LES ROSES'!$A$7:$A$50,'INSTANCE C2'!A50))+(COUNTIF(RUNGIS!$A$7:$A$50,'INSTANCE C2'!A50))+(COUNTIF(SCEAUX!$A$7:$A$50,'INSTANCE C2'!A50))+(COUNTIF('INSTANCE C1'!$A$7:$A$50,'INSTANCE C2'!A50))+(COUNTIF('INSTANCE C2'!$A$7:$A$50,'INSTANCE C2'!A50))+(COUNTIF(INTERNES!$A$7:$A$50,'INSTANCE C2'!A50))+(COUNTIF('EN PANNE'!$A$7:$A$50,'INSTANCE C2'!A50))-C50</f>
        <v>0</v>
      </c>
      <c r="C50" s="23">
        <f>(COUNTIF('2S EXPRESS'!$G$7:$G$50,'HMZ - KAIS'!A50))+(COUNTIF('2 ZT'!$G$7:$G$50,'HMZ - KAIS'!A50))+(COUNTIF('GO TRANSPORT'!$G$7:$G$50,'HMZ - KAIS'!A50))+(COUNTIF('HMZ - KAIS'!$G$7:$G$50,'HMZ - KAIS'!A50))+(COUNTIF('IB TRANSPORT'!$G$7:$G$50,'HMZ - KAIS'!A50))+(COUNTIF(JSL!$G$7:$G$50,'HMZ - KAIS'!A50))+(COUNTIF(KIFAITOUT!$G$7:$G$50,'HMZ - KAIS'!A50))+(COUNTIF('LUXE DRIVE'!$G$7:$G$50,'HMZ - KAIS'!A50))+(COUNTIF(SSN!$G$7:$G$50,'HMZ - KAIS'!A50))+(COUNTIF('W3'!$G$7:$G$50,'HMZ - KAIS'!A50))+(COUNTIF('ATHIS MONS'!$G$7:$G$50,'HMZ - KAIS'!A50))+(COUNTIF('L HAY LES ROSES'!$G$7:$G$50,'HMZ - KAIS'!A50))+(COUNTIF(RUNGIS!$G$7:$G$50,'HMZ - KAIS'!A50))+(COUNTIF(SCEAUX!$G$7:$G$50,'HMZ - KAIS'!A50))+(COUNTIF('INSTANCE C1'!$G$7:$G$50,'HMZ - KAIS'!A50))+(COUNTIF('INSTANCE C2'!$G$7:$G$50,'HMZ - KAIS'!A50))+(COUNTIF(INTERNES!$G$7:$G$50,'HMZ - KAIS'!A50))+(COUNTIF('EN PANNE'!$G$7:$G$50,'HMZ - KAIS'!A50))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EXPRESS'!$G$7:$G$50,'INSTANCE C2'!G50))+(COUNTIF('2 ZT'!$G$7:$G$50,'INSTANCE C2'!G50))+(COUNTIF('GO TRANSPORT'!$G$7:$G$50,'INSTANCE C2'!G50))+(COUNTIF('HMZ - KAIS'!$G$7:$G$50,'INSTANCE C2'!G50))+(COUNTIF('IB TRANSPORT'!$G$7:$G$50,'INSTANCE C2'!G50))+(COUNTIF(JSL!$G$7:$G$50,'INSTANCE C2'!G50))+(COUNTIF(KIFAITOUT!$G$7:$G$50,'INSTANCE C2'!G50))+(COUNTIF('LUXE DRIVE'!$G$7:$G$50,'INSTANCE C2'!G50))+(COUNTIF(SSN!$G$7:$G$50,'INSTANCE C2'!G50))+(COUNTIF('W3'!$G$7:$G$50,'INSTANCE C2'!G50))+(COUNTIF('ATHIS MONS'!$G$7:$G$50,'INSTANCE C2'!G50))+(COUNTIF('L HAY LES ROSES'!$G$7:$G$50,'INSTANCE C2'!G50))+(COUNTIF(RUNGIS!$G$7:$G$50,'INSTANCE C2'!G50))+(COUNTIF(SCEAUX!$G$7:$G$50,'INSTANCE C2'!G50))+(COUNTIF('INSTANCE C1'!$G$7:$G$50,'INSTANCE C2'!G50))+(COUNTIF('INSTANCE C2'!$G$7:$G$50,'INSTANCE C2'!G50))+(COUNTIF(INTERNES!$G$7:$G$50,'INSTANCE C2'!G50))+(COUNTIF('EN PANNE'!$G$7:$G$50,'INSTANCE C2'!G50))-I50</f>
        <v>0</v>
      </c>
      <c r="I50" s="25">
        <f>(COUNTIF('2S EXPRESS'!$A$7:$A$50,'INSTANCE C2'!G50))+(COUNTIF('2 ZT'!$A$7:$A$50,'INSTANCE C2'!G50))+(COUNTIF('GO TRANSPORT'!$A$7:$A$50,'INSTANCE C2'!G50))+(COUNTIF('HMZ - KAIS'!$A$7:$A$50,'INSTANCE C2'!G50))+(COUNTIF('IB TRANSPORT'!$A$7:$A$50,'INSTANCE C2'!G50))+(COUNTIF(JSL!$A$7:$A$50,'INSTANCE C2'!G50))+(COUNTIF(KIFAITOUT!$A$7:$A$50,'INSTANCE C2'!G50))+(COUNTIF('LUXE DRIVE'!$A$7:$A$50,'INSTANCE C2'!G50))+(COUNTIF(SSN!$A$7:$A$50,'INSTANCE C2'!G50))+(COUNTIF('W3'!$A$7:$A$50,'INSTANCE C2'!G50))+(COUNTIF('ATHIS MONS'!$A$7:$A$50,'INSTANCE C2'!G50))+(COUNTIF('L HAY LES ROSES'!$A$7:$A$50,'INSTANCE C2'!G50))+(COUNTIF(RUNGIS!$A$7:$A$50,'INSTANCE C2'!G50))+(COUNTIF(SCEAUX!$A$7:$A$50,'INSTANCE C2'!G50))+(COUNTIF('INSTANCE C1'!$A$7:$A$50,'INSTANCE C2'!G50))+(COUNTIF('INSTANCE C2'!$A$7:$A$50,'INSTANCE C2'!G50))+(COUNTIF(INTERNES!$A$7:$A$50,'INSTANCE C2'!G50))+(COUNTIF('EN PANNE'!$A$7:$A$50,'INSTANCE C2'!G50))</f>
        <v>0</v>
      </c>
      <c r="J50" s="29">
        <f t="shared" si="4"/>
        <v>0</v>
      </c>
      <c r="K50" s="3"/>
      <c r="L50" s="47"/>
      <c r="M50" s="9"/>
      <c r="N50" s="9"/>
      <c r="O50" s="9"/>
      <c r="P50" s="9"/>
      <c r="S50" s="60">
        <f t="shared" si="1"/>
        <v>0</v>
      </c>
      <c r="T50" s="67">
        <f t="shared" si="2"/>
        <v>0</v>
      </c>
    </row>
    <row r="51" spans="1:26" x14ac:dyDescent="0.2">
      <c r="A51" s="9"/>
      <c r="B51" s="9"/>
      <c r="C51" s="9"/>
      <c r="D51" s="9"/>
      <c r="E51" s="9"/>
      <c r="F51" s="9"/>
      <c r="G51" s="9"/>
      <c r="H51" s="9"/>
      <c r="J51" s="9"/>
      <c r="K51" s="9"/>
      <c r="L51" s="9"/>
      <c r="M51" s="9"/>
      <c r="N51" s="9"/>
      <c r="O51" s="9"/>
      <c r="P51" s="9"/>
    </row>
    <row r="52" spans="1:26" x14ac:dyDescent="0.2">
      <c r="A52" s="9"/>
      <c r="B52" s="9"/>
      <c r="C52" s="9"/>
      <c r="D52" s="9"/>
      <c r="E52" s="9"/>
      <c r="F52" s="9"/>
      <c r="G52" s="9"/>
      <c r="H52" s="9"/>
      <c r="J52" s="9"/>
      <c r="K52" s="9"/>
      <c r="L52" s="9"/>
      <c r="M52" s="9"/>
      <c r="N52" s="9"/>
      <c r="O52" s="9"/>
      <c r="P52" s="9"/>
    </row>
    <row r="53" spans="1:26" s="9" customFormat="1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  <c r="R53" s="56"/>
      <c r="S53" s="56"/>
      <c r="T53" s="56"/>
      <c r="U53" s="56"/>
      <c r="V53" s="56"/>
      <c r="W53" s="56"/>
      <c r="X53" s="56"/>
      <c r="Y53" s="56"/>
      <c r="Z53" s="56"/>
    </row>
  </sheetData>
  <mergeCells count="13">
    <mergeCell ref="M12:P12"/>
    <mergeCell ref="B2:E3"/>
    <mergeCell ref="G2:K3"/>
    <mergeCell ref="A4:E4"/>
    <mergeCell ref="G4:K4"/>
    <mergeCell ref="G5:G6"/>
    <mergeCell ref="K5:K6"/>
    <mergeCell ref="M8:P8"/>
    <mergeCell ref="M9:P9"/>
    <mergeCell ref="M11:P11"/>
    <mergeCell ref="F5:F6"/>
    <mergeCell ref="A5:A6"/>
    <mergeCell ref="E5:E6"/>
  </mergeCells>
  <conditionalFormatting sqref="F7:F50">
    <cfRule type="cellIs" dxfId="29" priority="10" operator="equal">
      <formula>1</formula>
    </cfRule>
  </conditionalFormatting>
  <conditionalFormatting sqref="A7:A50">
    <cfRule type="duplicateValues" dxfId="28" priority="8"/>
  </conditionalFormatting>
  <conditionalFormatting sqref="L7:L50">
    <cfRule type="cellIs" dxfId="27" priority="7" operator="greaterThan">
      <formula>0</formula>
    </cfRule>
  </conditionalFormatting>
  <conditionalFormatting sqref="D7">
    <cfRule type="cellIs" dxfId="26" priority="6" operator="greaterThan">
      <formula>0</formula>
    </cfRule>
  </conditionalFormatting>
  <conditionalFormatting sqref="D8:D50">
    <cfRule type="cellIs" dxfId="25" priority="5" operator="greaterThan">
      <formula>0</formula>
    </cfRule>
  </conditionalFormatting>
  <conditionalFormatting sqref="G7:G50">
    <cfRule type="duplicateValues" dxfId="24" priority="4"/>
  </conditionalFormatting>
  <conditionalFormatting sqref="J7">
    <cfRule type="cellIs" dxfId="23" priority="3" operator="greaterThan">
      <formula>0</formula>
    </cfRule>
  </conditionalFormatting>
  <conditionalFormatting sqref="J8:J50">
    <cfRule type="cellIs" dxfId="22" priority="2" operator="greaterThan">
      <formula>0</formula>
    </cfRule>
  </conditionalFormatting>
  <conditionalFormatting sqref="S7:S50">
    <cfRule type="cellIs" dxfId="21" priority="1" operator="greaterThan">
      <formula>0</formula>
    </cfRule>
  </conditionalFormatting>
  <dataValidations count="1">
    <dataValidation type="list" allowBlank="1" showInputMessage="1" showErrorMessage="1" sqref="K7:K50 E7:E50" xr:uid="{085DE82E-3AC6-433C-8173-E3D102928559}">
      <formula1>$Q$9:$Q$17</formula1>
    </dataValidation>
  </dataValidations>
  <pageMargins left="0.25" right="0.25" top="0.75" bottom="0.75" header="0.3" footer="0.3"/>
  <pageSetup paperSize="9" scale="84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BEFE8176-4D06-4B50-B2A9-CAC5DA96FB5C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8E31D-DD84-4A14-B570-317B61AC8F38}">
  <sheetPr codeName="Feuil20">
    <tabColor rgb="FF92D050"/>
    <pageSetUpPr fitToPage="1"/>
  </sheetPr>
  <dimension ref="A1:HQ53"/>
  <sheetViews>
    <sheetView showGridLines="0" zoomScaleNormal="100" workbookViewId="0">
      <selection activeCell="X19" sqref="X19"/>
    </sheetView>
  </sheetViews>
  <sheetFormatPr baseColWidth="10" defaultColWidth="11.42578125" defaultRowHeight="12.75" x14ac:dyDescent="0.2"/>
  <cols>
    <col min="1" max="1" width="25.7109375" style="10" customWidth="1"/>
    <col min="2" max="3" width="10.7109375" style="10" hidden="1" customWidth="1"/>
    <col min="4" max="4" width="7.7109375" style="10" customWidth="1"/>
    <col min="5" max="5" width="50.7109375" style="10" customWidth="1"/>
    <col min="6" max="6" width="13.7109375" style="10" customWidth="1"/>
    <col min="7" max="7" width="25.7109375" style="10" customWidth="1"/>
    <col min="8" max="8" width="10.7109375" style="10" hidden="1" customWidth="1"/>
    <col min="9" max="9" width="10.7109375" style="9" hidden="1" customWidth="1"/>
    <col min="10" max="10" width="7.7109375" style="10" customWidth="1"/>
    <col min="11" max="11" width="50.7109375" style="10" customWidth="1"/>
    <col min="12" max="16" width="7.7109375" style="10" customWidth="1"/>
    <col min="17" max="17" width="22.7109375" style="9" hidden="1" customWidth="1"/>
    <col min="18" max="20" width="11.42578125" style="30" hidden="1" customWidth="1"/>
    <col min="21" max="21" width="11.42578125" style="30" customWidth="1"/>
    <col min="22" max="26" width="11.42578125" style="30"/>
    <col min="27" max="16384" width="11.42578125" style="10"/>
  </cols>
  <sheetData>
    <row r="1" spans="1:225" ht="13.5" thickBot="1" x14ac:dyDescent="0.25">
      <c r="A1" s="33"/>
      <c r="B1" s="35"/>
      <c r="C1" s="35"/>
      <c r="D1" s="35"/>
      <c r="F1" s="34"/>
      <c r="G1" s="9"/>
      <c r="H1" s="9"/>
      <c r="I1" s="10"/>
      <c r="J1" s="9"/>
      <c r="K1" s="9"/>
      <c r="L1" s="9"/>
      <c r="M1" s="9"/>
      <c r="N1" s="9"/>
      <c r="O1" s="9"/>
      <c r="P1" s="9"/>
    </row>
    <row r="2" spans="1:225" s="52" customFormat="1" ht="24.95" customHeight="1" x14ac:dyDescent="0.2">
      <c r="A2" s="36"/>
      <c r="B2" s="194" t="s">
        <v>50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4"/>
      <c r="S2" s="74"/>
      <c r="T2" s="74"/>
      <c r="U2" s="74"/>
      <c r="V2" s="74"/>
      <c r="W2" s="74"/>
      <c r="X2" s="74"/>
      <c r="Y2" s="74"/>
      <c r="Z2" s="74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51"/>
      <c r="CG2" s="51"/>
      <c r="CH2" s="51"/>
      <c r="CI2" s="51"/>
      <c r="CJ2" s="51"/>
      <c r="CK2" s="51"/>
      <c r="CL2" s="51"/>
      <c r="CM2" s="51"/>
      <c r="CN2" s="51"/>
      <c r="CO2" s="51"/>
      <c r="CP2" s="51"/>
      <c r="CQ2" s="51"/>
      <c r="CR2" s="51"/>
      <c r="CS2" s="51"/>
      <c r="CT2" s="51"/>
      <c r="CU2" s="51"/>
      <c r="CV2" s="51"/>
      <c r="CW2" s="51"/>
      <c r="CX2" s="51"/>
      <c r="CY2" s="51"/>
      <c r="CZ2" s="51"/>
      <c r="DA2" s="51"/>
      <c r="DB2" s="51"/>
      <c r="DC2" s="51"/>
      <c r="DD2" s="51"/>
      <c r="DE2" s="51"/>
      <c r="DF2" s="51"/>
      <c r="DG2" s="51"/>
      <c r="DH2" s="51"/>
      <c r="DI2" s="51"/>
      <c r="DJ2" s="51"/>
      <c r="DK2" s="51"/>
      <c r="DL2" s="51"/>
      <c r="DM2" s="51"/>
      <c r="DN2" s="51"/>
      <c r="DO2" s="51"/>
      <c r="DP2" s="51"/>
      <c r="DQ2" s="51"/>
      <c r="DR2" s="51"/>
      <c r="DS2" s="51"/>
      <c r="DT2" s="51"/>
      <c r="DU2" s="51"/>
      <c r="DV2" s="51"/>
      <c r="DW2" s="51"/>
      <c r="DX2" s="51"/>
      <c r="DY2" s="51"/>
      <c r="DZ2" s="51"/>
      <c r="EA2" s="51"/>
      <c r="EB2" s="51"/>
      <c r="EC2" s="51"/>
      <c r="ED2" s="51"/>
      <c r="EE2" s="51"/>
      <c r="EF2" s="51"/>
      <c r="EG2" s="51"/>
      <c r="EH2" s="51"/>
      <c r="EI2" s="51"/>
      <c r="EJ2" s="51"/>
      <c r="EK2" s="51"/>
      <c r="EL2" s="51"/>
      <c r="EM2" s="51"/>
      <c r="EN2" s="51"/>
      <c r="EO2" s="51"/>
      <c r="EP2" s="51"/>
      <c r="EQ2" s="51"/>
      <c r="ER2" s="51"/>
      <c r="ES2" s="51"/>
      <c r="ET2" s="51"/>
      <c r="EU2" s="51"/>
      <c r="EV2" s="51"/>
      <c r="EW2" s="51"/>
      <c r="EX2" s="51"/>
      <c r="EY2" s="51"/>
      <c r="EZ2" s="51"/>
      <c r="FA2" s="51"/>
      <c r="FB2" s="51"/>
      <c r="FC2" s="51"/>
      <c r="FD2" s="51"/>
      <c r="FE2" s="51"/>
      <c r="FF2" s="51"/>
      <c r="FG2" s="51"/>
      <c r="FH2" s="51"/>
      <c r="FI2" s="51"/>
      <c r="FJ2" s="51"/>
      <c r="FK2" s="51"/>
      <c r="FL2" s="51"/>
      <c r="FM2" s="51"/>
      <c r="FN2" s="51"/>
      <c r="FO2" s="51"/>
      <c r="FP2" s="51"/>
      <c r="FQ2" s="51"/>
      <c r="FR2" s="51"/>
      <c r="FS2" s="51"/>
      <c r="FT2" s="51"/>
      <c r="FU2" s="51"/>
      <c r="FV2" s="51"/>
      <c r="FW2" s="51"/>
      <c r="FX2" s="51"/>
      <c r="FY2" s="51"/>
      <c r="FZ2" s="51"/>
      <c r="GA2" s="51"/>
      <c r="GB2" s="51"/>
      <c r="GC2" s="51"/>
      <c r="GD2" s="51"/>
      <c r="GE2" s="51"/>
      <c r="GF2" s="51"/>
      <c r="GG2" s="51"/>
      <c r="GH2" s="51"/>
      <c r="GI2" s="51"/>
      <c r="GJ2" s="51"/>
      <c r="GK2" s="51"/>
      <c r="GL2" s="51"/>
      <c r="GM2" s="51"/>
      <c r="GN2" s="51"/>
      <c r="GO2" s="51"/>
      <c r="GP2" s="51"/>
      <c r="GQ2" s="51"/>
      <c r="GR2" s="51"/>
      <c r="GS2" s="51"/>
      <c r="GT2" s="51"/>
      <c r="GU2" s="51"/>
      <c r="GV2" s="51"/>
      <c r="GW2" s="51"/>
      <c r="GX2" s="51"/>
      <c r="GY2" s="51"/>
      <c r="GZ2" s="51"/>
      <c r="HA2" s="51"/>
      <c r="HB2" s="51"/>
      <c r="HC2" s="51"/>
      <c r="HD2" s="51"/>
      <c r="HE2" s="51"/>
      <c r="HF2" s="51"/>
      <c r="HG2" s="51"/>
      <c r="HH2" s="51"/>
      <c r="HI2" s="51"/>
      <c r="HJ2" s="51"/>
      <c r="HK2" s="51"/>
      <c r="HL2" s="51"/>
      <c r="HM2" s="51"/>
      <c r="HN2" s="51"/>
      <c r="HO2" s="51"/>
      <c r="HP2" s="51"/>
      <c r="HQ2" s="51"/>
    </row>
    <row r="3" spans="1:225" s="52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4"/>
      <c r="S3" s="74"/>
      <c r="T3" s="74"/>
      <c r="U3" s="74"/>
      <c r="V3" s="74"/>
      <c r="W3" s="74"/>
      <c r="X3" s="74"/>
      <c r="Y3" s="74"/>
      <c r="Z3" s="74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1"/>
      <c r="BC3" s="51"/>
      <c r="BD3" s="51"/>
      <c r="BE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  <c r="CO3" s="51"/>
      <c r="CP3" s="51"/>
      <c r="CQ3" s="51"/>
      <c r="CR3" s="51"/>
      <c r="CS3" s="51"/>
      <c r="CT3" s="51"/>
      <c r="CU3" s="51"/>
      <c r="CV3" s="51"/>
      <c r="CW3" s="51"/>
      <c r="CX3" s="51"/>
      <c r="CY3" s="51"/>
      <c r="CZ3" s="51"/>
      <c r="DA3" s="51"/>
      <c r="DB3" s="51"/>
      <c r="DC3" s="51"/>
      <c r="DD3" s="51"/>
      <c r="DE3" s="51"/>
      <c r="DF3" s="51"/>
      <c r="DG3" s="51"/>
      <c r="DH3" s="51"/>
      <c r="DI3" s="51"/>
      <c r="DJ3" s="51"/>
      <c r="DK3" s="51"/>
      <c r="DL3" s="51"/>
      <c r="DM3" s="51"/>
      <c r="DN3" s="51"/>
      <c r="DO3" s="51"/>
      <c r="DP3" s="51"/>
      <c r="DQ3" s="51"/>
      <c r="DR3" s="51"/>
      <c r="DS3" s="51"/>
      <c r="DT3" s="51"/>
      <c r="DU3" s="51"/>
      <c r="DV3" s="51"/>
      <c r="DW3" s="51"/>
      <c r="DX3" s="51"/>
      <c r="DY3" s="51"/>
      <c r="DZ3" s="51"/>
      <c r="EA3" s="51"/>
      <c r="EB3" s="51"/>
      <c r="EC3" s="51"/>
      <c r="ED3" s="51"/>
      <c r="EE3" s="51"/>
      <c r="EF3" s="51"/>
      <c r="EG3" s="51"/>
      <c r="EH3" s="51"/>
      <c r="EI3" s="51"/>
      <c r="EJ3" s="51"/>
      <c r="EK3" s="51"/>
      <c r="EL3" s="51"/>
      <c r="EM3" s="51"/>
      <c r="EN3" s="51"/>
      <c r="EO3" s="51"/>
      <c r="EP3" s="51"/>
      <c r="EQ3" s="51"/>
      <c r="ER3" s="51"/>
      <c r="ES3" s="51"/>
      <c r="ET3" s="51"/>
      <c r="EU3" s="51"/>
      <c r="EV3" s="51"/>
      <c r="EW3" s="51"/>
      <c r="EX3" s="51"/>
      <c r="EY3" s="51"/>
      <c r="EZ3" s="51"/>
      <c r="FA3" s="51"/>
      <c r="FB3" s="51"/>
      <c r="FC3" s="51"/>
      <c r="FD3" s="51"/>
      <c r="FE3" s="51"/>
      <c r="FF3" s="51"/>
      <c r="FG3" s="51"/>
      <c r="FH3" s="51"/>
      <c r="FI3" s="51"/>
      <c r="FJ3" s="51"/>
      <c r="FK3" s="51"/>
      <c r="FL3" s="51"/>
      <c r="FM3" s="51"/>
      <c r="FN3" s="51"/>
      <c r="FO3" s="51"/>
      <c r="FP3" s="51"/>
      <c r="FQ3" s="51"/>
      <c r="FR3" s="51"/>
      <c r="FS3" s="51"/>
      <c r="FT3" s="51"/>
      <c r="FU3" s="51"/>
      <c r="FV3" s="51"/>
      <c r="FW3" s="51"/>
      <c r="FX3" s="51"/>
      <c r="FY3" s="51"/>
      <c r="FZ3" s="51"/>
      <c r="GA3" s="51"/>
      <c r="GB3" s="51"/>
      <c r="GC3" s="51"/>
      <c r="GD3" s="51"/>
      <c r="GE3" s="51"/>
      <c r="GF3" s="51"/>
      <c r="GG3" s="51"/>
      <c r="GH3" s="51"/>
      <c r="GI3" s="51"/>
      <c r="GJ3" s="51"/>
      <c r="GK3" s="51"/>
      <c r="GL3" s="51"/>
      <c r="GM3" s="51"/>
      <c r="GN3" s="51"/>
      <c r="GO3" s="51"/>
      <c r="GP3" s="51"/>
      <c r="GQ3" s="51"/>
      <c r="GR3" s="51"/>
      <c r="GS3" s="51"/>
      <c r="GT3" s="51"/>
      <c r="GU3" s="51"/>
      <c r="GV3" s="51"/>
      <c r="GW3" s="51"/>
      <c r="GX3" s="51"/>
      <c r="GY3" s="51"/>
      <c r="GZ3" s="51"/>
      <c r="HA3" s="51"/>
      <c r="HB3" s="51"/>
      <c r="HC3" s="51"/>
      <c r="HD3" s="51"/>
      <c r="HE3" s="51"/>
      <c r="HF3" s="51"/>
      <c r="HG3" s="51"/>
      <c r="HH3" s="51"/>
      <c r="HI3" s="51"/>
      <c r="HJ3" s="51"/>
      <c r="HK3" s="51"/>
      <c r="HL3" s="51"/>
      <c r="HM3" s="51"/>
      <c r="HN3" s="51"/>
      <c r="HO3" s="51"/>
      <c r="HP3" s="51"/>
      <c r="HQ3" s="51"/>
    </row>
    <row r="4" spans="1:225" s="52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4"/>
      <c r="T4" s="74"/>
      <c r="U4" s="74"/>
      <c r="V4" s="74"/>
      <c r="W4" s="74"/>
      <c r="X4" s="74"/>
      <c r="Y4" s="74"/>
      <c r="Z4" s="74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51"/>
      <c r="CU4" s="51"/>
      <c r="CV4" s="51"/>
      <c r="CW4" s="51"/>
      <c r="CX4" s="51"/>
      <c r="CY4" s="51"/>
      <c r="CZ4" s="51"/>
      <c r="DA4" s="51"/>
      <c r="DB4" s="51"/>
      <c r="DC4" s="51"/>
      <c r="DD4" s="51"/>
      <c r="DE4" s="51"/>
      <c r="DF4" s="51"/>
      <c r="DG4" s="51"/>
      <c r="DH4" s="51"/>
      <c r="DI4" s="51"/>
      <c r="DJ4" s="51"/>
      <c r="DK4" s="51"/>
      <c r="DL4" s="51"/>
      <c r="DM4" s="51"/>
      <c r="DN4" s="51"/>
      <c r="DO4" s="51"/>
      <c r="DP4" s="51"/>
      <c r="DQ4" s="51"/>
      <c r="DR4" s="51"/>
      <c r="DS4" s="51"/>
      <c r="DT4" s="51"/>
      <c r="DU4" s="51"/>
      <c r="DV4" s="51"/>
      <c r="DW4" s="51"/>
      <c r="DX4" s="51"/>
      <c r="DY4" s="51"/>
      <c r="DZ4" s="51"/>
      <c r="EA4" s="51"/>
      <c r="EB4" s="51"/>
      <c r="EC4" s="51"/>
      <c r="ED4" s="51"/>
      <c r="EE4" s="51"/>
      <c r="EF4" s="51"/>
      <c r="EG4" s="51"/>
      <c r="EH4" s="51"/>
      <c r="EI4" s="51"/>
      <c r="EJ4" s="51"/>
      <c r="EK4" s="51"/>
      <c r="EL4" s="51"/>
      <c r="EM4" s="51"/>
      <c r="EN4" s="51"/>
      <c r="EO4" s="51"/>
      <c r="EP4" s="51"/>
      <c r="EQ4" s="51"/>
      <c r="ER4" s="51"/>
      <c r="ES4" s="51"/>
      <c r="ET4" s="51"/>
      <c r="EU4" s="51"/>
      <c r="EV4" s="51"/>
      <c r="EW4" s="51"/>
      <c r="EX4" s="51"/>
      <c r="EY4" s="51"/>
      <c r="EZ4" s="51"/>
      <c r="FA4" s="51"/>
      <c r="FB4" s="51"/>
      <c r="FC4" s="51"/>
      <c r="FD4" s="51"/>
      <c r="FE4" s="51"/>
      <c r="FF4" s="51"/>
      <c r="FG4" s="51"/>
      <c r="FH4" s="51"/>
      <c r="FI4" s="51"/>
      <c r="FJ4" s="51"/>
      <c r="FK4" s="51"/>
      <c r="FL4" s="51"/>
      <c r="FM4" s="51"/>
      <c r="FN4" s="51"/>
      <c r="FO4" s="51"/>
      <c r="FP4" s="51"/>
      <c r="FQ4" s="51"/>
      <c r="FR4" s="51"/>
      <c r="FS4" s="51"/>
      <c r="FT4" s="51"/>
      <c r="FU4" s="51"/>
      <c r="FV4" s="51"/>
      <c r="FW4" s="51"/>
      <c r="FX4" s="51"/>
      <c r="FY4" s="51"/>
      <c r="FZ4" s="51"/>
      <c r="GA4" s="51"/>
      <c r="GB4" s="51"/>
      <c r="GC4" s="51"/>
      <c r="GD4" s="51"/>
      <c r="GE4" s="51"/>
      <c r="GF4" s="51"/>
      <c r="GG4" s="51"/>
      <c r="GH4" s="51"/>
      <c r="GI4" s="51"/>
      <c r="GJ4" s="51"/>
      <c r="GK4" s="51"/>
      <c r="GL4" s="51"/>
      <c r="GM4" s="51"/>
      <c r="GN4" s="51"/>
      <c r="GO4" s="51"/>
      <c r="GP4" s="51"/>
      <c r="GQ4" s="51"/>
      <c r="GR4" s="51"/>
      <c r="GS4" s="51"/>
      <c r="GT4" s="51"/>
      <c r="GU4" s="51"/>
      <c r="GV4" s="51"/>
      <c r="GW4" s="51"/>
      <c r="GX4" s="51"/>
      <c r="GY4" s="51"/>
      <c r="GZ4" s="51"/>
      <c r="HA4" s="51"/>
      <c r="HB4" s="51"/>
      <c r="HC4" s="51"/>
      <c r="HD4" s="51"/>
      <c r="HE4" s="51"/>
      <c r="HF4" s="51"/>
      <c r="HG4" s="51"/>
      <c r="HH4" s="51"/>
      <c r="HI4" s="51"/>
      <c r="HJ4" s="51"/>
      <c r="HK4" s="51"/>
      <c r="HL4" s="51"/>
      <c r="HM4" s="51"/>
      <c r="HN4" s="51"/>
      <c r="HO4" s="51"/>
      <c r="HP4" s="51"/>
      <c r="HQ4" s="51"/>
    </row>
    <row r="5" spans="1:225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  <c r="R5" s="75"/>
      <c r="S5" s="75"/>
    </row>
    <row r="6" spans="1:225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  <c r="R6" s="75"/>
      <c r="S6" s="75"/>
    </row>
    <row r="7" spans="1:225" ht="24.95" customHeight="1" thickBot="1" x14ac:dyDescent="0.25">
      <c r="A7" s="19"/>
      <c r="B7" s="22">
        <f>(COUNTIF('2S EXPRESS'!$A$7:$A$50,INTERNES!A7))+(COUNTIF('2 ZT'!$A$7:$A$50,INTERNES!A7))+(COUNTIF('GO TRANSPORT'!$A$7:$A$50,INTERNES!A7))+(COUNTIF('HMZ - KAIS'!$A$7:$A$50,INTERNES!A7))+(COUNTIF('IB TRANSPORT'!$A$7:$A$50,INTERNES!A7))+(COUNTIF(JSL!$A$7:$A$50,INTERNES!A7))+(COUNTIF(KIFAITOUT!$A$7:$A$50,INTERNES!A7))+(COUNTIF('LUXE DRIVE'!$A$7:$A$50,INTERNES!A7))+(COUNTIF(SSN!$A$7:$A$50,INTERNES!A7))+(COUNTIF('W3'!$A$7:$A$50,INTERNES!A7))+(COUNTIF('ATHIS MONS'!$A$7:$A$50,INTERNES!A7))+(COUNTIF('L HAY LES ROSES'!$A$7:$A$50,INTERNES!A7))+(COUNTIF(RUNGIS!$A$7:$A$50,INTERNES!A7))+(COUNTIF(SCEAUX!$A$7:$A$50,INTERNES!A7))+(COUNTIF('INSTANCE C1'!$A$7:$A$50,INTERNES!A7))+(COUNTIF('INSTANCE C2'!$A$7:$A$50,INTERNES!A7))+(COUNTIF(INTERNES!$A$7:$A$50,INTERNES!A7))+(COUNTIF('EN PANNE'!$A$7:$A$50,INTERNES!A7))-C7</f>
        <v>0</v>
      </c>
      <c r="C7" s="23">
        <f>(COUNTIF('2S EXPRESS'!$G$7:$G$50,INTERNES!A7))+(COUNTIF('2 ZT'!$G$7:$G$50,INTERNES!A7))+(COUNTIF('GO TRANSPORT'!$G$7:$G$50,INTERNES!A7))+(COUNTIF(INTERNES!$G$7:$G$50,INTERNES!A7))+(COUNTIF('IB TRANSPORT'!$G$7:$G$50,INTERNES!A7))+(COUNTIF(JSL!$G$7:$G$50,INTERNES!A7))+(COUNTIF(KIFAITOUT!$G$7:$G$50,INTERNES!A7))+(COUNTIF('LUXE DRIVE'!$G$7:$G$50,INTERNES!A7))+(COUNTIF(SSN!$G$7:$G$50,INTERNES!A7))+(COUNTIF('W3'!$G$7:$G$50,INTERNES!A7))+(COUNTIF('ATHIS MONS'!$G$7:$G$50,INTERNES!A7))+(COUNTIF('L HAY LES ROSES'!$G$7:$G$50,INTERNES!A7))+(COUNTIF(RUNGIS!$G$7:$G$50,INTERNES!A7))+(COUNTIF(SCEAUX!$G$7:$G$50,INTERNES!A7))+(COUNTIF('INSTANCE C1'!$G$7:$G$50,INTERNES!A7))+(COUNTIF('INSTANCE C2'!$G$7:$G$50,INTERNES!A7))+(COUNTIF(INTERNES!$G$7:$G$50,INTERNES!A7))+(COUNTIF('EN PANNE'!$G$7:$G$50,INTERNES!A7))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EXPRESS'!$G$7:$G$50,INTERNES!G7))+(COUNTIF('2 ZT'!$G$7:$G$50,INTERNES!G7))+(COUNTIF('GO TRANSPORT'!$G$7:$G$50,INTERNES!G7))+(COUNTIF('HMZ - KAIS'!$G$7:$G$50,INTERNES!G7))+(COUNTIF('IB TRANSPORT'!$G$7:$G$50,INTERNES!G7))+(COUNTIF(JSL!$G$7:$G$50,INTERNES!G7))+(COUNTIF(KIFAITOUT!$G$7:$G$50,INTERNES!G7))+(COUNTIF('LUXE DRIVE'!$G$7:$G$50,INTERNES!G7))+(COUNTIF(SSN!$G$7:$G$50,INTERNES!G7))+(COUNTIF('W3'!$G$7:$G$50,INTERNES!G7))+(COUNTIF('ATHIS MONS'!$G$7:$G$50,INTERNES!G7))+(COUNTIF('L HAY LES ROSES'!$G$7:$G$50,INTERNES!G7))+(COUNTIF(RUNGIS!$G$7:$G$50,INTERNES!G7))+(COUNTIF(SCEAUX!$G$7:$G$50,INTERNES!G7))+(COUNTIF('INSTANCE C1'!$G$7:$G$50,INTERNES!G7))+(COUNTIF('INSTANCE C2'!$G$7:$G$50,INTERNES!G7))+(COUNTIF(INTERNES!$G$7:$G$50,INTERNES!G7))+(COUNTIF('EN PANNE'!$G$7:$G$50,INTERNES!G7))-I7</f>
        <v>0</v>
      </c>
      <c r="I7" s="22">
        <f>(COUNTIF('2S EXPRESS'!$A$7:$A$50,INTERNES!G7))+(COUNTIF('2 ZT'!$A$7:$A$50,INTERNES!G7))+(COUNTIF('GO TRANSPORT'!$A$7:$A$50,INTERNES!G7))+(COUNTIF('HMZ - KAIS'!$A$7:$A$50,INTERNES!G7))+(COUNTIF('IB TRANSPORT'!$A$7:$A$50,INTERNES!G7))+(COUNTIF(JSL!$A$7:$A$50,INTERNES!G7))+(COUNTIF(KIFAITOUT!$A$7:$A$50,INTERNES!G7))+(COUNTIF('LUXE DRIVE'!$A$7:$A$50,INTERNES!G7))+(COUNTIF(SSN!$A$7:$A$50,INTERNES!G7))+(COUNTIF('W3'!$A$7:$A$50,INTERNES!G7))+(COUNTIF('ATHIS MONS'!$A$7:$A$50,INTERNES!G7))+(COUNTIF('L HAY LES ROSES'!$A$7:$A$50,INTERNES!G7))+(COUNTIF(RUNGIS!$A$7:$A$50,INTERNES!G7))+(COUNTIF(SCEAUX!$A$7:$A$50,INTERNES!G7))+(COUNTIF('INSTANCE C1'!$A$7:$A$50,INTERNES!G7))+(COUNTIF('INSTANCE C2'!$A$7:$A$50,INTERNES!G7))+(COUNTIF(INTERNES!$A$7:$A$50,INTERNES!G7))+(COUNTIF('EN PANNE'!$A$7:$A$50,INTERNES!G7))</f>
        <v>0</v>
      </c>
      <c r="J7" s="27">
        <f>IF(H7&gt;=2,1,0)</f>
        <v>0</v>
      </c>
      <c r="K7" s="1"/>
      <c r="L7" s="47"/>
      <c r="M7" s="48"/>
      <c r="N7" s="9"/>
      <c r="O7" s="48"/>
      <c r="P7" s="48"/>
      <c r="Q7" s="48"/>
      <c r="R7" s="75"/>
      <c r="S7" s="60">
        <f t="shared" ref="S7:S50" si="1">COUNTIF($G$7:$G$50,$A7)</f>
        <v>0</v>
      </c>
      <c r="T7" s="67">
        <f t="shared" ref="T7:T50" si="2">IF($S7=1,"",$A7)</f>
        <v>0</v>
      </c>
    </row>
    <row r="8" spans="1:225" ht="24.95" customHeight="1" thickBot="1" x14ac:dyDescent="0.25">
      <c r="A8" s="20"/>
      <c r="B8" s="23">
        <f>(COUNTIF('2S EXPRESS'!$A$7:$A$50,INTERNES!A8))+(COUNTIF('2 ZT'!$A$7:$A$50,INTERNES!A8))+(COUNTIF('GO TRANSPORT'!$A$7:$A$50,INTERNES!A8))+(COUNTIF('HMZ - KAIS'!$A$7:$A$50,INTERNES!A8))+(COUNTIF('IB TRANSPORT'!$A$7:$A$50,INTERNES!A8))+(COUNTIF(JSL!$A$7:$A$50,INTERNES!A8))+(COUNTIF(KIFAITOUT!$A$7:$A$50,INTERNES!A8))+(COUNTIF('LUXE DRIVE'!$A$7:$A$50,INTERNES!A8))+(COUNTIF(SSN!$A$7:$A$50,INTERNES!A8))+(COUNTIF('W3'!$A$7:$A$50,INTERNES!A8))+(COUNTIF('ATHIS MONS'!$A$7:$A$50,INTERNES!A8))+(COUNTIF('L HAY LES ROSES'!$A$7:$A$50,INTERNES!A8))+(COUNTIF(RUNGIS!$A$7:$A$50,INTERNES!A8))+(COUNTIF(SCEAUX!$A$7:$A$50,INTERNES!A8))+(COUNTIF('INSTANCE C1'!$A$7:$A$50,INTERNES!A8))+(COUNTIF('INSTANCE C2'!$A$7:$A$50,INTERNES!A8))+(COUNTIF(INTERNES!$A$7:$A$50,INTERNES!A8))+(COUNTIF('EN PANNE'!$A$7:$A$50,INTERNES!A8))-C8</f>
        <v>0</v>
      </c>
      <c r="C8" s="23">
        <f>(COUNTIF('2S EXPRESS'!$G$7:$G$50,INTERNES!A8))+(COUNTIF('2 ZT'!$G$7:$G$50,INTERNES!A8))+(COUNTIF('GO TRANSPORT'!$G$7:$G$50,INTERNES!A8))+(COUNTIF(INTERNES!$G$7:$G$50,INTERNES!A8))+(COUNTIF('IB TRANSPORT'!$G$7:$G$50,INTERNES!A8))+(COUNTIF(JSL!$G$7:$G$50,INTERNES!A8))+(COUNTIF(KIFAITOUT!$G$7:$G$50,INTERNES!A8))+(COUNTIF('LUXE DRIVE'!$G$7:$G$50,INTERNES!A8))+(COUNTIF(SSN!$G$7:$G$50,INTERNES!A8))+(COUNTIF('W3'!$G$7:$G$50,INTERNES!A8))+(COUNTIF('ATHIS MONS'!$G$7:$G$50,INTERNES!A8))+(COUNTIF('L HAY LES ROSES'!$G$7:$G$50,INTERNES!A8))+(COUNTIF(RUNGIS!$G$7:$G$50,INTERNES!A8))+(COUNTIF(SCEAUX!$G$7:$G$50,INTERNES!A8))+(COUNTIF('INSTANCE C1'!$G$7:$G$50,INTERNES!A8))+(COUNTIF('INSTANCE C2'!$G$7:$G$50,INTERNES!A8))+(COUNTIF(INTERNES!$G$7:$G$50,INTERNES!A8))+(COUNTIF('EN PANNE'!$G$7:$G$50,INTERNES!A8))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EXPRESS'!$G$7:$G$50,INTERNES!G8))+(COUNTIF('2 ZT'!$G$7:$G$50,INTERNES!G8))+(COUNTIF('GO TRANSPORT'!$G$7:$G$50,INTERNES!G8))+(COUNTIF('HMZ - KAIS'!$G$7:$G$50,INTERNES!G8))+(COUNTIF('IB TRANSPORT'!$G$7:$G$50,INTERNES!G8))+(COUNTIF(JSL!$G$7:$G$50,INTERNES!G8))+(COUNTIF(KIFAITOUT!$G$7:$G$50,INTERNES!G8))+(COUNTIF('LUXE DRIVE'!$G$7:$G$50,INTERNES!G8))+(COUNTIF(SSN!$G$7:$G$50,INTERNES!G8))+(COUNTIF('W3'!$G$7:$G$50,INTERNES!G8))+(COUNTIF('ATHIS MONS'!$G$7:$G$50,INTERNES!G8))+(COUNTIF('L HAY LES ROSES'!$G$7:$G$50,INTERNES!G8))+(COUNTIF(RUNGIS!$G$7:$G$50,INTERNES!G8))+(COUNTIF(SCEAUX!$G$7:$G$50,INTERNES!G8))+(COUNTIF('INSTANCE C1'!$G$7:$G$50,INTERNES!G8))+(COUNTIF('INSTANCE C2'!$G$7:$G$50,INTERNES!G8))+(COUNTIF(INTERNES!$G$7:$G$50,INTERNES!G8))+(COUNTIF('EN PANNE'!$G$7:$G$50,INTERNES!G8))-I8</f>
        <v>0</v>
      </c>
      <c r="I8" s="23">
        <f>(COUNTIF('2S EXPRESS'!$A$7:$A$50,INTERNES!G8))+(COUNTIF('2 ZT'!$A$7:$A$50,INTERNES!G8))+(COUNTIF('GO TRANSPORT'!$A$7:$A$50,INTERNES!G8))+(COUNTIF('HMZ - KAIS'!$A$7:$A$50,INTERNES!G8))+(COUNTIF('IB TRANSPORT'!$A$7:$A$50,INTERNES!G8))+(COUNTIF(JSL!$A$7:$A$50,INTERNES!G8))+(COUNTIF(KIFAITOUT!$A$7:$A$50,INTERNES!G8))+(COUNTIF('LUXE DRIVE'!$A$7:$A$50,INTERNES!G8))+(COUNTIF(SSN!$A$7:$A$50,INTERNES!G8))+(COUNTIF('W3'!$A$7:$A$50,INTERNES!G8))+(COUNTIF('ATHIS MONS'!$A$7:$A$50,INTERNES!G8))+(COUNTIF('L HAY LES ROSES'!$A$7:$A$50,INTERNES!G8))+(COUNTIF(RUNGIS!$A$7:$A$50,INTERNES!G8))+(COUNTIF(SCEAUX!$A$7:$A$50,INTERNES!G8))+(COUNTIF('INSTANCE C1'!$A$7:$A$50,INTERNES!G8))+(COUNTIF('INSTANCE C2'!$A$7:$A$50,INTERNES!G8))+(COUNTIF(INTERNES!$A$7:$A$50,INTERNES!G8))+(COUNTIF('EN PANNE'!$A$7:$A$50,INTERNES!G8))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75"/>
      <c r="S8" s="60">
        <f t="shared" si="1"/>
        <v>0</v>
      </c>
      <c r="T8" s="67">
        <f t="shared" si="2"/>
        <v>0</v>
      </c>
    </row>
    <row r="9" spans="1:225" ht="24.95" customHeight="1" thickBot="1" x14ac:dyDescent="0.25">
      <c r="A9" s="20"/>
      <c r="B9" s="23">
        <f>(COUNTIF('2S EXPRESS'!$A$7:$A$50,INTERNES!A9))+(COUNTIF('2 ZT'!$A$7:$A$50,INTERNES!A9))+(COUNTIF('GO TRANSPORT'!$A$7:$A$50,INTERNES!A9))+(COUNTIF('HMZ - KAIS'!$A$7:$A$50,INTERNES!A9))+(COUNTIF('IB TRANSPORT'!$A$7:$A$50,INTERNES!A9))+(COUNTIF(JSL!$A$7:$A$50,INTERNES!A9))+(COUNTIF(KIFAITOUT!$A$7:$A$50,INTERNES!A9))+(COUNTIF('LUXE DRIVE'!$A$7:$A$50,INTERNES!A9))+(COUNTIF(SSN!$A$7:$A$50,INTERNES!A9))+(COUNTIF('W3'!$A$7:$A$50,INTERNES!A9))+(COUNTIF('ATHIS MONS'!$A$7:$A$50,INTERNES!A9))+(COUNTIF('L HAY LES ROSES'!$A$7:$A$50,INTERNES!A9))+(COUNTIF(RUNGIS!$A$7:$A$50,INTERNES!A9))+(COUNTIF(SCEAUX!$A$7:$A$50,INTERNES!A9))+(COUNTIF('INSTANCE C1'!$A$7:$A$50,INTERNES!A9))+(COUNTIF('INSTANCE C2'!$A$7:$A$50,INTERNES!A9))+(COUNTIF(INTERNES!$A$7:$A$50,INTERNES!A9))+(COUNTIF('EN PANNE'!$A$7:$A$50,INTERNES!A9))-C9</f>
        <v>0</v>
      </c>
      <c r="C9" s="23">
        <f>(COUNTIF('2S EXPRESS'!$G$7:$G$50,INTERNES!A9))+(COUNTIF('2 ZT'!$G$7:$G$50,INTERNES!A9))+(COUNTIF('GO TRANSPORT'!$G$7:$G$50,INTERNES!A9))+(COUNTIF(INTERNES!$G$7:$G$50,INTERNES!A9))+(COUNTIF('IB TRANSPORT'!$G$7:$G$50,INTERNES!A9))+(COUNTIF(JSL!$G$7:$G$50,INTERNES!A9))+(COUNTIF(KIFAITOUT!$G$7:$G$50,INTERNES!A9))+(COUNTIF('LUXE DRIVE'!$G$7:$G$50,INTERNES!A9))+(COUNTIF(SSN!$G$7:$G$50,INTERNES!A9))+(COUNTIF('W3'!$G$7:$G$50,INTERNES!A9))+(COUNTIF('ATHIS MONS'!$G$7:$G$50,INTERNES!A9))+(COUNTIF('L HAY LES ROSES'!$G$7:$G$50,INTERNES!A9))+(COUNTIF(RUNGIS!$G$7:$G$50,INTERNES!A9))+(COUNTIF(SCEAUX!$G$7:$G$50,INTERNES!A9))+(COUNTIF('INSTANCE C1'!$G$7:$G$50,INTERNES!A9))+(COUNTIF('INSTANCE C2'!$G$7:$G$50,INTERNES!A9))+(COUNTIF(INTERNES!$G$7:$G$50,INTERNES!A9))+(COUNTIF('EN PANNE'!$G$7:$G$50,INTERNES!A9))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EXPRESS'!$G$7:$G$50,INTERNES!G9))+(COUNTIF('2 ZT'!$G$7:$G$50,INTERNES!G9))+(COUNTIF('GO TRANSPORT'!$G$7:$G$50,INTERNES!G9))+(COUNTIF('HMZ - KAIS'!$G$7:$G$50,INTERNES!G9))+(COUNTIF('IB TRANSPORT'!$G$7:$G$50,INTERNES!G9))+(COUNTIF(JSL!$G$7:$G$50,INTERNES!G9))+(COUNTIF(KIFAITOUT!$G$7:$G$50,INTERNES!G9))+(COUNTIF('LUXE DRIVE'!$G$7:$G$50,INTERNES!G9))+(COUNTIF(SSN!$G$7:$G$50,INTERNES!G9))+(COUNTIF('W3'!$G$7:$G$50,INTERNES!G9))+(COUNTIF('ATHIS MONS'!$G$7:$G$50,INTERNES!G9))+(COUNTIF('L HAY LES ROSES'!$G$7:$G$50,INTERNES!G9))+(COUNTIF(RUNGIS!$G$7:$G$50,INTERNES!G9))+(COUNTIF(SCEAUX!$G$7:$G$50,INTERNES!G9))+(COUNTIF('INSTANCE C1'!$G$7:$G$50,INTERNES!G9))+(COUNTIF('INSTANCE C2'!$G$7:$G$50,INTERNES!G9))+(COUNTIF(INTERNES!$G$7:$G$50,INTERNES!G9))+(COUNTIF('EN PANNE'!$G$7:$G$50,INTERNES!G9))-I9</f>
        <v>0</v>
      </c>
      <c r="I9" s="23">
        <f>(COUNTIF('2S EXPRESS'!$A$7:$A$50,INTERNES!G9))+(COUNTIF('2 ZT'!$A$7:$A$50,INTERNES!G9))+(COUNTIF('GO TRANSPORT'!$A$7:$A$50,INTERNES!G9))+(COUNTIF('HMZ - KAIS'!$A$7:$A$50,INTERNES!G9))+(COUNTIF('IB TRANSPORT'!$A$7:$A$50,INTERNES!G9))+(COUNTIF(JSL!$A$7:$A$50,INTERNES!G9))+(COUNTIF(KIFAITOUT!$A$7:$A$50,INTERNES!G9))+(COUNTIF('LUXE DRIVE'!$A$7:$A$50,INTERNES!G9))+(COUNTIF(SSN!$A$7:$A$50,INTERNES!G9))+(COUNTIF('W3'!$A$7:$A$50,INTERNES!G9))+(COUNTIF('ATHIS MONS'!$A$7:$A$50,INTERNES!G9))+(COUNTIF('L HAY LES ROSES'!$A$7:$A$50,INTERNES!G9))+(COUNTIF(RUNGIS!$A$7:$A$50,INTERNES!G9))+(COUNTIF(SCEAUX!$A$7:$A$50,INTERNES!G9))+(COUNTIF('INSTANCE C1'!$A$7:$A$50,INTERNES!G9))+(COUNTIF('INSTANCE C2'!$A$7:$A$50,INTERNES!G9))+(COUNTIF(INTERNES!$A$7:$A$50,INTERNES!G9))+(COUNTIF('EN PANNE'!$A$7:$A$50,INTERNES!G9))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75"/>
      <c r="S9" s="60">
        <f t="shared" si="1"/>
        <v>0</v>
      </c>
      <c r="T9" s="67">
        <f t="shared" si="2"/>
        <v>0</v>
      </c>
    </row>
    <row r="10" spans="1:225" ht="24.95" customHeight="1" thickBot="1" x14ac:dyDescent="0.25">
      <c r="A10" s="20"/>
      <c r="B10" s="23">
        <f>(COUNTIF('2S EXPRESS'!$A$7:$A$50,INTERNES!A10))+(COUNTIF('2 ZT'!$A$7:$A$50,INTERNES!A10))+(COUNTIF('GO TRANSPORT'!$A$7:$A$50,INTERNES!A10))+(COUNTIF('HMZ - KAIS'!$A$7:$A$50,INTERNES!A10))+(COUNTIF('IB TRANSPORT'!$A$7:$A$50,INTERNES!A10))+(COUNTIF(JSL!$A$7:$A$50,INTERNES!A10))+(COUNTIF(KIFAITOUT!$A$7:$A$50,INTERNES!A10))+(COUNTIF('LUXE DRIVE'!$A$7:$A$50,INTERNES!A10))+(COUNTIF(SSN!$A$7:$A$50,INTERNES!A10))+(COUNTIF('W3'!$A$7:$A$50,INTERNES!A10))+(COUNTIF('ATHIS MONS'!$A$7:$A$50,INTERNES!A10))+(COUNTIF('L HAY LES ROSES'!$A$7:$A$50,INTERNES!A10))+(COUNTIF(RUNGIS!$A$7:$A$50,INTERNES!A10))+(COUNTIF(SCEAUX!$A$7:$A$50,INTERNES!A10))+(COUNTIF('INSTANCE C1'!$A$7:$A$50,INTERNES!A10))+(COUNTIF('INSTANCE C2'!$A$7:$A$50,INTERNES!A10))+(COUNTIF(INTERNES!$A$7:$A$50,INTERNES!A10))+(COUNTIF('EN PANNE'!$A$7:$A$50,INTERNES!A10))-C10</f>
        <v>0</v>
      </c>
      <c r="C10" s="23">
        <f>(COUNTIF('2S EXPRESS'!$G$7:$G$50,INTERNES!A10))+(COUNTIF('2 ZT'!$G$7:$G$50,INTERNES!A10))+(COUNTIF('GO TRANSPORT'!$G$7:$G$50,INTERNES!A10))+(COUNTIF(INTERNES!$G$7:$G$50,INTERNES!A10))+(COUNTIF('IB TRANSPORT'!$G$7:$G$50,INTERNES!A10))+(COUNTIF(JSL!$G$7:$G$50,INTERNES!A10))+(COUNTIF(KIFAITOUT!$G$7:$G$50,INTERNES!A10))+(COUNTIF('LUXE DRIVE'!$G$7:$G$50,INTERNES!A10))+(COUNTIF(SSN!$G$7:$G$50,INTERNES!A10))+(COUNTIF('W3'!$G$7:$G$50,INTERNES!A10))+(COUNTIF('ATHIS MONS'!$G$7:$G$50,INTERNES!A10))+(COUNTIF('L HAY LES ROSES'!$G$7:$G$50,INTERNES!A10))+(COUNTIF(RUNGIS!$G$7:$G$50,INTERNES!A10))+(COUNTIF(SCEAUX!$G$7:$G$50,INTERNES!A10))+(COUNTIF('INSTANCE C1'!$G$7:$G$50,INTERNES!A10))+(COUNTIF('INSTANCE C2'!$G$7:$G$50,INTERNES!A10))+(COUNTIF(INTERNES!$G$7:$G$50,INTERNES!A10))+(COUNTIF('EN PANNE'!$G$7:$G$50,INTERNES!A10))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EXPRESS'!$G$7:$G$50,INTERNES!G10))+(COUNTIF('2 ZT'!$G$7:$G$50,INTERNES!G10))+(COUNTIF('GO TRANSPORT'!$G$7:$G$50,INTERNES!G10))+(COUNTIF('HMZ - KAIS'!$G$7:$G$50,INTERNES!G10))+(COUNTIF('IB TRANSPORT'!$G$7:$G$50,INTERNES!G10))+(COUNTIF(JSL!$G$7:$G$50,INTERNES!G10))+(COUNTIF(KIFAITOUT!$G$7:$G$50,INTERNES!G10))+(COUNTIF('LUXE DRIVE'!$G$7:$G$50,INTERNES!G10))+(COUNTIF(SSN!$G$7:$G$50,INTERNES!G10))+(COUNTIF('W3'!$G$7:$G$50,INTERNES!G10))+(COUNTIF('ATHIS MONS'!$G$7:$G$50,INTERNES!G10))+(COUNTIF('L HAY LES ROSES'!$G$7:$G$50,INTERNES!G10))+(COUNTIF(RUNGIS!$G$7:$G$50,INTERNES!G10))+(COUNTIF(SCEAUX!$G$7:$G$50,INTERNES!G10))+(COUNTIF('INSTANCE C1'!$G$7:$G$50,INTERNES!G10))+(COUNTIF('INSTANCE C2'!$G$7:$G$50,INTERNES!G10))+(COUNTIF(INTERNES!$G$7:$G$50,INTERNES!G10))+(COUNTIF('EN PANNE'!$G$7:$G$50,INTERNES!G10))-I10</f>
        <v>0</v>
      </c>
      <c r="I10" s="23">
        <f>(COUNTIF('2S EXPRESS'!$A$7:$A$50,INTERNES!G10))+(COUNTIF('2 ZT'!$A$7:$A$50,INTERNES!G10))+(COUNTIF('GO TRANSPORT'!$A$7:$A$50,INTERNES!G10))+(COUNTIF('HMZ - KAIS'!$A$7:$A$50,INTERNES!G10))+(COUNTIF('IB TRANSPORT'!$A$7:$A$50,INTERNES!G10))+(COUNTIF(JSL!$A$7:$A$50,INTERNES!G10))+(COUNTIF(KIFAITOUT!$A$7:$A$50,INTERNES!G10))+(COUNTIF('LUXE DRIVE'!$A$7:$A$50,INTERNES!G10))+(COUNTIF(SSN!$A$7:$A$50,INTERNES!G10))+(COUNTIF('W3'!$A$7:$A$50,INTERNES!G10))+(COUNTIF('ATHIS MONS'!$A$7:$A$50,INTERNES!G10))+(COUNTIF('L HAY LES ROSES'!$A$7:$A$50,INTERNES!G10))+(COUNTIF(RUNGIS!$A$7:$A$50,INTERNES!G10))+(COUNTIF(SCEAUX!$A$7:$A$50,INTERNES!G10))+(COUNTIF('INSTANCE C1'!$A$7:$A$50,INTERNES!G10))+(COUNTIF('INSTANCE C2'!$A$7:$A$50,INTERNES!G10))+(COUNTIF(INTERNES!$A$7:$A$50,INTERNES!G10))+(COUNTIF('EN PANNE'!$A$7:$A$50,INTERNES!G10))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R10" s="75"/>
      <c r="S10" s="60">
        <f t="shared" si="1"/>
        <v>0</v>
      </c>
      <c r="T10" s="67">
        <f t="shared" si="2"/>
        <v>0</v>
      </c>
    </row>
    <row r="11" spans="1:225" ht="24.95" customHeight="1" thickBot="1" x14ac:dyDescent="0.25">
      <c r="A11" s="20"/>
      <c r="B11" s="23">
        <f>(COUNTIF('2S EXPRESS'!$A$7:$A$50,INTERNES!A11))+(COUNTIF('2 ZT'!$A$7:$A$50,INTERNES!A11))+(COUNTIF('GO TRANSPORT'!$A$7:$A$50,INTERNES!A11))+(COUNTIF('HMZ - KAIS'!$A$7:$A$50,INTERNES!A11))+(COUNTIF('IB TRANSPORT'!$A$7:$A$50,INTERNES!A11))+(COUNTIF(JSL!$A$7:$A$50,INTERNES!A11))+(COUNTIF(KIFAITOUT!$A$7:$A$50,INTERNES!A11))+(COUNTIF('LUXE DRIVE'!$A$7:$A$50,INTERNES!A11))+(COUNTIF(SSN!$A$7:$A$50,INTERNES!A11))+(COUNTIF('W3'!$A$7:$A$50,INTERNES!A11))+(COUNTIF('ATHIS MONS'!$A$7:$A$50,INTERNES!A11))+(COUNTIF('L HAY LES ROSES'!$A$7:$A$50,INTERNES!A11))+(COUNTIF(RUNGIS!$A$7:$A$50,INTERNES!A11))+(COUNTIF(SCEAUX!$A$7:$A$50,INTERNES!A11))+(COUNTIF('INSTANCE C1'!$A$7:$A$50,INTERNES!A11))+(COUNTIF('INSTANCE C2'!$A$7:$A$50,INTERNES!A11))+(COUNTIF(INTERNES!$A$7:$A$50,INTERNES!A11))+(COUNTIF('EN PANNE'!$A$7:$A$50,INTERNES!A11))-C11</f>
        <v>0</v>
      </c>
      <c r="C11" s="23">
        <f>(COUNTIF('2S EXPRESS'!$G$7:$G$50,INTERNES!A11))+(COUNTIF('2 ZT'!$G$7:$G$50,INTERNES!A11))+(COUNTIF('GO TRANSPORT'!$G$7:$G$50,INTERNES!A11))+(COUNTIF(INTERNES!$G$7:$G$50,INTERNES!A11))+(COUNTIF('IB TRANSPORT'!$G$7:$G$50,INTERNES!A11))+(COUNTIF(JSL!$G$7:$G$50,INTERNES!A11))+(COUNTIF(KIFAITOUT!$G$7:$G$50,INTERNES!A11))+(COUNTIF('LUXE DRIVE'!$G$7:$G$50,INTERNES!A11))+(COUNTIF(SSN!$G$7:$G$50,INTERNES!A11))+(COUNTIF('W3'!$G$7:$G$50,INTERNES!A11))+(COUNTIF('ATHIS MONS'!$G$7:$G$50,INTERNES!A11))+(COUNTIF('L HAY LES ROSES'!$G$7:$G$50,INTERNES!A11))+(COUNTIF(RUNGIS!$G$7:$G$50,INTERNES!A11))+(COUNTIF(SCEAUX!$G$7:$G$50,INTERNES!A11))+(COUNTIF('INSTANCE C1'!$G$7:$G$50,INTERNES!A11))+(COUNTIF('INSTANCE C2'!$G$7:$G$50,INTERNES!A11))+(COUNTIF(INTERNES!$G$7:$G$50,INTERNES!A11))+(COUNTIF('EN PANNE'!$G$7:$G$50,INTERNES!A11))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EXPRESS'!$G$7:$G$50,INTERNES!G11))+(COUNTIF('2 ZT'!$G$7:$G$50,INTERNES!G11))+(COUNTIF('GO TRANSPORT'!$G$7:$G$50,INTERNES!G11))+(COUNTIF('HMZ - KAIS'!$G$7:$G$50,INTERNES!G11))+(COUNTIF('IB TRANSPORT'!$G$7:$G$50,INTERNES!G11))+(COUNTIF(JSL!$G$7:$G$50,INTERNES!G11))+(COUNTIF(KIFAITOUT!$G$7:$G$50,INTERNES!G11))+(COUNTIF('LUXE DRIVE'!$G$7:$G$50,INTERNES!G11))+(COUNTIF(SSN!$G$7:$G$50,INTERNES!G11))+(COUNTIF('W3'!$G$7:$G$50,INTERNES!G11))+(COUNTIF('ATHIS MONS'!$G$7:$G$50,INTERNES!G11))+(COUNTIF('L HAY LES ROSES'!$G$7:$G$50,INTERNES!G11))+(COUNTIF(RUNGIS!$G$7:$G$50,INTERNES!G11))+(COUNTIF(SCEAUX!$G$7:$G$50,INTERNES!G11))+(COUNTIF('INSTANCE C1'!$G$7:$G$50,INTERNES!G11))+(COUNTIF('INSTANCE C2'!$G$7:$G$50,INTERNES!G11))+(COUNTIF(INTERNES!$G$7:$G$50,INTERNES!G11))+(COUNTIF('EN PANNE'!$G$7:$G$50,INTERNES!G11))-I11</f>
        <v>0</v>
      </c>
      <c r="I11" s="23">
        <f>(COUNTIF('2S EXPRESS'!$A$7:$A$50,INTERNES!G11))+(COUNTIF('2 ZT'!$A$7:$A$50,INTERNES!G11))+(COUNTIF('GO TRANSPORT'!$A$7:$A$50,INTERNES!G11))+(COUNTIF('HMZ - KAIS'!$A$7:$A$50,INTERNES!G11))+(COUNTIF('IB TRANSPORT'!$A$7:$A$50,INTERNES!G11))+(COUNTIF(JSL!$A$7:$A$50,INTERNES!G11))+(COUNTIF(KIFAITOUT!$A$7:$A$50,INTERNES!G11))+(COUNTIF('LUXE DRIVE'!$A$7:$A$50,INTERNES!G11))+(COUNTIF(SSN!$A$7:$A$50,INTERNES!G11))+(COUNTIF('W3'!$A$7:$A$50,INTERNES!G11))+(COUNTIF('ATHIS MONS'!$A$7:$A$50,INTERNES!G11))+(COUNTIF('L HAY LES ROSES'!$A$7:$A$50,INTERNES!G11))+(COUNTIF(RUNGIS!$A$7:$A$50,INTERNES!G11))+(COUNTIF(SCEAUX!$A$7:$A$50,INTERNES!G11))+(COUNTIF('INSTANCE C1'!$A$7:$A$50,INTERNES!G11))+(COUNTIF('INSTANCE C2'!$A$7:$A$50,INTERNES!G11))+(COUNTIF(INTERNES!$A$7:$A$50,INTERNES!G11))+(COUNTIF('EN PANNE'!$A$7:$A$50,INTERNES!G11))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R11" s="75"/>
      <c r="S11" s="60">
        <f t="shared" si="1"/>
        <v>0</v>
      </c>
      <c r="T11" s="67">
        <f t="shared" si="2"/>
        <v>0</v>
      </c>
    </row>
    <row r="12" spans="1:225" ht="24.95" customHeight="1" thickBot="1" x14ac:dyDescent="0.25">
      <c r="A12" s="20"/>
      <c r="B12" s="23">
        <f>(COUNTIF('2S EXPRESS'!$A$7:$A$50,INTERNES!A12))+(COUNTIF('2 ZT'!$A$7:$A$50,INTERNES!A12))+(COUNTIF('GO TRANSPORT'!$A$7:$A$50,INTERNES!A12))+(COUNTIF('HMZ - KAIS'!$A$7:$A$50,INTERNES!A12))+(COUNTIF('IB TRANSPORT'!$A$7:$A$50,INTERNES!A12))+(COUNTIF(JSL!$A$7:$A$50,INTERNES!A12))+(COUNTIF(KIFAITOUT!$A$7:$A$50,INTERNES!A12))+(COUNTIF('LUXE DRIVE'!$A$7:$A$50,INTERNES!A12))+(COUNTIF(SSN!$A$7:$A$50,INTERNES!A12))+(COUNTIF('W3'!$A$7:$A$50,INTERNES!A12))+(COUNTIF('ATHIS MONS'!$A$7:$A$50,INTERNES!A12))+(COUNTIF('L HAY LES ROSES'!$A$7:$A$50,INTERNES!A12))+(COUNTIF(RUNGIS!$A$7:$A$50,INTERNES!A12))+(COUNTIF(SCEAUX!$A$7:$A$50,INTERNES!A12))+(COUNTIF('INSTANCE C1'!$A$7:$A$50,INTERNES!A12))+(COUNTIF('INSTANCE C2'!$A$7:$A$50,INTERNES!A12))+(COUNTIF(INTERNES!$A$7:$A$50,INTERNES!A12))+(COUNTIF('EN PANNE'!$A$7:$A$50,INTERNES!A12))-C12</f>
        <v>0</v>
      </c>
      <c r="C12" s="23">
        <f>(COUNTIF('2S EXPRESS'!$G$7:$G$50,INTERNES!A12))+(COUNTIF('2 ZT'!$G$7:$G$50,INTERNES!A12))+(COUNTIF('GO TRANSPORT'!$G$7:$G$50,INTERNES!A12))+(COUNTIF(INTERNES!$G$7:$G$50,INTERNES!A12))+(COUNTIF('IB TRANSPORT'!$G$7:$G$50,INTERNES!A12))+(COUNTIF(JSL!$G$7:$G$50,INTERNES!A12))+(COUNTIF(KIFAITOUT!$G$7:$G$50,INTERNES!A12))+(COUNTIF('LUXE DRIVE'!$G$7:$G$50,INTERNES!A12))+(COUNTIF(SSN!$G$7:$G$50,INTERNES!A12))+(COUNTIF('W3'!$G$7:$G$50,INTERNES!A12))+(COUNTIF('ATHIS MONS'!$G$7:$G$50,INTERNES!A12))+(COUNTIF('L HAY LES ROSES'!$G$7:$G$50,INTERNES!A12))+(COUNTIF(RUNGIS!$G$7:$G$50,INTERNES!A12))+(COUNTIF(SCEAUX!$G$7:$G$50,INTERNES!A12))+(COUNTIF('INSTANCE C1'!$G$7:$G$50,INTERNES!A12))+(COUNTIF('INSTANCE C2'!$G$7:$G$50,INTERNES!A12))+(COUNTIF(INTERNES!$G$7:$G$50,INTERNES!A12))+(COUNTIF('EN PANNE'!$G$7:$G$50,INTERNES!A12))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EXPRESS'!$G$7:$G$50,INTERNES!G12))+(COUNTIF('2 ZT'!$G$7:$G$50,INTERNES!G12))+(COUNTIF('GO TRANSPORT'!$G$7:$G$50,INTERNES!G12))+(COUNTIF('HMZ - KAIS'!$G$7:$G$50,INTERNES!G12))+(COUNTIF('IB TRANSPORT'!$G$7:$G$50,INTERNES!G12))+(COUNTIF(JSL!$G$7:$G$50,INTERNES!G12))+(COUNTIF(KIFAITOUT!$G$7:$G$50,INTERNES!G12))+(COUNTIF('LUXE DRIVE'!$G$7:$G$50,INTERNES!G12))+(COUNTIF(SSN!$G$7:$G$50,INTERNES!G12))+(COUNTIF('W3'!$G$7:$G$50,INTERNES!G12))+(COUNTIF('ATHIS MONS'!$G$7:$G$50,INTERNES!G12))+(COUNTIF('L HAY LES ROSES'!$G$7:$G$50,INTERNES!G12))+(COUNTIF(RUNGIS!$G$7:$G$50,INTERNES!G12))+(COUNTIF(SCEAUX!$G$7:$G$50,INTERNES!G12))+(COUNTIF('INSTANCE C1'!$G$7:$G$50,INTERNES!G12))+(COUNTIF('INSTANCE C2'!$G$7:$G$50,INTERNES!G12))+(COUNTIF(INTERNES!$G$7:$G$50,INTERNES!G12))+(COUNTIF('EN PANNE'!$G$7:$G$50,INTERNES!G12))-I12</f>
        <v>0</v>
      </c>
      <c r="I12" s="23">
        <f>(COUNTIF('2S EXPRESS'!$A$7:$A$50,INTERNES!G12))+(COUNTIF('2 ZT'!$A$7:$A$50,INTERNES!G12))+(COUNTIF('GO TRANSPORT'!$A$7:$A$50,INTERNES!G12))+(COUNTIF('HMZ - KAIS'!$A$7:$A$50,INTERNES!G12))+(COUNTIF('IB TRANSPORT'!$A$7:$A$50,INTERNES!G12))+(COUNTIF(JSL!$A$7:$A$50,INTERNES!G12))+(COUNTIF(KIFAITOUT!$A$7:$A$50,INTERNES!G12))+(COUNTIF('LUXE DRIVE'!$A$7:$A$50,INTERNES!G12))+(COUNTIF(SSN!$A$7:$A$50,INTERNES!G12))+(COUNTIF('W3'!$A$7:$A$50,INTERNES!G12))+(COUNTIF('ATHIS MONS'!$A$7:$A$50,INTERNES!G12))+(COUNTIF('L HAY LES ROSES'!$A$7:$A$50,INTERNES!G12))+(COUNTIF(RUNGIS!$A$7:$A$50,INTERNES!G12))+(COUNTIF(SCEAUX!$A$7:$A$50,INTERNES!G12))+(COUNTIF('INSTANCE C1'!$A$7:$A$50,INTERNES!G12))+(COUNTIF('INSTANCE C2'!$A$7:$A$50,INTERNES!G12))+(COUNTIF(INTERNES!$A$7:$A$50,INTERNES!G12))+(COUNTIF('EN PANNE'!$A$7:$A$50,INTERNES!G12))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R12" s="75"/>
      <c r="S12" s="60">
        <f t="shared" si="1"/>
        <v>0</v>
      </c>
      <c r="T12" s="67">
        <f t="shared" si="2"/>
        <v>0</v>
      </c>
    </row>
    <row r="13" spans="1:225" ht="24.95" customHeight="1" x14ac:dyDescent="0.2">
      <c r="A13" s="20"/>
      <c r="B13" s="23">
        <f>(COUNTIF('2S EXPRESS'!$A$7:$A$50,INTERNES!A13))+(COUNTIF('2 ZT'!$A$7:$A$50,INTERNES!A13))+(COUNTIF('GO TRANSPORT'!$A$7:$A$50,INTERNES!A13))+(COUNTIF('HMZ - KAIS'!$A$7:$A$50,INTERNES!A13))+(COUNTIF('IB TRANSPORT'!$A$7:$A$50,INTERNES!A13))+(COUNTIF(JSL!$A$7:$A$50,INTERNES!A13))+(COUNTIF(KIFAITOUT!$A$7:$A$50,INTERNES!A13))+(COUNTIF('LUXE DRIVE'!$A$7:$A$50,INTERNES!A13))+(COUNTIF(SSN!$A$7:$A$50,INTERNES!A13))+(COUNTIF('W3'!$A$7:$A$50,INTERNES!A13))+(COUNTIF('ATHIS MONS'!$A$7:$A$50,INTERNES!A13))+(COUNTIF('L HAY LES ROSES'!$A$7:$A$50,INTERNES!A13))+(COUNTIF(RUNGIS!$A$7:$A$50,INTERNES!A13))+(COUNTIF(SCEAUX!$A$7:$A$50,INTERNES!A13))+(COUNTIF('INSTANCE C1'!$A$7:$A$50,INTERNES!A13))+(COUNTIF('INSTANCE C2'!$A$7:$A$50,INTERNES!A13))+(COUNTIF(INTERNES!$A$7:$A$50,INTERNES!A13))+(COUNTIF('EN PANNE'!$A$7:$A$50,INTERNES!A13))-C13</f>
        <v>0</v>
      </c>
      <c r="C13" s="23">
        <f>(COUNTIF('2S EXPRESS'!$G$7:$G$50,INTERNES!A13))+(COUNTIF('2 ZT'!$G$7:$G$50,INTERNES!A13))+(COUNTIF('GO TRANSPORT'!$G$7:$G$50,INTERNES!A13))+(COUNTIF(INTERNES!$G$7:$G$50,INTERNES!A13))+(COUNTIF('IB TRANSPORT'!$G$7:$G$50,INTERNES!A13))+(COUNTIF(JSL!$G$7:$G$50,INTERNES!A13))+(COUNTIF(KIFAITOUT!$G$7:$G$50,INTERNES!A13))+(COUNTIF('LUXE DRIVE'!$G$7:$G$50,INTERNES!A13))+(COUNTIF(SSN!$G$7:$G$50,INTERNES!A13))+(COUNTIF('W3'!$G$7:$G$50,INTERNES!A13))+(COUNTIF('ATHIS MONS'!$G$7:$G$50,INTERNES!A13))+(COUNTIF('L HAY LES ROSES'!$G$7:$G$50,INTERNES!A13))+(COUNTIF(RUNGIS!$G$7:$G$50,INTERNES!A13))+(COUNTIF(SCEAUX!$G$7:$G$50,INTERNES!A13))+(COUNTIF('INSTANCE C1'!$G$7:$G$50,INTERNES!A13))+(COUNTIF('INSTANCE C2'!$G$7:$G$50,INTERNES!A13))+(COUNTIF(INTERNES!$G$7:$G$50,INTERNES!A13))+(COUNTIF('EN PANNE'!$G$7:$G$50,INTERNES!A13))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EXPRESS'!$G$7:$G$50,INTERNES!G13))+(COUNTIF('2 ZT'!$G$7:$G$50,INTERNES!G13))+(COUNTIF('GO TRANSPORT'!$G$7:$G$50,INTERNES!G13))+(COUNTIF('HMZ - KAIS'!$G$7:$G$50,INTERNES!G13))+(COUNTIF('IB TRANSPORT'!$G$7:$G$50,INTERNES!G13))+(COUNTIF(JSL!$G$7:$G$50,INTERNES!G13))+(COUNTIF(KIFAITOUT!$G$7:$G$50,INTERNES!G13))+(COUNTIF('LUXE DRIVE'!$G$7:$G$50,INTERNES!G13))+(COUNTIF(SSN!$G$7:$G$50,INTERNES!G13))+(COUNTIF('W3'!$G$7:$G$50,INTERNES!G13))+(COUNTIF('ATHIS MONS'!$G$7:$G$50,INTERNES!G13))+(COUNTIF('L HAY LES ROSES'!$G$7:$G$50,INTERNES!G13))+(COUNTIF(RUNGIS!$G$7:$G$50,INTERNES!G13))+(COUNTIF(SCEAUX!$G$7:$G$50,INTERNES!G13))+(COUNTIF('INSTANCE C1'!$G$7:$G$50,INTERNES!G13))+(COUNTIF('INSTANCE C2'!$G$7:$G$50,INTERNES!G13))+(COUNTIF(INTERNES!$G$7:$G$50,INTERNES!G13))+(COUNTIF('EN PANNE'!$G$7:$G$50,INTERNES!G13))-I13</f>
        <v>0</v>
      </c>
      <c r="I13" s="23">
        <f>(COUNTIF('2S EXPRESS'!$A$7:$A$50,INTERNES!G13))+(COUNTIF('2 ZT'!$A$7:$A$50,INTERNES!G13))+(COUNTIF('GO TRANSPORT'!$A$7:$A$50,INTERNES!G13))+(COUNTIF('HMZ - KAIS'!$A$7:$A$50,INTERNES!G13))+(COUNTIF('IB TRANSPORT'!$A$7:$A$50,INTERNES!G13))+(COUNTIF(JSL!$A$7:$A$50,INTERNES!G13))+(COUNTIF(KIFAITOUT!$A$7:$A$50,INTERNES!G13))+(COUNTIF('LUXE DRIVE'!$A$7:$A$50,INTERNES!G13))+(COUNTIF(SSN!$A$7:$A$50,INTERNES!G13))+(COUNTIF('W3'!$A$7:$A$50,INTERNES!G13))+(COUNTIF('ATHIS MONS'!$A$7:$A$50,INTERNES!G13))+(COUNTIF('L HAY LES ROSES'!$A$7:$A$50,INTERNES!G13))+(COUNTIF(RUNGIS!$A$7:$A$50,INTERNES!G13))+(COUNTIF(SCEAUX!$A$7:$A$50,INTERNES!G13))+(COUNTIF('INSTANCE C1'!$A$7:$A$50,INTERNES!G13))+(COUNTIF('INSTANCE C2'!$A$7:$A$50,INTERNES!G13))+(COUNTIF(INTERNES!$A$7:$A$50,INTERNES!G13))+(COUNTIF('EN PANNE'!$A$7:$A$50,INTERNES!G13))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R13" s="75"/>
      <c r="S13" s="60">
        <f t="shared" si="1"/>
        <v>0</v>
      </c>
      <c r="T13" s="67">
        <f t="shared" si="2"/>
        <v>0</v>
      </c>
      <c r="V13" s="76"/>
    </row>
    <row r="14" spans="1:225" ht="24.95" customHeight="1" x14ac:dyDescent="0.2">
      <c r="A14" s="20"/>
      <c r="B14" s="23">
        <f>(COUNTIF('2S EXPRESS'!$A$7:$A$50,INTERNES!A14))+(COUNTIF('2 ZT'!$A$7:$A$50,INTERNES!A14))+(COUNTIF('GO TRANSPORT'!$A$7:$A$50,INTERNES!A14))+(COUNTIF('HMZ - KAIS'!$A$7:$A$50,INTERNES!A14))+(COUNTIF('IB TRANSPORT'!$A$7:$A$50,INTERNES!A14))+(COUNTIF(JSL!$A$7:$A$50,INTERNES!A14))+(COUNTIF(KIFAITOUT!$A$7:$A$50,INTERNES!A14))+(COUNTIF('LUXE DRIVE'!$A$7:$A$50,INTERNES!A14))+(COUNTIF(SSN!$A$7:$A$50,INTERNES!A14))+(COUNTIF('W3'!$A$7:$A$50,INTERNES!A14))+(COUNTIF('ATHIS MONS'!$A$7:$A$50,INTERNES!A14))+(COUNTIF('L HAY LES ROSES'!$A$7:$A$50,INTERNES!A14))+(COUNTIF(RUNGIS!$A$7:$A$50,INTERNES!A14))+(COUNTIF(SCEAUX!$A$7:$A$50,INTERNES!A14))+(COUNTIF('INSTANCE C1'!$A$7:$A$50,INTERNES!A14))+(COUNTIF('INSTANCE C2'!$A$7:$A$50,INTERNES!A14))+(COUNTIF(INTERNES!$A$7:$A$50,INTERNES!A14))+(COUNTIF('EN PANNE'!$A$7:$A$50,INTERNES!A14))-C14</f>
        <v>0</v>
      </c>
      <c r="C14" s="23">
        <f>(COUNTIF('2S EXPRESS'!$G$7:$G$50,INTERNES!A14))+(COUNTIF('2 ZT'!$G$7:$G$50,INTERNES!A14))+(COUNTIF('GO TRANSPORT'!$G$7:$G$50,INTERNES!A14))+(COUNTIF(INTERNES!$G$7:$G$50,INTERNES!A14))+(COUNTIF('IB TRANSPORT'!$G$7:$G$50,INTERNES!A14))+(COUNTIF(JSL!$G$7:$G$50,INTERNES!A14))+(COUNTIF(KIFAITOUT!$G$7:$G$50,INTERNES!A14))+(COUNTIF('LUXE DRIVE'!$G$7:$G$50,INTERNES!A14))+(COUNTIF(SSN!$G$7:$G$50,INTERNES!A14))+(COUNTIF('W3'!$G$7:$G$50,INTERNES!A14))+(COUNTIF('ATHIS MONS'!$G$7:$G$50,INTERNES!A14))+(COUNTIF('L HAY LES ROSES'!$G$7:$G$50,INTERNES!A14))+(COUNTIF(RUNGIS!$G$7:$G$50,INTERNES!A14))+(COUNTIF(SCEAUX!$G$7:$G$50,INTERNES!A14))+(COUNTIF('INSTANCE C1'!$G$7:$G$50,INTERNES!A14))+(COUNTIF('INSTANCE C2'!$G$7:$G$50,INTERNES!A14))+(COUNTIF(INTERNES!$G$7:$G$50,INTERNES!A14))+(COUNTIF('EN PANNE'!$G$7:$G$50,INTERNES!A14))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EXPRESS'!$G$7:$G$50,INTERNES!G14))+(COUNTIF('2 ZT'!$G$7:$G$50,INTERNES!G14))+(COUNTIF('GO TRANSPORT'!$G$7:$G$50,INTERNES!G14))+(COUNTIF('HMZ - KAIS'!$G$7:$G$50,INTERNES!G14))+(COUNTIF('IB TRANSPORT'!$G$7:$G$50,INTERNES!G14))+(COUNTIF(JSL!$G$7:$G$50,INTERNES!G14))+(COUNTIF(KIFAITOUT!$G$7:$G$50,INTERNES!G14))+(COUNTIF('LUXE DRIVE'!$G$7:$G$50,INTERNES!G14))+(COUNTIF(SSN!$G$7:$G$50,INTERNES!G14))+(COUNTIF('W3'!$G$7:$G$50,INTERNES!G14))+(COUNTIF('ATHIS MONS'!$G$7:$G$50,INTERNES!G14))+(COUNTIF('L HAY LES ROSES'!$G$7:$G$50,INTERNES!G14))+(COUNTIF(RUNGIS!$G$7:$G$50,INTERNES!G14))+(COUNTIF(SCEAUX!$G$7:$G$50,INTERNES!G14))+(COUNTIF('INSTANCE C1'!$G$7:$G$50,INTERNES!G14))+(COUNTIF('INSTANCE C2'!$G$7:$G$50,INTERNES!G14))+(COUNTIF(INTERNES!$G$7:$G$50,INTERNES!G14))+(COUNTIF('EN PANNE'!$G$7:$G$50,INTERNES!G14))-I14</f>
        <v>0</v>
      </c>
      <c r="I14" s="23">
        <f>(COUNTIF('2S EXPRESS'!$A$7:$A$50,INTERNES!G14))+(COUNTIF('2 ZT'!$A$7:$A$50,INTERNES!G14))+(COUNTIF('GO TRANSPORT'!$A$7:$A$50,INTERNES!G14))+(COUNTIF('HMZ - KAIS'!$A$7:$A$50,INTERNES!G14))+(COUNTIF('IB TRANSPORT'!$A$7:$A$50,INTERNES!G14))+(COUNTIF(JSL!$A$7:$A$50,INTERNES!G14))+(COUNTIF(KIFAITOUT!$A$7:$A$50,INTERNES!G14))+(COUNTIF('LUXE DRIVE'!$A$7:$A$50,INTERNES!G14))+(COUNTIF(SSN!$A$7:$A$50,INTERNES!G14))+(COUNTIF('W3'!$A$7:$A$50,INTERNES!G14))+(COUNTIF('ATHIS MONS'!$A$7:$A$50,INTERNES!G14))+(COUNTIF('L HAY LES ROSES'!$A$7:$A$50,INTERNES!G14))+(COUNTIF(RUNGIS!$A$7:$A$50,INTERNES!G14))+(COUNTIF(SCEAUX!$A$7:$A$50,INTERNES!G14))+(COUNTIF('INSTANCE C1'!$A$7:$A$50,INTERNES!G14))+(COUNTIF('INSTANCE C2'!$A$7:$A$50,INTERNES!G14))+(COUNTIF(INTERNES!$A$7:$A$50,INTERNES!G14))+(COUNTIF('EN PANNE'!$A$7:$A$50,INTERNES!G14))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R14" s="75"/>
      <c r="S14" s="60">
        <f t="shared" si="1"/>
        <v>0</v>
      </c>
      <c r="T14" s="67">
        <f t="shared" si="2"/>
        <v>0</v>
      </c>
    </row>
    <row r="15" spans="1:225" ht="24.95" customHeight="1" x14ac:dyDescent="0.2">
      <c r="A15" s="20"/>
      <c r="B15" s="23">
        <f>(COUNTIF('2S EXPRESS'!$A$7:$A$50,INTERNES!A15))+(COUNTIF('2 ZT'!$A$7:$A$50,INTERNES!A15))+(COUNTIF('GO TRANSPORT'!$A$7:$A$50,INTERNES!A15))+(COUNTIF('HMZ - KAIS'!$A$7:$A$50,INTERNES!A15))+(COUNTIF('IB TRANSPORT'!$A$7:$A$50,INTERNES!A15))+(COUNTIF(JSL!$A$7:$A$50,INTERNES!A15))+(COUNTIF(KIFAITOUT!$A$7:$A$50,INTERNES!A15))+(COUNTIF('LUXE DRIVE'!$A$7:$A$50,INTERNES!A15))+(COUNTIF(SSN!$A$7:$A$50,INTERNES!A15))+(COUNTIF('W3'!$A$7:$A$50,INTERNES!A15))+(COUNTIF('ATHIS MONS'!$A$7:$A$50,INTERNES!A15))+(COUNTIF('L HAY LES ROSES'!$A$7:$A$50,INTERNES!A15))+(COUNTIF(RUNGIS!$A$7:$A$50,INTERNES!A15))+(COUNTIF(SCEAUX!$A$7:$A$50,INTERNES!A15))+(COUNTIF('INSTANCE C1'!$A$7:$A$50,INTERNES!A15))+(COUNTIF('INSTANCE C2'!$A$7:$A$50,INTERNES!A15))+(COUNTIF(INTERNES!$A$7:$A$50,INTERNES!A15))+(COUNTIF('EN PANNE'!$A$7:$A$50,INTERNES!A15))-C15</f>
        <v>0</v>
      </c>
      <c r="C15" s="23">
        <f>(COUNTIF('2S EXPRESS'!$G$7:$G$50,INTERNES!A15))+(COUNTIF('2 ZT'!$G$7:$G$50,INTERNES!A15))+(COUNTIF('GO TRANSPORT'!$G$7:$G$50,INTERNES!A15))+(COUNTIF(INTERNES!$G$7:$G$50,INTERNES!A15))+(COUNTIF('IB TRANSPORT'!$G$7:$G$50,INTERNES!A15))+(COUNTIF(JSL!$G$7:$G$50,INTERNES!A15))+(COUNTIF(KIFAITOUT!$G$7:$G$50,INTERNES!A15))+(COUNTIF('LUXE DRIVE'!$G$7:$G$50,INTERNES!A15))+(COUNTIF(SSN!$G$7:$G$50,INTERNES!A15))+(COUNTIF('W3'!$G$7:$G$50,INTERNES!A15))+(COUNTIF('ATHIS MONS'!$G$7:$G$50,INTERNES!A15))+(COUNTIF('L HAY LES ROSES'!$G$7:$G$50,INTERNES!A15))+(COUNTIF(RUNGIS!$G$7:$G$50,INTERNES!A15))+(COUNTIF(SCEAUX!$G$7:$G$50,INTERNES!A15))+(COUNTIF('INSTANCE C1'!$G$7:$G$50,INTERNES!A15))+(COUNTIF('INSTANCE C2'!$G$7:$G$50,INTERNES!A15))+(COUNTIF(INTERNES!$G$7:$G$50,INTERNES!A15))+(COUNTIF('EN PANNE'!$G$7:$G$50,INTERNES!A15))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EXPRESS'!$G$7:$G$50,INTERNES!G15))+(COUNTIF('2 ZT'!$G$7:$G$50,INTERNES!G15))+(COUNTIF('GO TRANSPORT'!$G$7:$G$50,INTERNES!G15))+(COUNTIF('HMZ - KAIS'!$G$7:$G$50,INTERNES!G15))+(COUNTIF('IB TRANSPORT'!$G$7:$G$50,INTERNES!G15))+(COUNTIF(JSL!$G$7:$G$50,INTERNES!G15))+(COUNTIF(KIFAITOUT!$G$7:$G$50,INTERNES!G15))+(COUNTIF('LUXE DRIVE'!$G$7:$G$50,INTERNES!G15))+(COUNTIF(SSN!$G$7:$G$50,INTERNES!G15))+(COUNTIF('W3'!$G$7:$G$50,INTERNES!G15))+(COUNTIF('ATHIS MONS'!$G$7:$G$50,INTERNES!G15))+(COUNTIF('L HAY LES ROSES'!$G$7:$G$50,INTERNES!G15))+(COUNTIF(RUNGIS!$G$7:$G$50,INTERNES!G15))+(COUNTIF(SCEAUX!$G$7:$G$50,INTERNES!G15))+(COUNTIF('INSTANCE C1'!$G$7:$G$50,INTERNES!G15))+(COUNTIF('INSTANCE C2'!$G$7:$G$50,INTERNES!G15))+(COUNTIF(INTERNES!$G$7:$G$50,INTERNES!G15))+(COUNTIF('EN PANNE'!$G$7:$G$50,INTERNES!G15))-I15</f>
        <v>0</v>
      </c>
      <c r="I15" s="23">
        <f>(COUNTIF('2S EXPRESS'!$A$7:$A$50,INTERNES!G15))+(COUNTIF('2 ZT'!$A$7:$A$50,INTERNES!G15))+(COUNTIF('GO TRANSPORT'!$A$7:$A$50,INTERNES!G15))+(COUNTIF('HMZ - KAIS'!$A$7:$A$50,INTERNES!G15))+(COUNTIF('IB TRANSPORT'!$A$7:$A$50,INTERNES!G15))+(COUNTIF(JSL!$A$7:$A$50,INTERNES!G15))+(COUNTIF(KIFAITOUT!$A$7:$A$50,INTERNES!G15))+(COUNTIF('LUXE DRIVE'!$A$7:$A$50,INTERNES!G15))+(COUNTIF(SSN!$A$7:$A$50,INTERNES!G15))+(COUNTIF('W3'!$A$7:$A$50,INTERNES!G15))+(COUNTIF('ATHIS MONS'!$A$7:$A$50,INTERNES!G15))+(COUNTIF('L HAY LES ROSES'!$A$7:$A$50,INTERNES!G15))+(COUNTIF(RUNGIS!$A$7:$A$50,INTERNES!G15))+(COUNTIF(SCEAUX!$A$7:$A$50,INTERNES!G15))+(COUNTIF('INSTANCE C1'!$A$7:$A$50,INTERNES!G15))+(COUNTIF('INSTANCE C2'!$A$7:$A$50,INTERNES!G15))+(COUNTIF(INTERNES!$A$7:$A$50,INTERNES!G15))+(COUNTIF('EN PANNE'!$A$7:$A$50,INTERNES!G15))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R15" s="75"/>
      <c r="S15" s="60">
        <f t="shared" si="1"/>
        <v>0</v>
      </c>
      <c r="T15" s="67">
        <f t="shared" si="2"/>
        <v>0</v>
      </c>
    </row>
    <row r="16" spans="1:225" ht="24.95" customHeight="1" x14ac:dyDescent="0.2">
      <c r="A16" s="20"/>
      <c r="B16" s="23">
        <f>(COUNTIF('2S EXPRESS'!$A$7:$A$50,INTERNES!A16))+(COUNTIF('2 ZT'!$A$7:$A$50,INTERNES!A16))+(COUNTIF('GO TRANSPORT'!$A$7:$A$50,INTERNES!A16))+(COUNTIF('HMZ - KAIS'!$A$7:$A$50,INTERNES!A16))+(COUNTIF('IB TRANSPORT'!$A$7:$A$50,INTERNES!A16))+(COUNTIF(JSL!$A$7:$A$50,INTERNES!A16))+(COUNTIF(KIFAITOUT!$A$7:$A$50,INTERNES!A16))+(COUNTIF('LUXE DRIVE'!$A$7:$A$50,INTERNES!A16))+(COUNTIF(SSN!$A$7:$A$50,INTERNES!A16))+(COUNTIF('W3'!$A$7:$A$50,INTERNES!A16))+(COUNTIF('ATHIS MONS'!$A$7:$A$50,INTERNES!A16))+(COUNTIF('L HAY LES ROSES'!$A$7:$A$50,INTERNES!A16))+(COUNTIF(RUNGIS!$A$7:$A$50,INTERNES!A16))+(COUNTIF(SCEAUX!$A$7:$A$50,INTERNES!A16))+(COUNTIF('INSTANCE C1'!$A$7:$A$50,INTERNES!A16))+(COUNTIF('INSTANCE C2'!$A$7:$A$50,INTERNES!A16))+(COUNTIF(INTERNES!$A$7:$A$50,INTERNES!A16))+(COUNTIF('EN PANNE'!$A$7:$A$50,INTERNES!A16))-C16</f>
        <v>0</v>
      </c>
      <c r="C16" s="23">
        <f>(COUNTIF('2S EXPRESS'!$G$7:$G$50,INTERNES!A16))+(COUNTIF('2 ZT'!$G$7:$G$50,INTERNES!A16))+(COUNTIF('GO TRANSPORT'!$G$7:$G$50,INTERNES!A16))+(COUNTIF(INTERNES!$G$7:$G$50,INTERNES!A16))+(COUNTIF('IB TRANSPORT'!$G$7:$G$50,INTERNES!A16))+(COUNTIF(JSL!$G$7:$G$50,INTERNES!A16))+(COUNTIF(KIFAITOUT!$G$7:$G$50,INTERNES!A16))+(COUNTIF('LUXE DRIVE'!$G$7:$G$50,INTERNES!A16))+(COUNTIF(SSN!$G$7:$G$50,INTERNES!A16))+(COUNTIF('W3'!$G$7:$G$50,INTERNES!A16))+(COUNTIF('ATHIS MONS'!$G$7:$G$50,INTERNES!A16))+(COUNTIF('L HAY LES ROSES'!$G$7:$G$50,INTERNES!A16))+(COUNTIF(RUNGIS!$G$7:$G$50,INTERNES!A16))+(COUNTIF(SCEAUX!$G$7:$G$50,INTERNES!A16))+(COUNTIF('INSTANCE C1'!$G$7:$G$50,INTERNES!A16))+(COUNTIF('INSTANCE C2'!$G$7:$G$50,INTERNES!A16))+(COUNTIF(INTERNES!$G$7:$G$50,INTERNES!A16))+(COUNTIF('EN PANNE'!$G$7:$G$50,INTERNES!A16))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EXPRESS'!$G$7:$G$50,INTERNES!G16))+(COUNTIF('2 ZT'!$G$7:$G$50,INTERNES!G16))+(COUNTIF('GO TRANSPORT'!$G$7:$G$50,INTERNES!G16))+(COUNTIF('HMZ - KAIS'!$G$7:$G$50,INTERNES!G16))+(COUNTIF('IB TRANSPORT'!$G$7:$G$50,INTERNES!G16))+(COUNTIF(JSL!$G$7:$G$50,INTERNES!G16))+(COUNTIF(KIFAITOUT!$G$7:$G$50,INTERNES!G16))+(COUNTIF('LUXE DRIVE'!$G$7:$G$50,INTERNES!G16))+(COUNTIF(SSN!$G$7:$G$50,INTERNES!G16))+(COUNTIF('W3'!$G$7:$G$50,INTERNES!G16))+(COUNTIF('ATHIS MONS'!$G$7:$G$50,INTERNES!G16))+(COUNTIF('L HAY LES ROSES'!$G$7:$G$50,INTERNES!G16))+(COUNTIF(RUNGIS!$G$7:$G$50,INTERNES!G16))+(COUNTIF(SCEAUX!$G$7:$G$50,INTERNES!G16))+(COUNTIF('INSTANCE C1'!$G$7:$G$50,INTERNES!G16))+(COUNTIF('INSTANCE C2'!$G$7:$G$50,INTERNES!G16))+(COUNTIF(INTERNES!$G$7:$G$50,INTERNES!G16))+(COUNTIF('EN PANNE'!$G$7:$G$50,INTERNES!G16))-I16</f>
        <v>0</v>
      </c>
      <c r="I16" s="23">
        <f>(COUNTIF('2S EXPRESS'!$A$7:$A$50,INTERNES!G16))+(COUNTIF('2 ZT'!$A$7:$A$50,INTERNES!G16))+(COUNTIF('GO TRANSPORT'!$A$7:$A$50,INTERNES!G16))+(COUNTIF('HMZ - KAIS'!$A$7:$A$50,INTERNES!G16))+(COUNTIF('IB TRANSPORT'!$A$7:$A$50,INTERNES!G16))+(COUNTIF(JSL!$A$7:$A$50,INTERNES!G16))+(COUNTIF(KIFAITOUT!$A$7:$A$50,INTERNES!G16))+(COUNTIF('LUXE DRIVE'!$A$7:$A$50,INTERNES!G16))+(COUNTIF(SSN!$A$7:$A$50,INTERNES!G16))+(COUNTIF('W3'!$A$7:$A$50,INTERNES!G16))+(COUNTIF('ATHIS MONS'!$A$7:$A$50,INTERNES!G16))+(COUNTIF('L HAY LES ROSES'!$A$7:$A$50,INTERNES!G16))+(COUNTIF(RUNGIS!$A$7:$A$50,INTERNES!G16))+(COUNTIF(SCEAUX!$A$7:$A$50,INTERNES!G16))+(COUNTIF('INSTANCE C1'!$A$7:$A$50,INTERNES!G16))+(COUNTIF('INSTANCE C2'!$A$7:$A$50,INTERNES!G16))+(COUNTIF(INTERNES!$A$7:$A$50,INTERNES!G16))+(COUNTIF('EN PANNE'!$A$7:$A$50,INTERNES!G16))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R16" s="75"/>
      <c r="S16" s="60">
        <f t="shared" si="1"/>
        <v>0</v>
      </c>
      <c r="T16" s="67">
        <f t="shared" si="2"/>
        <v>0</v>
      </c>
    </row>
    <row r="17" spans="1:20" ht="24.95" customHeight="1" x14ac:dyDescent="0.2">
      <c r="A17" s="20"/>
      <c r="B17" s="23">
        <f>(COUNTIF('2S EXPRESS'!$A$7:$A$50,INTERNES!A17))+(COUNTIF('2 ZT'!$A$7:$A$50,INTERNES!A17))+(COUNTIF('GO TRANSPORT'!$A$7:$A$50,INTERNES!A17))+(COUNTIF('HMZ - KAIS'!$A$7:$A$50,INTERNES!A17))+(COUNTIF('IB TRANSPORT'!$A$7:$A$50,INTERNES!A17))+(COUNTIF(JSL!$A$7:$A$50,INTERNES!A17))+(COUNTIF(KIFAITOUT!$A$7:$A$50,INTERNES!A17))+(COUNTIF('LUXE DRIVE'!$A$7:$A$50,INTERNES!A17))+(COUNTIF(SSN!$A$7:$A$50,INTERNES!A17))+(COUNTIF('W3'!$A$7:$A$50,INTERNES!A17))+(COUNTIF('ATHIS MONS'!$A$7:$A$50,INTERNES!A17))+(COUNTIF('L HAY LES ROSES'!$A$7:$A$50,INTERNES!A17))+(COUNTIF(RUNGIS!$A$7:$A$50,INTERNES!A17))+(COUNTIF(SCEAUX!$A$7:$A$50,INTERNES!A17))+(COUNTIF('INSTANCE C1'!$A$7:$A$50,INTERNES!A17))+(COUNTIF('INSTANCE C2'!$A$7:$A$50,INTERNES!A17))+(COUNTIF(INTERNES!$A$7:$A$50,INTERNES!A17))+(COUNTIF('EN PANNE'!$A$7:$A$50,INTERNES!A17))-C17</f>
        <v>0</v>
      </c>
      <c r="C17" s="23">
        <f>(COUNTIF('2S EXPRESS'!$G$7:$G$50,INTERNES!A17))+(COUNTIF('2 ZT'!$G$7:$G$50,INTERNES!A17))+(COUNTIF('GO TRANSPORT'!$G$7:$G$50,INTERNES!A17))+(COUNTIF(INTERNES!$G$7:$G$50,INTERNES!A17))+(COUNTIF('IB TRANSPORT'!$G$7:$G$50,INTERNES!A17))+(COUNTIF(JSL!$G$7:$G$50,INTERNES!A17))+(COUNTIF(KIFAITOUT!$G$7:$G$50,INTERNES!A17))+(COUNTIF('LUXE DRIVE'!$G$7:$G$50,INTERNES!A17))+(COUNTIF(SSN!$G$7:$G$50,INTERNES!A17))+(COUNTIF('W3'!$G$7:$G$50,INTERNES!A17))+(COUNTIF('ATHIS MONS'!$G$7:$G$50,INTERNES!A17))+(COUNTIF('L HAY LES ROSES'!$G$7:$G$50,INTERNES!A17))+(COUNTIF(RUNGIS!$G$7:$G$50,INTERNES!A17))+(COUNTIF(SCEAUX!$G$7:$G$50,INTERNES!A17))+(COUNTIF('INSTANCE C1'!$G$7:$G$50,INTERNES!A17))+(COUNTIF('INSTANCE C2'!$G$7:$G$50,INTERNES!A17))+(COUNTIF(INTERNES!$G$7:$G$50,INTERNES!A17))+(COUNTIF('EN PANNE'!$G$7:$G$50,INTERNES!A17))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EXPRESS'!$G$7:$G$50,INTERNES!G17))+(COUNTIF('2 ZT'!$G$7:$G$50,INTERNES!G17))+(COUNTIF('GO TRANSPORT'!$G$7:$G$50,INTERNES!G17))+(COUNTIF('HMZ - KAIS'!$G$7:$G$50,INTERNES!G17))+(COUNTIF('IB TRANSPORT'!$G$7:$G$50,INTERNES!G17))+(COUNTIF(JSL!$G$7:$G$50,INTERNES!G17))+(COUNTIF(KIFAITOUT!$G$7:$G$50,INTERNES!G17))+(COUNTIF('LUXE DRIVE'!$G$7:$G$50,INTERNES!G17))+(COUNTIF(SSN!$G$7:$G$50,INTERNES!G17))+(COUNTIF('W3'!$G$7:$G$50,INTERNES!G17))+(COUNTIF('ATHIS MONS'!$G$7:$G$50,INTERNES!G17))+(COUNTIF('L HAY LES ROSES'!$G$7:$G$50,INTERNES!G17))+(COUNTIF(RUNGIS!$G$7:$G$50,INTERNES!G17))+(COUNTIF(SCEAUX!$G$7:$G$50,INTERNES!G17))+(COUNTIF('INSTANCE C1'!$G$7:$G$50,INTERNES!G17))+(COUNTIF('INSTANCE C2'!$G$7:$G$50,INTERNES!G17))+(COUNTIF(INTERNES!$G$7:$G$50,INTERNES!G17))+(COUNTIF('EN PANNE'!$G$7:$G$50,INTERNES!G17))-I17</f>
        <v>0</v>
      </c>
      <c r="I17" s="23">
        <f>(COUNTIF('2S EXPRESS'!$A$7:$A$50,INTERNES!G17))+(COUNTIF('2 ZT'!$A$7:$A$50,INTERNES!G17))+(COUNTIF('GO TRANSPORT'!$A$7:$A$50,INTERNES!G17))+(COUNTIF('HMZ - KAIS'!$A$7:$A$50,INTERNES!G17))+(COUNTIF('IB TRANSPORT'!$A$7:$A$50,INTERNES!G17))+(COUNTIF(JSL!$A$7:$A$50,INTERNES!G17))+(COUNTIF(KIFAITOUT!$A$7:$A$50,INTERNES!G17))+(COUNTIF('LUXE DRIVE'!$A$7:$A$50,INTERNES!G17))+(COUNTIF(SSN!$A$7:$A$50,INTERNES!G17))+(COUNTIF('W3'!$A$7:$A$50,INTERNES!G17))+(COUNTIF('ATHIS MONS'!$A$7:$A$50,INTERNES!G17))+(COUNTIF('L HAY LES ROSES'!$A$7:$A$50,INTERNES!G17))+(COUNTIF(RUNGIS!$A$7:$A$50,INTERNES!G17))+(COUNTIF(SCEAUX!$A$7:$A$50,INTERNES!G17))+(COUNTIF('INSTANCE C1'!$A$7:$A$50,INTERNES!G17))+(COUNTIF('INSTANCE C2'!$A$7:$A$50,INTERNES!G17))+(COUNTIF(INTERNES!$A$7:$A$50,INTERNES!G17))+(COUNTIF('EN PANNE'!$A$7:$A$50,INTERNES!G17))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R17" s="75"/>
      <c r="S17" s="60">
        <f t="shared" si="1"/>
        <v>0</v>
      </c>
      <c r="T17" s="67">
        <f t="shared" si="2"/>
        <v>0</v>
      </c>
    </row>
    <row r="18" spans="1:20" ht="24.95" customHeight="1" x14ac:dyDescent="0.2">
      <c r="A18" s="20"/>
      <c r="B18" s="23">
        <f>(COUNTIF('2S EXPRESS'!$A$7:$A$50,INTERNES!A18))+(COUNTIF('2 ZT'!$A$7:$A$50,INTERNES!A18))+(COUNTIF('GO TRANSPORT'!$A$7:$A$50,INTERNES!A18))+(COUNTIF('HMZ - KAIS'!$A$7:$A$50,INTERNES!A18))+(COUNTIF('IB TRANSPORT'!$A$7:$A$50,INTERNES!A18))+(COUNTIF(JSL!$A$7:$A$50,INTERNES!A18))+(COUNTIF(KIFAITOUT!$A$7:$A$50,INTERNES!A18))+(COUNTIF('LUXE DRIVE'!$A$7:$A$50,INTERNES!A18))+(COUNTIF(SSN!$A$7:$A$50,INTERNES!A18))+(COUNTIF('W3'!$A$7:$A$50,INTERNES!A18))+(COUNTIF('ATHIS MONS'!$A$7:$A$50,INTERNES!A18))+(COUNTIF('L HAY LES ROSES'!$A$7:$A$50,INTERNES!A18))+(COUNTIF(RUNGIS!$A$7:$A$50,INTERNES!A18))+(COUNTIF(SCEAUX!$A$7:$A$50,INTERNES!A18))+(COUNTIF('INSTANCE C1'!$A$7:$A$50,INTERNES!A18))+(COUNTIF('INSTANCE C2'!$A$7:$A$50,INTERNES!A18))+(COUNTIF(INTERNES!$A$7:$A$50,INTERNES!A18))+(COUNTIF('EN PANNE'!$A$7:$A$50,INTERNES!A18))-C18</f>
        <v>0</v>
      </c>
      <c r="C18" s="23">
        <f>(COUNTIF('2S EXPRESS'!$G$7:$G$50,INTERNES!A18))+(COUNTIF('2 ZT'!$G$7:$G$50,INTERNES!A18))+(COUNTIF('GO TRANSPORT'!$G$7:$G$50,INTERNES!A18))+(COUNTIF(INTERNES!$G$7:$G$50,INTERNES!A18))+(COUNTIF('IB TRANSPORT'!$G$7:$G$50,INTERNES!A18))+(COUNTIF(JSL!$G$7:$G$50,INTERNES!A18))+(COUNTIF(KIFAITOUT!$G$7:$G$50,INTERNES!A18))+(COUNTIF('LUXE DRIVE'!$G$7:$G$50,INTERNES!A18))+(COUNTIF(SSN!$G$7:$G$50,INTERNES!A18))+(COUNTIF('W3'!$G$7:$G$50,INTERNES!A18))+(COUNTIF('ATHIS MONS'!$G$7:$G$50,INTERNES!A18))+(COUNTIF('L HAY LES ROSES'!$G$7:$G$50,INTERNES!A18))+(COUNTIF(RUNGIS!$G$7:$G$50,INTERNES!A18))+(COUNTIF(SCEAUX!$G$7:$G$50,INTERNES!A18))+(COUNTIF('INSTANCE C1'!$G$7:$G$50,INTERNES!A18))+(COUNTIF('INSTANCE C2'!$G$7:$G$50,INTERNES!A18))+(COUNTIF(INTERNES!$G$7:$G$50,INTERNES!A18))+(COUNTIF('EN PANNE'!$G$7:$G$50,INTERNES!A18))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EXPRESS'!$G$7:$G$50,INTERNES!G18))+(COUNTIF('2 ZT'!$G$7:$G$50,INTERNES!G18))+(COUNTIF('GO TRANSPORT'!$G$7:$G$50,INTERNES!G18))+(COUNTIF('HMZ - KAIS'!$G$7:$G$50,INTERNES!G18))+(COUNTIF('IB TRANSPORT'!$G$7:$G$50,INTERNES!G18))+(COUNTIF(JSL!$G$7:$G$50,INTERNES!G18))+(COUNTIF(KIFAITOUT!$G$7:$G$50,INTERNES!G18))+(COUNTIF('LUXE DRIVE'!$G$7:$G$50,INTERNES!G18))+(COUNTIF(SSN!$G$7:$G$50,INTERNES!G18))+(COUNTIF('W3'!$G$7:$G$50,INTERNES!G18))+(COUNTIF('ATHIS MONS'!$G$7:$G$50,INTERNES!G18))+(COUNTIF('L HAY LES ROSES'!$G$7:$G$50,INTERNES!G18))+(COUNTIF(RUNGIS!$G$7:$G$50,INTERNES!G18))+(COUNTIF(SCEAUX!$G$7:$G$50,INTERNES!G18))+(COUNTIF('INSTANCE C1'!$G$7:$G$50,INTERNES!G18))+(COUNTIF('INSTANCE C2'!$G$7:$G$50,INTERNES!G18))+(COUNTIF(INTERNES!$G$7:$G$50,INTERNES!G18))+(COUNTIF('EN PANNE'!$G$7:$G$50,INTERNES!G18))-I18</f>
        <v>0</v>
      </c>
      <c r="I18" s="23">
        <f>(COUNTIF('2S EXPRESS'!$A$7:$A$50,INTERNES!G18))+(COUNTIF('2 ZT'!$A$7:$A$50,INTERNES!G18))+(COUNTIF('GO TRANSPORT'!$A$7:$A$50,INTERNES!G18))+(COUNTIF('HMZ - KAIS'!$A$7:$A$50,INTERNES!G18))+(COUNTIF('IB TRANSPORT'!$A$7:$A$50,INTERNES!G18))+(COUNTIF(JSL!$A$7:$A$50,INTERNES!G18))+(COUNTIF(KIFAITOUT!$A$7:$A$50,INTERNES!G18))+(COUNTIF('LUXE DRIVE'!$A$7:$A$50,INTERNES!G18))+(COUNTIF(SSN!$A$7:$A$50,INTERNES!G18))+(COUNTIF('W3'!$A$7:$A$50,INTERNES!G18))+(COUNTIF('ATHIS MONS'!$A$7:$A$50,INTERNES!G18))+(COUNTIF('L HAY LES ROSES'!$A$7:$A$50,INTERNES!G18))+(COUNTIF(RUNGIS!$A$7:$A$50,INTERNES!G18))+(COUNTIF(SCEAUX!$A$7:$A$50,INTERNES!G18))+(COUNTIF('INSTANCE C1'!$A$7:$A$50,INTERNES!G18))+(COUNTIF('INSTANCE C2'!$A$7:$A$50,INTERNES!G18))+(COUNTIF(INTERNES!$A$7:$A$50,INTERNES!G18))+(COUNTIF('EN PANNE'!$A$7:$A$50,INTERNES!G18))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R18" s="75"/>
      <c r="S18" s="60">
        <f t="shared" si="1"/>
        <v>0</v>
      </c>
      <c r="T18" s="67">
        <f t="shared" si="2"/>
        <v>0</v>
      </c>
    </row>
    <row r="19" spans="1:20" ht="24.95" customHeight="1" x14ac:dyDescent="0.2">
      <c r="A19" s="20"/>
      <c r="B19" s="23">
        <f>(COUNTIF('2S EXPRESS'!$A$7:$A$50,INTERNES!A19))+(COUNTIF('2 ZT'!$A$7:$A$50,INTERNES!A19))+(COUNTIF('GO TRANSPORT'!$A$7:$A$50,INTERNES!A19))+(COUNTIF('HMZ - KAIS'!$A$7:$A$50,INTERNES!A19))+(COUNTIF('IB TRANSPORT'!$A$7:$A$50,INTERNES!A19))+(COUNTIF(JSL!$A$7:$A$50,INTERNES!A19))+(COUNTIF(KIFAITOUT!$A$7:$A$50,INTERNES!A19))+(COUNTIF('LUXE DRIVE'!$A$7:$A$50,INTERNES!A19))+(COUNTIF(SSN!$A$7:$A$50,INTERNES!A19))+(COUNTIF('W3'!$A$7:$A$50,INTERNES!A19))+(COUNTIF('ATHIS MONS'!$A$7:$A$50,INTERNES!A19))+(COUNTIF('L HAY LES ROSES'!$A$7:$A$50,INTERNES!A19))+(COUNTIF(RUNGIS!$A$7:$A$50,INTERNES!A19))+(COUNTIF(SCEAUX!$A$7:$A$50,INTERNES!A19))+(COUNTIF('INSTANCE C1'!$A$7:$A$50,INTERNES!A19))+(COUNTIF('INSTANCE C2'!$A$7:$A$50,INTERNES!A19))+(COUNTIF(INTERNES!$A$7:$A$50,INTERNES!A19))+(COUNTIF('EN PANNE'!$A$7:$A$50,INTERNES!A19))-C19</f>
        <v>0</v>
      </c>
      <c r="C19" s="23">
        <f>(COUNTIF('2S EXPRESS'!$G$7:$G$50,INTERNES!A19))+(COUNTIF('2 ZT'!$G$7:$G$50,INTERNES!A19))+(COUNTIF('GO TRANSPORT'!$G$7:$G$50,INTERNES!A19))+(COUNTIF(INTERNES!$G$7:$G$50,INTERNES!A19))+(COUNTIF('IB TRANSPORT'!$G$7:$G$50,INTERNES!A19))+(COUNTIF(JSL!$G$7:$G$50,INTERNES!A19))+(COUNTIF(KIFAITOUT!$G$7:$G$50,INTERNES!A19))+(COUNTIF('LUXE DRIVE'!$G$7:$G$50,INTERNES!A19))+(COUNTIF(SSN!$G$7:$G$50,INTERNES!A19))+(COUNTIF('W3'!$G$7:$G$50,INTERNES!A19))+(COUNTIF('ATHIS MONS'!$G$7:$G$50,INTERNES!A19))+(COUNTIF('L HAY LES ROSES'!$G$7:$G$50,INTERNES!A19))+(COUNTIF(RUNGIS!$G$7:$G$50,INTERNES!A19))+(COUNTIF(SCEAUX!$G$7:$G$50,INTERNES!A19))+(COUNTIF('INSTANCE C1'!$G$7:$G$50,INTERNES!A19))+(COUNTIF('INSTANCE C2'!$G$7:$G$50,INTERNES!A19))+(COUNTIF(INTERNES!$G$7:$G$50,INTERNES!A19))+(COUNTIF('EN PANNE'!$G$7:$G$50,INTERNES!A19))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EXPRESS'!$G$7:$G$50,INTERNES!G19))+(COUNTIF('2 ZT'!$G$7:$G$50,INTERNES!G19))+(COUNTIF('GO TRANSPORT'!$G$7:$G$50,INTERNES!G19))+(COUNTIF('HMZ - KAIS'!$G$7:$G$50,INTERNES!G19))+(COUNTIF('IB TRANSPORT'!$G$7:$G$50,INTERNES!G19))+(COUNTIF(JSL!$G$7:$G$50,INTERNES!G19))+(COUNTIF(KIFAITOUT!$G$7:$G$50,INTERNES!G19))+(COUNTIF('LUXE DRIVE'!$G$7:$G$50,INTERNES!G19))+(COUNTIF(SSN!$G$7:$G$50,INTERNES!G19))+(COUNTIF('W3'!$G$7:$G$50,INTERNES!G19))+(COUNTIF('ATHIS MONS'!$G$7:$G$50,INTERNES!G19))+(COUNTIF('L HAY LES ROSES'!$G$7:$G$50,INTERNES!G19))+(COUNTIF(RUNGIS!$G$7:$G$50,INTERNES!G19))+(COUNTIF(SCEAUX!$G$7:$G$50,INTERNES!G19))+(COUNTIF('INSTANCE C1'!$G$7:$G$50,INTERNES!G19))+(COUNTIF('INSTANCE C2'!$G$7:$G$50,INTERNES!G19))+(COUNTIF(INTERNES!$G$7:$G$50,INTERNES!G19))+(COUNTIF('EN PANNE'!$G$7:$G$50,INTERNES!G19))-I19</f>
        <v>0</v>
      </c>
      <c r="I19" s="23">
        <f>(COUNTIF('2S EXPRESS'!$A$7:$A$50,INTERNES!G19))+(COUNTIF('2 ZT'!$A$7:$A$50,INTERNES!G19))+(COUNTIF('GO TRANSPORT'!$A$7:$A$50,INTERNES!G19))+(COUNTIF('HMZ - KAIS'!$A$7:$A$50,INTERNES!G19))+(COUNTIF('IB TRANSPORT'!$A$7:$A$50,INTERNES!G19))+(COUNTIF(JSL!$A$7:$A$50,INTERNES!G19))+(COUNTIF(KIFAITOUT!$A$7:$A$50,INTERNES!G19))+(COUNTIF('LUXE DRIVE'!$A$7:$A$50,INTERNES!G19))+(COUNTIF(SSN!$A$7:$A$50,INTERNES!G19))+(COUNTIF('W3'!$A$7:$A$50,INTERNES!G19))+(COUNTIF('ATHIS MONS'!$A$7:$A$50,INTERNES!G19))+(COUNTIF('L HAY LES ROSES'!$A$7:$A$50,INTERNES!G19))+(COUNTIF(RUNGIS!$A$7:$A$50,INTERNES!G19))+(COUNTIF(SCEAUX!$A$7:$A$50,INTERNES!G19))+(COUNTIF('INSTANCE C1'!$A$7:$A$50,INTERNES!G19))+(COUNTIF('INSTANCE C2'!$A$7:$A$50,INTERNES!G19))+(COUNTIF(INTERNES!$A$7:$A$50,INTERNES!G19))+(COUNTIF('EN PANNE'!$A$7:$A$50,INTERNES!G19))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R19" s="75"/>
      <c r="S19" s="60">
        <f t="shared" si="1"/>
        <v>0</v>
      </c>
      <c r="T19" s="67">
        <f t="shared" si="2"/>
        <v>0</v>
      </c>
    </row>
    <row r="20" spans="1:20" ht="24.95" customHeight="1" x14ac:dyDescent="0.2">
      <c r="A20" s="20"/>
      <c r="B20" s="23">
        <f>(COUNTIF('2S EXPRESS'!$A$7:$A$50,INTERNES!A20))+(COUNTIF('2 ZT'!$A$7:$A$50,INTERNES!A20))+(COUNTIF('GO TRANSPORT'!$A$7:$A$50,INTERNES!A20))+(COUNTIF('HMZ - KAIS'!$A$7:$A$50,INTERNES!A20))+(COUNTIF('IB TRANSPORT'!$A$7:$A$50,INTERNES!A20))+(COUNTIF(JSL!$A$7:$A$50,INTERNES!A20))+(COUNTIF(KIFAITOUT!$A$7:$A$50,INTERNES!A20))+(COUNTIF('LUXE DRIVE'!$A$7:$A$50,INTERNES!A20))+(COUNTIF(SSN!$A$7:$A$50,INTERNES!A20))+(COUNTIF('W3'!$A$7:$A$50,INTERNES!A20))+(COUNTIF('ATHIS MONS'!$A$7:$A$50,INTERNES!A20))+(COUNTIF('L HAY LES ROSES'!$A$7:$A$50,INTERNES!A20))+(COUNTIF(RUNGIS!$A$7:$A$50,INTERNES!A20))+(COUNTIF(SCEAUX!$A$7:$A$50,INTERNES!A20))+(COUNTIF('INSTANCE C1'!$A$7:$A$50,INTERNES!A20))+(COUNTIF('INSTANCE C2'!$A$7:$A$50,INTERNES!A20))+(COUNTIF(INTERNES!$A$7:$A$50,INTERNES!A20))+(COUNTIF('EN PANNE'!$A$7:$A$50,INTERNES!A20))-C20</f>
        <v>0</v>
      </c>
      <c r="C20" s="23">
        <f>(COUNTIF('2S EXPRESS'!$G$7:$G$50,INTERNES!A20))+(COUNTIF('2 ZT'!$G$7:$G$50,INTERNES!A20))+(COUNTIF('GO TRANSPORT'!$G$7:$G$50,INTERNES!A20))+(COUNTIF(INTERNES!$G$7:$G$50,INTERNES!A20))+(COUNTIF('IB TRANSPORT'!$G$7:$G$50,INTERNES!A20))+(COUNTIF(JSL!$G$7:$G$50,INTERNES!A20))+(COUNTIF(KIFAITOUT!$G$7:$G$50,INTERNES!A20))+(COUNTIF('LUXE DRIVE'!$G$7:$G$50,INTERNES!A20))+(COUNTIF(SSN!$G$7:$G$50,INTERNES!A20))+(COUNTIF('W3'!$G$7:$G$50,INTERNES!A20))+(COUNTIF('ATHIS MONS'!$G$7:$G$50,INTERNES!A20))+(COUNTIF('L HAY LES ROSES'!$G$7:$G$50,INTERNES!A20))+(COUNTIF(RUNGIS!$G$7:$G$50,INTERNES!A20))+(COUNTIF(SCEAUX!$G$7:$G$50,INTERNES!A20))+(COUNTIF('INSTANCE C1'!$G$7:$G$50,INTERNES!A20))+(COUNTIF('INSTANCE C2'!$G$7:$G$50,INTERNES!A20))+(COUNTIF(INTERNES!$G$7:$G$50,INTERNES!A20))+(COUNTIF('EN PANNE'!$G$7:$G$50,INTERNES!A20))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EXPRESS'!$G$7:$G$50,INTERNES!G20))+(COUNTIF('2 ZT'!$G$7:$G$50,INTERNES!G20))+(COUNTIF('GO TRANSPORT'!$G$7:$G$50,INTERNES!G20))+(COUNTIF('HMZ - KAIS'!$G$7:$G$50,INTERNES!G20))+(COUNTIF('IB TRANSPORT'!$G$7:$G$50,INTERNES!G20))+(COUNTIF(JSL!$G$7:$G$50,INTERNES!G20))+(COUNTIF(KIFAITOUT!$G$7:$G$50,INTERNES!G20))+(COUNTIF('LUXE DRIVE'!$G$7:$G$50,INTERNES!G20))+(COUNTIF(SSN!$G$7:$G$50,INTERNES!G20))+(COUNTIF('W3'!$G$7:$G$50,INTERNES!G20))+(COUNTIF('ATHIS MONS'!$G$7:$G$50,INTERNES!G20))+(COUNTIF('L HAY LES ROSES'!$G$7:$G$50,INTERNES!G20))+(COUNTIF(RUNGIS!$G$7:$G$50,INTERNES!G20))+(COUNTIF(SCEAUX!$G$7:$G$50,INTERNES!G20))+(COUNTIF('INSTANCE C1'!$G$7:$G$50,INTERNES!G20))+(COUNTIF('INSTANCE C2'!$G$7:$G$50,INTERNES!G20))+(COUNTIF(INTERNES!$G$7:$G$50,INTERNES!G20))+(COUNTIF('EN PANNE'!$G$7:$G$50,INTERNES!G20))-I20</f>
        <v>0</v>
      </c>
      <c r="I20" s="23">
        <f>(COUNTIF('2S EXPRESS'!$A$7:$A$50,INTERNES!G20))+(COUNTIF('2 ZT'!$A$7:$A$50,INTERNES!G20))+(COUNTIF('GO TRANSPORT'!$A$7:$A$50,INTERNES!G20))+(COUNTIF('HMZ - KAIS'!$A$7:$A$50,INTERNES!G20))+(COUNTIF('IB TRANSPORT'!$A$7:$A$50,INTERNES!G20))+(COUNTIF(JSL!$A$7:$A$50,INTERNES!G20))+(COUNTIF(KIFAITOUT!$A$7:$A$50,INTERNES!G20))+(COUNTIF('LUXE DRIVE'!$A$7:$A$50,INTERNES!G20))+(COUNTIF(SSN!$A$7:$A$50,INTERNES!G20))+(COUNTIF('W3'!$A$7:$A$50,INTERNES!G20))+(COUNTIF('ATHIS MONS'!$A$7:$A$50,INTERNES!G20))+(COUNTIF('L HAY LES ROSES'!$A$7:$A$50,INTERNES!G20))+(COUNTIF(RUNGIS!$A$7:$A$50,INTERNES!G20))+(COUNTIF(SCEAUX!$A$7:$A$50,INTERNES!G20))+(COUNTIF('INSTANCE C1'!$A$7:$A$50,INTERNES!G20))+(COUNTIF('INSTANCE C2'!$A$7:$A$50,INTERNES!G20))+(COUNTIF(INTERNES!$A$7:$A$50,INTERNES!G20))+(COUNTIF('EN PANNE'!$A$7:$A$50,INTERNES!G20))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R20" s="75"/>
      <c r="S20" s="60">
        <f t="shared" si="1"/>
        <v>0</v>
      </c>
      <c r="T20" s="67">
        <f t="shared" si="2"/>
        <v>0</v>
      </c>
    </row>
    <row r="21" spans="1:20" ht="24.95" customHeight="1" x14ac:dyDescent="0.2">
      <c r="A21" s="20"/>
      <c r="B21" s="23">
        <f>(COUNTIF('2S EXPRESS'!$A$7:$A$50,INTERNES!A21))+(COUNTIF('2 ZT'!$A$7:$A$50,INTERNES!A21))+(COUNTIF('GO TRANSPORT'!$A$7:$A$50,INTERNES!A21))+(COUNTIF('HMZ - KAIS'!$A$7:$A$50,INTERNES!A21))+(COUNTIF('IB TRANSPORT'!$A$7:$A$50,INTERNES!A21))+(COUNTIF(JSL!$A$7:$A$50,INTERNES!A21))+(COUNTIF(KIFAITOUT!$A$7:$A$50,INTERNES!A21))+(COUNTIF('LUXE DRIVE'!$A$7:$A$50,INTERNES!A21))+(COUNTIF(SSN!$A$7:$A$50,INTERNES!A21))+(COUNTIF('W3'!$A$7:$A$50,INTERNES!A21))+(COUNTIF('ATHIS MONS'!$A$7:$A$50,INTERNES!A21))+(COUNTIF('L HAY LES ROSES'!$A$7:$A$50,INTERNES!A21))+(COUNTIF(RUNGIS!$A$7:$A$50,INTERNES!A21))+(COUNTIF(SCEAUX!$A$7:$A$50,INTERNES!A21))+(COUNTIF('INSTANCE C1'!$A$7:$A$50,INTERNES!A21))+(COUNTIF('INSTANCE C2'!$A$7:$A$50,INTERNES!A21))+(COUNTIF(INTERNES!$A$7:$A$50,INTERNES!A21))+(COUNTIF('EN PANNE'!$A$7:$A$50,INTERNES!A21))-C21</f>
        <v>0</v>
      </c>
      <c r="C21" s="23">
        <f>(COUNTIF('2S EXPRESS'!$G$7:$G$50,INTERNES!A21))+(COUNTIF('2 ZT'!$G$7:$G$50,INTERNES!A21))+(COUNTIF('GO TRANSPORT'!$G$7:$G$50,INTERNES!A21))+(COUNTIF(INTERNES!$G$7:$G$50,INTERNES!A21))+(COUNTIF('IB TRANSPORT'!$G$7:$G$50,INTERNES!A21))+(COUNTIF(JSL!$G$7:$G$50,INTERNES!A21))+(COUNTIF(KIFAITOUT!$G$7:$G$50,INTERNES!A21))+(COUNTIF('LUXE DRIVE'!$G$7:$G$50,INTERNES!A21))+(COUNTIF(SSN!$G$7:$G$50,INTERNES!A21))+(COUNTIF('W3'!$G$7:$G$50,INTERNES!A21))+(COUNTIF('ATHIS MONS'!$G$7:$G$50,INTERNES!A21))+(COUNTIF('L HAY LES ROSES'!$G$7:$G$50,INTERNES!A21))+(COUNTIF(RUNGIS!$G$7:$G$50,INTERNES!A21))+(COUNTIF(SCEAUX!$G$7:$G$50,INTERNES!A21))+(COUNTIF('INSTANCE C1'!$G$7:$G$50,INTERNES!A21))+(COUNTIF('INSTANCE C2'!$G$7:$G$50,INTERNES!A21))+(COUNTIF(INTERNES!$G$7:$G$50,INTERNES!A21))+(COUNTIF('EN PANNE'!$G$7:$G$50,INTERNES!A21))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EXPRESS'!$G$7:$G$50,INTERNES!G21))+(COUNTIF('2 ZT'!$G$7:$G$50,INTERNES!G21))+(COUNTIF('GO TRANSPORT'!$G$7:$G$50,INTERNES!G21))+(COUNTIF('HMZ - KAIS'!$G$7:$G$50,INTERNES!G21))+(COUNTIF('IB TRANSPORT'!$G$7:$G$50,INTERNES!G21))+(COUNTIF(JSL!$G$7:$G$50,INTERNES!G21))+(COUNTIF(KIFAITOUT!$G$7:$G$50,INTERNES!G21))+(COUNTIF('LUXE DRIVE'!$G$7:$G$50,INTERNES!G21))+(COUNTIF(SSN!$G$7:$G$50,INTERNES!G21))+(COUNTIF('W3'!$G$7:$G$50,INTERNES!G21))+(COUNTIF('ATHIS MONS'!$G$7:$G$50,INTERNES!G21))+(COUNTIF('L HAY LES ROSES'!$G$7:$G$50,INTERNES!G21))+(COUNTIF(RUNGIS!$G$7:$G$50,INTERNES!G21))+(COUNTIF(SCEAUX!$G$7:$G$50,INTERNES!G21))+(COUNTIF('INSTANCE C1'!$G$7:$G$50,INTERNES!G21))+(COUNTIF('INSTANCE C2'!$G$7:$G$50,INTERNES!G21))+(COUNTIF(INTERNES!$G$7:$G$50,INTERNES!G21))+(COUNTIF('EN PANNE'!$G$7:$G$50,INTERNES!G21))-I21</f>
        <v>0</v>
      </c>
      <c r="I21" s="23">
        <f>(COUNTIF('2S EXPRESS'!$A$7:$A$50,INTERNES!G21))+(COUNTIF('2 ZT'!$A$7:$A$50,INTERNES!G21))+(COUNTIF('GO TRANSPORT'!$A$7:$A$50,INTERNES!G21))+(COUNTIF('HMZ - KAIS'!$A$7:$A$50,INTERNES!G21))+(COUNTIF('IB TRANSPORT'!$A$7:$A$50,INTERNES!G21))+(COUNTIF(JSL!$A$7:$A$50,INTERNES!G21))+(COUNTIF(KIFAITOUT!$A$7:$A$50,INTERNES!G21))+(COUNTIF('LUXE DRIVE'!$A$7:$A$50,INTERNES!G21))+(COUNTIF(SSN!$A$7:$A$50,INTERNES!G21))+(COUNTIF('W3'!$A$7:$A$50,INTERNES!G21))+(COUNTIF('ATHIS MONS'!$A$7:$A$50,INTERNES!G21))+(COUNTIF('L HAY LES ROSES'!$A$7:$A$50,INTERNES!G21))+(COUNTIF(RUNGIS!$A$7:$A$50,INTERNES!G21))+(COUNTIF(SCEAUX!$A$7:$A$50,INTERNES!G21))+(COUNTIF('INSTANCE C1'!$A$7:$A$50,INTERNES!G21))+(COUNTIF('INSTANCE C2'!$A$7:$A$50,INTERNES!G21))+(COUNTIF(INTERNES!$A$7:$A$50,INTERNES!G21))+(COUNTIF('EN PANNE'!$A$7:$A$50,INTERNES!G21))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R21" s="75"/>
      <c r="S21" s="60">
        <f t="shared" si="1"/>
        <v>0</v>
      </c>
      <c r="T21" s="67">
        <f t="shared" si="2"/>
        <v>0</v>
      </c>
    </row>
    <row r="22" spans="1:20" ht="24.95" customHeight="1" x14ac:dyDescent="0.2">
      <c r="A22" s="20"/>
      <c r="B22" s="23">
        <f>(COUNTIF('2S EXPRESS'!$A$7:$A$50,INTERNES!A22))+(COUNTIF('2 ZT'!$A$7:$A$50,INTERNES!A22))+(COUNTIF('GO TRANSPORT'!$A$7:$A$50,INTERNES!A22))+(COUNTIF('HMZ - KAIS'!$A$7:$A$50,INTERNES!A22))+(COUNTIF('IB TRANSPORT'!$A$7:$A$50,INTERNES!A22))+(COUNTIF(JSL!$A$7:$A$50,INTERNES!A22))+(COUNTIF(KIFAITOUT!$A$7:$A$50,INTERNES!A22))+(COUNTIF('LUXE DRIVE'!$A$7:$A$50,INTERNES!A22))+(COUNTIF(SSN!$A$7:$A$50,INTERNES!A22))+(COUNTIF('W3'!$A$7:$A$50,INTERNES!A22))+(COUNTIF('ATHIS MONS'!$A$7:$A$50,INTERNES!A22))+(COUNTIF('L HAY LES ROSES'!$A$7:$A$50,INTERNES!A22))+(COUNTIF(RUNGIS!$A$7:$A$50,INTERNES!A22))+(COUNTIF(SCEAUX!$A$7:$A$50,INTERNES!A22))+(COUNTIF('INSTANCE C1'!$A$7:$A$50,INTERNES!A22))+(COUNTIF('INSTANCE C2'!$A$7:$A$50,INTERNES!A22))+(COUNTIF(INTERNES!$A$7:$A$50,INTERNES!A22))+(COUNTIF('EN PANNE'!$A$7:$A$50,INTERNES!A22))-C22</f>
        <v>0</v>
      </c>
      <c r="C22" s="23">
        <f>(COUNTIF('2S EXPRESS'!$G$7:$G$50,INTERNES!A22))+(COUNTIF('2 ZT'!$G$7:$G$50,INTERNES!A22))+(COUNTIF('GO TRANSPORT'!$G$7:$G$50,INTERNES!A22))+(COUNTIF(INTERNES!$G$7:$G$50,INTERNES!A22))+(COUNTIF('IB TRANSPORT'!$G$7:$G$50,INTERNES!A22))+(COUNTIF(JSL!$G$7:$G$50,INTERNES!A22))+(COUNTIF(KIFAITOUT!$G$7:$G$50,INTERNES!A22))+(COUNTIF('LUXE DRIVE'!$G$7:$G$50,INTERNES!A22))+(COUNTIF(SSN!$G$7:$G$50,INTERNES!A22))+(COUNTIF('W3'!$G$7:$G$50,INTERNES!A22))+(COUNTIF('ATHIS MONS'!$G$7:$G$50,INTERNES!A22))+(COUNTIF('L HAY LES ROSES'!$G$7:$G$50,INTERNES!A22))+(COUNTIF(RUNGIS!$G$7:$G$50,INTERNES!A22))+(COUNTIF(SCEAUX!$G$7:$G$50,INTERNES!A22))+(COUNTIF('INSTANCE C1'!$G$7:$G$50,INTERNES!A22))+(COUNTIF('INSTANCE C2'!$G$7:$G$50,INTERNES!A22))+(COUNTIF(INTERNES!$G$7:$G$50,INTERNES!A22))+(COUNTIF('EN PANNE'!$G$7:$G$50,INTERNES!A22))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EXPRESS'!$G$7:$G$50,INTERNES!G22))+(COUNTIF('2 ZT'!$G$7:$G$50,INTERNES!G22))+(COUNTIF('GO TRANSPORT'!$G$7:$G$50,INTERNES!G22))+(COUNTIF('HMZ - KAIS'!$G$7:$G$50,INTERNES!G22))+(COUNTIF('IB TRANSPORT'!$G$7:$G$50,INTERNES!G22))+(COUNTIF(JSL!$G$7:$G$50,INTERNES!G22))+(COUNTIF(KIFAITOUT!$G$7:$G$50,INTERNES!G22))+(COUNTIF('LUXE DRIVE'!$G$7:$G$50,INTERNES!G22))+(COUNTIF(SSN!$G$7:$G$50,INTERNES!G22))+(COUNTIF('W3'!$G$7:$G$50,INTERNES!G22))+(COUNTIF('ATHIS MONS'!$G$7:$G$50,INTERNES!G22))+(COUNTIF('L HAY LES ROSES'!$G$7:$G$50,INTERNES!G22))+(COUNTIF(RUNGIS!$G$7:$G$50,INTERNES!G22))+(COUNTIF(SCEAUX!$G$7:$G$50,INTERNES!G22))+(COUNTIF('INSTANCE C1'!$G$7:$G$50,INTERNES!G22))+(COUNTIF('INSTANCE C2'!$G$7:$G$50,INTERNES!G22))+(COUNTIF(INTERNES!$G$7:$G$50,INTERNES!G22))+(COUNTIF('EN PANNE'!$G$7:$G$50,INTERNES!G22))-I22</f>
        <v>0</v>
      </c>
      <c r="I22" s="23">
        <f>(COUNTIF('2S EXPRESS'!$A$7:$A$50,INTERNES!G22))+(COUNTIF('2 ZT'!$A$7:$A$50,INTERNES!G22))+(COUNTIF('GO TRANSPORT'!$A$7:$A$50,INTERNES!G22))+(COUNTIF('HMZ - KAIS'!$A$7:$A$50,INTERNES!G22))+(COUNTIF('IB TRANSPORT'!$A$7:$A$50,INTERNES!G22))+(COUNTIF(JSL!$A$7:$A$50,INTERNES!G22))+(COUNTIF(KIFAITOUT!$A$7:$A$50,INTERNES!G22))+(COUNTIF('LUXE DRIVE'!$A$7:$A$50,INTERNES!G22))+(COUNTIF(SSN!$A$7:$A$50,INTERNES!G22))+(COUNTIF('W3'!$A$7:$A$50,INTERNES!G22))+(COUNTIF('ATHIS MONS'!$A$7:$A$50,INTERNES!G22))+(COUNTIF('L HAY LES ROSES'!$A$7:$A$50,INTERNES!G22))+(COUNTIF(RUNGIS!$A$7:$A$50,INTERNES!G22))+(COUNTIF(SCEAUX!$A$7:$A$50,INTERNES!G22))+(COUNTIF('INSTANCE C1'!$A$7:$A$50,INTERNES!G22))+(COUNTIF('INSTANCE C2'!$A$7:$A$50,INTERNES!G22))+(COUNTIF(INTERNES!$A$7:$A$50,INTERNES!G22))+(COUNTIF('EN PANNE'!$A$7:$A$50,INTERNES!G22))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R22" s="75"/>
      <c r="S22" s="60">
        <f t="shared" si="1"/>
        <v>0</v>
      </c>
      <c r="T22" s="67">
        <f t="shared" si="2"/>
        <v>0</v>
      </c>
    </row>
    <row r="23" spans="1:20" ht="24.95" customHeight="1" x14ac:dyDescent="0.2">
      <c r="A23" s="20"/>
      <c r="B23" s="23">
        <f>(COUNTIF('2S EXPRESS'!$A$7:$A$50,INTERNES!A23))+(COUNTIF('2 ZT'!$A$7:$A$50,INTERNES!A23))+(COUNTIF('GO TRANSPORT'!$A$7:$A$50,INTERNES!A23))+(COUNTIF('HMZ - KAIS'!$A$7:$A$50,INTERNES!A23))+(COUNTIF('IB TRANSPORT'!$A$7:$A$50,INTERNES!A23))+(COUNTIF(JSL!$A$7:$A$50,INTERNES!A23))+(COUNTIF(KIFAITOUT!$A$7:$A$50,INTERNES!A23))+(COUNTIF('LUXE DRIVE'!$A$7:$A$50,INTERNES!A23))+(COUNTIF(SSN!$A$7:$A$50,INTERNES!A23))+(COUNTIF('W3'!$A$7:$A$50,INTERNES!A23))+(COUNTIF('ATHIS MONS'!$A$7:$A$50,INTERNES!A23))+(COUNTIF('L HAY LES ROSES'!$A$7:$A$50,INTERNES!A23))+(COUNTIF(RUNGIS!$A$7:$A$50,INTERNES!A23))+(COUNTIF(SCEAUX!$A$7:$A$50,INTERNES!A23))+(COUNTIF('INSTANCE C1'!$A$7:$A$50,INTERNES!A23))+(COUNTIF('INSTANCE C2'!$A$7:$A$50,INTERNES!A23))+(COUNTIF(INTERNES!$A$7:$A$50,INTERNES!A23))+(COUNTIF('EN PANNE'!$A$7:$A$50,INTERNES!A23))-C23</f>
        <v>0</v>
      </c>
      <c r="C23" s="23">
        <f>(COUNTIF('2S EXPRESS'!$G$7:$G$50,INTERNES!A23))+(COUNTIF('2 ZT'!$G$7:$G$50,INTERNES!A23))+(COUNTIF('GO TRANSPORT'!$G$7:$G$50,INTERNES!A23))+(COUNTIF(INTERNES!$G$7:$G$50,INTERNES!A23))+(COUNTIF('IB TRANSPORT'!$G$7:$G$50,INTERNES!A23))+(COUNTIF(JSL!$G$7:$G$50,INTERNES!A23))+(COUNTIF(KIFAITOUT!$G$7:$G$50,INTERNES!A23))+(COUNTIF('LUXE DRIVE'!$G$7:$G$50,INTERNES!A23))+(COUNTIF(SSN!$G$7:$G$50,INTERNES!A23))+(COUNTIF('W3'!$G$7:$G$50,INTERNES!A23))+(COUNTIF('ATHIS MONS'!$G$7:$G$50,INTERNES!A23))+(COUNTIF('L HAY LES ROSES'!$G$7:$G$50,INTERNES!A23))+(COUNTIF(RUNGIS!$G$7:$G$50,INTERNES!A23))+(COUNTIF(SCEAUX!$G$7:$G$50,INTERNES!A23))+(COUNTIF('INSTANCE C1'!$G$7:$G$50,INTERNES!A23))+(COUNTIF('INSTANCE C2'!$G$7:$G$50,INTERNES!A23))+(COUNTIF(INTERNES!$G$7:$G$50,INTERNES!A23))+(COUNTIF('EN PANNE'!$G$7:$G$50,INTERNES!A23))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EXPRESS'!$G$7:$G$50,INTERNES!G23))+(COUNTIF('2 ZT'!$G$7:$G$50,INTERNES!G23))+(COUNTIF('GO TRANSPORT'!$G$7:$G$50,INTERNES!G23))+(COUNTIF('HMZ - KAIS'!$G$7:$G$50,INTERNES!G23))+(COUNTIF('IB TRANSPORT'!$G$7:$G$50,INTERNES!G23))+(COUNTIF(JSL!$G$7:$G$50,INTERNES!G23))+(COUNTIF(KIFAITOUT!$G$7:$G$50,INTERNES!G23))+(COUNTIF('LUXE DRIVE'!$G$7:$G$50,INTERNES!G23))+(COUNTIF(SSN!$G$7:$G$50,INTERNES!G23))+(COUNTIF('W3'!$G$7:$G$50,INTERNES!G23))+(COUNTIF('ATHIS MONS'!$G$7:$G$50,INTERNES!G23))+(COUNTIF('L HAY LES ROSES'!$G$7:$G$50,INTERNES!G23))+(COUNTIF(RUNGIS!$G$7:$G$50,INTERNES!G23))+(COUNTIF(SCEAUX!$G$7:$G$50,INTERNES!G23))+(COUNTIF('INSTANCE C1'!$G$7:$G$50,INTERNES!G23))+(COUNTIF('INSTANCE C2'!$G$7:$G$50,INTERNES!G23))+(COUNTIF(INTERNES!$G$7:$G$50,INTERNES!G23))+(COUNTIF('EN PANNE'!$G$7:$G$50,INTERNES!G23))-I23</f>
        <v>0</v>
      </c>
      <c r="I23" s="23">
        <f>(COUNTIF('2S EXPRESS'!$A$7:$A$50,INTERNES!G23))+(COUNTIF('2 ZT'!$A$7:$A$50,INTERNES!G23))+(COUNTIF('GO TRANSPORT'!$A$7:$A$50,INTERNES!G23))+(COUNTIF('HMZ - KAIS'!$A$7:$A$50,INTERNES!G23))+(COUNTIF('IB TRANSPORT'!$A$7:$A$50,INTERNES!G23))+(COUNTIF(JSL!$A$7:$A$50,INTERNES!G23))+(COUNTIF(KIFAITOUT!$A$7:$A$50,INTERNES!G23))+(COUNTIF('LUXE DRIVE'!$A$7:$A$50,INTERNES!G23))+(COUNTIF(SSN!$A$7:$A$50,INTERNES!G23))+(COUNTIF('W3'!$A$7:$A$50,INTERNES!G23))+(COUNTIF('ATHIS MONS'!$A$7:$A$50,INTERNES!G23))+(COUNTIF('L HAY LES ROSES'!$A$7:$A$50,INTERNES!G23))+(COUNTIF(RUNGIS!$A$7:$A$50,INTERNES!G23))+(COUNTIF(SCEAUX!$A$7:$A$50,INTERNES!G23))+(COUNTIF('INSTANCE C1'!$A$7:$A$50,INTERNES!G23))+(COUNTIF('INSTANCE C2'!$A$7:$A$50,INTERNES!G23))+(COUNTIF(INTERNES!$A$7:$A$50,INTERNES!G23))+(COUNTIF('EN PANNE'!$A$7:$A$50,INTERNES!G23))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R23" s="75"/>
      <c r="S23" s="60">
        <f t="shared" si="1"/>
        <v>0</v>
      </c>
      <c r="T23" s="67">
        <f t="shared" si="2"/>
        <v>0</v>
      </c>
    </row>
    <row r="24" spans="1:20" ht="24.95" customHeight="1" x14ac:dyDescent="0.2">
      <c r="A24" s="20"/>
      <c r="B24" s="23">
        <f>(COUNTIF('2S EXPRESS'!$A$7:$A$50,INTERNES!A24))+(COUNTIF('2 ZT'!$A$7:$A$50,INTERNES!A24))+(COUNTIF('GO TRANSPORT'!$A$7:$A$50,INTERNES!A24))+(COUNTIF('HMZ - KAIS'!$A$7:$A$50,INTERNES!A24))+(COUNTIF('IB TRANSPORT'!$A$7:$A$50,INTERNES!A24))+(COUNTIF(JSL!$A$7:$A$50,INTERNES!A24))+(COUNTIF(KIFAITOUT!$A$7:$A$50,INTERNES!A24))+(COUNTIF('LUXE DRIVE'!$A$7:$A$50,INTERNES!A24))+(COUNTIF(SSN!$A$7:$A$50,INTERNES!A24))+(COUNTIF('W3'!$A$7:$A$50,INTERNES!A24))+(COUNTIF('ATHIS MONS'!$A$7:$A$50,INTERNES!A24))+(COUNTIF('L HAY LES ROSES'!$A$7:$A$50,INTERNES!A24))+(COUNTIF(RUNGIS!$A$7:$A$50,INTERNES!A24))+(COUNTIF(SCEAUX!$A$7:$A$50,INTERNES!A24))+(COUNTIF('INSTANCE C1'!$A$7:$A$50,INTERNES!A24))+(COUNTIF('INSTANCE C2'!$A$7:$A$50,INTERNES!A24))+(COUNTIF(INTERNES!$A$7:$A$50,INTERNES!A24))+(COUNTIF('EN PANNE'!$A$7:$A$50,INTERNES!A24))-C24</f>
        <v>0</v>
      </c>
      <c r="C24" s="23">
        <f>(COUNTIF('2S EXPRESS'!$G$7:$G$50,INTERNES!A24))+(COUNTIF('2 ZT'!$G$7:$G$50,INTERNES!A24))+(COUNTIF('GO TRANSPORT'!$G$7:$G$50,INTERNES!A24))+(COUNTIF(INTERNES!$G$7:$G$50,INTERNES!A24))+(COUNTIF('IB TRANSPORT'!$G$7:$G$50,INTERNES!A24))+(COUNTIF(JSL!$G$7:$G$50,INTERNES!A24))+(COUNTIF(KIFAITOUT!$G$7:$G$50,INTERNES!A24))+(COUNTIF('LUXE DRIVE'!$G$7:$G$50,INTERNES!A24))+(COUNTIF(SSN!$G$7:$G$50,INTERNES!A24))+(COUNTIF('W3'!$G$7:$G$50,INTERNES!A24))+(COUNTIF('ATHIS MONS'!$G$7:$G$50,INTERNES!A24))+(COUNTIF('L HAY LES ROSES'!$G$7:$G$50,INTERNES!A24))+(COUNTIF(RUNGIS!$G$7:$G$50,INTERNES!A24))+(COUNTIF(SCEAUX!$G$7:$G$50,INTERNES!A24))+(COUNTIF('INSTANCE C1'!$G$7:$G$50,INTERNES!A24))+(COUNTIF('INSTANCE C2'!$G$7:$G$50,INTERNES!A24))+(COUNTIF(INTERNES!$G$7:$G$50,INTERNES!A24))+(COUNTIF('EN PANNE'!$G$7:$G$50,INTERNES!A24))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EXPRESS'!$G$7:$G$50,INTERNES!G24))+(COUNTIF('2 ZT'!$G$7:$G$50,INTERNES!G24))+(COUNTIF('GO TRANSPORT'!$G$7:$G$50,INTERNES!G24))+(COUNTIF('HMZ - KAIS'!$G$7:$G$50,INTERNES!G24))+(COUNTIF('IB TRANSPORT'!$G$7:$G$50,INTERNES!G24))+(COUNTIF(JSL!$G$7:$G$50,INTERNES!G24))+(COUNTIF(KIFAITOUT!$G$7:$G$50,INTERNES!G24))+(COUNTIF('LUXE DRIVE'!$G$7:$G$50,INTERNES!G24))+(COUNTIF(SSN!$G$7:$G$50,INTERNES!G24))+(COUNTIF('W3'!$G$7:$G$50,INTERNES!G24))+(COUNTIF('ATHIS MONS'!$G$7:$G$50,INTERNES!G24))+(COUNTIF('L HAY LES ROSES'!$G$7:$G$50,INTERNES!G24))+(COUNTIF(RUNGIS!$G$7:$G$50,INTERNES!G24))+(COUNTIF(SCEAUX!$G$7:$G$50,INTERNES!G24))+(COUNTIF('INSTANCE C1'!$G$7:$G$50,INTERNES!G24))+(COUNTIF('INSTANCE C2'!$G$7:$G$50,INTERNES!G24))+(COUNTIF(INTERNES!$G$7:$G$50,INTERNES!G24))+(COUNTIF('EN PANNE'!$G$7:$G$50,INTERNES!G24))-I24</f>
        <v>0</v>
      </c>
      <c r="I24" s="23">
        <f>(COUNTIF('2S EXPRESS'!$A$7:$A$50,INTERNES!G24))+(COUNTIF('2 ZT'!$A$7:$A$50,INTERNES!G24))+(COUNTIF('GO TRANSPORT'!$A$7:$A$50,INTERNES!G24))+(COUNTIF('HMZ - KAIS'!$A$7:$A$50,INTERNES!G24))+(COUNTIF('IB TRANSPORT'!$A$7:$A$50,INTERNES!G24))+(COUNTIF(JSL!$A$7:$A$50,INTERNES!G24))+(COUNTIF(KIFAITOUT!$A$7:$A$50,INTERNES!G24))+(COUNTIF('LUXE DRIVE'!$A$7:$A$50,INTERNES!G24))+(COUNTIF(SSN!$A$7:$A$50,INTERNES!G24))+(COUNTIF('W3'!$A$7:$A$50,INTERNES!G24))+(COUNTIF('ATHIS MONS'!$A$7:$A$50,INTERNES!G24))+(COUNTIF('L HAY LES ROSES'!$A$7:$A$50,INTERNES!G24))+(COUNTIF(RUNGIS!$A$7:$A$50,INTERNES!G24))+(COUNTIF(SCEAUX!$A$7:$A$50,INTERNES!G24))+(COUNTIF('INSTANCE C1'!$A$7:$A$50,INTERNES!G24))+(COUNTIF('INSTANCE C2'!$A$7:$A$50,INTERNES!G24))+(COUNTIF(INTERNES!$A$7:$A$50,INTERNES!G24))+(COUNTIF('EN PANNE'!$A$7:$A$50,INTERNES!G24))</f>
        <v>0</v>
      </c>
      <c r="J24" s="28">
        <f t="shared" si="4"/>
        <v>0</v>
      </c>
      <c r="K24" s="2"/>
      <c r="L24" s="47"/>
      <c r="M24" s="9"/>
      <c r="N24" s="9"/>
      <c r="O24" s="9"/>
      <c r="P24" s="9"/>
      <c r="S24" s="60">
        <f t="shared" si="1"/>
        <v>0</v>
      </c>
      <c r="T24" s="67">
        <f t="shared" si="2"/>
        <v>0</v>
      </c>
    </row>
    <row r="25" spans="1:20" ht="24.95" customHeight="1" x14ac:dyDescent="0.2">
      <c r="A25" s="20"/>
      <c r="B25" s="23">
        <f>(COUNTIF('2S EXPRESS'!$A$7:$A$50,INTERNES!A25))+(COUNTIF('2 ZT'!$A$7:$A$50,INTERNES!A25))+(COUNTIF('GO TRANSPORT'!$A$7:$A$50,INTERNES!A25))+(COUNTIF('HMZ - KAIS'!$A$7:$A$50,INTERNES!A25))+(COUNTIF('IB TRANSPORT'!$A$7:$A$50,INTERNES!A25))+(COUNTIF(JSL!$A$7:$A$50,INTERNES!A25))+(COUNTIF(KIFAITOUT!$A$7:$A$50,INTERNES!A25))+(COUNTIF('LUXE DRIVE'!$A$7:$A$50,INTERNES!A25))+(COUNTIF(SSN!$A$7:$A$50,INTERNES!A25))+(COUNTIF('W3'!$A$7:$A$50,INTERNES!A25))+(COUNTIF('ATHIS MONS'!$A$7:$A$50,INTERNES!A25))+(COUNTIF('L HAY LES ROSES'!$A$7:$A$50,INTERNES!A25))+(COUNTIF(RUNGIS!$A$7:$A$50,INTERNES!A25))+(COUNTIF(SCEAUX!$A$7:$A$50,INTERNES!A25))+(COUNTIF('INSTANCE C1'!$A$7:$A$50,INTERNES!A25))+(COUNTIF('INSTANCE C2'!$A$7:$A$50,INTERNES!A25))+(COUNTIF(INTERNES!$A$7:$A$50,INTERNES!A25))+(COUNTIF('EN PANNE'!$A$7:$A$50,INTERNES!A25))-C25</f>
        <v>0</v>
      </c>
      <c r="C25" s="23">
        <f>(COUNTIF('2S EXPRESS'!$G$7:$G$50,INTERNES!A25))+(COUNTIF('2 ZT'!$G$7:$G$50,INTERNES!A25))+(COUNTIF('GO TRANSPORT'!$G$7:$G$50,INTERNES!A25))+(COUNTIF(INTERNES!$G$7:$G$50,INTERNES!A25))+(COUNTIF('IB TRANSPORT'!$G$7:$G$50,INTERNES!A25))+(COUNTIF(JSL!$G$7:$G$50,INTERNES!A25))+(COUNTIF(KIFAITOUT!$G$7:$G$50,INTERNES!A25))+(COUNTIF('LUXE DRIVE'!$G$7:$G$50,INTERNES!A25))+(COUNTIF(SSN!$G$7:$G$50,INTERNES!A25))+(COUNTIF('W3'!$G$7:$G$50,INTERNES!A25))+(COUNTIF('ATHIS MONS'!$G$7:$G$50,INTERNES!A25))+(COUNTIF('L HAY LES ROSES'!$G$7:$G$50,INTERNES!A25))+(COUNTIF(RUNGIS!$G$7:$G$50,INTERNES!A25))+(COUNTIF(SCEAUX!$G$7:$G$50,INTERNES!A25))+(COUNTIF('INSTANCE C1'!$G$7:$G$50,INTERNES!A25))+(COUNTIF('INSTANCE C2'!$G$7:$G$50,INTERNES!A25))+(COUNTIF(INTERNES!$G$7:$G$50,INTERNES!A25))+(COUNTIF('EN PANNE'!$G$7:$G$50,INTERNES!A25))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EXPRESS'!$G$7:$G$50,INTERNES!G25))+(COUNTIF('2 ZT'!$G$7:$G$50,INTERNES!G25))+(COUNTIF('GO TRANSPORT'!$G$7:$G$50,INTERNES!G25))+(COUNTIF('HMZ - KAIS'!$G$7:$G$50,INTERNES!G25))+(COUNTIF('IB TRANSPORT'!$G$7:$G$50,INTERNES!G25))+(COUNTIF(JSL!$G$7:$G$50,INTERNES!G25))+(COUNTIF(KIFAITOUT!$G$7:$G$50,INTERNES!G25))+(COUNTIF('LUXE DRIVE'!$G$7:$G$50,INTERNES!G25))+(COUNTIF(SSN!$G$7:$G$50,INTERNES!G25))+(COUNTIF('W3'!$G$7:$G$50,INTERNES!G25))+(COUNTIF('ATHIS MONS'!$G$7:$G$50,INTERNES!G25))+(COUNTIF('L HAY LES ROSES'!$G$7:$G$50,INTERNES!G25))+(COUNTIF(RUNGIS!$G$7:$G$50,INTERNES!G25))+(COUNTIF(SCEAUX!$G$7:$G$50,INTERNES!G25))+(COUNTIF('INSTANCE C1'!$G$7:$G$50,INTERNES!G25))+(COUNTIF('INSTANCE C2'!$G$7:$G$50,INTERNES!G25))+(COUNTIF(INTERNES!$G$7:$G$50,INTERNES!G25))+(COUNTIF('EN PANNE'!$G$7:$G$50,INTERNES!G25))-I25</f>
        <v>0</v>
      </c>
      <c r="I25" s="23">
        <f>(COUNTIF('2S EXPRESS'!$A$7:$A$50,INTERNES!G25))+(COUNTIF('2 ZT'!$A$7:$A$50,INTERNES!G25))+(COUNTIF('GO TRANSPORT'!$A$7:$A$50,INTERNES!G25))+(COUNTIF('HMZ - KAIS'!$A$7:$A$50,INTERNES!G25))+(COUNTIF('IB TRANSPORT'!$A$7:$A$50,INTERNES!G25))+(COUNTIF(JSL!$A$7:$A$50,INTERNES!G25))+(COUNTIF(KIFAITOUT!$A$7:$A$50,INTERNES!G25))+(COUNTIF('LUXE DRIVE'!$A$7:$A$50,INTERNES!G25))+(COUNTIF(SSN!$A$7:$A$50,INTERNES!G25))+(COUNTIF('W3'!$A$7:$A$50,INTERNES!G25))+(COUNTIF('ATHIS MONS'!$A$7:$A$50,INTERNES!G25))+(COUNTIF('L HAY LES ROSES'!$A$7:$A$50,INTERNES!G25))+(COUNTIF(RUNGIS!$A$7:$A$50,INTERNES!G25))+(COUNTIF(SCEAUX!$A$7:$A$50,INTERNES!G25))+(COUNTIF('INSTANCE C1'!$A$7:$A$50,INTERNES!G25))+(COUNTIF('INSTANCE C2'!$A$7:$A$50,INTERNES!G25))+(COUNTIF(INTERNES!$A$7:$A$50,INTERNES!G25))+(COUNTIF('EN PANNE'!$A$7:$A$50,INTERNES!G25))</f>
        <v>0</v>
      </c>
      <c r="J25" s="28">
        <f t="shared" si="4"/>
        <v>0</v>
      </c>
      <c r="K25" s="2"/>
      <c r="L25" s="47"/>
      <c r="M25" s="9"/>
      <c r="N25" s="9"/>
      <c r="O25" s="9"/>
      <c r="P25" s="9"/>
      <c r="S25" s="60">
        <f t="shared" si="1"/>
        <v>0</v>
      </c>
      <c r="T25" s="67">
        <f t="shared" si="2"/>
        <v>0</v>
      </c>
    </row>
    <row r="26" spans="1:20" ht="24.95" customHeight="1" x14ac:dyDescent="0.2">
      <c r="A26" s="20"/>
      <c r="B26" s="23">
        <f>(COUNTIF('2S EXPRESS'!$A$7:$A$50,INTERNES!A26))+(COUNTIF('2 ZT'!$A$7:$A$50,INTERNES!A26))+(COUNTIF('GO TRANSPORT'!$A$7:$A$50,INTERNES!A26))+(COUNTIF('HMZ - KAIS'!$A$7:$A$50,INTERNES!A26))+(COUNTIF('IB TRANSPORT'!$A$7:$A$50,INTERNES!A26))+(COUNTIF(JSL!$A$7:$A$50,INTERNES!A26))+(COUNTIF(KIFAITOUT!$A$7:$A$50,INTERNES!A26))+(COUNTIF('LUXE DRIVE'!$A$7:$A$50,INTERNES!A26))+(COUNTIF(SSN!$A$7:$A$50,INTERNES!A26))+(COUNTIF('W3'!$A$7:$A$50,INTERNES!A26))+(COUNTIF('ATHIS MONS'!$A$7:$A$50,INTERNES!A26))+(COUNTIF('L HAY LES ROSES'!$A$7:$A$50,INTERNES!A26))+(COUNTIF(RUNGIS!$A$7:$A$50,INTERNES!A26))+(COUNTIF(SCEAUX!$A$7:$A$50,INTERNES!A26))+(COUNTIF('INSTANCE C1'!$A$7:$A$50,INTERNES!A26))+(COUNTIF('INSTANCE C2'!$A$7:$A$50,INTERNES!A26))+(COUNTIF(INTERNES!$A$7:$A$50,INTERNES!A26))+(COUNTIF('EN PANNE'!$A$7:$A$50,INTERNES!A26))-C26</f>
        <v>0</v>
      </c>
      <c r="C26" s="23">
        <f>(COUNTIF('2S EXPRESS'!$G$7:$G$50,INTERNES!A26))+(COUNTIF('2 ZT'!$G$7:$G$50,INTERNES!A26))+(COUNTIF('GO TRANSPORT'!$G$7:$G$50,INTERNES!A26))+(COUNTIF(INTERNES!$G$7:$G$50,INTERNES!A26))+(COUNTIF('IB TRANSPORT'!$G$7:$G$50,INTERNES!A26))+(COUNTIF(JSL!$G$7:$G$50,INTERNES!A26))+(COUNTIF(KIFAITOUT!$G$7:$G$50,INTERNES!A26))+(COUNTIF('LUXE DRIVE'!$G$7:$G$50,INTERNES!A26))+(COUNTIF(SSN!$G$7:$G$50,INTERNES!A26))+(COUNTIF('W3'!$G$7:$G$50,INTERNES!A26))+(COUNTIF('ATHIS MONS'!$G$7:$G$50,INTERNES!A26))+(COUNTIF('L HAY LES ROSES'!$G$7:$G$50,INTERNES!A26))+(COUNTIF(RUNGIS!$G$7:$G$50,INTERNES!A26))+(COUNTIF(SCEAUX!$G$7:$G$50,INTERNES!A26))+(COUNTIF('INSTANCE C1'!$G$7:$G$50,INTERNES!A26))+(COUNTIF('INSTANCE C2'!$G$7:$G$50,INTERNES!A26))+(COUNTIF(INTERNES!$G$7:$G$50,INTERNES!A26))+(COUNTIF('EN PANNE'!$G$7:$G$50,INTERNES!A26))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EXPRESS'!$G$7:$G$50,INTERNES!G26))+(COUNTIF('2 ZT'!$G$7:$G$50,INTERNES!G26))+(COUNTIF('GO TRANSPORT'!$G$7:$G$50,INTERNES!G26))+(COUNTIF('HMZ - KAIS'!$G$7:$G$50,INTERNES!G26))+(COUNTIF('IB TRANSPORT'!$G$7:$G$50,INTERNES!G26))+(COUNTIF(JSL!$G$7:$G$50,INTERNES!G26))+(COUNTIF(KIFAITOUT!$G$7:$G$50,INTERNES!G26))+(COUNTIF('LUXE DRIVE'!$G$7:$G$50,INTERNES!G26))+(COUNTIF(SSN!$G$7:$G$50,INTERNES!G26))+(COUNTIF('W3'!$G$7:$G$50,INTERNES!G26))+(COUNTIF('ATHIS MONS'!$G$7:$G$50,INTERNES!G26))+(COUNTIF('L HAY LES ROSES'!$G$7:$G$50,INTERNES!G26))+(COUNTIF(RUNGIS!$G$7:$G$50,INTERNES!G26))+(COUNTIF(SCEAUX!$G$7:$G$50,INTERNES!G26))+(COUNTIF('INSTANCE C1'!$G$7:$G$50,INTERNES!G26))+(COUNTIF('INSTANCE C2'!$G$7:$G$50,INTERNES!G26))+(COUNTIF(INTERNES!$G$7:$G$50,INTERNES!G26))+(COUNTIF('EN PANNE'!$G$7:$G$50,INTERNES!G26))-I26</f>
        <v>0</v>
      </c>
      <c r="I26" s="23">
        <f>(COUNTIF('2S EXPRESS'!$A$7:$A$50,INTERNES!G26))+(COUNTIF('2 ZT'!$A$7:$A$50,INTERNES!G26))+(COUNTIF('GO TRANSPORT'!$A$7:$A$50,INTERNES!G26))+(COUNTIF('HMZ - KAIS'!$A$7:$A$50,INTERNES!G26))+(COUNTIF('IB TRANSPORT'!$A$7:$A$50,INTERNES!G26))+(COUNTIF(JSL!$A$7:$A$50,INTERNES!G26))+(COUNTIF(KIFAITOUT!$A$7:$A$50,INTERNES!G26))+(COUNTIF('LUXE DRIVE'!$A$7:$A$50,INTERNES!G26))+(COUNTIF(SSN!$A$7:$A$50,INTERNES!G26))+(COUNTIF('W3'!$A$7:$A$50,INTERNES!G26))+(COUNTIF('ATHIS MONS'!$A$7:$A$50,INTERNES!G26))+(COUNTIF('L HAY LES ROSES'!$A$7:$A$50,INTERNES!G26))+(COUNTIF(RUNGIS!$A$7:$A$50,INTERNES!G26))+(COUNTIF(SCEAUX!$A$7:$A$50,INTERNES!G26))+(COUNTIF('INSTANCE C1'!$A$7:$A$50,INTERNES!G26))+(COUNTIF('INSTANCE C2'!$A$7:$A$50,INTERNES!G26))+(COUNTIF(INTERNES!$A$7:$A$50,INTERNES!G26))+(COUNTIF('EN PANNE'!$A$7:$A$50,INTERNES!G26))</f>
        <v>0</v>
      </c>
      <c r="J26" s="28">
        <f t="shared" si="4"/>
        <v>0</v>
      </c>
      <c r="K26" s="2"/>
      <c r="L26" s="47"/>
      <c r="M26" s="9"/>
      <c r="N26" s="9"/>
      <c r="O26" s="9"/>
      <c r="P26" s="9"/>
      <c r="S26" s="60">
        <f t="shared" si="1"/>
        <v>0</v>
      </c>
      <c r="T26" s="67">
        <f t="shared" si="2"/>
        <v>0</v>
      </c>
    </row>
    <row r="27" spans="1:20" ht="24.95" customHeight="1" x14ac:dyDescent="0.2">
      <c r="A27" s="20"/>
      <c r="B27" s="23">
        <f>(COUNTIF('2S EXPRESS'!$A$7:$A$50,INTERNES!A27))+(COUNTIF('2 ZT'!$A$7:$A$50,INTERNES!A27))+(COUNTIF('GO TRANSPORT'!$A$7:$A$50,INTERNES!A27))+(COUNTIF('HMZ - KAIS'!$A$7:$A$50,INTERNES!A27))+(COUNTIF('IB TRANSPORT'!$A$7:$A$50,INTERNES!A27))+(COUNTIF(JSL!$A$7:$A$50,INTERNES!A27))+(COUNTIF(KIFAITOUT!$A$7:$A$50,INTERNES!A27))+(COUNTIF('LUXE DRIVE'!$A$7:$A$50,INTERNES!A27))+(COUNTIF(SSN!$A$7:$A$50,INTERNES!A27))+(COUNTIF('W3'!$A$7:$A$50,INTERNES!A27))+(COUNTIF('ATHIS MONS'!$A$7:$A$50,INTERNES!A27))+(COUNTIF('L HAY LES ROSES'!$A$7:$A$50,INTERNES!A27))+(COUNTIF(RUNGIS!$A$7:$A$50,INTERNES!A27))+(COUNTIF(SCEAUX!$A$7:$A$50,INTERNES!A27))+(COUNTIF('INSTANCE C1'!$A$7:$A$50,INTERNES!A27))+(COUNTIF('INSTANCE C2'!$A$7:$A$50,INTERNES!A27))+(COUNTIF(INTERNES!$A$7:$A$50,INTERNES!A27))+(COUNTIF('EN PANNE'!$A$7:$A$50,INTERNES!A27))-C27</f>
        <v>0</v>
      </c>
      <c r="C27" s="23">
        <f>(COUNTIF('2S EXPRESS'!$G$7:$G$50,INTERNES!A27))+(COUNTIF('2 ZT'!$G$7:$G$50,INTERNES!A27))+(COUNTIF('GO TRANSPORT'!$G$7:$G$50,INTERNES!A27))+(COUNTIF(INTERNES!$G$7:$G$50,INTERNES!A27))+(COUNTIF('IB TRANSPORT'!$G$7:$G$50,INTERNES!A27))+(COUNTIF(JSL!$G$7:$G$50,INTERNES!A27))+(COUNTIF(KIFAITOUT!$G$7:$G$50,INTERNES!A27))+(COUNTIF('LUXE DRIVE'!$G$7:$G$50,INTERNES!A27))+(COUNTIF(SSN!$G$7:$G$50,INTERNES!A27))+(COUNTIF('W3'!$G$7:$G$50,INTERNES!A27))+(COUNTIF('ATHIS MONS'!$G$7:$G$50,INTERNES!A27))+(COUNTIF('L HAY LES ROSES'!$G$7:$G$50,INTERNES!A27))+(COUNTIF(RUNGIS!$G$7:$G$50,INTERNES!A27))+(COUNTIF(SCEAUX!$G$7:$G$50,INTERNES!A27))+(COUNTIF('INSTANCE C1'!$G$7:$G$50,INTERNES!A27))+(COUNTIF('INSTANCE C2'!$G$7:$G$50,INTERNES!A27))+(COUNTIF(INTERNES!$G$7:$G$50,INTERNES!A27))+(COUNTIF('EN PANNE'!$G$7:$G$50,INTERNES!A27))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EXPRESS'!$G$7:$G$50,INTERNES!G27))+(COUNTIF('2 ZT'!$G$7:$G$50,INTERNES!G27))+(COUNTIF('GO TRANSPORT'!$G$7:$G$50,INTERNES!G27))+(COUNTIF('HMZ - KAIS'!$G$7:$G$50,INTERNES!G27))+(COUNTIF('IB TRANSPORT'!$G$7:$G$50,INTERNES!G27))+(COUNTIF(JSL!$G$7:$G$50,INTERNES!G27))+(COUNTIF(KIFAITOUT!$G$7:$G$50,INTERNES!G27))+(COUNTIF('LUXE DRIVE'!$G$7:$G$50,INTERNES!G27))+(COUNTIF(SSN!$G$7:$G$50,INTERNES!G27))+(COUNTIF('W3'!$G$7:$G$50,INTERNES!G27))+(COUNTIF('ATHIS MONS'!$G$7:$G$50,INTERNES!G27))+(COUNTIF('L HAY LES ROSES'!$G$7:$G$50,INTERNES!G27))+(COUNTIF(RUNGIS!$G$7:$G$50,INTERNES!G27))+(COUNTIF(SCEAUX!$G$7:$G$50,INTERNES!G27))+(COUNTIF('INSTANCE C1'!$G$7:$G$50,INTERNES!G27))+(COUNTIF('INSTANCE C2'!$G$7:$G$50,INTERNES!G27))+(COUNTIF(INTERNES!$G$7:$G$50,INTERNES!G27))+(COUNTIF('EN PANNE'!$G$7:$G$50,INTERNES!G27))-I27</f>
        <v>0</v>
      </c>
      <c r="I27" s="23">
        <f>(COUNTIF('2S EXPRESS'!$A$7:$A$50,INTERNES!G27))+(COUNTIF('2 ZT'!$A$7:$A$50,INTERNES!G27))+(COUNTIF('GO TRANSPORT'!$A$7:$A$50,INTERNES!G27))+(COUNTIF('HMZ - KAIS'!$A$7:$A$50,INTERNES!G27))+(COUNTIF('IB TRANSPORT'!$A$7:$A$50,INTERNES!G27))+(COUNTIF(JSL!$A$7:$A$50,INTERNES!G27))+(COUNTIF(KIFAITOUT!$A$7:$A$50,INTERNES!G27))+(COUNTIF('LUXE DRIVE'!$A$7:$A$50,INTERNES!G27))+(COUNTIF(SSN!$A$7:$A$50,INTERNES!G27))+(COUNTIF('W3'!$A$7:$A$50,INTERNES!G27))+(COUNTIF('ATHIS MONS'!$A$7:$A$50,INTERNES!G27))+(COUNTIF('L HAY LES ROSES'!$A$7:$A$50,INTERNES!G27))+(COUNTIF(RUNGIS!$A$7:$A$50,INTERNES!G27))+(COUNTIF(SCEAUX!$A$7:$A$50,INTERNES!G27))+(COUNTIF('INSTANCE C1'!$A$7:$A$50,INTERNES!G27))+(COUNTIF('INSTANCE C2'!$A$7:$A$50,INTERNES!G27))+(COUNTIF(INTERNES!$A$7:$A$50,INTERNES!G27))+(COUNTIF('EN PANNE'!$A$7:$A$50,INTERNES!G27))</f>
        <v>0</v>
      </c>
      <c r="J27" s="28">
        <f t="shared" si="4"/>
        <v>0</v>
      </c>
      <c r="K27" s="2"/>
      <c r="L27" s="47"/>
      <c r="M27" s="9"/>
      <c r="N27" s="9"/>
      <c r="O27" s="9"/>
      <c r="P27" s="9"/>
      <c r="S27" s="60">
        <f t="shared" si="1"/>
        <v>0</v>
      </c>
      <c r="T27" s="67">
        <f t="shared" si="2"/>
        <v>0</v>
      </c>
    </row>
    <row r="28" spans="1:20" ht="24.95" customHeight="1" x14ac:dyDescent="0.2">
      <c r="A28" s="20"/>
      <c r="B28" s="23">
        <f>(COUNTIF('2S EXPRESS'!$A$7:$A$50,INTERNES!A28))+(COUNTIF('2 ZT'!$A$7:$A$50,INTERNES!A28))+(COUNTIF('GO TRANSPORT'!$A$7:$A$50,INTERNES!A28))+(COUNTIF('HMZ - KAIS'!$A$7:$A$50,INTERNES!A28))+(COUNTIF('IB TRANSPORT'!$A$7:$A$50,INTERNES!A28))+(COUNTIF(JSL!$A$7:$A$50,INTERNES!A28))+(COUNTIF(KIFAITOUT!$A$7:$A$50,INTERNES!A28))+(COUNTIF('LUXE DRIVE'!$A$7:$A$50,INTERNES!A28))+(COUNTIF(SSN!$A$7:$A$50,INTERNES!A28))+(COUNTIF('W3'!$A$7:$A$50,INTERNES!A28))+(COUNTIF('ATHIS MONS'!$A$7:$A$50,INTERNES!A28))+(COUNTIF('L HAY LES ROSES'!$A$7:$A$50,INTERNES!A28))+(COUNTIF(RUNGIS!$A$7:$A$50,INTERNES!A28))+(COUNTIF(SCEAUX!$A$7:$A$50,INTERNES!A28))+(COUNTIF('INSTANCE C1'!$A$7:$A$50,INTERNES!A28))+(COUNTIF('INSTANCE C2'!$A$7:$A$50,INTERNES!A28))+(COUNTIF(INTERNES!$A$7:$A$50,INTERNES!A28))+(COUNTIF('EN PANNE'!$A$7:$A$50,INTERNES!A28))-C28</f>
        <v>0</v>
      </c>
      <c r="C28" s="23">
        <f>(COUNTIF('2S EXPRESS'!$G$7:$G$50,INTERNES!A28))+(COUNTIF('2 ZT'!$G$7:$G$50,INTERNES!A28))+(COUNTIF('GO TRANSPORT'!$G$7:$G$50,INTERNES!A28))+(COUNTIF(INTERNES!$G$7:$G$50,INTERNES!A28))+(COUNTIF('IB TRANSPORT'!$G$7:$G$50,INTERNES!A28))+(COUNTIF(JSL!$G$7:$G$50,INTERNES!A28))+(COUNTIF(KIFAITOUT!$G$7:$G$50,INTERNES!A28))+(COUNTIF('LUXE DRIVE'!$G$7:$G$50,INTERNES!A28))+(COUNTIF(SSN!$G$7:$G$50,INTERNES!A28))+(COUNTIF('W3'!$G$7:$G$50,INTERNES!A28))+(COUNTIF('ATHIS MONS'!$G$7:$G$50,INTERNES!A28))+(COUNTIF('L HAY LES ROSES'!$G$7:$G$50,INTERNES!A28))+(COUNTIF(RUNGIS!$G$7:$G$50,INTERNES!A28))+(COUNTIF(SCEAUX!$G$7:$G$50,INTERNES!A28))+(COUNTIF('INSTANCE C1'!$G$7:$G$50,INTERNES!A28))+(COUNTIF('INSTANCE C2'!$G$7:$G$50,INTERNES!A28))+(COUNTIF(INTERNES!$G$7:$G$50,INTERNES!A28))+(COUNTIF('EN PANNE'!$G$7:$G$50,INTERNES!A28))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EXPRESS'!$G$7:$G$50,INTERNES!G28))+(COUNTIF('2 ZT'!$G$7:$G$50,INTERNES!G28))+(COUNTIF('GO TRANSPORT'!$G$7:$G$50,INTERNES!G28))+(COUNTIF('HMZ - KAIS'!$G$7:$G$50,INTERNES!G28))+(COUNTIF('IB TRANSPORT'!$G$7:$G$50,INTERNES!G28))+(COUNTIF(JSL!$G$7:$G$50,INTERNES!G28))+(COUNTIF(KIFAITOUT!$G$7:$G$50,INTERNES!G28))+(COUNTIF('LUXE DRIVE'!$G$7:$G$50,INTERNES!G28))+(COUNTIF(SSN!$G$7:$G$50,INTERNES!G28))+(COUNTIF('W3'!$G$7:$G$50,INTERNES!G28))+(COUNTIF('ATHIS MONS'!$G$7:$G$50,INTERNES!G28))+(COUNTIF('L HAY LES ROSES'!$G$7:$G$50,INTERNES!G28))+(COUNTIF(RUNGIS!$G$7:$G$50,INTERNES!G28))+(COUNTIF(SCEAUX!$G$7:$G$50,INTERNES!G28))+(COUNTIF('INSTANCE C1'!$G$7:$G$50,INTERNES!G28))+(COUNTIF('INSTANCE C2'!$G$7:$G$50,INTERNES!G28))+(COUNTIF(INTERNES!$G$7:$G$50,INTERNES!G28))+(COUNTIF('EN PANNE'!$G$7:$G$50,INTERNES!G28))-I28</f>
        <v>0</v>
      </c>
      <c r="I28" s="23">
        <f>(COUNTIF('2S EXPRESS'!$A$7:$A$50,INTERNES!G28))+(COUNTIF('2 ZT'!$A$7:$A$50,INTERNES!G28))+(COUNTIF('GO TRANSPORT'!$A$7:$A$50,INTERNES!G28))+(COUNTIF('HMZ - KAIS'!$A$7:$A$50,INTERNES!G28))+(COUNTIF('IB TRANSPORT'!$A$7:$A$50,INTERNES!G28))+(COUNTIF(JSL!$A$7:$A$50,INTERNES!G28))+(COUNTIF(KIFAITOUT!$A$7:$A$50,INTERNES!G28))+(COUNTIF('LUXE DRIVE'!$A$7:$A$50,INTERNES!G28))+(COUNTIF(SSN!$A$7:$A$50,INTERNES!G28))+(COUNTIF('W3'!$A$7:$A$50,INTERNES!G28))+(COUNTIF('ATHIS MONS'!$A$7:$A$50,INTERNES!G28))+(COUNTIF('L HAY LES ROSES'!$A$7:$A$50,INTERNES!G28))+(COUNTIF(RUNGIS!$A$7:$A$50,INTERNES!G28))+(COUNTIF(SCEAUX!$A$7:$A$50,INTERNES!G28))+(COUNTIF('INSTANCE C1'!$A$7:$A$50,INTERNES!G28))+(COUNTIF('INSTANCE C2'!$A$7:$A$50,INTERNES!G28))+(COUNTIF(INTERNES!$A$7:$A$50,INTERNES!G28))+(COUNTIF('EN PANNE'!$A$7:$A$50,INTERNES!G28))</f>
        <v>0</v>
      </c>
      <c r="J28" s="28">
        <f t="shared" si="4"/>
        <v>0</v>
      </c>
      <c r="K28" s="2"/>
      <c r="L28" s="47"/>
      <c r="M28" s="9"/>
      <c r="N28" s="9"/>
      <c r="O28" s="9"/>
      <c r="P28" s="9"/>
      <c r="S28" s="60">
        <f t="shared" si="1"/>
        <v>0</v>
      </c>
      <c r="T28" s="67">
        <f t="shared" si="2"/>
        <v>0</v>
      </c>
    </row>
    <row r="29" spans="1:20" ht="24.95" customHeight="1" x14ac:dyDescent="0.2">
      <c r="A29" s="20"/>
      <c r="B29" s="23">
        <f>(COUNTIF('2S EXPRESS'!$A$7:$A$50,INTERNES!A29))+(COUNTIF('2 ZT'!$A$7:$A$50,INTERNES!A29))+(COUNTIF('GO TRANSPORT'!$A$7:$A$50,INTERNES!A29))+(COUNTIF('HMZ - KAIS'!$A$7:$A$50,INTERNES!A29))+(COUNTIF('IB TRANSPORT'!$A$7:$A$50,INTERNES!A29))+(COUNTIF(JSL!$A$7:$A$50,INTERNES!A29))+(COUNTIF(KIFAITOUT!$A$7:$A$50,INTERNES!A29))+(COUNTIF('LUXE DRIVE'!$A$7:$A$50,INTERNES!A29))+(COUNTIF(SSN!$A$7:$A$50,INTERNES!A29))+(COUNTIF('W3'!$A$7:$A$50,INTERNES!A29))+(COUNTIF('ATHIS MONS'!$A$7:$A$50,INTERNES!A29))+(COUNTIF('L HAY LES ROSES'!$A$7:$A$50,INTERNES!A29))+(COUNTIF(RUNGIS!$A$7:$A$50,INTERNES!A29))+(COUNTIF(SCEAUX!$A$7:$A$50,INTERNES!A29))+(COUNTIF('INSTANCE C1'!$A$7:$A$50,INTERNES!A29))+(COUNTIF('INSTANCE C2'!$A$7:$A$50,INTERNES!A29))+(COUNTIF(INTERNES!$A$7:$A$50,INTERNES!A29))+(COUNTIF('EN PANNE'!$A$7:$A$50,INTERNES!A29))-C29</f>
        <v>0</v>
      </c>
      <c r="C29" s="23">
        <f>(COUNTIF('2S EXPRESS'!$G$7:$G$50,INTERNES!A29))+(COUNTIF('2 ZT'!$G$7:$G$50,INTERNES!A29))+(COUNTIF('GO TRANSPORT'!$G$7:$G$50,INTERNES!A29))+(COUNTIF(INTERNES!$G$7:$G$50,INTERNES!A29))+(COUNTIF('IB TRANSPORT'!$G$7:$G$50,INTERNES!A29))+(COUNTIF(JSL!$G$7:$G$50,INTERNES!A29))+(COUNTIF(KIFAITOUT!$G$7:$G$50,INTERNES!A29))+(COUNTIF('LUXE DRIVE'!$G$7:$G$50,INTERNES!A29))+(COUNTIF(SSN!$G$7:$G$50,INTERNES!A29))+(COUNTIF('W3'!$G$7:$G$50,INTERNES!A29))+(COUNTIF('ATHIS MONS'!$G$7:$G$50,INTERNES!A29))+(COUNTIF('L HAY LES ROSES'!$G$7:$G$50,INTERNES!A29))+(COUNTIF(RUNGIS!$G$7:$G$50,INTERNES!A29))+(COUNTIF(SCEAUX!$G$7:$G$50,INTERNES!A29))+(COUNTIF('INSTANCE C1'!$G$7:$G$50,INTERNES!A29))+(COUNTIF('INSTANCE C2'!$G$7:$G$50,INTERNES!A29))+(COUNTIF(INTERNES!$G$7:$G$50,INTERNES!A29))+(COUNTIF('EN PANNE'!$G$7:$G$50,INTERNES!A29))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EXPRESS'!$G$7:$G$50,INTERNES!G29))+(COUNTIF('2 ZT'!$G$7:$G$50,INTERNES!G29))+(COUNTIF('GO TRANSPORT'!$G$7:$G$50,INTERNES!G29))+(COUNTIF('HMZ - KAIS'!$G$7:$G$50,INTERNES!G29))+(COUNTIF('IB TRANSPORT'!$G$7:$G$50,INTERNES!G29))+(COUNTIF(JSL!$G$7:$G$50,INTERNES!G29))+(COUNTIF(KIFAITOUT!$G$7:$G$50,INTERNES!G29))+(COUNTIF('LUXE DRIVE'!$G$7:$G$50,INTERNES!G29))+(COUNTIF(SSN!$G$7:$G$50,INTERNES!G29))+(COUNTIF('W3'!$G$7:$G$50,INTERNES!G29))+(COUNTIF('ATHIS MONS'!$G$7:$G$50,INTERNES!G29))+(COUNTIF('L HAY LES ROSES'!$G$7:$G$50,INTERNES!G29))+(COUNTIF(RUNGIS!$G$7:$G$50,INTERNES!G29))+(COUNTIF(SCEAUX!$G$7:$G$50,INTERNES!G29))+(COUNTIF('INSTANCE C1'!$G$7:$G$50,INTERNES!G29))+(COUNTIF('INSTANCE C2'!$G$7:$G$50,INTERNES!G29))+(COUNTIF(INTERNES!$G$7:$G$50,INTERNES!G29))+(COUNTIF('EN PANNE'!$G$7:$G$50,INTERNES!G29))-I29</f>
        <v>0</v>
      </c>
      <c r="I29" s="23">
        <f>(COUNTIF('2S EXPRESS'!$A$7:$A$50,INTERNES!G29))+(COUNTIF('2 ZT'!$A$7:$A$50,INTERNES!G29))+(COUNTIF('GO TRANSPORT'!$A$7:$A$50,INTERNES!G29))+(COUNTIF('HMZ - KAIS'!$A$7:$A$50,INTERNES!G29))+(COUNTIF('IB TRANSPORT'!$A$7:$A$50,INTERNES!G29))+(COUNTIF(JSL!$A$7:$A$50,INTERNES!G29))+(COUNTIF(KIFAITOUT!$A$7:$A$50,INTERNES!G29))+(COUNTIF('LUXE DRIVE'!$A$7:$A$50,INTERNES!G29))+(COUNTIF(SSN!$A$7:$A$50,INTERNES!G29))+(COUNTIF('W3'!$A$7:$A$50,INTERNES!G29))+(COUNTIF('ATHIS MONS'!$A$7:$A$50,INTERNES!G29))+(COUNTIF('L HAY LES ROSES'!$A$7:$A$50,INTERNES!G29))+(COUNTIF(RUNGIS!$A$7:$A$50,INTERNES!G29))+(COUNTIF(SCEAUX!$A$7:$A$50,INTERNES!G29))+(COUNTIF('INSTANCE C1'!$A$7:$A$50,INTERNES!G29))+(COUNTIF('INSTANCE C2'!$A$7:$A$50,INTERNES!G29))+(COUNTIF(INTERNES!$A$7:$A$50,INTERNES!G29))+(COUNTIF('EN PANNE'!$A$7:$A$50,INTERNES!G29))</f>
        <v>0</v>
      </c>
      <c r="J29" s="28">
        <f t="shared" si="4"/>
        <v>0</v>
      </c>
      <c r="K29" s="2"/>
      <c r="L29" s="47"/>
      <c r="M29" s="9"/>
      <c r="N29" s="9"/>
      <c r="O29" s="9"/>
      <c r="P29" s="9"/>
      <c r="S29" s="60">
        <f t="shared" si="1"/>
        <v>0</v>
      </c>
      <c r="T29" s="67">
        <f t="shared" si="2"/>
        <v>0</v>
      </c>
    </row>
    <row r="30" spans="1:20" ht="24.95" customHeight="1" x14ac:dyDescent="0.2">
      <c r="A30" s="20"/>
      <c r="B30" s="23">
        <f>(COUNTIF('2S EXPRESS'!$A$7:$A$50,INTERNES!A30))+(COUNTIF('2 ZT'!$A$7:$A$50,INTERNES!A30))+(COUNTIF('GO TRANSPORT'!$A$7:$A$50,INTERNES!A30))+(COUNTIF('HMZ - KAIS'!$A$7:$A$50,INTERNES!A30))+(COUNTIF('IB TRANSPORT'!$A$7:$A$50,INTERNES!A30))+(COUNTIF(JSL!$A$7:$A$50,INTERNES!A30))+(COUNTIF(KIFAITOUT!$A$7:$A$50,INTERNES!A30))+(COUNTIF('LUXE DRIVE'!$A$7:$A$50,INTERNES!A30))+(COUNTIF(SSN!$A$7:$A$50,INTERNES!A30))+(COUNTIF('W3'!$A$7:$A$50,INTERNES!A30))+(COUNTIF('ATHIS MONS'!$A$7:$A$50,INTERNES!A30))+(COUNTIF('L HAY LES ROSES'!$A$7:$A$50,INTERNES!A30))+(COUNTIF(RUNGIS!$A$7:$A$50,INTERNES!A30))+(COUNTIF(SCEAUX!$A$7:$A$50,INTERNES!A30))+(COUNTIF('INSTANCE C1'!$A$7:$A$50,INTERNES!A30))+(COUNTIF('INSTANCE C2'!$A$7:$A$50,INTERNES!A30))+(COUNTIF(INTERNES!$A$7:$A$50,INTERNES!A30))+(COUNTIF('EN PANNE'!$A$7:$A$50,INTERNES!A30))-C30</f>
        <v>0</v>
      </c>
      <c r="C30" s="23">
        <f>(COUNTIF('2S EXPRESS'!$G$7:$G$50,INTERNES!A30))+(COUNTIF('2 ZT'!$G$7:$G$50,INTERNES!A30))+(COUNTIF('GO TRANSPORT'!$G$7:$G$50,INTERNES!A30))+(COUNTIF(INTERNES!$G$7:$G$50,INTERNES!A30))+(COUNTIF('IB TRANSPORT'!$G$7:$G$50,INTERNES!A30))+(COUNTIF(JSL!$G$7:$G$50,INTERNES!A30))+(COUNTIF(KIFAITOUT!$G$7:$G$50,INTERNES!A30))+(COUNTIF('LUXE DRIVE'!$G$7:$G$50,INTERNES!A30))+(COUNTIF(SSN!$G$7:$G$50,INTERNES!A30))+(COUNTIF('W3'!$G$7:$G$50,INTERNES!A30))+(COUNTIF('ATHIS MONS'!$G$7:$G$50,INTERNES!A30))+(COUNTIF('L HAY LES ROSES'!$G$7:$G$50,INTERNES!A30))+(COUNTIF(RUNGIS!$G$7:$G$50,INTERNES!A30))+(COUNTIF(SCEAUX!$G$7:$G$50,INTERNES!A30))+(COUNTIF('INSTANCE C1'!$G$7:$G$50,INTERNES!A30))+(COUNTIF('INSTANCE C2'!$G$7:$G$50,INTERNES!A30))+(COUNTIF(INTERNES!$G$7:$G$50,INTERNES!A30))+(COUNTIF('EN PANNE'!$G$7:$G$50,INTERNES!A30))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EXPRESS'!$G$7:$G$50,INTERNES!G30))+(COUNTIF('2 ZT'!$G$7:$G$50,INTERNES!G30))+(COUNTIF('GO TRANSPORT'!$G$7:$G$50,INTERNES!G30))+(COUNTIF('HMZ - KAIS'!$G$7:$G$50,INTERNES!G30))+(COUNTIF('IB TRANSPORT'!$G$7:$G$50,INTERNES!G30))+(COUNTIF(JSL!$G$7:$G$50,INTERNES!G30))+(COUNTIF(KIFAITOUT!$G$7:$G$50,INTERNES!G30))+(COUNTIF('LUXE DRIVE'!$G$7:$G$50,INTERNES!G30))+(COUNTIF(SSN!$G$7:$G$50,INTERNES!G30))+(COUNTIF('W3'!$G$7:$G$50,INTERNES!G30))+(COUNTIF('ATHIS MONS'!$G$7:$G$50,INTERNES!G30))+(COUNTIF('L HAY LES ROSES'!$G$7:$G$50,INTERNES!G30))+(COUNTIF(RUNGIS!$G$7:$G$50,INTERNES!G30))+(COUNTIF(SCEAUX!$G$7:$G$50,INTERNES!G30))+(COUNTIF('INSTANCE C1'!$G$7:$G$50,INTERNES!G30))+(COUNTIF('INSTANCE C2'!$G$7:$G$50,INTERNES!G30))+(COUNTIF(INTERNES!$G$7:$G$50,INTERNES!G30))+(COUNTIF('EN PANNE'!$G$7:$G$50,INTERNES!G30))-I30</f>
        <v>0</v>
      </c>
      <c r="I30" s="23">
        <f>(COUNTIF('2S EXPRESS'!$A$7:$A$50,INTERNES!G30))+(COUNTIF('2 ZT'!$A$7:$A$50,INTERNES!G30))+(COUNTIF('GO TRANSPORT'!$A$7:$A$50,INTERNES!G30))+(COUNTIF('HMZ - KAIS'!$A$7:$A$50,INTERNES!G30))+(COUNTIF('IB TRANSPORT'!$A$7:$A$50,INTERNES!G30))+(COUNTIF(JSL!$A$7:$A$50,INTERNES!G30))+(COUNTIF(KIFAITOUT!$A$7:$A$50,INTERNES!G30))+(COUNTIF('LUXE DRIVE'!$A$7:$A$50,INTERNES!G30))+(COUNTIF(SSN!$A$7:$A$50,INTERNES!G30))+(COUNTIF('W3'!$A$7:$A$50,INTERNES!G30))+(COUNTIF('ATHIS MONS'!$A$7:$A$50,INTERNES!G30))+(COUNTIF('L HAY LES ROSES'!$A$7:$A$50,INTERNES!G30))+(COUNTIF(RUNGIS!$A$7:$A$50,INTERNES!G30))+(COUNTIF(SCEAUX!$A$7:$A$50,INTERNES!G30))+(COUNTIF('INSTANCE C1'!$A$7:$A$50,INTERNES!G30))+(COUNTIF('INSTANCE C2'!$A$7:$A$50,INTERNES!G30))+(COUNTIF(INTERNES!$A$7:$A$50,INTERNES!G30))+(COUNTIF('EN PANNE'!$A$7:$A$50,INTERNES!G30))</f>
        <v>0</v>
      </c>
      <c r="J30" s="28">
        <f t="shared" si="4"/>
        <v>0</v>
      </c>
      <c r="K30" s="2"/>
      <c r="L30" s="47"/>
      <c r="M30" s="9"/>
      <c r="N30" s="9"/>
      <c r="O30" s="9"/>
      <c r="P30" s="9"/>
      <c r="S30" s="60">
        <f t="shared" si="1"/>
        <v>0</v>
      </c>
      <c r="T30" s="67">
        <f t="shared" si="2"/>
        <v>0</v>
      </c>
    </row>
    <row r="31" spans="1:20" ht="24.95" customHeight="1" x14ac:dyDescent="0.2">
      <c r="A31" s="20"/>
      <c r="B31" s="23">
        <f>(COUNTIF('2S EXPRESS'!$A$7:$A$50,INTERNES!A31))+(COUNTIF('2 ZT'!$A$7:$A$50,INTERNES!A31))+(COUNTIF('GO TRANSPORT'!$A$7:$A$50,INTERNES!A31))+(COUNTIF('HMZ - KAIS'!$A$7:$A$50,INTERNES!A31))+(COUNTIF('IB TRANSPORT'!$A$7:$A$50,INTERNES!A31))+(COUNTIF(JSL!$A$7:$A$50,INTERNES!A31))+(COUNTIF(KIFAITOUT!$A$7:$A$50,INTERNES!A31))+(COUNTIF('LUXE DRIVE'!$A$7:$A$50,INTERNES!A31))+(COUNTIF(SSN!$A$7:$A$50,INTERNES!A31))+(COUNTIF('W3'!$A$7:$A$50,INTERNES!A31))+(COUNTIF('ATHIS MONS'!$A$7:$A$50,INTERNES!A31))+(COUNTIF('L HAY LES ROSES'!$A$7:$A$50,INTERNES!A31))+(COUNTIF(RUNGIS!$A$7:$A$50,INTERNES!A31))+(COUNTIF(SCEAUX!$A$7:$A$50,INTERNES!A31))+(COUNTIF('INSTANCE C1'!$A$7:$A$50,INTERNES!A31))+(COUNTIF('INSTANCE C2'!$A$7:$A$50,INTERNES!A31))+(COUNTIF(INTERNES!$A$7:$A$50,INTERNES!A31))+(COUNTIF('EN PANNE'!$A$7:$A$50,INTERNES!A31))-C31</f>
        <v>0</v>
      </c>
      <c r="C31" s="23">
        <f>(COUNTIF('2S EXPRESS'!$G$7:$G$50,INTERNES!A31))+(COUNTIF('2 ZT'!$G$7:$G$50,INTERNES!A31))+(COUNTIF('GO TRANSPORT'!$G$7:$G$50,INTERNES!A31))+(COUNTIF(INTERNES!$G$7:$G$50,INTERNES!A31))+(COUNTIF('IB TRANSPORT'!$G$7:$G$50,INTERNES!A31))+(COUNTIF(JSL!$G$7:$G$50,INTERNES!A31))+(COUNTIF(KIFAITOUT!$G$7:$G$50,INTERNES!A31))+(COUNTIF('LUXE DRIVE'!$G$7:$G$50,INTERNES!A31))+(COUNTIF(SSN!$G$7:$G$50,INTERNES!A31))+(COUNTIF('W3'!$G$7:$G$50,INTERNES!A31))+(COUNTIF('ATHIS MONS'!$G$7:$G$50,INTERNES!A31))+(COUNTIF('L HAY LES ROSES'!$G$7:$G$50,INTERNES!A31))+(COUNTIF(RUNGIS!$G$7:$G$50,INTERNES!A31))+(COUNTIF(SCEAUX!$G$7:$G$50,INTERNES!A31))+(COUNTIF('INSTANCE C1'!$G$7:$G$50,INTERNES!A31))+(COUNTIF('INSTANCE C2'!$G$7:$G$50,INTERNES!A31))+(COUNTIF(INTERNES!$G$7:$G$50,INTERNES!A31))+(COUNTIF('EN PANNE'!$G$7:$G$50,INTERNES!A31))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EXPRESS'!$G$7:$G$50,INTERNES!G31))+(COUNTIF('2 ZT'!$G$7:$G$50,INTERNES!G31))+(COUNTIF('GO TRANSPORT'!$G$7:$G$50,INTERNES!G31))+(COUNTIF('HMZ - KAIS'!$G$7:$G$50,INTERNES!G31))+(COUNTIF('IB TRANSPORT'!$G$7:$G$50,INTERNES!G31))+(COUNTIF(JSL!$G$7:$G$50,INTERNES!G31))+(COUNTIF(KIFAITOUT!$G$7:$G$50,INTERNES!G31))+(COUNTIF('LUXE DRIVE'!$G$7:$G$50,INTERNES!G31))+(COUNTIF(SSN!$G$7:$G$50,INTERNES!G31))+(COUNTIF('W3'!$G$7:$G$50,INTERNES!G31))+(COUNTIF('ATHIS MONS'!$G$7:$G$50,INTERNES!G31))+(COUNTIF('L HAY LES ROSES'!$G$7:$G$50,INTERNES!G31))+(COUNTIF(RUNGIS!$G$7:$G$50,INTERNES!G31))+(COUNTIF(SCEAUX!$G$7:$G$50,INTERNES!G31))+(COUNTIF('INSTANCE C1'!$G$7:$G$50,INTERNES!G31))+(COUNTIF('INSTANCE C2'!$G$7:$G$50,INTERNES!G31))+(COUNTIF(INTERNES!$G$7:$G$50,INTERNES!G31))+(COUNTIF('EN PANNE'!$G$7:$G$50,INTERNES!G31))-I31</f>
        <v>0</v>
      </c>
      <c r="I31" s="23">
        <f>(COUNTIF('2S EXPRESS'!$A$7:$A$50,INTERNES!G31))+(COUNTIF('2 ZT'!$A$7:$A$50,INTERNES!G31))+(COUNTIF('GO TRANSPORT'!$A$7:$A$50,INTERNES!G31))+(COUNTIF('HMZ - KAIS'!$A$7:$A$50,INTERNES!G31))+(COUNTIF('IB TRANSPORT'!$A$7:$A$50,INTERNES!G31))+(COUNTIF(JSL!$A$7:$A$50,INTERNES!G31))+(COUNTIF(KIFAITOUT!$A$7:$A$50,INTERNES!G31))+(COUNTIF('LUXE DRIVE'!$A$7:$A$50,INTERNES!G31))+(COUNTIF(SSN!$A$7:$A$50,INTERNES!G31))+(COUNTIF('W3'!$A$7:$A$50,INTERNES!G31))+(COUNTIF('ATHIS MONS'!$A$7:$A$50,INTERNES!G31))+(COUNTIF('L HAY LES ROSES'!$A$7:$A$50,INTERNES!G31))+(COUNTIF(RUNGIS!$A$7:$A$50,INTERNES!G31))+(COUNTIF(SCEAUX!$A$7:$A$50,INTERNES!G31))+(COUNTIF('INSTANCE C1'!$A$7:$A$50,INTERNES!G31))+(COUNTIF('INSTANCE C2'!$A$7:$A$50,INTERNES!G31))+(COUNTIF(INTERNES!$A$7:$A$50,INTERNES!G31))+(COUNTIF('EN PANNE'!$A$7:$A$50,INTERNES!G31))</f>
        <v>0</v>
      </c>
      <c r="J31" s="28">
        <f t="shared" si="4"/>
        <v>0</v>
      </c>
      <c r="K31" s="2"/>
      <c r="L31" s="47"/>
      <c r="M31" s="9"/>
      <c r="N31" s="9"/>
      <c r="O31" s="9"/>
      <c r="P31" s="9"/>
      <c r="S31" s="60">
        <f t="shared" si="1"/>
        <v>0</v>
      </c>
      <c r="T31" s="67">
        <f t="shared" si="2"/>
        <v>0</v>
      </c>
    </row>
    <row r="32" spans="1:20" ht="24.95" customHeight="1" x14ac:dyDescent="0.2">
      <c r="A32" s="20"/>
      <c r="B32" s="23">
        <f>(COUNTIF('2S EXPRESS'!$A$7:$A$50,INTERNES!A32))+(COUNTIF('2 ZT'!$A$7:$A$50,INTERNES!A32))+(COUNTIF('GO TRANSPORT'!$A$7:$A$50,INTERNES!A32))+(COUNTIF('HMZ - KAIS'!$A$7:$A$50,INTERNES!A32))+(COUNTIF('IB TRANSPORT'!$A$7:$A$50,INTERNES!A32))+(COUNTIF(JSL!$A$7:$A$50,INTERNES!A32))+(COUNTIF(KIFAITOUT!$A$7:$A$50,INTERNES!A32))+(COUNTIF('LUXE DRIVE'!$A$7:$A$50,INTERNES!A32))+(COUNTIF(SSN!$A$7:$A$50,INTERNES!A32))+(COUNTIF('W3'!$A$7:$A$50,INTERNES!A32))+(COUNTIF('ATHIS MONS'!$A$7:$A$50,INTERNES!A32))+(COUNTIF('L HAY LES ROSES'!$A$7:$A$50,INTERNES!A32))+(COUNTIF(RUNGIS!$A$7:$A$50,INTERNES!A32))+(COUNTIF(SCEAUX!$A$7:$A$50,INTERNES!A32))+(COUNTIF('INSTANCE C1'!$A$7:$A$50,INTERNES!A32))+(COUNTIF('INSTANCE C2'!$A$7:$A$50,INTERNES!A32))+(COUNTIF(INTERNES!$A$7:$A$50,INTERNES!A32))+(COUNTIF('EN PANNE'!$A$7:$A$50,INTERNES!A32))-C32</f>
        <v>0</v>
      </c>
      <c r="C32" s="23">
        <f>(COUNTIF('2S EXPRESS'!$G$7:$G$50,INTERNES!A32))+(COUNTIF('2 ZT'!$G$7:$G$50,INTERNES!A32))+(COUNTIF('GO TRANSPORT'!$G$7:$G$50,INTERNES!A32))+(COUNTIF(INTERNES!$G$7:$G$50,INTERNES!A32))+(COUNTIF('IB TRANSPORT'!$G$7:$G$50,INTERNES!A32))+(COUNTIF(JSL!$G$7:$G$50,INTERNES!A32))+(COUNTIF(KIFAITOUT!$G$7:$G$50,INTERNES!A32))+(COUNTIF('LUXE DRIVE'!$G$7:$G$50,INTERNES!A32))+(COUNTIF(SSN!$G$7:$G$50,INTERNES!A32))+(COUNTIF('W3'!$G$7:$G$50,INTERNES!A32))+(COUNTIF('ATHIS MONS'!$G$7:$G$50,INTERNES!A32))+(COUNTIF('L HAY LES ROSES'!$G$7:$G$50,INTERNES!A32))+(COUNTIF(RUNGIS!$G$7:$G$50,INTERNES!A32))+(COUNTIF(SCEAUX!$G$7:$G$50,INTERNES!A32))+(COUNTIF('INSTANCE C1'!$G$7:$G$50,INTERNES!A32))+(COUNTIF('INSTANCE C2'!$G$7:$G$50,INTERNES!A32))+(COUNTIF(INTERNES!$G$7:$G$50,INTERNES!A32))+(COUNTIF('EN PANNE'!$G$7:$G$50,INTERNES!A32))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EXPRESS'!$G$7:$G$50,INTERNES!G32))+(COUNTIF('2 ZT'!$G$7:$G$50,INTERNES!G32))+(COUNTIF('GO TRANSPORT'!$G$7:$G$50,INTERNES!G32))+(COUNTIF('HMZ - KAIS'!$G$7:$G$50,INTERNES!G32))+(COUNTIF('IB TRANSPORT'!$G$7:$G$50,INTERNES!G32))+(COUNTIF(JSL!$G$7:$G$50,INTERNES!G32))+(COUNTIF(KIFAITOUT!$G$7:$G$50,INTERNES!G32))+(COUNTIF('LUXE DRIVE'!$G$7:$G$50,INTERNES!G32))+(COUNTIF(SSN!$G$7:$G$50,INTERNES!G32))+(COUNTIF('W3'!$G$7:$G$50,INTERNES!G32))+(COUNTIF('ATHIS MONS'!$G$7:$G$50,INTERNES!G32))+(COUNTIF('L HAY LES ROSES'!$G$7:$G$50,INTERNES!G32))+(COUNTIF(RUNGIS!$G$7:$G$50,INTERNES!G32))+(COUNTIF(SCEAUX!$G$7:$G$50,INTERNES!G32))+(COUNTIF('INSTANCE C1'!$G$7:$G$50,INTERNES!G32))+(COUNTIF('INSTANCE C2'!$G$7:$G$50,INTERNES!G32))+(COUNTIF(INTERNES!$G$7:$G$50,INTERNES!G32))+(COUNTIF('EN PANNE'!$G$7:$G$50,INTERNES!G32))-I32</f>
        <v>0</v>
      </c>
      <c r="I32" s="23">
        <f>(COUNTIF('2S EXPRESS'!$A$7:$A$50,INTERNES!G32))+(COUNTIF('2 ZT'!$A$7:$A$50,INTERNES!G32))+(COUNTIF('GO TRANSPORT'!$A$7:$A$50,INTERNES!G32))+(COUNTIF('HMZ - KAIS'!$A$7:$A$50,INTERNES!G32))+(COUNTIF('IB TRANSPORT'!$A$7:$A$50,INTERNES!G32))+(COUNTIF(JSL!$A$7:$A$50,INTERNES!G32))+(COUNTIF(KIFAITOUT!$A$7:$A$50,INTERNES!G32))+(COUNTIF('LUXE DRIVE'!$A$7:$A$50,INTERNES!G32))+(COUNTIF(SSN!$A$7:$A$50,INTERNES!G32))+(COUNTIF('W3'!$A$7:$A$50,INTERNES!G32))+(COUNTIF('ATHIS MONS'!$A$7:$A$50,INTERNES!G32))+(COUNTIF('L HAY LES ROSES'!$A$7:$A$50,INTERNES!G32))+(COUNTIF(RUNGIS!$A$7:$A$50,INTERNES!G32))+(COUNTIF(SCEAUX!$A$7:$A$50,INTERNES!G32))+(COUNTIF('INSTANCE C1'!$A$7:$A$50,INTERNES!G32))+(COUNTIF('INSTANCE C2'!$A$7:$A$50,INTERNES!G32))+(COUNTIF(INTERNES!$A$7:$A$50,INTERNES!G32))+(COUNTIF('EN PANNE'!$A$7:$A$50,INTERNES!G32))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S32" s="60">
        <f t="shared" si="1"/>
        <v>0</v>
      </c>
      <c r="T32" s="67">
        <f t="shared" si="2"/>
        <v>0</v>
      </c>
    </row>
    <row r="33" spans="1:20" ht="24.95" customHeight="1" x14ac:dyDescent="0.2">
      <c r="A33" s="20"/>
      <c r="B33" s="23">
        <f>(COUNTIF('2S EXPRESS'!$A$7:$A$50,INTERNES!A33))+(COUNTIF('2 ZT'!$A$7:$A$50,INTERNES!A33))+(COUNTIF('GO TRANSPORT'!$A$7:$A$50,INTERNES!A33))+(COUNTIF('HMZ - KAIS'!$A$7:$A$50,INTERNES!A33))+(COUNTIF('IB TRANSPORT'!$A$7:$A$50,INTERNES!A33))+(COUNTIF(JSL!$A$7:$A$50,INTERNES!A33))+(COUNTIF(KIFAITOUT!$A$7:$A$50,INTERNES!A33))+(COUNTIF('LUXE DRIVE'!$A$7:$A$50,INTERNES!A33))+(COUNTIF(SSN!$A$7:$A$50,INTERNES!A33))+(COUNTIF('W3'!$A$7:$A$50,INTERNES!A33))+(COUNTIF('ATHIS MONS'!$A$7:$A$50,INTERNES!A33))+(COUNTIF('L HAY LES ROSES'!$A$7:$A$50,INTERNES!A33))+(COUNTIF(RUNGIS!$A$7:$A$50,INTERNES!A33))+(COUNTIF(SCEAUX!$A$7:$A$50,INTERNES!A33))+(COUNTIF('INSTANCE C1'!$A$7:$A$50,INTERNES!A33))+(COUNTIF('INSTANCE C2'!$A$7:$A$50,INTERNES!A33))+(COUNTIF(INTERNES!$A$7:$A$50,INTERNES!A33))+(COUNTIF('EN PANNE'!$A$7:$A$50,INTERNES!A33))-C33</f>
        <v>0</v>
      </c>
      <c r="C33" s="23">
        <f>(COUNTIF('2S EXPRESS'!$G$7:$G$50,INTERNES!A33))+(COUNTIF('2 ZT'!$G$7:$G$50,INTERNES!A33))+(COUNTIF('GO TRANSPORT'!$G$7:$G$50,INTERNES!A33))+(COUNTIF(INTERNES!$G$7:$G$50,INTERNES!A33))+(COUNTIF('IB TRANSPORT'!$G$7:$G$50,INTERNES!A33))+(COUNTIF(JSL!$G$7:$G$50,INTERNES!A33))+(COUNTIF(KIFAITOUT!$G$7:$G$50,INTERNES!A33))+(COUNTIF('LUXE DRIVE'!$G$7:$G$50,INTERNES!A33))+(COUNTIF(SSN!$G$7:$G$50,INTERNES!A33))+(COUNTIF('W3'!$G$7:$G$50,INTERNES!A33))+(COUNTIF('ATHIS MONS'!$G$7:$G$50,INTERNES!A33))+(COUNTIF('L HAY LES ROSES'!$G$7:$G$50,INTERNES!A33))+(COUNTIF(RUNGIS!$G$7:$G$50,INTERNES!A33))+(COUNTIF(SCEAUX!$G$7:$G$50,INTERNES!A33))+(COUNTIF('INSTANCE C1'!$G$7:$G$50,INTERNES!A33))+(COUNTIF('INSTANCE C2'!$G$7:$G$50,INTERNES!A33))+(COUNTIF(INTERNES!$G$7:$G$50,INTERNES!A33))+(COUNTIF('EN PANNE'!$G$7:$G$50,INTERNES!A33))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EXPRESS'!$G$7:$G$50,INTERNES!G33))+(COUNTIF('2 ZT'!$G$7:$G$50,INTERNES!G33))+(COUNTIF('GO TRANSPORT'!$G$7:$G$50,INTERNES!G33))+(COUNTIF('HMZ - KAIS'!$G$7:$G$50,INTERNES!G33))+(COUNTIF('IB TRANSPORT'!$G$7:$G$50,INTERNES!G33))+(COUNTIF(JSL!$G$7:$G$50,INTERNES!G33))+(COUNTIF(KIFAITOUT!$G$7:$G$50,INTERNES!G33))+(COUNTIF('LUXE DRIVE'!$G$7:$G$50,INTERNES!G33))+(COUNTIF(SSN!$G$7:$G$50,INTERNES!G33))+(COUNTIF('W3'!$G$7:$G$50,INTERNES!G33))+(COUNTIF('ATHIS MONS'!$G$7:$G$50,INTERNES!G33))+(COUNTIF('L HAY LES ROSES'!$G$7:$G$50,INTERNES!G33))+(COUNTIF(RUNGIS!$G$7:$G$50,INTERNES!G33))+(COUNTIF(SCEAUX!$G$7:$G$50,INTERNES!G33))+(COUNTIF('INSTANCE C1'!$G$7:$G$50,INTERNES!G33))+(COUNTIF('INSTANCE C2'!$G$7:$G$50,INTERNES!G33))+(COUNTIF(INTERNES!$G$7:$G$50,INTERNES!G33))+(COUNTIF('EN PANNE'!$G$7:$G$50,INTERNES!G33))-I33</f>
        <v>0</v>
      </c>
      <c r="I33" s="23">
        <f>(COUNTIF('2S EXPRESS'!$A$7:$A$50,INTERNES!G33))+(COUNTIF('2 ZT'!$A$7:$A$50,INTERNES!G33))+(COUNTIF('GO TRANSPORT'!$A$7:$A$50,INTERNES!G33))+(COUNTIF('HMZ - KAIS'!$A$7:$A$50,INTERNES!G33))+(COUNTIF('IB TRANSPORT'!$A$7:$A$50,INTERNES!G33))+(COUNTIF(JSL!$A$7:$A$50,INTERNES!G33))+(COUNTIF(KIFAITOUT!$A$7:$A$50,INTERNES!G33))+(COUNTIF('LUXE DRIVE'!$A$7:$A$50,INTERNES!G33))+(COUNTIF(SSN!$A$7:$A$50,INTERNES!G33))+(COUNTIF('W3'!$A$7:$A$50,INTERNES!G33))+(COUNTIF('ATHIS MONS'!$A$7:$A$50,INTERNES!G33))+(COUNTIF('L HAY LES ROSES'!$A$7:$A$50,INTERNES!G33))+(COUNTIF(RUNGIS!$A$7:$A$50,INTERNES!G33))+(COUNTIF(SCEAUX!$A$7:$A$50,INTERNES!G33))+(COUNTIF('INSTANCE C1'!$A$7:$A$50,INTERNES!G33))+(COUNTIF('INSTANCE C2'!$A$7:$A$50,INTERNES!G33))+(COUNTIF(INTERNES!$A$7:$A$50,INTERNES!G33))+(COUNTIF('EN PANNE'!$A$7:$A$50,INTERNES!G33))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S33" s="60">
        <f t="shared" si="1"/>
        <v>0</v>
      </c>
      <c r="T33" s="67">
        <f t="shared" si="2"/>
        <v>0</v>
      </c>
    </row>
    <row r="34" spans="1:20" ht="24.95" customHeight="1" x14ac:dyDescent="0.2">
      <c r="A34" s="20"/>
      <c r="B34" s="23">
        <f>(COUNTIF('2S EXPRESS'!$A$7:$A$50,INTERNES!A34))+(COUNTIF('2 ZT'!$A$7:$A$50,INTERNES!A34))+(COUNTIF('GO TRANSPORT'!$A$7:$A$50,INTERNES!A34))+(COUNTIF('HMZ - KAIS'!$A$7:$A$50,INTERNES!A34))+(COUNTIF('IB TRANSPORT'!$A$7:$A$50,INTERNES!A34))+(COUNTIF(JSL!$A$7:$A$50,INTERNES!A34))+(COUNTIF(KIFAITOUT!$A$7:$A$50,INTERNES!A34))+(COUNTIF('LUXE DRIVE'!$A$7:$A$50,INTERNES!A34))+(COUNTIF(SSN!$A$7:$A$50,INTERNES!A34))+(COUNTIF('W3'!$A$7:$A$50,INTERNES!A34))+(COUNTIF('ATHIS MONS'!$A$7:$A$50,INTERNES!A34))+(COUNTIF('L HAY LES ROSES'!$A$7:$A$50,INTERNES!A34))+(COUNTIF(RUNGIS!$A$7:$A$50,INTERNES!A34))+(COUNTIF(SCEAUX!$A$7:$A$50,INTERNES!A34))+(COUNTIF('INSTANCE C1'!$A$7:$A$50,INTERNES!A34))+(COUNTIF('INSTANCE C2'!$A$7:$A$50,INTERNES!A34))+(COUNTIF(INTERNES!$A$7:$A$50,INTERNES!A34))+(COUNTIF('EN PANNE'!$A$7:$A$50,INTERNES!A34))-C34</f>
        <v>0</v>
      </c>
      <c r="C34" s="23">
        <f>(COUNTIF('2S EXPRESS'!$G$7:$G$50,INTERNES!A34))+(COUNTIF('2 ZT'!$G$7:$G$50,INTERNES!A34))+(COUNTIF('GO TRANSPORT'!$G$7:$G$50,INTERNES!A34))+(COUNTIF(INTERNES!$G$7:$G$50,INTERNES!A34))+(COUNTIF('IB TRANSPORT'!$G$7:$G$50,INTERNES!A34))+(COUNTIF(JSL!$G$7:$G$50,INTERNES!A34))+(COUNTIF(KIFAITOUT!$G$7:$G$50,INTERNES!A34))+(COUNTIF('LUXE DRIVE'!$G$7:$G$50,INTERNES!A34))+(COUNTIF(SSN!$G$7:$G$50,INTERNES!A34))+(COUNTIF('W3'!$G$7:$G$50,INTERNES!A34))+(COUNTIF('ATHIS MONS'!$G$7:$G$50,INTERNES!A34))+(COUNTIF('L HAY LES ROSES'!$G$7:$G$50,INTERNES!A34))+(COUNTIF(RUNGIS!$G$7:$G$50,INTERNES!A34))+(COUNTIF(SCEAUX!$G$7:$G$50,INTERNES!A34))+(COUNTIF('INSTANCE C1'!$G$7:$G$50,INTERNES!A34))+(COUNTIF('INSTANCE C2'!$G$7:$G$50,INTERNES!A34))+(COUNTIF(INTERNES!$G$7:$G$50,INTERNES!A34))+(COUNTIF('EN PANNE'!$G$7:$G$50,INTERNES!A34))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EXPRESS'!$G$7:$G$50,INTERNES!G34))+(COUNTIF('2 ZT'!$G$7:$G$50,INTERNES!G34))+(COUNTIF('GO TRANSPORT'!$G$7:$G$50,INTERNES!G34))+(COUNTIF('HMZ - KAIS'!$G$7:$G$50,INTERNES!G34))+(COUNTIF('IB TRANSPORT'!$G$7:$G$50,INTERNES!G34))+(COUNTIF(JSL!$G$7:$G$50,INTERNES!G34))+(COUNTIF(KIFAITOUT!$G$7:$G$50,INTERNES!G34))+(COUNTIF('LUXE DRIVE'!$G$7:$G$50,INTERNES!G34))+(COUNTIF(SSN!$G$7:$G$50,INTERNES!G34))+(COUNTIF('W3'!$G$7:$G$50,INTERNES!G34))+(COUNTIF('ATHIS MONS'!$G$7:$G$50,INTERNES!G34))+(COUNTIF('L HAY LES ROSES'!$G$7:$G$50,INTERNES!G34))+(COUNTIF(RUNGIS!$G$7:$G$50,INTERNES!G34))+(COUNTIF(SCEAUX!$G$7:$G$50,INTERNES!G34))+(COUNTIF('INSTANCE C1'!$G$7:$G$50,INTERNES!G34))+(COUNTIF('INSTANCE C2'!$G$7:$G$50,INTERNES!G34))+(COUNTIF(INTERNES!$G$7:$G$50,INTERNES!G34))+(COUNTIF('EN PANNE'!$G$7:$G$50,INTERNES!G34))-I34</f>
        <v>0</v>
      </c>
      <c r="I34" s="23">
        <f>(COUNTIF('2S EXPRESS'!$A$7:$A$50,INTERNES!G34))+(COUNTIF('2 ZT'!$A$7:$A$50,INTERNES!G34))+(COUNTIF('GO TRANSPORT'!$A$7:$A$50,INTERNES!G34))+(COUNTIF('HMZ - KAIS'!$A$7:$A$50,INTERNES!G34))+(COUNTIF('IB TRANSPORT'!$A$7:$A$50,INTERNES!G34))+(COUNTIF(JSL!$A$7:$A$50,INTERNES!G34))+(COUNTIF(KIFAITOUT!$A$7:$A$50,INTERNES!G34))+(COUNTIF('LUXE DRIVE'!$A$7:$A$50,INTERNES!G34))+(COUNTIF(SSN!$A$7:$A$50,INTERNES!G34))+(COUNTIF('W3'!$A$7:$A$50,INTERNES!G34))+(COUNTIF('ATHIS MONS'!$A$7:$A$50,INTERNES!G34))+(COUNTIF('L HAY LES ROSES'!$A$7:$A$50,INTERNES!G34))+(COUNTIF(RUNGIS!$A$7:$A$50,INTERNES!G34))+(COUNTIF(SCEAUX!$A$7:$A$50,INTERNES!G34))+(COUNTIF('INSTANCE C1'!$A$7:$A$50,INTERNES!G34))+(COUNTIF('INSTANCE C2'!$A$7:$A$50,INTERNES!G34))+(COUNTIF(INTERNES!$A$7:$A$50,INTERNES!G34))+(COUNTIF('EN PANNE'!$A$7:$A$50,INTERNES!G34))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S34" s="60">
        <f t="shared" si="1"/>
        <v>0</v>
      </c>
      <c r="T34" s="67">
        <f t="shared" si="2"/>
        <v>0</v>
      </c>
    </row>
    <row r="35" spans="1:20" ht="24.95" customHeight="1" x14ac:dyDescent="0.2">
      <c r="A35" s="20"/>
      <c r="B35" s="23">
        <f>(COUNTIF('2S EXPRESS'!$A$7:$A$50,INTERNES!A35))+(COUNTIF('2 ZT'!$A$7:$A$50,INTERNES!A35))+(COUNTIF('GO TRANSPORT'!$A$7:$A$50,INTERNES!A35))+(COUNTIF('HMZ - KAIS'!$A$7:$A$50,INTERNES!A35))+(COUNTIF('IB TRANSPORT'!$A$7:$A$50,INTERNES!A35))+(COUNTIF(JSL!$A$7:$A$50,INTERNES!A35))+(COUNTIF(KIFAITOUT!$A$7:$A$50,INTERNES!A35))+(COUNTIF('LUXE DRIVE'!$A$7:$A$50,INTERNES!A35))+(COUNTIF(SSN!$A$7:$A$50,INTERNES!A35))+(COUNTIF('W3'!$A$7:$A$50,INTERNES!A35))+(COUNTIF('ATHIS MONS'!$A$7:$A$50,INTERNES!A35))+(COUNTIF('L HAY LES ROSES'!$A$7:$A$50,INTERNES!A35))+(COUNTIF(RUNGIS!$A$7:$A$50,INTERNES!A35))+(COUNTIF(SCEAUX!$A$7:$A$50,INTERNES!A35))+(COUNTIF('INSTANCE C1'!$A$7:$A$50,INTERNES!A35))+(COUNTIF('INSTANCE C2'!$A$7:$A$50,INTERNES!A35))+(COUNTIF(INTERNES!$A$7:$A$50,INTERNES!A35))+(COUNTIF('EN PANNE'!$A$7:$A$50,INTERNES!A35))-C35</f>
        <v>0</v>
      </c>
      <c r="C35" s="23">
        <f>(COUNTIF('2S EXPRESS'!$G$7:$G$50,INTERNES!A35))+(COUNTIF('2 ZT'!$G$7:$G$50,INTERNES!A35))+(COUNTIF('GO TRANSPORT'!$G$7:$G$50,INTERNES!A35))+(COUNTIF(INTERNES!$G$7:$G$50,INTERNES!A35))+(COUNTIF('IB TRANSPORT'!$G$7:$G$50,INTERNES!A35))+(COUNTIF(JSL!$G$7:$G$50,INTERNES!A35))+(COUNTIF(KIFAITOUT!$G$7:$G$50,INTERNES!A35))+(COUNTIF('LUXE DRIVE'!$G$7:$G$50,INTERNES!A35))+(COUNTIF(SSN!$G$7:$G$50,INTERNES!A35))+(COUNTIF('W3'!$G$7:$G$50,INTERNES!A35))+(COUNTIF('ATHIS MONS'!$G$7:$G$50,INTERNES!A35))+(COUNTIF('L HAY LES ROSES'!$G$7:$G$50,INTERNES!A35))+(COUNTIF(RUNGIS!$G$7:$G$50,INTERNES!A35))+(COUNTIF(SCEAUX!$G$7:$G$50,INTERNES!A35))+(COUNTIF('INSTANCE C1'!$G$7:$G$50,INTERNES!A35))+(COUNTIF('INSTANCE C2'!$G$7:$G$50,INTERNES!A35))+(COUNTIF(INTERNES!$G$7:$G$50,INTERNES!A35))+(COUNTIF('EN PANNE'!$G$7:$G$50,INTERNES!A35))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EXPRESS'!$G$7:$G$50,INTERNES!G35))+(COUNTIF('2 ZT'!$G$7:$G$50,INTERNES!G35))+(COUNTIF('GO TRANSPORT'!$G$7:$G$50,INTERNES!G35))+(COUNTIF('HMZ - KAIS'!$G$7:$G$50,INTERNES!G35))+(COUNTIF('IB TRANSPORT'!$G$7:$G$50,INTERNES!G35))+(COUNTIF(JSL!$G$7:$G$50,INTERNES!G35))+(COUNTIF(KIFAITOUT!$G$7:$G$50,INTERNES!G35))+(COUNTIF('LUXE DRIVE'!$G$7:$G$50,INTERNES!G35))+(COUNTIF(SSN!$G$7:$G$50,INTERNES!G35))+(COUNTIF('W3'!$G$7:$G$50,INTERNES!G35))+(COUNTIF('ATHIS MONS'!$G$7:$G$50,INTERNES!G35))+(COUNTIF('L HAY LES ROSES'!$G$7:$G$50,INTERNES!G35))+(COUNTIF(RUNGIS!$G$7:$G$50,INTERNES!G35))+(COUNTIF(SCEAUX!$G$7:$G$50,INTERNES!G35))+(COUNTIF('INSTANCE C1'!$G$7:$G$50,INTERNES!G35))+(COUNTIF('INSTANCE C2'!$G$7:$G$50,INTERNES!G35))+(COUNTIF(INTERNES!$G$7:$G$50,INTERNES!G35))+(COUNTIF('EN PANNE'!$G$7:$G$50,INTERNES!G35))-I35</f>
        <v>0</v>
      </c>
      <c r="I35" s="23">
        <f>(COUNTIF('2S EXPRESS'!$A$7:$A$50,INTERNES!G35))+(COUNTIF('2 ZT'!$A$7:$A$50,INTERNES!G35))+(COUNTIF('GO TRANSPORT'!$A$7:$A$50,INTERNES!G35))+(COUNTIF('HMZ - KAIS'!$A$7:$A$50,INTERNES!G35))+(COUNTIF('IB TRANSPORT'!$A$7:$A$50,INTERNES!G35))+(COUNTIF(JSL!$A$7:$A$50,INTERNES!G35))+(COUNTIF(KIFAITOUT!$A$7:$A$50,INTERNES!G35))+(COUNTIF('LUXE DRIVE'!$A$7:$A$50,INTERNES!G35))+(COUNTIF(SSN!$A$7:$A$50,INTERNES!G35))+(COUNTIF('W3'!$A$7:$A$50,INTERNES!G35))+(COUNTIF('ATHIS MONS'!$A$7:$A$50,INTERNES!G35))+(COUNTIF('L HAY LES ROSES'!$A$7:$A$50,INTERNES!G35))+(COUNTIF(RUNGIS!$A$7:$A$50,INTERNES!G35))+(COUNTIF(SCEAUX!$A$7:$A$50,INTERNES!G35))+(COUNTIF('INSTANCE C1'!$A$7:$A$50,INTERNES!G35))+(COUNTIF('INSTANCE C2'!$A$7:$A$50,INTERNES!G35))+(COUNTIF(INTERNES!$A$7:$A$50,INTERNES!G35))+(COUNTIF('EN PANNE'!$A$7:$A$50,INTERNES!G35))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S35" s="60">
        <f t="shared" si="1"/>
        <v>0</v>
      </c>
      <c r="T35" s="67">
        <f t="shared" si="2"/>
        <v>0</v>
      </c>
    </row>
    <row r="36" spans="1:20" ht="24.95" customHeight="1" x14ac:dyDescent="0.2">
      <c r="A36" s="20"/>
      <c r="B36" s="23">
        <f>(COUNTIF('2S EXPRESS'!$A$7:$A$50,INTERNES!A36))+(COUNTIF('2 ZT'!$A$7:$A$50,INTERNES!A36))+(COUNTIF('GO TRANSPORT'!$A$7:$A$50,INTERNES!A36))+(COUNTIF('HMZ - KAIS'!$A$7:$A$50,INTERNES!A36))+(COUNTIF('IB TRANSPORT'!$A$7:$A$50,INTERNES!A36))+(COUNTIF(JSL!$A$7:$A$50,INTERNES!A36))+(COUNTIF(KIFAITOUT!$A$7:$A$50,INTERNES!A36))+(COUNTIF('LUXE DRIVE'!$A$7:$A$50,INTERNES!A36))+(COUNTIF(SSN!$A$7:$A$50,INTERNES!A36))+(COUNTIF('W3'!$A$7:$A$50,INTERNES!A36))+(COUNTIF('ATHIS MONS'!$A$7:$A$50,INTERNES!A36))+(COUNTIF('L HAY LES ROSES'!$A$7:$A$50,INTERNES!A36))+(COUNTIF(RUNGIS!$A$7:$A$50,INTERNES!A36))+(COUNTIF(SCEAUX!$A$7:$A$50,INTERNES!A36))+(COUNTIF('INSTANCE C1'!$A$7:$A$50,INTERNES!A36))+(COUNTIF('INSTANCE C2'!$A$7:$A$50,INTERNES!A36))+(COUNTIF(INTERNES!$A$7:$A$50,INTERNES!A36))+(COUNTIF('EN PANNE'!$A$7:$A$50,INTERNES!A36))-C36</f>
        <v>0</v>
      </c>
      <c r="C36" s="23">
        <f>(COUNTIF('2S EXPRESS'!$G$7:$G$50,INTERNES!A36))+(COUNTIF('2 ZT'!$G$7:$G$50,INTERNES!A36))+(COUNTIF('GO TRANSPORT'!$G$7:$G$50,INTERNES!A36))+(COUNTIF(INTERNES!$G$7:$G$50,INTERNES!A36))+(COUNTIF('IB TRANSPORT'!$G$7:$G$50,INTERNES!A36))+(COUNTIF(JSL!$G$7:$G$50,INTERNES!A36))+(COUNTIF(KIFAITOUT!$G$7:$G$50,INTERNES!A36))+(COUNTIF('LUXE DRIVE'!$G$7:$G$50,INTERNES!A36))+(COUNTIF(SSN!$G$7:$G$50,INTERNES!A36))+(COUNTIF('W3'!$G$7:$G$50,INTERNES!A36))+(COUNTIF('ATHIS MONS'!$G$7:$G$50,INTERNES!A36))+(COUNTIF('L HAY LES ROSES'!$G$7:$G$50,INTERNES!A36))+(COUNTIF(RUNGIS!$G$7:$G$50,INTERNES!A36))+(COUNTIF(SCEAUX!$G$7:$G$50,INTERNES!A36))+(COUNTIF('INSTANCE C1'!$G$7:$G$50,INTERNES!A36))+(COUNTIF('INSTANCE C2'!$G$7:$G$50,INTERNES!A36))+(COUNTIF(INTERNES!$G$7:$G$50,INTERNES!A36))+(COUNTIF('EN PANNE'!$G$7:$G$50,INTERNES!A36))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EXPRESS'!$G$7:$G$50,INTERNES!G36))+(COUNTIF('2 ZT'!$G$7:$G$50,INTERNES!G36))+(COUNTIF('GO TRANSPORT'!$G$7:$G$50,INTERNES!G36))+(COUNTIF('HMZ - KAIS'!$G$7:$G$50,INTERNES!G36))+(COUNTIF('IB TRANSPORT'!$G$7:$G$50,INTERNES!G36))+(COUNTIF(JSL!$G$7:$G$50,INTERNES!G36))+(COUNTIF(KIFAITOUT!$G$7:$G$50,INTERNES!G36))+(COUNTIF('LUXE DRIVE'!$G$7:$G$50,INTERNES!G36))+(COUNTIF(SSN!$G$7:$G$50,INTERNES!G36))+(COUNTIF('W3'!$G$7:$G$50,INTERNES!G36))+(COUNTIF('ATHIS MONS'!$G$7:$G$50,INTERNES!G36))+(COUNTIF('L HAY LES ROSES'!$G$7:$G$50,INTERNES!G36))+(COUNTIF(RUNGIS!$G$7:$G$50,INTERNES!G36))+(COUNTIF(SCEAUX!$G$7:$G$50,INTERNES!G36))+(COUNTIF('INSTANCE C1'!$G$7:$G$50,INTERNES!G36))+(COUNTIF('INSTANCE C2'!$G$7:$G$50,INTERNES!G36))+(COUNTIF(INTERNES!$G$7:$G$50,INTERNES!G36))+(COUNTIF('EN PANNE'!$G$7:$G$50,INTERNES!G36))-I36</f>
        <v>0</v>
      </c>
      <c r="I36" s="23">
        <f>(COUNTIF('2S EXPRESS'!$A$7:$A$50,INTERNES!G36))+(COUNTIF('2 ZT'!$A$7:$A$50,INTERNES!G36))+(COUNTIF('GO TRANSPORT'!$A$7:$A$50,INTERNES!G36))+(COUNTIF('HMZ - KAIS'!$A$7:$A$50,INTERNES!G36))+(COUNTIF('IB TRANSPORT'!$A$7:$A$50,INTERNES!G36))+(COUNTIF(JSL!$A$7:$A$50,INTERNES!G36))+(COUNTIF(KIFAITOUT!$A$7:$A$50,INTERNES!G36))+(COUNTIF('LUXE DRIVE'!$A$7:$A$50,INTERNES!G36))+(COUNTIF(SSN!$A$7:$A$50,INTERNES!G36))+(COUNTIF('W3'!$A$7:$A$50,INTERNES!G36))+(COUNTIF('ATHIS MONS'!$A$7:$A$50,INTERNES!G36))+(COUNTIF('L HAY LES ROSES'!$A$7:$A$50,INTERNES!G36))+(COUNTIF(RUNGIS!$A$7:$A$50,INTERNES!G36))+(COUNTIF(SCEAUX!$A$7:$A$50,INTERNES!G36))+(COUNTIF('INSTANCE C1'!$A$7:$A$50,INTERNES!G36))+(COUNTIF('INSTANCE C2'!$A$7:$A$50,INTERNES!G36))+(COUNTIF(INTERNES!$A$7:$A$50,INTERNES!G36))+(COUNTIF('EN PANNE'!$A$7:$A$50,INTERNES!G36))</f>
        <v>0</v>
      </c>
      <c r="J36" s="28">
        <f t="shared" si="4"/>
        <v>0</v>
      </c>
      <c r="K36" s="2"/>
      <c r="L36" s="47"/>
      <c r="M36" s="9"/>
      <c r="N36" s="9"/>
      <c r="O36" s="9"/>
      <c r="P36" s="9"/>
      <c r="R36" s="30" t="s">
        <v>49</v>
      </c>
      <c r="S36" s="60">
        <f t="shared" si="1"/>
        <v>0</v>
      </c>
      <c r="T36" s="67">
        <f t="shared" si="2"/>
        <v>0</v>
      </c>
    </row>
    <row r="37" spans="1:20" ht="24.95" customHeight="1" x14ac:dyDescent="0.2">
      <c r="A37" s="20"/>
      <c r="B37" s="23">
        <f>(COUNTIF('2S EXPRESS'!$A$7:$A$50,INTERNES!A37))+(COUNTIF('2 ZT'!$A$7:$A$50,INTERNES!A37))+(COUNTIF('GO TRANSPORT'!$A$7:$A$50,INTERNES!A37))+(COUNTIF('HMZ - KAIS'!$A$7:$A$50,INTERNES!A37))+(COUNTIF('IB TRANSPORT'!$A$7:$A$50,INTERNES!A37))+(COUNTIF(JSL!$A$7:$A$50,INTERNES!A37))+(COUNTIF(KIFAITOUT!$A$7:$A$50,INTERNES!A37))+(COUNTIF('LUXE DRIVE'!$A$7:$A$50,INTERNES!A37))+(COUNTIF(SSN!$A$7:$A$50,INTERNES!A37))+(COUNTIF('W3'!$A$7:$A$50,INTERNES!A37))+(COUNTIF('ATHIS MONS'!$A$7:$A$50,INTERNES!A37))+(COUNTIF('L HAY LES ROSES'!$A$7:$A$50,INTERNES!A37))+(COUNTIF(RUNGIS!$A$7:$A$50,INTERNES!A37))+(COUNTIF(SCEAUX!$A$7:$A$50,INTERNES!A37))+(COUNTIF('INSTANCE C1'!$A$7:$A$50,INTERNES!A37))+(COUNTIF('INSTANCE C2'!$A$7:$A$50,INTERNES!A37))+(COUNTIF(INTERNES!$A$7:$A$50,INTERNES!A37))+(COUNTIF('EN PANNE'!$A$7:$A$50,INTERNES!A37))-C37</f>
        <v>0</v>
      </c>
      <c r="C37" s="23">
        <f>(COUNTIF('2S EXPRESS'!$G$7:$G$50,INTERNES!A37))+(COUNTIF('2 ZT'!$G$7:$G$50,INTERNES!A37))+(COUNTIF('GO TRANSPORT'!$G$7:$G$50,INTERNES!A37))+(COUNTIF(INTERNES!$G$7:$G$50,INTERNES!A37))+(COUNTIF('IB TRANSPORT'!$G$7:$G$50,INTERNES!A37))+(COUNTIF(JSL!$G$7:$G$50,INTERNES!A37))+(COUNTIF(KIFAITOUT!$G$7:$G$50,INTERNES!A37))+(COUNTIF('LUXE DRIVE'!$G$7:$G$50,INTERNES!A37))+(COUNTIF(SSN!$G$7:$G$50,INTERNES!A37))+(COUNTIF('W3'!$G$7:$G$50,INTERNES!A37))+(COUNTIF('ATHIS MONS'!$G$7:$G$50,INTERNES!A37))+(COUNTIF('L HAY LES ROSES'!$G$7:$G$50,INTERNES!A37))+(COUNTIF(RUNGIS!$G$7:$G$50,INTERNES!A37))+(COUNTIF(SCEAUX!$G$7:$G$50,INTERNES!A37))+(COUNTIF('INSTANCE C1'!$G$7:$G$50,INTERNES!A37))+(COUNTIF('INSTANCE C2'!$G$7:$G$50,INTERNES!A37))+(COUNTIF(INTERNES!$G$7:$G$50,INTERNES!A37))+(COUNTIF('EN PANNE'!$G$7:$G$50,INTERNES!A37))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EXPRESS'!$G$7:$G$50,INTERNES!G37))+(COUNTIF('2 ZT'!$G$7:$G$50,INTERNES!G37))+(COUNTIF('GO TRANSPORT'!$G$7:$G$50,INTERNES!G37))+(COUNTIF('HMZ - KAIS'!$G$7:$G$50,INTERNES!G37))+(COUNTIF('IB TRANSPORT'!$G$7:$G$50,INTERNES!G37))+(COUNTIF(JSL!$G$7:$G$50,INTERNES!G37))+(COUNTIF(KIFAITOUT!$G$7:$G$50,INTERNES!G37))+(COUNTIF('LUXE DRIVE'!$G$7:$G$50,INTERNES!G37))+(COUNTIF(SSN!$G$7:$G$50,INTERNES!G37))+(COUNTIF('W3'!$G$7:$G$50,INTERNES!G37))+(COUNTIF('ATHIS MONS'!$G$7:$G$50,INTERNES!G37))+(COUNTIF('L HAY LES ROSES'!$G$7:$G$50,INTERNES!G37))+(COUNTIF(RUNGIS!$G$7:$G$50,INTERNES!G37))+(COUNTIF(SCEAUX!$G$7:$G$50,INTERNES!G37))+(COUNTIF('INSTANCE C1'!$G$7:$G$50,INTERNES!G37))+(COUNTIF('INSTANCE C2'!$G$7:$G$50,INTERNES!G37))+(COUNTIF(INTERNES!$G$7:$G$50,INTERNES!G37))+(COUNTIF('EN PANNE'!$G$7:$G$50,INTERNES!G37))-I37</f>
        <v>0</v>
      </c>
      <c r="I37" s="23">
        <f>(COUNTIF('2S EXPRESS'!$A$7:$A$50,INTERNES!G37))+(COUNTIF('2 ZT'!$A$7:$A$50,INTERNES!G37))+(COUNTIF('GO TRANSPORT'!$A$7:$A$50,INTERNES!G37))+(COUNTIF('HMZ - KAIS'!$A$7:$A$50,INTERNES!G37))+(COUNTIF('IB TRANSPORT'!$A$7:$A$50,INTERNES!G37))+(COUNTIF(JSL!$A$7:$A$50,INTERNES!G37))+(COUNTIF(KIFAITOUT!$A$7:$A$50,INTERNES!G37))+(COUNTIF('LUXE DRIVE'!$A$7:$A$50,INTERNES!G37))+(COUNTIF(SSN!$A$7:$A$50,INTERNES!G37))+(COUNTIF('W3'!$A$7:$A$50,INTERNES!G37))+(COUNTIF('ATHIS MONS'!$A$7:$A$50,INTERNES!G37))+(COUNTIF('L HAY LES ROSES'!$A$7:$A$50,INTERNES!G37))+(COUNTIF(RUNGIS!$A$7:$A$50,INTERNES!G37))+(COUNTIF(SCEAUX!$A$7:$A$50,INTERNES!G37))+(COUNTIF('INSTANCE C1'!$A$7:$A$50,INTERNES!G37))+(COUNTIF('INSTANCE C2'!$A$7:$A$50,INTERNES!G37))+(COUNTIF(INTERNES!$A$7:$A$50,INTERNES!G37))+(COUNTIF('EN PANNE'!$A$7:$A$50,INTERNES!G37))</f>
        <v>0</v>
      </c>
      <c r="J37" s="28">
        <f t="shared" si="4"/>
        <v>0</v>
      </c>
      <c r="K37" s="2"/>
      <c r="L37" s="47"/>
      <c r="M37" s="9"/>
      <c r="N37" s="9"/>
      <c r="O37" s="9"/>
      <c r="P37" s="9"/>
      <c r="S37" s="60">
        <f t="shared" si="1"/>
        <v>0</v>
      </c>
      <c r="T37" s="67">
        <f t="shared" si="2"/>
        <v>0</v>
      </c>
    </row>
    <row r="38" spans="1:20" ht="24.95" customHeight="1" x14ac:dyDescent="0.2">
      <c r="A38" s="20"/>
      <c r="B38" s="23">
        <f>(COUNTIF('2S EXPRESS'!$A$7:$A$50,INTERNES!A38))+(COUNTIF('2 ZT'!$A$7:$A$50,INTERNES!A38))+(COUNTIF('GO TRANSPORT'!$A$7:$A$50,INTERNES!A38))+(COUNTIF('HMZ - KAIS'!$A$7:$A$50,INTERNES!A38))+(COUNTIF('IB TRANSPORT'!$A$7:$A$50,INTERNES!A38))+(COUNTIF(JSL!$A$7:$A$50,INTERNES!A38))+(COUNTIF(KIFAITOUT!$A$7:$A$50,INTERNES!A38))+(COUNTIF('LUXE DRIVE'!$A$7:$A$50,INTERNES!A38))+(COUNTIF(SSN!$A$7:$A$50,INTERNES!A38))+(COUNTIF('W3'!$A$7:$A$50,INTERNES!A38))+(COUNTIF('ATHIS MONS'!$A$7:$A$50,INTERNES!A38))+(COUNTIF('L HAY LES ROSES'!$A$7:$A$50,INTERNES!A38))+(COUNTIF(RUNGIS!$A$7:$A$50,INTERNES!A38))+(COUNTIF(SCEAUX!$A$7:$A$50,INTERNES!A38))+(COUNTIF('INSTANCE C1'!$A$7:$A$50,INTERNES!A38))+(COUNTIF('INSTANCE C2'!$A$7:$A$50,INTERNES!A38))+(COUNTIF(INTERNES!$A$7:$A$50,INTERNES!A38))+(COUNTIF('EN PANNE'!$A$7:$A$50,INTERNES!A38))-C38</f>
        <v>0</v>
      </c>
      <c r="C38" s="23">
        <f>(COUNTIF('2S EXPRESS'!$G$7:$G$50,INTERNES!A38))+(COUNTIF('2 ZT'!$G$7:$G$50,INTERNES!A38))+(COUNTIF('GO TRANSPORT'!$G$7:$G$50,INTERNES!A38))+(COUNTIF(INTERNES!$G$7:$G$50,INTERNES!A38))+(COUNTIF('IB TRANSPORT'!$G$7:$G$50,INTERNES!A38))+(COUNTIF(JSL!$G$7:$G$50,INTERNES!A38))+(COUNTIF(KIFAITOUT!$G$7:$G$50,INTERNES!A38))+(COUNTIF('LUXE DRIVE'!$G$7:$G$50,INTERNES!A38))+(COUNTIF(SSN!$G$7:$G$50,INTERNES!A38))+(COUNTIF('W3'!$G$7:$G$50,INTERNES!A38))+(COUNTIF('ATHIS MONS'!$G$7:$G$50,INTERNES!A38))+(COUNTIF('L HAY LES ROSES'!$G$7:$G$50,INTERNES!A38))+(COUNTIF(RUNGIS!$G$7:$G$50,INTERNES!A38))+(COUNTIF(SCEAUX!$G$7:$G$50,INTERNES!A38))+(COUNTIF('INSTANCE C1'!$G$7:$G$50,INTERNES!A38))+(COUNTIF('INSTANCE C2'!$G$7:$G$50,INTERNES!A38))+(COUNTIF(INTERNES!$G$7:$G$50,INTERNES!A38))+(COUNTIF('EN PANNE'!$G$7:$G$50,INTERNES!A38))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EXPRESS'!$G$7:$G$50,INTERNES!G38))+(COUNTIF('2 ZT'!$G$7:$G$50,INTERNES!G38))+(COUNTIF('GO TRANSPORT'!$G$7:$G$50,INTERNES!G38))+(COUNTIF('HMZ - KAIS'!$G$7:$G$50,INTERNES!G38))+(COUNTIF('IB TRANSPORT'!$G$7:$G$50,INTERNES!G38))+(COUNTIF(JSL!$G$7:$G$50,INTERNES!G38))+(COUNTIF(KIFAITOUT!$G$7:$G$50,INTERNES!G38))+(COUNTIF('LUXE DRIVE'!$G$7:$G$50,INTERNES!G38))+(COUNTIF(SSN!$G$7:$G$50,INTERNES!G38))+(COUNTIF('W3'!$G$7:$G$50,INTERNES!G38))+(COUNTIF('ATHIS MONS'!$G$7:$G$50,INTERNES!G38))+(COUNTIF('L HAY LES ROSES'!$G$7:$G$50,INTERNES!G38))+(COUNTIF(RUNGIS!$G$7:$G$50,INTERNES!G38))+(COUNTIF(SCEAUX!$G$7:$G$50,INTERNES!G38))+(COUNTIF('INSTANCE C1'!$G$7:$G$50,INTERNES!G38))+(COUNTIF('INSTANCE C2'!$G$7:$G$50,INTERNES!G38))+(COUNTIF(INTERNES!$G$7:$G$50,INTERNES!G38))+(COUNTIF('EN PANNE'!$G$7:$G$50,INTERNES!G38))-I38</f>
        <v>0</v>
      </c>
      <c r="I38" s="23">
        <f>(COUNTIF('2S EXPRESS'!$A$7:$A$50,INTERNES!G38))+(COUNTIF('2 ZT'!$A$7:$A$50,INTERNES!G38))+(COUNTIF('GO TRANSPORT'!$A$7:$A$50,INTERNES!G38))+(COUNTIF('HMZ - KAIS'!$A$7:$A$50,INTERNES!G38))+(COUNTIF('IB TRANSPORT'!$A$7:$A$50,INTERNES!G38))+(COUNTIF(JSL!$A$7:$A$50,INTERNES!G38))+(COUNTIF(KIFAITOUT!$A$7:$A$50,INTERNES!G38))+(COUNTIF('LUXE DRIVE'!$A$7:$A$50,INTERNES!G38))+(COUNTIF(SSN!$A$7:$A$50,INTERNES!G38))+(COUNTIF('W3'!$A$7:$A$50,INTERNES!G38))+(COUNTIF('ATHIS MONS'!$A$7:$A$50,INTERNES!G38))+(COUNTIF('L HAY LES ROSES'!$A$7:$A$50,INTERNES!G38))+(COUNTIF(RUNGIS!$A$7:$A$50,INTERNES!G38))+(COUNTIF(SCEAUX!$A$7:$A$50,INTERNES!G38))+(COUNTIF('INSTANCE C1'!$A$7:$A$50,INTERNES!G38))+(COUNTIF('INSTANCE C2'!$A$7:$A$50,INTERNES!G38))+(COUNTIF(INTERNES!$A$7:$A$50,INTERNES!G38))+(COUNTIF('EN PANNE'!$A$7:$A$50,INTERNES!G38))</f>
        <v>0</v>
      </c>
      <c r="J38" s="28">
        <f t="shared" si="4"/>
        <v>0</v>
      </c>
      <c r="K38" s="2"/>
      <c r="L38" s="47"/>
      <c r="M38" s="9"/>
      <c r="N38" s="9"/>
      <c r="O38" s="9"/>
      <c r="P38" s="9"/>
      <c r="S38" s="60">
        <f t="shared" si="1"/>
        <v>0</v>
      </c>
      <c r="T38" s="67">
        <f t="shared" si="2"/>
        <v>0</v>
      </c>
    </row>
    <row r="39" spans="1:20" ht="24.95" customHeight="1" x14ac:dyDescent="0.2">
      <c r="A39" s="20"/>
      <c r="B39" s="23">
        <f>(COUNTIF('2S EXPRESS'!$A$7:$A$50,INTERNES!A39))+(COUNTIF('2 ZT'!$A$7:$A$50,INTERNES!A39))+(COUNTIF('GO TRANSPORT'!$A$7:$A$50,INTERNES!A39))+(COUNTIF('HMZ - KAIS'!$A$7:$A$50,INTERNES!A39))+(COUNTIF('IB TRANSPORT'!$A$7:$A$50,INTERNES!A39))+(COUNTIF(JSL!$A$7:$A$50,INTERNES!A39))+(COUNTIF(KIFAITOUT!$A$7:$A$50,INTERNES!A39))+(COUNTIF('LUXE DRIVE'!$A$7:$A$50,INTERNES!A39))+(COUNTIF(SSN!$A$7:$A$50,INTERNES!A39))+(COUNTIF('W3'!$A$7:$A$50,INTERNES!A39))+(COUNTIF('ATHIS MONS'!$A$7:$A$50,INTERNES!A39))+(COUNTIF('L HAY LES ROSES'!$A$7:$A$50,INTERNES!A39))+(COUNTIF(RUNGIS!$A$7:$A$50,INTERNES!A39))+(COUNTIF(SCEAUX!$A$7:$A$50,INTERNES!A39))+(COUNTIF('INSTANCE C1'!$A$7:$A$50,INTERNES!A39))+(COUNTIF('INSTANCE C2'!$A$7:$A$50,INTERNES!A39))+(COUNTIF(INTERNES!$A$7:$A$50,INTERNES!A39))+(COUNTIF('EN PANNE'!$A$7:$A$50,INTERNES!A39))-C39</f>
        <v>0</v>
      </c>
      <c r="C39" s="23">
        <f>(COUNTIF('2S EXPRESS'!$G$7:$G$50,INTERNES!A39))+(COUNTIF('2 ZT'!$G$7:$G$50,INTERNES!A39))+(COUNTIF('GO TRANSPORT'!$G$7:$G$50,INTERNES!A39))+(COUNTIF(INTERNES!$G$7:$G$50,INTERNES!A39))+(COUNTIF('IB TRANSPORT'!$G$7:$G$50,INTERNES!A39))+(COUNTIF(JSL!$G$7:$G$50,INTERNES!A39))+(COUNTIF(KIFAITOUT!$G$7:$G$50,INTERNES!A39))+(COUNTIF('LUXE DRIVE'!$G$7:$G$50,INTERNES!A39))+(COUNTIF(SSN!$G$7:$G$50,INTERNES!A39))+(COUNTIF('W3'!$G$7:$G$50,INTERNES!A39))+(COUNTIF('ATHIS MONS'!$G$7:$G$50,INTERNES!A39))+(COUNTIF('L HAY LES ROSES'!$G$7:$G$50,INTERNES!A39))+(COUNTIF(RUNGIS!$G$7:$G$50,INTERNES!A39))+(COUNTIF(SCEAUX!$G$7:$G$50,INTERNES!A39))+(COUNTIF('INSTANCE C1'!$G$7:$G$50,INTERNES!A39))+(COUNTIF('INSTANCE C2'!$G$7:$G$50,INTERNES!A39))+(COUNTIF(INTERNES!$G$7:$G$50,INTERNES!A39))+(COUNTIF('EN PANNE'!$G$7:$G$50,INTERNES!A39))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EXPRESS'!$G$7:$G$50,INTERNES!G39))+(COUNTIF('2 ZT'!$G$7:$G$50,INTERNES!G39))+(COUNTIF('GO TRANSPORT'!$G$7:$G$50,INTERNES!G39))+(COUNTIF('HMZ - KAIS'!$G$7:$G$50,INTERNES!G39))+(COUNTIF('IB TRANSPORT'!$G$7:$G$50,INTERNES!G39))+(COUNTIF(JSL!$G$7:$G$50,INTERNES!G39))+(COUNTIF(KIFAITOUT!$G$7:$G$50,INTERNES!G39))+(COUNTIF('LUXE DRIVE'!$G$7:$G$50,INTERNES!G39))+(COUNTIF(SSN!$G$7:$G$50,INTERNES!G39))+(COUNTIF('W3'!$G$7:$G$50,INTERNES!G39))+(COUNTIF('ATHIS MONS'!$G$7:$G$50,INTERNES!G39))+(COUNTIF('L HAY LES ROSES'!$G$7:$G$50,INTERNES!G39))+(COUNTIF(RUNGIS!$G$7:$G$50,INTERNES!G39))+(COUNTIF(SCEAUX!$G$7:$G$50,INTERNES!G39))+(COUNTIF('INSTANCE C1'!$G$7:$G$50,INTERNES!G39))+(COUNTIF('INSTANCE C2'!$G$7:$G$50,INTERNES!G39))+(COUNTIF(INTERNES!$G$7:$G$50,INTERNES!G39))+(COUNTIF('EN PANNE'!$G$7:$G$50,INTERNES!G39))-I39</f>
        <v>0</v>
      </c>
      <c r="I39" s="23">
        <f>(COUNTIF('2S EXPRESS'!$A$7:$A$50,INTERNES!G39))+(COUNTIF('2 ZT'!$A$7:$A$50,INTERNES!G39))+(COUNTIF('GO TRANSPORT'!$A$7:$A$50,INTERNES!G39))+(COUNTIF('HMZ - KAIS'!$A$7:$A$50,INTERNES!G39))+(COUNTIF('IB TRANSPORT'!$A$7:$A$50,INTERNES!G39))+(COUNTIF(JSL!$A$7:$A$50,INTERNES!G39))+(COUNTIF(KIFAITOUT!$A$7:$A$50,INTERNES!G39))+(COUNTIF('LUXE DRIVE'!$A$7:$A$50,INTERNES!G39))+(COUNTIF(SSN!$A$7:$A$50,INTERNES!G39))+(COUNTIF('W3'!$A$7:$A$50,INTERNES!G39))+(COUNTIF('ATHIS MONS'!$A$7:$A$50,INTERNES!G39))+(COUNTIF('L HAY LES ROSES'!$A$7:$A$50,INTERNES!G39))+(COUNTIF(RUNGIS!$A$7:$A$50,INTERNES!G39))+(COUNTIF(SCEAUX!$A$7:$A$50,INTERNES!G39))+(COUNTIF('INSTANCE C1'!$A$7:$A$50,INTERNES!G39))+(COUNTIF('INSTANCE C2'!$A$7:$A$50,INTERNES!G39))+(COUNTIF(INTERNES!$A$7:$A$50,INTERNES!G39))+(COUNTIF('EN PANNE'!$A$7:$A$50,INTERNES!G39))</f>
        <v>0</v>
      </c>
      <c r="J39" s="28">
        <f t="shared" si="4"/>
        <v>0</v>
      </c>
      <c r="K39" s="2"/>
      <c r="L39" s="47"/>
      <c r="M39" s="9"/>
      <c r="N39" s="9"/>
      <c r="O39" s="9"/>
      <c r="P39" s="9"/>
      <c r="S39" s="60">
        <f t="shared" si="1"/>
        <v>0</v>
      </c>
      <c r="T39" s="67">
        <f t="shared" si="2"/>
        <v>0</v>
      </c>
    </row>
    <row r="40" spans="1:20" ht="24.95" customHeight="1" x14ac:dyDescent="0.2">
      <c r="A40" s="20"/>
      <c r="B40" s="23">
        <f>(COUNTIF('2S EXPRESS'!$A$7:$A$50,INTERNES!A40))+(COUNTIF('2 ZT'!$A$7:$A$50,INTERNES!A40))+(COUNTIF('GO TRANSPORT'!$A$7:$A$50,INTERNES!A40))+(COUNTIF('HMZ - KAIS'!$A$7:$A$50,INTERNES!A40))+(COUNTIF('IB TRANSPORT'!$A$7:$A$50,INTERNES!A40))+(COUNTIF(JSL!$A$7:$A$50,INTERNES!A40))+(COUNTIF(KIFAITOUT!$A$7:$A$50,INTERNES!A40))+(COUNTIF('LUXE DRIVE'!$A$7:$A$50,INTERNES!A40))+(COUNTIF(SSN!$A$7:$A$50,INTERNES!A40))+(COUNTIF('W3'!$A$7:$A$50,INTERNES!A40))+(COUNTIF('ATHIS MONS'!$A$7:$A$50,INTERNES!A40))+(COUNTIF('L HAY LES ROSES'!$A$7:$A$50,INTERNES!A40))+(COUNTIF(RUNGIS!$A$7:$A$50,INTERNES!A40))+(COUNTIF(SCEAUX!$A$7:$A$50,INTERNES!A40))+(COUNTIF('INSTANCE C1'!$A$7:$A$50,INTERNES!A40))+(COUNTIF('INSTANCE C2'!$A$7:$A$50,INTERNES!A40))+(COUNTIF(INTERNES!$A$7:$A$50,INTERNES!A40))+(COUNTIF('EN PANNE'!$A$7:$A$50,INTERNES!A40))-C40</f>
        <v>0</v>
      </c>
      <c r="C40" s="23">
        <f>(COUNTIF('2S EXPRESS'!$G$7:$G$50,INTERNES!A40))+(COUNTIF('2 ZT'!$G$7:$G$50,INTERNES!A40))+(COUNTIF('GO TRANSPORT'!$G$7:$G$50,INTERNES!A40))+(COUNTIF(INTERNES!$G$7:$G$50,INTERNES!A40))+(COUNTIF('IB TRANSPORT'!$G$7:$G$50,INTERNES!A40))+(COUNTIF(JSL!$G$7:$G$50,INTERNES!A40))+(COUNTIF(KIFAITOUT!$G$7:$G$50,INTERNES!A40))+(COUNTIF('LUXE DRIVE'!$G$7:$G$50,INTERNES!A40))+(COUNTIF(SSN!$G$7:$G$50,INTERNES!A40))+(COUNTIF('W3'!$G$7:$G$50,INTERNES!A40))+(COUNTIF('ATHIS MONS'!$G$7:$G$50,INTERNES!A40))+(COUNTIF('L HAY LES ROSES'!$G$7:$G$50,INTERNES!A40))+(COUNTIF(RUNGIS!$G$7:$G$50,INTERNES!A40))+(COUNTIF(SCEAUX!$G$7:$G$50,INTERNES!A40))+(COUNTIF('INSTANCE C1'!$G$7:$G$50,INTERNES!A40))+(COUNTIF('INSTANCE C2'!$G$7:$G$50,INTERNES!A40))+(COUNTIF(INTERNES!$G$7:$G$50,INTERNES!A40))+(COUNTIF('EN PANNE'!$G$7:$G$50,INTERNES!A40))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EXPRESS'!$G$7:$G$50,INTERNES!G40))+(COUNTIF('2 ZT'!$G$7:$G$50,INTERNES!G40))+(COUNTIF('GO TRANSPORT'!$G$7:$G$50,INTERNES!G40))+(COUNTIF('HMZ - KAIS'!$G$7:$G$50,INTERNES!G40))+(COUNTIF('IB TRANSPORT'!$G$7:$G$50,INTERNES!G40))+(COUNTIF(JSL!$G$7:$G$50,INTERNES!G40))+(COUNTIF(KIFAITOUT!$G$7:$G$50,INTERNES!G40))+(COUNTIF('LUXE DRIVE'!$G$7:$G$50,INTERNES!G40))+(COUNTIF(SSN!$G$7:$G$50,INTERNES!G40))+(COUNTIF('W3'!$G$7:$G$50,INTERNES!G40))+(COUNTIF('ATHIS MONS'!$G$7:$G$50,INTERNES!G40))+(COUNTIF('L HAY LES ROSES'!$G$7:$G$50,INTERNES!G40))+(COUNTIF(RUNGIS!$G$7:$G$50,INTERNES!G40))+(COUNTIF(SCEAUX!$G$7:$G$50,INTERNES!G40))+(COUNTIF('INSTANCE C1'!$G$7:$G$50,INTERNES!G40))+(COUNTIF('INSTANCE C2'!$G$7:$G$50,INTERNES!G40))+(COUNTIF(INTERNES!$G$7:$G$50,INTERNES!G40))+(COUNTIF('EN PANNE'!$G$7:$G$50,INTERNES!G40))-I40</f>
        <v>0</v>
      </c>
      <c r="I40" s="23">
        <f>(COUNTIF('2S EXPRESS'!$A$7:$A$50,INTERNES!G40))+(COUNTIF('2 ZT'!$A$7:$A$50,INTERNES!G40))+(COUNTIF('GO TRANSPORT'!$A$7:$A$50,INTERNES!G40))+(COUNTIF('HMZ - KAIS'!$A$7:$A$50,INTERNES!G40))+(COUNTIF('IB TRANSPORT'!$A$7:$A$50,INTERNES!G40))+(COUNTIF(JSL!$A$7:$A$50,INTERNES!G40))+(COUNTIF(KIFAITOUT!$A$7:$A$50,INTERNES!G40))+(COUNTIF('LUXE DRIVE'!$A$7:$A$50,INTERNES!G40))+(COUNTIF(SSN!$A$7:$A$50,INTERNES!G40))+(COUNTIF('W3'!$A$7:$A$50,INTERNES!G40))+(COUNTIF('ATHIS MONS'!$A$7:$A$50,INTERNES!G40))+(COUNTIF('L HAY LES ROSES'!$A$7:$A$50,INTERNES!G40))+(COUNTIF(RUNGIS!$A$7:$A$50,INTERNES!G40))+(COUNTIF(SCEAUX!$A$7:$A$50,INTERNES!G40))+(COUNTIF('INSTANCE C1'!$A$7:$A$50,INTERNES!G40))+(COUNTIF('INSTANCE C2'!$A$7:$A$50,INTERNES!G40))+(COUNTIF(INTERNES!$A$7:$A$50,INTERNES!G40))+(COUNTIF('EN PANNE'!$A$7:$A$50,INTERNES!G40))</f>
        <v>0</v>
      </c>
      <c r="J40" s="28">
        <f t="shared" si="4"/>
        <v>0</v>
      </c>
      <c r="K40" s="2"/>
      <c r="L40" s="47"/>
      <c r="M40" s="9"/>
      <c r="N40" s="9"/>
      <c r="O40" s="9"/>
      <c r="P40" s="9"/>
      <c r="S40" s="60">
        <f t="shared" si="1"/>
        <v>0</v>
      </c>
      <c r="T40" s="67">
        <f t="shared" si="2"/>
        <v>0</v>
      </c>
    </row>
    <row r="41" spans="1:20" ht="24.95" customHeight="1" x14ac:dyDescent="0.2">
      <c r="A41" s="20"/>
      <c r="B41" s="23">
        <f>(COUNTIF('2S EXPRESS'!$A$7:$A$50,INTERNES!A41))+(COUNTIF('2 ZT'!$A$7:$A$50,INTERNES!A41))+(COUNTIF('GO TRANSPORT'!$A$7:$A$50,INTERNES!A41))+(COUNTIF('HMZ - KAIS'!$A$7:$A$50,INTERNES!A41))+(COUNTIF('IB TRANSPORT'!$A$7:$A$50,INTERNES!A41))+(COUNTIF(JSL!$A$7:$A$50,INTERNES!A41))+(COUNTIF(KIFAITOUT!$A$7:$A$50,INTERNES!A41))+(COUNTIF('LUXE DRIVE'!$A$7:$A$50,INTERNES!A41))+(COUNTIF(SSN!$A$7:$A$50,INTERNES!A41))+(COUNTIF('W3'!$A$7:$A$50,INTERNES!A41))+(COUNTIF('ATHIS MONS'!$A$7:$A$50,INTERNES!A41))+(COUNTIF('L HAY LES ROSES'!$A$7:$A$50,INTERNES!A41))+(COUNTIF(RUNGIS!$A$7:$A$50,INTERNES!A41))+(COUNTIF(SCEAUX!$A$7:$A$50,INTERNES!A41))+(COUNTIF('INSTANCE C1'!$A$7:$A$50,INTERNES!A41))+(COUNTIF('INSTANCE C2'!$A$7:$A$50,INTERNES!A41))+(COUNTIF(INTERNES!$A$7:$A$50,INTERNES!A41))+(COUNTIF('EN PANNE'!$A$7:$A$50,INTERNES!A41))-C41</f>
        <v>0</v>
      </c>
      <c r="C41" s="23">
        <f>(COUNTIF('2S EXPRESS'!$G$7:$G$50,INTERNES!A41))+(COUNTIF('2 ZT'!$G$7:$G$50,INTERNES!A41))+(COUNTIF('GO TRANSPORT'!$G$7:$G$50,INTERNES!A41))+(COUNTIF(INTERNES!$G$7:$G$50,INTERNES!A41))+(COUNTIF('IB TRANSPORT'!$G$7:$G$50,INTERNES!A41))+(COUNTIF(JSL!$G$7:$G$50,INTERNES!A41))+(COUNTIF(KIFAITOUT!$G$7:$G$50,INTERNES!A41))+(COUNTIF('LUXE DRIVE'!$G$7:$G$50,INTERNES!A41))+(COUNTIF(SSN!$G$7:$G$50,INTERNES!A41))+(COUNTIF('W3'!$G$7:$G$50,INTERNES!A41))+(COUNTIF('ATHIS MONS'!$G$7:$G$50,INTERNES!A41))+(COUNTIF('L HAY LES ROSES'!$G$7:$G$50,INTERNES!A41))+(COUNTIF(RUNGIS!$G$7:$G$50,INTERNES!A41))+(COUNTIF(SCEAUX!$G$7:$G$50,INTERNES!A41))+(COUNTIF('INSTANCE C1'!$G$7:$G$50,INTERNES!A41))+(COUNTIF('INSTANCE C2'!$G$7:$G$50,INTERNES!A41))+(COUNTIF(INTERNES!$G$7:$G$50,INTERNES!A41))+(COUNTIF('EN PANNE'!$G$7:$G$50,INTERNES!A41))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EXPRESS'!$G$7:$G$50,INTERNES!G41))+(COUNTIF('2 ZT'!$G$7:$G$50,INTERNES!G41))+(COUNTIF('GO TRANSPORT'!$G$7:$G$50,INTERNES!G41))+(COUNTIF('HMZ - KAIS'!$G$7:$G$50,INTERNES!G41))+(COUNTIF('IB TRANSPORT'!$G$7:$G$50,INTERNES!G41))+(COUNTIF(JSL!$G$7:$G$50,INTERNES!G41))+(COUNTIF(KIFAITOUT!$G$7:$G$50,INTERNES!G41))+(COUNTIF('LUXE DRIVE'!$G$7:$G$50,INTERNES!G41))+(COUNTIF(SSN!$G$7:$G$50,INTERNES!G41))+(COUNTIF('W3'!$G$7:$G$50,INTERNES!G41))+(COUNTIF('ATHIS MONS'!$G$7:$G$50,INTERNES!G41))+(COUNTIF('L HAY LES ROSES'!$G$7:$G$50,INTERNES!G41))+(COUNTIF(RUNGIS!$G$7:$G$50,INTERNES!G41))+(COUNTIF(SCEAUX!$G$7:$G$50,INTERNES!G41))+(COUNTIF('INSTANCE C1'!$G$7:$G$50,INTERNES!G41))+(COUNTIF('INSTANCE C2'!$G$7:$G$50,INTERNES!G41))+(COUNTIF(INTERNES!$G$7:$G$50,INTERNES!G41))+(COUNTIF('EN PANNE'!$G$7:$G$50,INTERNES!G41))-I41</f>
        <v>0</v>
      </c>
      <c r="I41" s="23">
        <f>(COUNTIF('2S EXPRESS'!$A$7:$A$50,INTERNES!G41))+(COUNTIF('2 ZT'!$A$7:$A$50,INTERNES!G41))+(COUNTIF('GO TRANSPORT'!$A$7:$A$50,INTERNES!G41))+(COUNTIF('HMZ - KAIS'!$A$7:$A$50,INTERNES!G41))+(COUNTIF('IB TRANSPORT'!$A$7:$A$50,INTERNES!G41))+(COUNTIF(JSL!$A$7:$A$50,INTERNES!G41))+(COUNTIF(KIFAITOUT!$A$7:$A$50,INTERNES!G41))+(COUNTIF('LUXE DRIVE'!$A$7:$A$50,INTERNES!G41))+(COUNTIF(SSN!$A$7:$A$50,INTERNES!G41))+(COUNTIF('W3'!$A$7:$A$50,INTERNES!G41))+(COUNTIF('ATHIS MONS'!$A$7:$A$50,INTERNES!G41))+(COUNTIF('L HAY LES ROSES'!$A$7:$A$50,INTERNES!G41))+(COUNTIF(RUNGIS!$A$7:$A$50,INTERNES!G41))+(COUNTIF(SCEAUX!$A$7:$A$50,INTERNES!G41))+(COUNTIF('INSTANCE C1'!$A$7:$A$50,INTERNES!G41))+(COUNTIF('INSTANCE C2'!$A$7:$A$50,INTERNES!G41))+(COUNTIF(INTERNES!$A$7:$A$50,INTERNES!G41))+(COUNTIF('EN PANNE'!$A$7:$A$50,INTERNES!G41))</f>
        <v>0</v>
      </c>
      <c r="J41" s="28">
        <f t="shared" si="4"/>
        <v>0</v>
      </c>
      <c r="K41" s="2"/>
      <c r="L41" s="47"/>
      <c r="M41" s="9"/>
      <c r="N41" s="9"/>
      <c r="O41" s="9"/>
      <c r="P41" s="9"/>
      <c r="S41" s="60">
        <f t="shared" si="1"/>
        <v>0</v>
      </c>
      <c r="T41" s="67">
        <f t="shared" si="2"/>
        <v>0</v>
      </c>
    </row>
    <row r="42" spans="1:20" ht="24.95" customHeight="1" x14ac:dyDescent="0.2">
      <c r="A42" s="20"/>
      <c r="B42" s="23">
        <f>(COUNTIF('2S EXPRESS'!$A$7:$A$50,INTERNES!A42))+(COUNTIF('2 ZT'!$A$7:$A$50,INTERNES!A42))+(COUNTIF('GO TRANSPORT'!$A$7:$A$50,INTERNES!A42))+(COUNTIF('HMZ - KAIS'!$A$7:$A$50,INTERNES!A42))+(COUNTIF('IB TRANSPORT'!$A$7:$A$50,INTERNES!A42))+(COUNTIF(JSL!$A$7:$A$50,INTERNES!A42))+(COUNTIF(KIFAITOUT!$A$7:$A$50,INTERNES!A42))+(COUNTIF('LUXE DRIVE'!$A$7:$A$50,INTERNES!A42))+(COUNTIF(SSN!$A$7:$A$50,INTERNES!A42))+(COUNTIF('W3'!$A$7:$A$50,INTERNES!A42))+(COUNTIF('ATHIS MONS'!$A$7:$A$50,INTERNES!A42))+(COUNTIF('L HAY LES ROSES'!$A$7:$A$50,INTERNES!A42))+(COUNTIF(RUNGIS!$A$7:$A$50,INTERNES!A42))+(COUNTIF(SCEAUX!$A$7:$A$50,INTERNES!A42))+(COUNTIF('INSTANCE C1'!$A$7:$A$50,INTERNES!A42))+(COUNTIF('INSTANCE C2'!$A$7:$A$50,INTERNES!A42))+(COUNTIF(INTERNES!$A$7:$A$50,INTERNES!A42))+(COUNTIF('EN PANNE'!$A$7:$A$50,INTERNES!A42))-C42</f>
        <v>0</v>
      </c>
      <c r="C42" s="23">
        <f>(COUNTIF('2S EXPRESS'!$G$7:$G$50,INTERNES!A42))+(COUNTIF('2 ZT'!$G$7:$G$50,INTERNES!A42))+(COUNTIF('GO TRANSPORT'!$G$7:$G$50,INTERNES!A42))+(COUNTIF(INTERNES!$G$7:$G$50,INTERNES!A42))+(COUNTIF('IB TRANSPORT'!$G$7:$G$50,INTERNES!A42))+(COUNTIF(JSL!$G$7:$G$50,INTERNES!A42))+(COUNTIF(KIFAITOUT!$G$7:$G$50,INTERNES!A42))+(COUNTIF('LUXE DRIVE'!$G$7:$G$50,INTERNES!A42))+(COUNTIF(SSN!$G$7:$G$50,INTERNES!A42))+(COUNTIF('W3'!$G$7:$G$50,INTERNES!A42))+(COUNTIF('ATHIS MONS'!$G$7:$G$50,INTERNES!A42))+(COUNTIF('L HAY LES ROSES'!$G$7:$G$50,INTERNES!A42))+(COUNTIF(RUNGIS!$G$7:$G$50,INTERNES!A42))+(COUNTIF(SCEAUX!$G$7:$G$50,INTERNES!A42))+(COUNTIF('INSTANCE C1'!$G$7:$G$50,INTERNES!A42))+(COUNTIF('INSTANCE C2'!$G$7:$G$50,INTERNES!A42))+(COUNTIF(INTERNES!$G$7:$G$50,INTERNES!A42))+(COUNTIF('EN PANNE'!$G$7:$G$50,INTERNES!A42))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EXPRESS'!$G$7:$G$50,INTERNES!G42))+(COUNTIF('2 ZT'!$G$7:$G$50,INTERNES!G42))+(COUNTIF('GO TRANSPORT'!$G$7:$G$50,INTERNES!G42))+(COUNTIF('HMZ - KAIS'!$G$7:$G$50,INTERNES!G42))+(COUNTIF('IB TRANSPORT'!$G$7:$G$50,INTERNES!G42))+(COUNTIF(JSL!$G$7:$G$50,INTERNES!G42))+(COUNTIF(KIFAITOUT!$G$7:$G$50,INTERNES!G42))+(COUNTIF('LUXE DRIVE'!$G$7:$G$50,INTERNES!G42))+(COUNTIF(SSN!$G$7:$G$50,INTERNES!G42))+(COUNTIF('W3'!$G$7:$G$50,INTERNES!G42))+(COUNTIF('ATHIS MONS'!$G$7:$G$50,INTERNES!G42))+(COUNTIF('L HAY LES ROSES'!$G$7:$G$50,INTERNES!G42))+(COUNTIF(RUNGIS!$G$7:$G$50,INTERNES!G42))+(COUNTIF(SCEAUX!$G$7:$G$50,INTERNES!G42))+(COUNTIF('INSTANCE C1'!$G$7:$G$50,INTERNES!G42))+(COUNTIF('INSTANCE C2'!$G$7:$G$50,INTERNES!G42))+(COUNTIF(INTERNES!$G$7:$G$50,INTERNES!G42))+(COUNTIF('EN PANNE'!$G$7:$G$50,INTERNES!G42))-I42</f>
        <v>0</v>
      </c>
      <c r="I42" s="23">
        <f>(COUNTIF('2S EXPRESS'!$A$7:$A$50,INTERNES!G42))+(COUNTIF('2 ZT'!$A$7:$A$50,INTERNES!G42))+(COUNTIF('GO TRANSPORT'!$A$7:$A$50,INTERNES!G42))+(COUNTIF('HMZ - KAIS'!$A$7:$A$50,INTERNES!G42))+(COUNTIF('IB TRANSPORT'!$A$7:$A$50,INTERNES!G42))+(COUNTIF(JSL!$A$7:$A$50,INTERNES!G42))+(COUNTIF(KIFAITOUT!$A$7:$A$50,INTERNES!G42))+(COUNTIF('LUXE DRIVE'!$A$7:$A$50,INTERNES!G42))+(COUNTIF(SSN!$A$7:$A$50,INTERNES!G42))+(COUNTIF('W3'!$A$7:$A$50,INTERNES!G42))+(COUNTIF('ATHIS MONS'!$A$7:$A$50,INTERNES!G42))+(COUNTIF('L HAY LES ROSES'!$A$7:$A$50,INTERNES!G42))+(COUNTIF(RUNGIS!$A$7:$A$50,INTERNES!G42))+(COUNTIF(SCEAUX!$A$7:$A$50,INTERNES!G42))+(COUNTIF('INSTANCE C1'!$A$7:$A$50,INTERNES!G42))+(COUNTIF('INSTANCE C2'!$A$7:$A$50,INTERNES!G42))+(COUNTIF(INTERNES!$A$7:$A$50,INTERNES!G42))+(COUNTIF('EN PANNE'!$A$7:$A$50,INTERNES!G42))</f>
        <v>0</v>
      </c>
      <c r="J42" s="28">
        <f t="shared" si="4"/>
        <v>0</v>
      </c>
      <c r="K42" s="2"/>
      <c r="L42" s="47"/>
      <c r="M42" s="9"/>
      <c r="N42" s="9"/>
      <c r="O42" s="9"/>
      <c r="P42" s="9"/>
      <c r="S42" s="60">
        <f t="shared" si="1"/>
        <v>0</v>
      </c>
      <c r="T42" s="67">
        <f t="shared" si="2"/>
        <v>0</v>
      </c>
    </row>
    <row r="43" spans="1:20" ht="24.95" customHeight="1" x14ac:dyDescent="0.2">
      <c r="A43" s="20"/>
      <c r="B43" s="23">
        <f>(COUNTIF('2S EXPRESS'!$A$7:$A$50,INTERNES!A43))+(COUNTIF('2 ZT'!$A$7:$A$50,INTERNES!A43))+(COUNTIF('GO TRANSPORT'!$A$7:$A$50,INTERNES!A43))+(COUNTIF('HMZ - KAIS'!$A$7:$A$50,INTERNES!A43))+(COUNTIF('IB TRANSPORT'!$A$7:$A$50,INTERNES!A43))+(COUNTIF(JSL!$A$7:$A$50,INTERNES!A43))+(COUNTIF(KIFAITOUT!$A$7:$A$50,INTERNES!A43))+(COUNTIF('LUXE DRIVE'!$A$7:$A$50,INTERNES!A43))+(COUNTIF(SSN!$A$7:$A$50,INTERNES!A43))+(COUNTIF('W3'!$A$7:$A$50,INTERNES!A43))+(COUNTIF('ATHIS MONS'!$A$7:$A$50,INTERNES!A43))+(COUNTIF('L HAY LES ROSES'!$A$7:$A$50,INTERNES!A43))+(COUNTIF(RUNGIS!$A$7:$A$50,INTERNES!A43))+(COUNTIF(SCEAUX!$A$7:$A$50,INTERNES!A43))+(COUNTIF('INSTANCE C1'!$A$7:$A$50,INTERNES!A43))+(COUNTIF('INSTANCE C2'!$A$7:$A$50,INTERNES!A43))+(COUNTIF(INTERNES!$A$7:$A$50,INTERNES!A43))+(COUNTIF('EN PANNE'!$A$7:$A$50,INTERNES!A43))-C43</f>
        <v>0</v>
      </c>
      <c r="C43" s="23">
        <f>(COUNTIF('2S EXPRESS'!$G$7:$G$50,INTERNES!A43))+(COUNTIF('2 ZT'!$G$7:$G$50,INTERNES!A43))+(COUNTIF('GO TRANSPORT'!$G$7:$G$50,INTERNES!A43))+(COUNTIF(INTERNES!$G$7:$G$50,INTERNES!A43))+(COUNTIF('IB TRANSPORT'!$G$7:$G$50,INTERNES!A43))+(COUNTIF(JSL!$G$7:$G$50,INTERNES!A43))+(COUNTIF(KIFAITOUT!$G$7:$G$50,INTERNES!A43))+(COUNTIF('LUXE DRIVE'!$G$7:$G$50,INTERNES!A43))+(COUNTIF(SSN!$G$7:$G$50,INTERNES!A43))+(COUNTIF('W3'!$G$7:$G$50,INTERNES!A43))+(COUNTIF('ATHIS MONS'!$G$7:$G$50,INTERNES!A43))+(COUNTIF('L HAY LES ROSES'!$G$7:$G$50,INTERNES!A43))+(COUNTIF(RUNGIS!$G$7:$G$50,INTERNES!A43))+(COUNTIF(SCEAUX!$G$7:$G$50,INTERNES!A43))+(COUNTIF('INSTANCE C1'!$G$7:$G$50,INTERNES!A43))+(COUNTIF('INSTANCE C2'!$G$7:$G$50,INTERNES!A43))+(COUNTIF(INTERNES!$G$7:$G$50,INTERNES!A43))+(COUNTIF('EN PANNE'!$G$7:$G$50,INTERNES!A43))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EXPRESS'!$G$7:$G$50,INTERNES!G43))+(COUNTIF('2 ZT'!$G$7:$G$50,INTERNES!G43))+(COUNTIF('GO TRANSPORT'!$G$7:$G$50,INTERNES!G43))+(COUNTIF('HMZ - KAIS'!$G$7:$G$50,INTERNES!G43))+(COUNTIF('IB TRANSPORT'!$G$7:$G$50,INTERNES!G43))+(COUNTIF(JSL!$G$7:$G$50,INTERNES!G43))+(COUNTIF(KIFAITOUT!$G$7:$G$50,INTERNES!G43))+(COUNTIF('LUXE DRIVE'!$G$7:$G$50,INTERNES!G43))+(COUNTIF(SSN!$G$7:$G$50,INTERNES!G43))+(COUNTIF('W3'!$G$7:$G$50,INTERNES!G43))+(COUNTIF('ATHIS MONS'!$G$7:$G$50,INTERNES!G43))+(COUNTIF('L HAY LES ROSES'!$G$7:$G$50,INTERNES!G43))+(COUNTIF(RUNGIS!$G$7:$G$50,INTERNES!G43))+(COUNTIF(SCEAUX!$G$7:$G$50,INTERNES!G43))+(COUNTIF('INSTANCE C1'!$G$7:$G$50,INTERNES!G43))+(COUNTIF('INSTANCE C2'!$G$7:$G$50,INTERNES!G43))+(COUNTIF(INTERNES!$G$7:$G$50,INTERNES!G43))+(COUNTIF('EN PANNE'!$G$7:$G$50,INTERNES!G43))-I43</f>
        <v>0</v>
      </c>
      <c r="I43" s="23">
        <f>(COUNTIF('2S EXPRESS'!$A$7:$A$50,INTERNES!G43))+(COUNTIF('2 ZT'!$A$7:$A$50,INTERNES!G43))+(COUNTIF('GO TRANSPORT'!$A$7:$A$50,INTERNES!G43))+(COUNTIF('HMZ - KAIS'!$A$7:$A$50,INTERNES!G43))+(COUNTIF('IB TRANSPORT'!$A$7:$A$50,INTERNES!G43))+(COUNTIF(JSL!$A$7:$A$50,INTERNES!G43))+(COUNTIF(KIFAITOUT!$A$7:$A$50,INTERNES!G43))+(COUNTIF('LUXE DRIVE'!$A$7:$A$50,INTERNES!G43))+(COUNTIF(SSN!$A$7:$A$50,INTERNES!G43))+(COUNTIF('W3'!$A$7:$A$50,INTERNES!G43))+(COUNTIF('ATHIS MONS'!$A$7:$A$50,INTERNES!G43))+(COUNTIF('L HAY LES ROSES'!$A$7:$A$50,INTERNES!G43))+(COUNTIF(RUNGIS!$A$7:$A$50,INTERNES!G43))+(COUNTIF(SCEAUX!$A$7:$A$50,INTERNES!G43))+(COUNTIF('INSTANCE C1'!$A$7:$A$50,INTERNES!G43))+(COUNTIF('INSTANCE C2'!$A$7:$A$50,INTERNES!G43))+(COUNTIF(INTERNES!$A$7:$A$50,INTERNES!G43))+(COUNTIF('EN PANNE'!$A$7:$A$50,INTERNES!G43))</f>
        <v>0</v>
      </c>
      <c r="J43" s="28">
        <f t="shared" si="4"/>
        <v>0</v>
      </c>
      <c r="K43" s="2"/>
      <c r="L43" s="47"/>
      <c r="M43" s="9"/>
      <c r="N43" s="9"/>
      <c r="O43" s="9"/>
      <c r="P43" s="9"/>
      <c r="S43" s="60">
        <f t="shared" si="1"/>
        <v>0</v>
      </c>
      <c r="T43" s="67">
        <f t="shared" si="2"/>
        <v>0</v>
      </c>
    </row>
    <row r="44" spans="1:20" ht="24.95" customHeight="1" x14ac:dyDescent="0.2">
      <c r="A44" s="20"/>
      <c r="B44" s="23">
        <f>(COUNTIF('2S EXPRESS'!$A$7:$A$50,INTERNES!A44))+(COUNTIF('2 ZT'!$A$7:$A$50,INTERNES!A44))+(COUNTIF('GO TRANSPORT'!$A$7:$A$50,INTERNES!A44))+(COUNTIF('HMZ - KAIS'!$A$7:$A$50,INTERNES!A44))+(COUNTIF('IB TRANSPORT'!$A$7:$A$50,INTERNES!A44))+(COUNTIF(JSL!$A$7:$A$50,INTERNES!A44))+(COUNTIF(KIFAITOUT!$A$7:$A$50,INTERNES!A44))+(COUNTIF('LUXE DRIVE'!$A$7:$A$50,INTERNES!A44))+(COUNTIF(SSN!$A$7:$A$50,INTERNES!A44))+(COUNTIF('W3'!$A$7:$A$50,INTERNES!A44))+(COUNTIF('ATHIS MONS'!$A$7:$A$50,INTERNES!A44))+(COUNTIF('L HAY LES ROSES'!$A$7:$A$50,INTERNES!A44))+(COUNTIF(RUNGIS!$A$7:$A$50,INTERNES!A44))+(COUNTIF(SCEAUX!$A$7:$A$50,INTERNES!A44))+(COUNTIF('INSTANCE C1'!$A$7:$A$50,INTERNES!A44))+(COUNTIF('INSTANCE C2'!$A$7:$A$50,INTERNES!A44))+(COUNTIF(INTERNES!$A$7:$A$50,INTERNES!A44))+(COUNTIF('EN PANNE'!$A$7:$A$50,INTERNES!A44))-C44</f>
        <v>0</v>
      </c>
      <c r="C44" s="23">
        <f>(COUNTIF('2S EXPRESS'!$G$7:$G$50,INTERNES!A44))+(COUNTIF('2 ZT'!$G$7:$G$50,INTERNES!A44))+(COUNTIF('GO TRANSPORT'!$G$7:$G$50,INTERNES!A44))+(COUNTIF(INTERNES!$G$7:$G$50,INTERNES!A44))+(COUNTIF('IB TRANSPORT'!$G$7:$G$50,INTERNES!A44))+(COUNTIF(JSL!$G$7:$G$50,INTERNES!A44))+(COUNTIF(KIFAITOUT!$G$7:$G$50,INTERNES!A44))+(COUNTIF('LUXE DRIVE'!$G$7:$G$50,INTERNES!A44))+(COUNTIF(SSN!$G$7:$G$50,INTERNES!A44))+(COUNTIF('W3'!$G$7:$G$50,INTERNES!A44))+(COUNTIF('ATHIS MONS'!$G$7:$G$50,INTERNES!A44))+(COUNTIF('L HAY LES ROSES'!$G$7:$G$50,INTERNES!A44))+(COUNTIF(RUNGIS!$G$7:$G$50,INTERNES!A44))+(COUNTIF(SCEAUX!$G$7:$G$50,INTERNES!A44))+(COUNTIF('INSTANCE C1'!$G$7:$G$50,INTERNES!A44))+(COUNTIF('INSTANCE C2'!$G$7:$G$50,INTERNES!A44))+(COUNTIF(INTERNES!$G$7:$G$50,INTERNES!A44))+(COUNTIF('EN PANNE'!$G$7:$G$50,INTERNES!A44))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EXPRESS'!$G$7:$G$50,INTERNES!G44))+(COUNTIF('2 ZT'!$G$7:$G$50,INTERNES!G44))+(COUNTIF('GO TRANSPORT'!$G$7:$G$50,INTERNES!G44))+(COUNTIF('HMZ - KAIS'!$G$7:$G$50,INTERNES!G44))+(COUNTIF('IB TRANSPORT'!$G$7:$G$50,INTERNES!G44))+(COUNTIF(JSL!$G$7:$G$50,INTERNES!G44))+(COUNTIF(KIFAITOUT!$G$7:$G$50,INTERNES!G44))+(COUNTIF('LUXE DRIVE'!$G$7:$G$50,INTERNES!G44))+(COUNTIF(SSN!$G$7:$G$50,INTERNES!G44))+(COUNTIF('W3'!$G$7:$G$50,INTERNES!G44))+(COUNTIF('ATHIS MONS'!$G$7:$G$50,INTERNES!G44))+(COUNTIF('L HAY LES ROSES'!$G$7:$G$50,INTERNES!G44))+(COUNTIF(RUNGIS!$G$7:$G$50,INTERNES!G44))+(COUNTIF(SCEAUX!$G$7:$G$50,INTERNES!G44))+(COUNTIF('INSTANCE C1'!$G$7:$G$50,INTERNES!G44))+(COUNTIF('INSTANCE C2'!$G$7:$G$50,INTERNES!G44))+(COUNTIF(INTERNES!$G$7:$G$50,INTERNES!G44))+(COUNTIF('EN PANNE'!$G$7:$G$50,INTERNES!G44))-I44</f>
        <v>0</v>
      </c>
      <c r="I44" s="23">
        <f>(COUNTIF('2S EXPRESS'!$A$7:$A$50,INTERNES!G44))+(COUNTIF('2 ZT'!$A$7:$A$50,INTERNES!G44))+(COUNTIF('GO TRANSPORT'!$A$7:$A$50,INTERNES!G44))+(COUNTIF('HMZ - KAIS'!$A$7:$A$50,INTERNES!G44))+(COUNTIF('IB TRANSPORT'!$A$7:$A$50,INTERNES!G44))+(COUNTIF(JSL!$A$7:$A$50,INTERNES!G44))+(COUNTIF(KIFAITOUT!$A$7:$A$50,INTERNES!G44))+(COUNTIF('LUXE DRIVE'!$A$7:$A$50,INTERNES!G44))+(COUNTIF(SSN!$A$7:$A$50,INTERNES!G44))+(COUNTIF('W3'!$A$7:$A$50,INTERNES!G44))+(COUNTIF('ATHIS MONS'!$A$7:$A$50,INTERNES!G44))+(COUNTIF('L HAY LES ROSES'!$A$7:$A$50,INTERNES!G44))+(COUNTIF(RUNGIS!$A$7:$A$50,INTERNES!G44))+(COUNTIF(SCEAUX!$A$7:$A$50,INTERNES!G44))+(COUNTIF('INSTANCE C1'!$A$7:$A$50,INTERNES!G44))+(COUNTIF('INSTANCE C2'!$A$7:$A$50,INTERNES!G44))+(COUNTIF(INTERNES!$A$7:$A$50,INTERNES!G44))+(COUNTIF('EN PANNE'!$A$7:$A$50,INTERNES!G44))</f>
        <v>0</v>
      </c>
      <c r="J44" s="28">
        <f t="shared" si="4"/>
        <v>0</v>
      </c>
      <c r="K44" s="2"/>
      <c r="L44" s="47"/>
      <c r="M44" s="9"/>
      <c r="N44" s="9"/>
      <c r="O44" s="9"/>
      <c r="P44" s="9"/>
      <c r="S44" s="60">
        <f t="shared" si="1"/>
        <v>0</v>
      </c>
      <c r="T44" s="67">
        <f t="shared" si="2"/>
        <v>0</v>
      </c>
    </row>
    <row r="45" spans="1:20" ht="24.95" customHeight="1" x14ac:dyDescent="0.2">
      <c r="A45" s="20"/>
      <c r="B45" s="23">
        <f>(COUNTIF('2S EXPRESS'!$A$7:$A$50,INTERNES!A45))+(COUNTIF('2 ZT'!$A$7:$A$50,INTERNES!A45))+(COUNTIF('GO TRANSPORT'!$A$7:$A$50,INTERNES!A45))+(COUNTIF('HMZ - KAIS'!$A$7:$A$50,INTERNES!A45))+(COUNTIF('IB TRANSPORT'!$A$7:$A$50,INTERNES!A45))+(COUNTIF(JSL!$A$7:$A$50,INTERNES!A45))+(COUNTIF(KIFAITOUT!$A$7:$A$50,INTERNES!A45))+(COUNTIF('LUXE DRIVE'!$A$7:$A$50,INTERNES!A45))+(COUNTIF(SSN!$A$7:$A$50,INTERNES!A45))+(COUNTIF('W3'!$A$7:$A$50,INTERNES!A45))+(COUNTIF('ATHIS MONS'!$A$7:$A$50,INTERNES!A45))+(COUNTIF('L HAY LES ROSES'!$A$7:$A$50,INTERNES!A45))+(COUNTIF(RUNGIS!$A$7:$A$50,INTERNES!A45))+(COUNTIF(SCEAUX!$A$7:$A$50,INTERNES!A45))+(COUNTIF('INSTANCE C1'!$A$7:$A$50,INTERNES!A45))+(COUNTIF('INSTANCE C2'!$A$7:$A$50,INTERNES!A45))+(COUNTIF(INTERNES!$A$7:$A$50,INTERNES!A45))+(COUNTIF('EN PANNE'!$A$7:$A$50,INTERNES!A45))-C45</f>
        <v>0</v>
      </c>
      <c r="C45" s="23">
        <f>(COUNTIF('2S EXPRESS'!$G$7:$G$50,INTERNES!A45))+(COUNTIF('2 ZT'!$G$7:$G$50,INTERNES!A45))+(COUNTIF('GO TRANSPORT'!$G$7:$G$50,INTERNES!A45))+(COUNTIF(INTERNES!$G$7:$G$50,INTERNES!A45))+(COUNTIF('IB TRANSPORT'!$G$7:$G$50,INTERNES!A45))+(COUNTIF(JSL!$G$7:$G$50,INTERNES!A45))+(COUNTIF(KIFAITOUT!$G$7:$G$50,INTERNES!A45))+(COUNTIF('LUXE DRIVE'!$G$7:$G$50,INTERNES!A45))+(COUNTIF(SSN!$G$7:$G$50,INTERNES!A45))+(COUNTIF('W3'!$G$7:$G$50,INTERNES!A45))+(COUNTIF('ATHIS MONS'!$G$7:$G$50,INTERNES!A45))+(COUNTIF('L HAY LES ROSES'!$G$7:$G$50,INTERNES!A45))+(COUNTIF(RUNGIS!$G$7:$G$50,INTERNES!A45))+(COUNTIF(SCEAUX!$G$7:$G$50,INTERNES!A45))+(COUNTIF('INSTANCE C1'!$G$7:$G$50,INTERNES!A45))+(COUNTIF('INSTANCE C2'!$G$7:$G$50,INTERNES!A45))+(COUNTIF(INTERNES!$G$7:$G$50,INTERNES!A45))+(COUNTIF('EN PANNE'!$G$7:$G$50,INTERNES!A45))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EXPRESS'!$G$7:$G$50,INTERNES!G45))+(COUNTIF('2 ZT'!$G$7:$G$50,INTERNES!G45))+(COUNTIF('GO TRANSPORT'!$G$7:$G$50,INTERNES!G45))+(COUNTIF('HMZ - KAIS'!$G$7:$G$50,INTERNES!G45))+(COUNTIF('IB TRANSPORT'!$G$7:$G$50,INTERNES!G45))+(COUNTIF(JSL!$G$7:$G$50,INTERNES!G45))+(COUNTIF(KIFAITOUT!$G$7:$G$50,INTERNES!G45))+(COUNTIF('LUXE DRIVE'!$G$7:$G$50,INTERNES!G45))+(COUNTIF(SSN!$G$7:$G$50,INTERNES!G45))+(COUNTIF('W3'!$G$7:$G$50,INTERNES!G45))+(COUNTIF('ATHIS MONS'!$G$7:$G$50,INTERNES!G45))+(COUNTIF('L HAY LES ROSES'!$G$7:$G$50,INTERNES!G45))+(COUNTIF(RUNGIS!$G$7:$G$50,INTERNES!G45))+(COUNTIF(SCEAUX!$G$7:$G$50,INTERNES!G45))+(COUNTIF('INSTANCE C1'!$G$7:$G$50,INTERNES!G45))+(COUNTIF('INSTANCE C2'!$G$7:$G$50,INTERNES!G45))+(COUNTIF(INTERNES!$G$7:$G$50,INTERNES!G45))+(COUNTIF('EN PANNE'!$G$7:$G$50,INTERNES!G45))-I45</f>
        <v>0</v>
      </c>
      <c r="I45" s="23">
        <f>(COUNTIF('2S EXPRESS'!$A$7:$A$50,INTERNES!G45))+(COUNTIF('2 ZT'!$A$7:$A$50,INTERNES!G45))+(COUNTIF('GO TRANSPORT'!$A$7:$A$50,INTERNES!G45))+(COUNTIF('HMZ - KAIS'!$A$7:$A$50,INTERNES!G45))+(COUNTIF('IB TRANSPORT'!$A$7:$A$50,INTERNES!G45))+(COUNTIF(JSL!$A$7:$A$50,INTERNES!G45))+(COUNTIF(KIFAITOUT!$A$7:$A$50,INTERNES!G45))+(COUNTIF('LUXE DRIVE'!$A$7:$A$50,INTERNES!G45))+(COUNTIF(SSN!$A$7:$A$50,INTERNES!G45))+(COUNTIF('W3'!$A$7:$A$50,INTERNES!G45))+(COUNTIF('ATHIS MONS'!$A$7:$A$50,INTERNES!G45))+(COUNTIF('L HAY LES ROSES'!$A$7:$A$50,INTERNES!G45))+(COUNTIF(RUNGIS!$A$7:$A$50,INTERNES!G45))+(COUNTIF(SCEAUX!$A$7:$A$50,INTERNES!G45))+(COUNTIF('INSTANCE C1'!$A$7:$A$50,INTERNES!G45))+(COUNTIF('INSTANCE C2'!$A$7:$A$50,INTERNES!G45))+(COUNTIF(INTERNES!$A$7:$A$50,INTERNES!G45))+(COUNTIF('EN PANNE'!$A$7:$A$50,INTERNES!G45))</f>
        <v>0</v>
      </c>
      <c r="J45" s="28">
        <f t="shared" si="4"/>
        <v>0</v>
      </c>
      <c r="K45" s="2"/>
      <c r="L45" s="47"/>
      <c r="M45" s="9"/>
      <c r="N45" s="9"/>
      <c r="O45" s="9"/>
      <c r="P45" s="9"/>
      <c r="S45" s="60">
        <f t="shared" si="1"/>
        <v>0</v>
      </c>
      <c r="T45" s="67">
        <f t="shared" si="2"/>
        <v>0</v>
      </c>
    </row>
    <row r="46" spans="1:20" ht="24.95" customHeight="1" x14ac:dyDescent="0.2">
      <c r="A46" s="20"/>
      <c r="B46" s="23">
        <f>(COUNTIF('2S EXPRESS'!$A$7:$A$50,INTERNES!A46))+(COUNTIF('2 ZT'!$A$7:$A$50,INTERNES!A46))+(COUNTIF('GO TRANSPORT'!$A$7:$A$50,INTERNES!A46))+(COUNTIF('HMZ - KAIS'!$A$7:$A$50,INTERNES!A46))+(COUNTIF('IB TRANSPORT'!$A$7:$A$50,INTERNES!A46))+(COUNTIF(JSL!$A$7:$A$50,INTERNES!A46))+(COUNTIF(KIFAITOUT!$A$7:$A$50,INTERNES!A46))+(COUNTIF('LUXE DRIVE'!$A$7:$A$50,INTERNES!A46))+(COUNTIF(SSN!$A$7:$A$50,INTERNES!A46))+(COUNTIF('W3'!$A$7:$A$50,INTERNES!A46))+(COUNTIF('ATHIS MONS'!$A$7:$A$50,INTERNES!A46))+(COUNTIF('L HAY LES ROSES'!$A$7:$A$50,INTERNES!A46))+(COUNTIF(RUNGIS!$A$7:$A$50,INTERNES!A46))+(COUNTIF(SCEAUX!$A$7:$A$50,INTERNES!A46))+(COUNTIF('INSTANCE C1'!$A$7:$A$50,INTERNES!A46))+(COUNTIF('INSTANCE C2'!$A$7:$A$50,INTERNES!A46))+(COUNTIF(INTERNES!$A$7:$A$50,INTERNES!A46))+(COUNTIF('EN PANNE'!$A$7:$A$50,INTERNES!A46))-C46</f>
        <v>0</v>
      </c>
      <c r="C46" s="23">
        <f>(COUNTIF('2S EXPRESS'!$G$7:$G$50,INTERNES!A46))+(COUNTIF('2 ZT'!$G$7:$G$50,INTERNES!A46))+(COUNTIF('GO TRANSPORT'!$G$7:$G$50,INTERNES!A46))+(COUNTIF(INTERNES!$G$7:$G$50,INTERNES!A46))+(COUNTIF('IB TRANSPORT'!$G$7:$G$50,INTERNES!A46))+(COUNTIF(JSL!$G$7:$G$50,INTERNES!A46))+(COUNTIF(KIFAITOUT!$G$7:$G$50,INTERNES!A46))+(COUNTIF('LUXE DRIVE'!$G$7:$G$50,INTERNES!A46))+(COUNTIF(SSN!$G$7:$G$50,INTERNES!A46))+(COUNTIF('W3'!$G$7:$G$50,INTERNES!A46))+(COUNTIF('ATHIS MONS'!$G$7:$G$50,INTERNES!A46))+(COUNTIF('L HAY LES ROSES'!$G$7:$G$50,INTERNES!A46))+(COUNTIF(RUNGIS!$G$7:$G$50,INTERNES!A46))+(COUNTIF(SCEAUX!$G$7:$G$50,INTERNES!A46))+(COUNTIF('INSTANCE C1'!$G$7:$G$50,INTERNES!A46))+(COUNTIF('INSTANCE C2'!$G$7:$G$50,INTERNES!A46))+(COUNTIF(INTERNES!$G$7:$G$50,INTERNES!A46))+(COUNTIF('EN PANNE'!$G$7:$G$50,INTERNES!A46))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EXPRESS'!$G$7:$G$50,INTERNES!G46))+(COUNTIF('2 ZT'!$G$7:$G$50,INTERNES!G46))+(COUNTIF('GO TRANSPORT'!$G$7:$G$50,INTERNES!G46))+(COUNTIF('HMZ - KAIS'!$G$7:$G$50,INTERNES!G46))+(COUNTIF('IB TRANSPORT'!$G$7:$G$50,INTERNES!G46))+(COUNTIF(JSL!$G$7:$G$50,INTERNES!G46))+(COUNTIF(KIFAITOUT!$G$7:$G$50,INTERNES!G46))+(COUNTIF('LUXE DRIVE'!$G$7:$G$50,INTERNES!G46))+(COUNTIF(SSN!$G$7:$G$50,INTERNES!G46))+(COUNTIF('W3'!$G$7:$G$50,INTERNES!G46))+(COUNTIF('ATHIS MONS'!$G$7:$G$50,INTERNES!G46))+(COUNTIF('L HAY LES ROSES'!$G$7:$G$50,INTERNES!G46))+(COUNTIF(RUNGIS!$G$7:$G$50,INTERNES!G46))+(COUNTIF(SCEAUX!$G$7:$G$50,INTERNES!G46))+(COUNTIF('INSTANCE C1'!$G$7:$G$50,INTERNES!G46))+(COUNTIF('INSTANCE C2'!$G$7:$G$50,INTERNES!G46))+(COUNTIF(INTERNES!$G$7:$G$50,INTERNES!G46))+(COUNTIF('EN PANNE'!$G$7:$G$50,INTERNES!G46))-I46</f>
        <v>0</v>
      </c>
      <c r="I46" s="23">
        <f>(COUNTIF('2S EXPRESS'!$A$7:$A$50,INTERNES!G46))+(COUNTIF('2 ZT'!$A$7:$A$50,INTERNES!G46))+(COUNTIF('GO TRANSPORT'!$A$7:$A$50,INTERNES!G46))+(COUNTIF('HMZ - KAIS'!$A$7:$A$50,INTERNES!G46))+(COUNTIF('IB TRANSPORT'!$A$7:$A$50,INTERNES!G46))+(COUNTIF(JSL!$A$7:$A$50,INTERNES!G46))+(COUNTIF(KIFAITOUT!$A$7:$A$50,INTERNES!G46))+(COUNTIF('LUXE DRIVE'!$A$7:$A$50,INTERNES!G46))+(COUNTIF(SSN!$A$7:$A$50,INTERNES!G46))+(COUNTIF('W3'!$A$7:$A$50,INTERNES!G46))+(COUNTIF('ATHIS MONS'!$A$7:$A$50,INTERNES!G46))+(COUNTIF('L HAY LES ROSES'!$A$7:$A$50,INTERNES!G46))+(COUNTIF(RUNGIS!$A$7:$A$50,INTERNES!G46))+(COUNTIF(SCEAUX!$A$7:$A$50,INTERNES!G46))+(COUNTIF('INSTANCE C1'!$A$7:$A$50,INTERNES!G46))+(COUNTIF('INSTANCE C2'!$A$7:$A$50,INTERNES!G46))+(COUNTIF(INTERNES!$A$7:$A$50,INTERNES!G46))+(COUNTIF('EN PANNE'!$A$7:$A$50,INTERNES!G46))</f>
        <v>0</v>
      </c>
      <c r="J46" s="28">
        <f t="shared" si="4"/>
        <v>0</v>
      </c>
      <c r="K46" s="2"/>
      <c r="L46" s="47"/>
      <c r="M46" s="9"/>
      <c r="N46" s="9"/>
      <c r="O46" s="9"/>
      <c r="P46" s="9"/>
      <c r="S46" s="60">
        <f t="shared" si="1"/>
        <v>0</v>
      </c>
      <c r="T46" s="67">
        <f t="shared" si="2"/>
        <v>0</v>
      </c>
    </row>
    <row r="47" spans="1:20" ht="24.95" customHeight="1" x14ac:dyDescent="0.2">
      <c r="A47" s="20"/>
      <c r="B47" s="23">
        <f>(COUNTIF('2S EXPRESS'!$A$7:$A$50,INTERNES!A47))+(COUNTIF('2 ZT'!$A$7:$A$50,INTERNES!A47))+(COUNTIF('GO TRANSPORT'!$A$7:$A$50,INTERNES!A47))+(COUNTIF('HMZ - KAIS'!$A$7:$A$50,INTERNES!A47))+(COUNTIF('IB TRANSPORT'!$A$7:$A$50,INTERNES!A47))+(COUNTIF(JSL!$A$7:$A$50,INTERNES!A47))+(COUNTIF(KIFAITOUT!$A$7:$A$50,INTERNES!A47))+(COUNTIF('LUXE DRIVE'!$A$7:$A$50,INTERNES!A47))+(COUNTIF(SSN!$A$7:$A$50,INTERNES!A47))+(COUNTIF('W3'!$A$7:$A$50,INTERNES!A47))+(COUNTIF('ATHIS MONS'!$A$7:$A$50,INTERNES!A47))+(COUNTIF('L HAY LES ROSES'!$A$7:$A$50,INTERNES!A47))+(COUNTIF(RUNGIS!$A$7:$A$50,INTERNES!A47))+(COUNTIF(SCEAUX!$A$7:$A$50,INTERNES!A47))+(COUNTIF('INSTANCE C1'!$A$7:$A$50,INTERNES!A47))+(COUNTIF('INSTANCE C2'!$A$7:$A$50,INTERNES!A47))+(COUNTIF(INTERNES!$A$7:$A$50,INTERNES!A47))+(COUNTIF('EN PANNE'!$A$7:$A$50,INTERNES!A47))-C47</f>
        <v>0</v>
      </c>
      <c r="C47" s="23">
        <f>(COUNTIF('2S EXPRESS'!$G$7:$G$50,INTERNES!A47))+(COUNTIF('2 ZT'!$G$7:$G$50,INTERNES!A47))+(COUNTIF('GO TRANSPORT'!$G$7:$G$50,INTERNES!A47))+(COUNTIF(INTERNES!$G$7:$G$50,INTERNES!A47))+(COUNTIF('IB TRANSPORT'!$G$7:$G$50,INTERNES!A47))+(COUNTIF(JSL!$G$7:$G$50,INTERNES!A47))+(COUNTIF(KIFAITOUT!$G$7:$G$50,INTERNES!A47))+(COUNTIF('LUXE DRIVE'!$G$7:$G$50,INTERNES!A47))+(COUNTIF(SSN!$G$7:$G$50,INTERNES!A47))+(COUNTIF('W3'!$G$7:$G$50,INTERNES!A47))+(COUNTIF('ATHIS MONS'!$G$7:$G$50,INTERNES!A47))+(COUNTIF('L HAY LES ROSES'!$G$7:$G$50,INTERNES!A47))+(COUNTIF(RUNGIS!$G$7:$G$50,INTERNES!A47))+(COUNTIF(SCEAUX!$G$7:$G$50,INTERNES!A47))+(COUNTIF('INSTANCE C1'!$G$7:$G$50,INTERNES!A47))+(COUNTIF('INSTANCE C2'!$G$7:$G$50,INTERNES!A47))+(COUNTIF(INTERNES!$G$7:$G$50,INTERNES!A47))+(COUNTIF('EN PANNE'!$G$7:$G$50,INTERNES!A47))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EXPRESS'!$G$7:$G$50,INTERNES!G47))+(COUNTIF('2 ZT'!$G$7:$G$50,INTERNES!G47))+(COUNTIF('GO TRANSPORT'!$G$7:$G$50,INTERNES!G47))+(COUNTIF('HMZ - KAIS'!$G$7:$G$50,INTERNES!G47))+(COUNTIF('IB TRANSPORT'!$G$7:$G$50,INTERNES!G47))+(COUNTIF(JSL!$G$7:$G$50,INTERNES!G47))+(COUNTIF(KIFAITOUT!$G$7:$G$50,INTERNES!G47))+(COUNTIF('LUXE DRIVE'!$G$7:$G$50,INTERNES!G47))+(COUNTIF(SSN!$G$7:$G$50,INTERNES!G47))+(COUNTIF('W3'!$G$7:$G$50,INTERNES!G47))+(COUNTIF('ATHIS MONS'!$G$7:$G$50,INTERNES!G47))+(COUNTIF('L HAY LES ROSES'!$G$7:$G$50,INTERNES!G47))+(COUNTIF(RUNGIS!$G$7:$G$50,INTERNES!G47))+(COUNTIF(SCEAUX!$G$7:$G$50,INTERNES!G47))+(COUNTIF('INSTANCE C1'!$G$7:$G$50,INTERNES!G47))+(COUNTIF('INSTANCE C2'!$G$7:$G$50,INTERNES!G47))+(COUNTIF(INTERNES!$G$7:$G$50,INTERNES!G47))+(COUNTIF('EN PANNE'!$G$7:$G$50,INTERNES!G47))-I47</f>
        <v>0</v>
      </c>
      <c r="I47" s="23">
        <f>(COUNTIF('2S EXPRESS'!$A$7:$A$50,INTERNES!G47))+(COUNTIF('2 ZT'!$A$7:$A$50,INTERNES!G47))+(COUNTIF('GO TRANSPORT'!$A$7:$A$50,INTERNES!G47))+(COUNTIF('HMZ - KAIS'!$A$7:$A$50,INTERNES!G47))+(COUNTIF('IB TRANSPORT'!$A$7:$A$50,INTERNES!G47))+(COUNTIF(JSL!$A$7:$A$50,INTERNES!G47))+(COUNTIF(KIFAITOUT!$A$7:$A$50,INTERNES!G47))+(COUNTIF('LUXE DRIVE'!$A$7:$A$50,INTERNES!G47))+(COUNTIF(SSN!$A$7:$A$50,INTERNES!G47))+(COUNTIF('W3'!$A$7:$A$50,INTERNES!G47))+(COUNTIF('ATHIS MONS'!$A$7:$A$50,INTERNES!G47))+(COUNTIF('L HAY LES ROSES'!$A$7:$A$50,INTERNES!G47))+(COUNTIF(RUNGIS!$A$7:$A$50,INTERNES!G47))+(COUNTIF(SCEAUX!$A$7:$A$50,INTERNES!G47))+(COUNTIF('INSTANCE C1'!$A$7:$A$50,INTERNES!G47))+(COUNTIF('INSTANCE C2'!$A$7:$A$50,INTERNES!G47))+(COUNTIF(INTERNES!$A$7:$A$50,INTERNES!G47))+(COUNTIF('EN PANNE'!$A$7:$A$50,INTERNES!G47))</f>
        <v>0</v>
      </c>
      <c r="J47" s="28">
        <f t="shared" si="4"/>
        <v>0</v>
      </c>
      <c r="K47" s="2"/>
      <c r="L47" s="47"/>
      <c r="M47" s="9"/>
      <c r="N47" s="9"/>
      <c r="O47" s="9"/>
      <c r="P47" s="9"/>
      <c r="S47" s="60">
        <f t="shared" si="1"/>
        <v>0</v>
      </c>
      <c r="T47" s="67">
        <f t="shared" si="2"/>
        <v>0</v>
      </c>
    </row>
    <row r="48" spans="1:20" ht="24.95" customHeight="1" x14ac:dyDescent="0.2">
      <c r="A48" s="20"/>
      <c r="B48" s="23">
        <f>(COUNTIF('2S EXPRESS'!$A$7:$A$50,INTERNES!A48))+(COUNTIF('2 ZT'!$A$7:$A$50,INTERNES!A48))+(COUNTIF('GO TRANSPORT'!$A$7:$A$50,INTERNES!A48))+(COUNTIF('HMZ - KAIS'!$A$7:$A$50,INTERNES!A48))+(COUNTIF('IB TRANSPORT'!$A$7:$A$50,INTERNES!A48))+(COUNTIF(JSL!$A$7:$A$50,INTERNES!A48))+(COUNTIF(KIFAITOUT!$A$7:$A$50,INTERNES!A48))+(COUNTIF('LUXE DRIVE'!$A$7:$A$50,INTERNES!A48))+(COUNTIF(SSN!$A$7:$A$50,INTERNES!A48))+(COUNTIF('W3'!$A$7:$A$50,INTERNES!A48))+(COUNTIF('ATHIS MONS'!$A$7:$A$50,INTERNES!A48))+(COUNTIF('L HAY LES ROSES'!$A$7:$A$50,INTERNES!A48))+(COUNTIF(RUNGIS!$A$7:$A$50,INTERNES!A48))+(COUNTIF(SCEAUX!$A$7:$A$50,INTERNES!A48))+(COUNTIF('INSTANCE C1'!$A$7:$A$50,INTERNES!A48))+(COUNTIF('INSTANCE C2'!$A$7:$A$50,INTERNES!A48))+(COUNTIF(INTERNES!$A$7:$A$50,INTERNES!A48))+(COUNTIF('EN PANNE'!$A$7:$A$50,INTERNES!A48))-C48</f>
        <v>0</v>
      </c>
      <c r="C48" s="23">
        <f>(COUNTIF('2S EXPRESS'!$G$7:$G$50,INTERNES!A48))+(COUNTIF('2 ZT'!$G$7:$G$50,INTERNES!A48))+(COUNTIF('GO TRANSPORT'!$G$7:$G$50,INTERNES!A48))+(COUNTIF(INTERNES!$G$7:$G$50,INTERNES!A48))+(COUNTIF('IB TRANSPORT'!$G$7:$G$50,INTERNES!A48))+(COUNTIF(JSL!$G$7:$G$50,INTERNES!A48))+(COUNTIF(KIFAITOUT!$G$7:$G$50,INTERNES!A48))+(COUNTIF('LUXE DRIVE'!$G$7:$G$50,INTERNES!A48))+(COUNTIF(SSN!$G$7:$G$50,INTERNES!A48))+(COUNTIF('W3'!$G$7:$G$50,INTERNES!A48))+(COUNTIF('ATHIS MONS'!$G$7:$G$50,INTERNES!A48))+(COUNTIF('L HAY LES ROSES'!$G$7:$G$50,INTERNES!A48))+(COUNTIF(RUNGIS!$G$7:$G$50,INTERNES!A48))+(COUNTIF(SCEAUX!$G$7:$G$50,INTERNES!A48))+(COUNTIF('INSTANCE C1'!$G$7:$G$50,INTERNES!A48))+(COUNTIF('INSTANCE C2'!$G$7:$G$50,INTERNES!A48))+(COUNTIF(INTERNES!$G$7:$G$50,INTERNES!A48))+(COUNTIF('EN PANNE'!$G$7:$G$50,INTERNES!A48))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EXPRESS'!$G$7:$G$50,INTERNES!G48))+(COUNTIF('2 ZT'!$G$7:$G$50,INTERNES!G48))+(COUNTIF('GO TRANSPORT'!$G$7:$G$50,INTERNES!G48))+(COUNTIF('HMZ - KAIS'!$G$7:$G$50,INTERNES!G48))+(COUNTIF('IB TRANSPORT'!$G$7:$G$50,INTERNES!G48))+(COUNTIF(JSL!$G$7:$G$50,INTERNES!G48))+(COUNTIF(KIFAITOUT!$G$7:$G$50,INTERNES!G48))+(COUNTIF('LUXE DRIVE'!$G$7:$G$50,INTERNES!G48))+(COUNTIF(SSN!$G$7:$G$50,INTERNES!G48))+(COUNTIF('W3'!$G$7:$G$50,INTERNES!G48))+(COUNTIF('ATHIS MONS'!$G$7:$G$50,INTERNES!G48))+(COUNTIF('L HAY LES ROSES'!$G$7:$G$50,INTERNES!G48))+(COUNTIF(RUNGIS!$G$7:$G$50,INTERNES!G48))+(COUNTIF(SCEAUX!$G$7:$G$50,INTERNES!G48))+(COUNTIF('INSTANCE C1'!$G$7:$G$50,INTERNES!G48))+(COUNTIF('INSTANCE C2'!$G$7:$G$50,INTERNES!G48))+(COUNTIF(INTERNES!$G$7:$G$50,INTERNES!G48))+(COUNTIF('EN PANNE'!$G$7:$G$50,INTERNES!G48))-I48</f>
        <v>0</v>
      </c>
      <c r="I48" s="23">
        <f>(COUNTIF('2S EXPRESS'!$A$7:$A$50,INTERNES!G48))+(COUNTIF('2 ZT'!$A$7:$A$50,INTERNES!G48))+(COUNTIF('GO TRANSPORT'!$A$7:$A$50,INTERNES!G48))+(COUNTIF('HMZ - KAIS'!$A$7:$A$50,INTERNES!G48))+(COUNTIF('IB TRANSPORT'!$A$7:$A$50,INTERNES!G48))+(COUNTIF(JSL!$A$7:$A$50,INTERNES!G48))+(COUNTIF(KIFAITOUT!$A$7:$A$50,INTERNES!G48))+(COUNTIF('LUXE DRIVE'!$A$7:$A$50,INTERNES!G48))+(COUNTIF(SSN!$A$7:$A$50,INTERNES!G48))+(COUNTIF('W3'!$A$7:$A$50,INTERNES!G48))+(COUNTIF('ATHIS MONS'!$A$7:$A$50,INTERNES!G48))+(COUNTIF('L HAY LES ROSES'!$A$7:$A$50,INTERNES!G48))+(COUNTIF(RUNGIS!$A$7:$A$50,INTERNES!G48))+(COUNTIF(SCEAUX!$A$7:$A$50,INTERNES!G48))+(COUNTIF('INSTANCE C1'!$A$7:$A$50,INTERNES!G48))+(COUNTIF('INSTANCE C2'!$A$7:$A$50,INTERNES!G48))+(COUNTIF(INTERNES!$A$7:$A$50,INTERNES!G48))+(COUNTIF('EN PANNE'!$A$7:$A$50,INTERNES!G48))</f>
        <v>0</v>
      </c>
      <c r="J48" s="28">
        <f t="shared" si="4"/>
        <v>0</v>
      </c>
      <c r="K48" s="2"/>
      <c r="L48" s="47"/>
      <c r="M48" s="9"/>
      <c r="N48" s="9"/>
      <c r="O48" s="9"/>
      <c r="P48" s="9"/>
      <c r="S48" s="60">
        <f t="shared" si="1"/>
        <v>0</v>
      </c>
      <c r="T48" s="67">
        <f t="shared" si="2"/>
        <v>0</v>
      </c>
    </row>
    <row r="49" spans="1:26" ht="24.95" customHeight="1" x14ac:dyDescent="0.2">
      <c r="A49" s="20"/>
      <c r="B49" s="23">
        <f>(COUNTIF('2S EXPRESS'!$A$7:$A$50,INTERNES!A49))+(COUNTIF('2 ZT'!$A$7:$A$50,INTERNES!A49))+(COUNTIF('GO TRANSPORT'!$A$7:$A$50,INTERNES!A49))+(COUNTIF('HMZ - KAIS'!$A$7:$A$50,INTERNES!A49))+(COUNTIF('IB TRANSPORT'!$A$7:$A$50,INTERNES!A49))+(COUNTIF(JSL!$A$7:$A$50,INTERNES!A49))+(COUNTIF(KIFAITOUT!$A$7:$A$50,INTERNES!A49))+(COUNTIF('LUXE DRIVE'!$A$7:$A$50,INTERNES!A49))+(COUNTIF(SSN!$A$7:$A$50,INTERNES!A49))+(COUNTIF('W3'!$A$7:$A$50,INTERNES!A49))+(COUNTIF('ATHIS MONS'!$A$7:$A$50,INTERNES!A49))+(COUNTIF('L HAY LES ROSES'!$A$7:$A$50,INTERNES!A49))+(COUNTIF(RUNGIS!$A$7:$A$50,INTERNES!A49))+(COUNTIF(SCEAUX!$A$7:$A$50,INTERNES!A49))+(COUNTIF('INSTANCE C1'!$A$7:$A$50,INTERNES!A49))+(COUNTIF('INSTANCE C2'!$A$7:$A$50,INTERNES!A49))+(COUNTIF(INTERNES!$A$7:$A$50,INTERNES!A49))+(COUNTIF('EN PANNE'!$A$7:$A$50,INTERNES!A49))-C49</f>
        <v>0</v>
      </c>
      <c r="C49" s="23">
        <f>(COUNTIF('2S EXPRESS'!$G$7:$G$50,INTERNES!A49))+(COUNTIF('2 ZT'!$G$7:$G$50,INTERNES!A49))+(COUNTIF('GO TRANSPORT'!$G$7:$G$50,INTERNES!A49))+(COUNTIF(INTERNES!$G$7:$G$50,INTERNES!A49))+(COUNTIF('IB TRANSPORT'!$G$7:$G$50,INTERNES!A49))+(COUNTIF(JSL!$G$7:$G$50,INTERNES!A49))+(COUNTIF(KIFAITOUT!$G$7:$G$50,INTERNES!A49))+(COUNTIF('LUXE DRIVE'!$G$7:$G$50,INTERNES!A49))+(COUNTIF(SSN!$G$7:$G$50,INTERNES!A49))+(COUNTIF('W3'!$G$7:$G$50,INTERNES!A49))+(COUNTIF('ATHIS MONS'!$G$7:$G$50,INTERNES!A49))+(COUNTIF('L HAY LES ROSES'!$G$7:$G$50,INTERNES!A49))+(COUNTIF(RUNGIS!$G$7:$G$50,INTERNES!A49))+(COUNTIF(SCEAUX!$G$7:$G$50,INTERNES!A49))+(COUNTIF('INSTANCE C1'!$G$7:$G$50,INTERNES!A49))+(COUNTIF('INSTANCE C2'!$G$7:$G$50,INTERNES!A49))+(COUNTIF(INTERNES!$G$7:$G$50,INTERNES!A49))+(COUNTIF('EN PANNE'!$G$7:$G$50,INTERNES!A49))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EXPRESS'!$G$7:$G$50,INTERNES!G49))+(COUNTIF('2 ZT'!$G$7:$G$50,INTERNES!G49))+(COUNTIF('GO TRANSPORT'!$G$7:$G$50,INTERNES!G49))+(COUNTIF('HMZ - KAIS'!$G$7:$G$50,INTERNES!G49))+(COUNTIF('IB TRANSPORT'!$G$7:$G$50,INTERNES!G49))+(COUNTIF(JSL!$G$7:$G$50,INTERNES!G49))+(COUNTIF(KIFAITOUT!$G$7:$G$50,INTERNES!G49))+(COUNTIF('LUXE DRIVE'!$G$7:$G$50,INTERNES!G49))+(COUNTIF(SSN!$G$7:$G$50,INTERNES!G49))+(COUNTIF('W3'!$G$7:$G$50,INTERNES!G49))+(COUNTIF('ATHIS MONS'!$G$7:$G$50,INTERNES!G49))+(COUNTIF('L HAY LES ROSES'!$G$7:$G$50,INTERNES!G49))+(COUNTIF(RUNGIS!$G$7:$G$50,INTERNES!G49))+(COUNTIF(SCEAUX!$G$7:$G$50,INTERNES!G49))+(COUNTIF('INSTANCE C1'!$G$7:$G$50,INTERNES!G49))+(COUNTIF('INSTANCE C2'!$G$7:$G$50,INTERNES!G49))+(COUNTIF(INTERNES!$G$7:$G$50,INTERNES!G49))+(COUNTIF('EN PANNE'!$G$7:$G$50,INTERNES!G49))-I49</f>
        <v>0</v>
      </c>
      <c r="I49" s="23">
        <f>(COUNTIF('2S EXPRESS'!$A$7:$A$50,INTERNES!G49))+(COUNTIF('2 ZT'!$A$7:$A$50,INTERNES!G49))+(COUNTIF('GO TRANSPORT'!$A$7:$A$50,INTERNES!G49))+(COUNTIF('HMZ - KAIS'!$A$7:$A$50,INTERNES!G49))+(COUNTIF('IB TRANSPORT'!$A$7:$A$50,INTERNES!G49))+(COUNTIF(JSL!$A$7:$A$50,INTERNES!G49))+(COUNTIF(KIFAITOUT!$A$7:$A$50,INTERNES!G49))+(COUNTIF('LUXE DRIVE'!$A$7:$A$50,INTERNES!G49))+(COUNTIF(SSN!$A$7:$A$50,INTERNES!G49))+(COUNTIF('W3'!$A$7:$A$50,INTERNES!G49))+(COUNTIF('ATHIS MONS'!$A$7:$A$50,INTERNES!G49))+(COUNTIF('L HAY LES ROSES'!$A$7:$A$50,INTERNES!G49))+(COUNTIF(RUNGIS!$A$7:$A$50,INTERNES!G49))+(COUNTIF(SCEAUX!$A$7:$A$50,INTERNES!G49))+(COUNTIF('INSTANCE C1'!$A$7:$A$50,INTERNES!G49))+(COUNTIF('INSTANCE C2'!$A$7:$A$50,INTERNES!G49))+(COUNTIF(INTERNES!$A$7:$A$50,INTERNES!G49))+(COUNTIF('EN PANNE'!$A$7:$A$50,INTERNES!G49))</f>
        <v>0</v>
      </c>
      <c r="J49" s="28">
        <f t="shared" si="4"/>
        <v>0</v>
      </c>
      <c r="K49" s="2"/>
      <c r="L49" s="47"/>
      <c r="M49" s="9"/>
      <c r="N49" s="9"/>
      <c r="O49" s="9"/>
      <c r="P49" s="9"/>
      <c r="S49" s="60">
        <f t="shared" si="1"/>
        <v>0</v>
      </c>
      <c r="T49" s="67">
        <f t="shared" si="2"/>
        <v>0</v>
      </c>
    </row>
    <row r="50" spans="1:26" ht="24.95" customHeight="1" thickBot="1" x14ac:dyDescent="0.25">
      <c r="A50" s="21"/>
      <c r="B50" s="25">
        <f>(COUNTIF('2S EXPRESS'!$A$7:$A$50,INTERNES!A50))+(COUNTIF('2 ZT'!$A$7:$A$50,INTERNES!A50))+(COUNTIF('GO TRANSPORT'!$A$7:$A$50,INTERNES!A50))+(COUNTIF('HMZ - KAIS'!$A$7:$A$50,INTERNES!A50))+(COUNTIF('IB TRANSPORT'!$A$7:$A$50,INTERNES!A50))+(COUNTIF(JSL!$A$7:$A$50,INTERNES!A50))+(COUNTIF(KIFAITOUT!$A$7:$A$50,INTERNES!A50))+(COUNTIF('LUXE DRIVE'!$A$7:$A$50,INTERNES!A50))+(COUNTIF(SSN!$A$7:$A$50,INTERNES!A50))+(COUNTIF('W3'!$A$7:$A$50,INTERNES!A50))+(COUNTIF('ATHIS MONS'!$A$7:$A$50,INTERNES!A50))+(COUNTIF('L HAY LES ROSES'!$A$7:$A$50,INTERNES!A50))+(COUNTIF(RUNGIS!$A$7:$A$50,INTERNES!A50))+(COUNTIF(SCEAUX!$A$7:$A$50,INTERNES!A50))+(COUNTIF('INSTANCE C1'!$A$7:$A$50,INTERNES!A50))+(COUNTIF('INSTANCE C2'!$A$7:$A$50,INTERNES!A50))+(COUNTIF(INTERNES!$A$7:$A$50,INTERNES!A50))+(COUNTIF('EN PANNE'!$A$7:$A$50,INTERNES!A50))-C50</f>
        <v>0</v>
      </c>
      <c r="C50" s="23">
        <f>(COUNTIF('2S EXPRESS'!$G$7:$G$50,'HMZ - KAIS'!A50))+(COUNTIF('2 ZT'!$G$7:$G$50,'HMZ - KAIS'!A50))+(COUNTIF('GO TRANSPORT'!$G$7:$G$50,'HMZ - KAIS'!A50))+(COUNTIF('HMZ - KAIS'!$G$7:$G$50,'HMZ - KAIS'!A50))+(COUNTIF('IB TRANSPORT'!$G$7:$G$50,'HMZ - KAIS'!A50))+(COUNTIF(JSL!$G$7:$G$50,'HMZ - KAIS'!A50))+(COUNTIF(KIFAITOUT!$G$7:$G$50,'HMZ - KAIS'!A50))+(COUNTIF('LUXE DRIVE'!$G$7:$G$50,'HMZ - KAIS'!A50))+(COUNTIF(SSN!$G$7:$G$50,'HMZ - KAIS'!A50))+(COUNTIF('W3'!$G$7:$G$50,'HMZ - KAIS'!A50))+(COUNTIF('ATHIS MONS'!$G$7:$G$50,'HMZ - KAIS'!A50))+(COUNTIF('L HAY LES ROSES'!$G$7:$G$50,'HMZ - KAIS'!A50))+(COUNTIF(RUNGIS!$G$7:$G$50,'HMZ - KAIS'!A50))+(COUNTIF(SCEAUX!$G$7:$G$50,'HMZ - KAIS'!A50))+(COUNTIF('INSTANCE C1'!$G$7:$G$50,'HMZ - KAIS'!A50))+(COUNTIF('INSTANCE C2'!$G$7:$G$50,'HMZ - KAIS'!A50))+(COUNTIF(INTERNES!$G$7:$G$50,'HMZ - KAIS'!A50))+(COUNTIF('EN PANNE'!$G$7:$G$50,'HMZ - KAIS'!A50))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EXPRESS'!$G$7:$G$50,INTERNES!G50))+(COUNTIF('2 ZT'!$G$7:$G$50,INTERNES!G50))+(COUNTIF('GO TRANSPORT'!$G$7:$G$50,INTERNES!G50))+(COUNTIF('HMZ - KAIS'!$G$7:$G$50,INTERNES!G50))+(COUNTIF('IB TRANSPORT'!$G$7:$G$50,INTERNES!G50))+(COUNTIF(JSL!$G$7:$G$50,INTERNES!G50))+(COUNTIF(KIFAITOUT!$G$7:$G$50,INTERNES!G50))+(COUNTIF('LUXE DRIVE'!$G$7:$G$50,INTERNES!G50))+(COUNTIF(SSN!$G$7:$G$50,INTERNES!G50))+(COUNTIF('W3'!$G$7:$G$50,INTERNES!G50))+(COUNTIF('ATHIS MONS'!$G$7:$G$50,INTERNES!G50))+(COUNTIF('L HAY LES ROSES'!$G$7:$G$50,INTERNES!G50))+(COUNTIF(RUNGIS!$G$7:$G$50,INTERNES!G50))+(COUNTIF(SCEAUX!$G$7:$G$50,INTERNES!G50))+(COUNTIF('INSTANCE C1'!$G$7:$G$50,INTERNES!G50))+(COUNTIF('INSTANCE C2'!$G$7:$G$50,INTERNES!G50))+(COUNTIF(INTERNES!$G$7:$G$50,INTERNES!G50))+(COUNTIF('EN PANNE'!$G$7:$G$50,INTERNES!G50))-I50</f>
        <v>0</v>
      </c>
      <c r="I50" s="25">
        <f>(COUNTIF('2S EXPRESS'!$A$7:$A$50,INTERNES!G50))+(COUNTIF('2 ZT'!$A$7:$A$50,INTERNES!G50))+(COUNTIF('GO TRANSPORT'!$A$7:$A$50,INTERNES!G50))+(COUNTIF('HMZ - KAIS'!$A$7:$A$50,INTERNES!G50))+(COUNTIF('IB TRANSPORT'!$A$7:$A$50,INTERNES!G50))+(COUNTIF(JSL!$A$7:$A$50,INTERNES!G50))+(COUNTIF(KIFAITOUT!$A$7:$A$50,INTERNES!G50))+(COUNTIF('LUXE DRIVE'!$A$7:$A$50,INTERNES!G50))+(COUNTIF(SSN!$A$7:$A$50,INTERNES!G50))+(COUNTIF('W3'!$A$7:$A$50,INTERNES!G50))+(COUNTIF('ATHIS MONS'!$A$7:$A$50,INTERNES!G50))+(COUNTIF('L HAY LES ROSES'!$A$7:$A$50,INTERNES!G50))+(COUNTIF(RUNGIS!$A$7:$A$50,INTERNES!G50))+(COUNTIF(SCEAUX!$A$7:$A$50,INTERNES!G50))+(COUNTIF('INSTANCE C1'!$A$7:$A$50,INTERNES!G50))+(COUNTIF('INSTANCE C2'!$A$7:$A$50,INTERNES!G50))+(COUNTIF(INTERNES!$A$7:$A$50,INTERNES!G50))+(COUNTIF('EN PANNE'!$A$7:$A$50,INTERNES!G50))</f>
        <v>0</v>
      </c>
      <c r="J50" s="29">
        <f t="shared" si="4"/>
        <v>0</v>
      </c>
      <c r="K50" s="3"/>
      <c r="L50" s="47"/>
      <c r="M50" s="9"/>
      <c r="N50" s="9"/>
      <c r="O50" s="9"/>
      <c r="P50" s="9"/>
      <c r="S50" s="60">
        <f t="shared" si="1"/>
        <v>0</v>
      </c>
      <c r="T50" s="67">
        <f t="shared" si="2"/>
        <v>0</v>
      </c>
    </row>
    <row r="51" spans="1:26" x14ac:dyDescent="0.2">
      <c r="A51" s="9"/>
      <c r="B51" s="9"/>
      <c r="C51" s="9"/>
      <c r="D51" s="9"/>
      <c r="E51" s="9"/>
      <c r="F51" s="9"/>
      <c r="G51" s="9"/>
      <c r="H51" s="9"/>
      <c r="J51" s="9"/>
      <c r="K51" s="9"/>
      <c r="L51" s="9"/>
      <c r="M51" s="9"/>
      <c r="N51" s="9"/>
      <c r="O51" s="9"/>
      <c r="P51" s="9"/>
    </row>
    <row r="52" spans="1:26" x14ac:dyDescent="0.2">
      <c r="A52" s="9"/>
      <c r="B52" s="9"/>
      <c r="C52" s="9"/>
      <c r="D52" s="9"/>
      <c r="E52" s="9"/>
      <c r="F52" s="9"/>
      <c r="G52" s="9"/>
      <c r="H52" s="9"/>
      <c r="J52" s="9"/>
      <c r="K52" s="9"/>
      <c r="L52" s="9"/>
      <c r="M52" s="9"/>
      <c r="N52" s="9"/>
      <c r="O52" s="9"/>
      <c r="P52" s="9"/>
    </row>
    <row r="53" spans="1:26" s="9" customFormat="1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  <c r="R53" s="56"/>
      <c r="S53" s="56"/>
      <c r="T53" s="56"/>
      <c r="U53" s="56"/>
      <c r="V53" s="56"/>
      <c r="W53" s="56"/>
      <c r="X53" s="56"/>
      <c r="Y53" s="56"/>
      <c r="Z53" s="56"/>
    </row>
  </sheetData>
  <mergeCells count="13">
    <mergeCell ref="M12:P12"/>
    <mergeCell ref="B2:E3"/>
    <mergeCell ref="G2:K3"/>
    <mergeCell ref="A4:E4"/>
    <mergeCell ref="G4:K4"/>
    <mergeCell ref="G5:G6"/>
    <mergeCell ref="K5:K6"/>
    <mergeCell ref="M8:P8"/>
    <mergeCell ref="M9:P9"/>
    <mergeCell ref="M11:P11"/>
    <mergeCell ref="A5:A6"/>
    <mergeCell ref="E5:E6"/>
    <mergeCell ref="F5:F6"/>
  </mergeCells>
  <conditionalFormatting sqref="F7:F50">
    <cfRule type="cellIs" dxfId="19" priority="10" operator="equal">
      <formula>1</formula>
    </cfRule>
  </conditionalFormatting>
  <conditionalFormatting sqref="A7:A50">
    <cfRule type="duplicateValues" dxfId="18" priority="8"/>
  </conditionalFormatting>
  <conditionalFormatting sqref="L7:L50">
    <cfRule type="cellIs" dxfId="17" priority="7" operator="greaterThan">
      <formula>0</formula>
    </cfRule>
  </conditionalFormatting>
  <conditionalFormatting sqref="D7">
    <cfRule type="cellIs" dxfId="16" priority="6" operator="greaterThan">
      <formula>0</formula>
    </cfRule>
  </conditionalFormatting>
  <conditionalFormatting sqref="D8:D50">
    <cfRule type="cellIs" dxfId="15" priority="5" operator="greaterThan">
      <formula>0</formula>
    </cfRule>
  </conditionalFormatting>
  <conditionalFormatting sqref="G7:G50">
    <cfRule type="duplicateValues" dxfId="14" priority="4"/>
  </conditionalFormatting>
  <conditionalFormatting sqref="J7">
    <cfRule type="cellIs" dxfId="13" priority="3" operator="greaterThan">
      <formula>0</formula>
    </cfRule>
  </conditionalFormatting>
  <conditionalFormatting sqref="J8:J50">
    <cfRule type="cellIs" dxfId="12" priority="2" operator="greaterThan">
      <formula>0</formula>
    </cfRule>
  </conditionalFormatting>
  <conditionalFormatting sqref="S7:S50">
    <cfRule type="cellIs" dxfId="11" priority="1" operator="greaterThan">
      <formula>0</formula>
    </cfRule>
  </conditionalFormatting>
  <dataValidations count="1">
    <dataValidation type="list" allowBlank="1" showInputMessage="1" showErrorMessage="1" sqref="K7:K50 E7:E50" xr:uid="{06171B83-71E1-4A72-97DF-EB9E1490DEC2}">
      <formula1>$Q$9:$Q$17</formula1>
    </dataValidation>
  </dataValidations>
  <pageMargins left="0.25" right="0.25" top="0.75" bottom="0.75" header="0.3" footer="0.3"/>
  <pageSetup paperSize="9" scale="84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2AF4C97C-CE0A-4527-B0DA-95816CA2C0FE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0A75D-B097-4B75-ADDF-5C3FD69A2FC5}">
  <sheetPr codeName="Feuil21">
    <tabColor rgb="FF92D050"/>
    <pageSetUpPr fitToPage="1"/>
  </sheetPr>
  <dimension ref="A1:HQ53"/>
  <sheetViews>
    <sheetView showGridLines="0" topLeftCell="F1" zoomScaleNormal="100" workbookViewId="0">
      <selection activeCell="Z10" sqref="Z10"/>
    </sheetView>
  </sheetViews>
  <sheetFormatPr baseColWidth="10" defaultColWidth="11.42578125" defaultRowHeight="12.75" x14ac:dyDescent="0.2"/>
  <cols>
    <col min="1" max="1" width="25.7109375" style="10" customWidth="1"/>
    <col min="2" max="3" width="10.7109375" style="10" hidden="1" customWidth="1"/>
    <col min="4" max="4" width="7.7109375" style="10" customWidth="1"/>
    <col min="5" max="5" width="50.7109375" style="10" customWidth="1"/>
    <col min="6" max="6" width="13.7109375" style="10" customWidth="1"/>
    <col min="7" max="7" width="25.7109375" style="10" customWidth="1"/>
    <col min="8" max="8" width="10.7109375" style="10" hidden="1" customWidth="1"/>
    <col min="9" max="9" width="10.7109375" style="9" hidden="1" customWidth="1"/>
    <col min="10" max="10" width="7.7109375" style="10" customWidth="1"/>
    <col min="11" max="11" width="50.7109375" style="10" customWidth="1"/>
    <col min="12" max="16" width="7.7109375" style="10" customWidth="1"/>
    <col min="17" max="17" width="22.7109375" style="9" hidden="1" customWidth="1"/>
    <col min="18" max="20" width="11.42578125" style="30" hidden="1" customWidth="1"/>
    <col min="21" max="21" width="11.42578125" style="30" customWidth="1"/>
    <col min="22" max="26" width="11.42578125" style="30"/>
    <col min="27" max="16384" width="11.42578125" style="10"/>
  </cols>
  <sheetData>
    <row r="1" spans="1:225" ht="13.5" thickBot="1" x14ac:dyDescent="0.25">
      <c r="A1" s="33"/>
      <c r="B1" s="35"/>
      <c r="C1" s="35"/>
      <c r="D1" s="35"/>
      <c r="F1" s="34"/>
      <c r="G1" s="9"/>
      <c r="H1" s="9"/>
      <c r="I1" s="10"/>
      <c r="J1" s="9"/>
      <c r="K1" s="9"/>
      <c r="L1" s="9"/>
      <c r="M1" s="9"/>
      <c r="N1" s="9"/>
      <c r="O1" s="9"/>
      <c r="P1" s="9"/>
    </row>
    <row r="2" spans="1:225" s="52" customFormat="1" ht="24.95" customHeight="1" x14ac:dyDescent="0.2">
      <c r="A2" s="36"/>
      <c r="B2" s="194" t="s">
        <v>51</v>
      </c>
      <c r="C2" s="195"/>
      <c r="D2" s="195"/>
      <c r="E2" s="196"/>
      <c r="F2" s="37"/>
      <c r="G2" s="195" t="s">
        <v>18</v>
      </c>
      <c r="H2" s="195"/>
      <c r="I2" s="195"/>
      <c r="J2" s="195"/>
      <c r="K2" s="196"/>
      <c r="L2" s="38"/>
      <c r="M2" s="38"/>
      <c r="N2" s="38"/>
      <c r="O2" s="38"/>
      <c r="P2" s="38"/>
      <c r="Q2" s="38"/>
      <c r="R2" s="74"/>
      <c r="S2" s="74"/>
      <c r="T2" s="74"/>
      <c r="U2" s="74"/>
      <c r="V2" s="74"/>
      <c r="W2" s="74"/>
      <c r="X2" s="74"/>
      <c r="Y2" s="74"/>
      <c r="Z2" s="74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51"/>
      <c r="CG2" s="51"/>
      <c r="CH2" s="51"/>
      <c r="CI2" s="51"/>
      <c r="CJ2" s="51"/>
      <c r="CK2" s="51"/>
      <c r="CL2" s="51"/>
      <c r="CM2" s="51"/>
      <c r="CN2" s="51"/>
      <c r="CO2" s="51"/>
      <c r="CP2" s="51"/>
      <c r="CQ2" s="51"/>
      <c r="CR2" s="51"/>
      <c r="CS2" s="51"/>
      <c r="CT2" s="51"/>
      <c r="CU2" s="51"/>
      <c r="CV2" s="51"/>
      <c r="CW2" s="51"/>
      <c r="CX2" s="51"/>
      <c r="CY2" s="51"/>
      <c r="CZ2" s="51"/>
      <c r="DA2" s="51"/>
      <c r="DB2" s="51"/>
      <c r="DC2" s="51"/>
      <c r="DD2" s="51"/>
      <c r="DE2" s="51"/>
      <c r="DF2" s="51"/>
      <c r="DG2" s="51"/>
      <c r="DH2" s="51"/>
      <c r="DI2" s="51"/>
      <c r="DJ2" s="51"/>
      <c r="DK2" s="51"/>
      <c r="DL2" s="51"/>
      <c r="DM2" s="51"/>
      <c r="DN2" s="51"/>
      <c r="DO2" s="51"/>
      <c r="DP2" s="51"/>
      <c r="DQ2" s="51"/>
      <c r="DR2" s="51"/>
      <c r="DS2" s="51"/>
      <c r="DT2" s="51"/>
      <c r="DU2" s="51"/>
      <c r="DV2" s="51"/>
      <c r="DW2" s="51"/>
      <c r="DX2" s="51"/>
      <c r="DY2" s="51"/>
      <c r="DZ2" s="51"/>
      <c r="EA2" s="51"/>
      <c r="EB2" s="51"/>
      <c r="EC2" s="51"/>
      <c r="ED2" s="51"/>
      <c r="EE2" s="51"/>
      <c r="EF2" s="51"/>
      <c r="EG2" s="51"/>
      <c r="EH2" s="51"/>
      <c r="EI2" s="51"/>
      <c r="EJ2" s="51"/>
      <c r="EK2" s="51"/>
      <c r="EL2" s="51"/>
      <c r="EM2" s="51"/>
      <c r="EN2" s="51"/>
      <c r="EO2" s="51"/>
      <c r="EP2" s="51"/>
      <c r="EQ2" s="51"/>
      <c r="ER2" s="51"/>
      <c r="ES2" s="51"/>
      <c r="ET2" s="51"/>
      <c r="EU2" s="51"/>
      <c r="EV2" s="51"/>
      <c r="EW2" s="51"/>
      <c r="EX2" s="51"/>
      <c r="EY2" s="51"/>
      <c r="EZ2" s="51"/>
      <c r="FA2" s="51"/>
      <c r="FB2" s="51"/>
      <c r="FC2" s="51"/>
      <c r="FD2" s="51"/>
      <c r="FE2" s="51"/>
      <c r="FF2" s="51"/>
      <c r="FG2" s="51"/>
      <c r="FH2" s="51"/>
      <c r="FI2" s="51"/>
      <c r="FJ2" s="51"/>
      <c r="FK2" s="51"/>
      <c r="FL2" s="51"/>
      <c r="FM2" s="51"/>
      <c r="FN2" s="51"/>
      <c r="FO2" s="51"/>
      <c r="FP2" s="51"/>
      <c r="FQ2" s="51"/>
      <c r="FR2" s="51"/>
      <c r="FS2" s="51"/>
      <c r="FT2" s="51"/>
      <c r="FU2" s="51"/>
      <c r="FV2" s="51"/>
      <c r="FW2" s="51"/>
      <c r="FX2" s="51"/>
      <c r="FY2" s="51"/>
      <c r="FZ2" s="51"/>
      <c r="GA2" s="51"/>
      <c r="GB2" s="51"/>
      <c r="GC2" s="51"/>
      <c r="GD2" s="51"/>
      <c r="GE2" s="51"/>
      <c r="GF2" s="51"/>
      <c r="GG2" s="51"/>
      <c r="GH2" s="51"/>
      <c r="GI2" s="51"/>
      <c r="GJ2" s="51"/>
      <c r="GK2" s="51"/>
      <c r="GL2" s="51"/>
      <c r="GM2" s="51"/>
      <c r="GN2" s="51"/>
      <c r="GO2" s="51"/>
      <c r="GP2" s="51"/>
      <c r="GQ2" s="51"/>
      <c r="GR2" s="51"/>
      <c r="GS2" s="51"/>
      <c r="GT2" s="51"/>
      <c r="GU2" s="51"/>
      <c r="GV2" s="51"/>
      <c r="GW2" s="51"/>
      <c r="GX2" s="51"/>
      <c r="GY2" s="51"/>
      <c r="GZ2" s="51"/>
      <c r="HA2" s="51"/>
      <c r="HB2" s="51"/>
      <c r="HC2" s="51"/>
      <c r="HD2" s="51"/>
      <c r="HE2" s="51"/>
      <c r="HF2" s="51"/>
      <c r="HG2" s="51"/>
      <c r="HH2" s="51"/>
      <c r="HI2" s="51"/>
      <c r="HJ2" s="51"/>
      <c r="HK2" s="51"/>
      <c r="HL2" s="51"/>
      <c r="HM2" s="51"/>
      <c r="HN2" s="51"/>
      <c r="HO2" s="51"/>
      <c r="HP2" s="51"/>
      <c r="HQ2" s="51"/>
    </row>
    <row r="3" spans="1:225" s="52" customFormat="1" ht="19.5" customHeight="1" thickBot="1" x14ac:dyDescent="0.25">
      <c r="A3" s="40"/>
      <c r="B3" s="197"/>
      <c r="C3" s="198"/>
      <c r="D3" s="198"/>
      <c r="E3" s="199"/>
      <c r="F3" s="41"/>
      <c r="G3" s="198"/>
      <c r="H3" s="198"/>
      <c r="I3" s="198"/>
      <c r="J3" s="198"/>
      <c r="K3" s="199"/>
      <c r="L3" s="38"/>
      <c r="M3" s="38"/>
      <c r="N3" s="38"/>
      <c r="O3" s="38"/>
      <c r="P3" s="38"/>
      <c r="Q3" s="38"/>
      <c r="R3" s="74"/>
      <c r="S3" s="74"/>
      <c r="T3" s="74"/>
      <c r="U3" s="74"/>
      <c r="V3" s="74"/>
      <c r="W3" s="74"/>
      <c r="X3" s="74"/>
      <c r="Y3" s="74"/>
      <c r="Z3" s="74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1"/>
      <c r="BC3" s="51"/>
      <c r="BD3" s="51"/>
      <c r="BE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  <c r="CO3" s="51"/>
      <c r="CP3" s="51"/>
      <c r="CQ3" s="51"/>
      <c r="CR3" s="51"/>
      <c r="CS3" s="51"/>
      <c r="CT3" s="51"/>
      <c r="CU3" s="51"/>
      <c r="CV3" s="51"/>
      <c r="CW3" s="51"/>
      <c r="CX3" s="51"/>
      <c r="CY3" s="51"/>
      <c r="CZ3" s="51"/>
      <c r="DA3" s="51"/>
      <c r="DB3" s="51"/>
      <c r="DC3" s="51"/>
      <c r="DD3" s="51"/>
      <c r="DE3" s="51"/>
      <c r="DF3" s="51"/>
      <c r="DG3" s="51"/>
      <c r="DH3" s="51"/>
      <c r="DI3" s="51"/>
      <c r="DJ3" s="51"/>
      <c r="DK3" s="51"/>
      <c r="DL3" s="51"/>
      <c r="DM3" s="51"/>
      <c r="DN3" s="51"/>
      <c r="DO3" s="51"/>
      <c r="DP3" s="51"/>
      <c r="DQ3" s="51"/>
      <c r="DR3" s="51"/>
      <c r="DS3" s="51"/>
      <c r="DT3" s="51"/>
      <c r="DU3" s="51"/>
      <c r="DV3" s="51"/>
      <c r="DW3" s="51"/>
      <c r="DX3" s="51"/>
      <c r="DY3" s="51"/>
      <c r="DZ3" s="51"/>
      <c r="EA3" s="51"/>
      <c r="EB3" s="51"/>
      <c r="EC3" s="51"/>
      <c r="ED3" s="51"/>
      <c r="EE3" s="51"/>
      <c r="EF3" s="51"/>
      <c r="EG3" s="51"/>
      <c r="EH3" s="51"/>
      <c r="EI3" s="51"/>
      <c r="EJ3" s="51"/>
      <c r="EK3" s="51"/>
      <c r="EL3" s="51"/>
      <c r="EM3" s="51"/>
      <c r="EN3" s="51"/>
      <c r="EO3" s="51"/>
      <c r="EP3" s="51"/>
      <c r="EQ3" s="51"/>
      <c r="ER3" s="51"/>
      <c r="ES3" s="51"/>
      <c r="ET3" s="51"/>
      <c r="EU3" s="51"/>
      <c r="EV3" s="51"/>
      <c r="EW3" s="51"/>
      <c r="EX3" s="51"/>
      <c r="EY3" s="51"/>
      <c r="EZ3" s="51"/>
      <c r="FA3" s="51"/>
      <c r="FB3" s="51"/>
      <c r="FC3" s="51"/>
      <c r="FD3" s="51"/>
      <c r="FE3" s="51"/>
      <c r="FF3" s="51"/>
      <c r="FG3" s="51"/>
      <c r="FH3" s="51"/>
      <c r="FI3" s="51"/>
      <c r="FJ3" s="51"/>
      <c r="FK3" s="51"/>
      <c r="FL3" s="51"/>
      <c r="FM3" s="51"/>
      <c r="FN3" s="51"/>
      <c r="FO3" s="51"/>
      <c r="FP3" s="51"/>
      <c r="FQ3" s="51"/>
      <c r="FR3" s="51"/>
      <c r="FS3" s="51"/>
      <c r="FT3" s="51"/>
      <c r="FU3" s="51"/>
      <c r="FV3" s="51"/>
      <c r="FW3" s="51"/>
      <c r="FX3" s="51"/>
      <c r="FY3" s="51"/>
      <c r="FZ3" s="51"/>
      <c r="GA3" s="51"/>
      <c r="GB3" s="51"/>
      <c r="GC3" s="51"/>
      <c r="GD3" s="51"/>
      <c r="GE3" s="51"/>
      <c r="GF3" s="51"/>
      <c r="GG3" s="51"/>
      <c r="GH3" s="51"/>
      <c r="GI3" s="51"/>
      <c r="GJ3" s="51"/>
      <c r="GK3" s="51"/>
      <c r="GL3" s="51"/>
      <c r="GM3" s="51"/>
      <c r="GN3" s="51"/>
      <c r="GO3" s="51"/>
      <c r="GP3" s="51"/>
      <c r="GQ3" s="51"/>
      <c r="GR3" s="51"/>
      <c r="GS3" s="51"/>
      <c r="GT3" s="51"/>
      <c r="GU3" s="51"/>
      <c r="GV3" s="51"/>
      <c r="GW3" s="51"/>
      <c r="GX3" s="51"/>
      <c r="GY3" s="51"/>
      <c r="GZ3" s="51"/>
      <c r="HA3" s="51"/>
      <c r="HB3" s="51"/>
      <c r="HC3" s="51"/>
      <c r="HD3" s="51"/>
      <c r="HE3" s="51"/>
      <c r="HF3" s="51"/>
      <c r="HG3" s="51"/>
      <c r="HH3" s="51"/>
      <c r="HI3" s="51"/>
      <c r="HJ3" s="51"/>
      <c r="HK3" s="51"/>
      <c r="HL3" s="51"/>
      <c r="HM3" s="51"/>
      <c r="HN3" s="51"/>
      <c r="HO3" s="51"/>
      <c r="HP3" s="51"/>
      <c r="HQ3" s="51"/>
    </row>
    <row r="4" spans="1:225" s="52" customFormat="1" ht="30.75" customHeight="1" thickBot="1" x14ac:dyDescent="0.25">
      <c r="A4" s="206" t="s">
        <v>9</v>
      </c>
      <c r="B4" s="207"/>
      <c r="C4" s="207"/>
      <c r="D4" s="207"/>
      <c r="E4" s="207"/>
      <c r="F4" s="42"/>
      <c r="G4" s="208" t="s">
        <v>10</v>
      </c>
      <c r="H4" s="208"/>
      <c r="I4" s="208"/>
      <c r="J4" s="208"/>
      <c r="K4" s="209"/>
      <c r="L4" s="43"/>
      <c r="M4" s="43"/>
      <c r="N4" s="43"/>
      <c r="O4" s="43"/>
      <c r="P4" s="43"/>
      <c r="Q4" s="43"/>
      <c r="R4" s="43"/>
      <c r="S4" s="74"/>
      <c r="T4" s="74"/>
      <c r="U4" s="74"/>
      <c r="V4" s="74"/>
      <c r="W4" s="74"/>
      <c r="X4" s="74"/>
      <c r="Y4" s="74"/>
      <c r="Z4" s="74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51"/>
      <c r="CU4" s="51"/>
      <c r="CV4" s="51"/>
      <c r="CW4" s="51"/>
      <c r="CX4" s="51"/>
      <c r="CY4" s="51"/>
      <c r="CZ4" s="51"/>
      <c r="DA4" s="51"/>
      <c r="DB4" s="51"/>
      <c r="DC4" s="51"/>
      <c r="DD4" s="51"/>
      <c r="DE4" s="51"/>
      <c r="DF4" s="51"/>
      <c r="DG4" s="51"/>
      <c r="DH4" s="51"/>
      <c r="DI4" s="51"/>
      <c r="DJ4" s="51"/>
      <c r="DK4" s="51"/>
      <c r="DL4" s="51"/>
      <c r="DM4" s="51"/>
      <c r="DN4" s="51"/>
      <c r="DO4" s="51"/>
      <c r="DP4" s="51"/>
      <c r="DQ4" s="51"/>
      <c r="DR4" s="51"/>
      <c r="DS4" s="51"/>
      <c r="DT4" s="51"/>
      <c r="DU4" s="51"/>
      <c r="DV4" s="51"/>
      <c r="DW4" s="51"/>
      <c r="DX4" s="51"/>
      <c r="DY4" s="51"/>
      <c r="DZ4" s="51"/>
      <c r="EA4" s="51"/>
      <c r="EB4" s="51"/>
      <c r="EC4" s="51"/>
      <c r="ED4" s="51"/>
      <c r="EE4" s="51"/>
      <c r="EF4" s="51"/>
      <c r="EG4" s="51"/>
      <c r="EH4" s="51"/>
      <c r="EI4" s="51"/>
      <c r="EJ4" s="51"/>
      <c r="EK4" s="51"/>
      <c r="EL4" s="51"/>
      <c r="EM4" s="51"/>
      <c r="EN4" s="51"/>
      <c r="EO4" s="51"/>
      <c r="EP4" s="51"/>
      <c r="EQ4" s="51"/>
      <c r="ER4" s="51"/>
      <c r="ES4" s="51"/>
      <c r="ET4" s="51"/>
      <c r="EU4" s="51"/>
      <c r="EV4" s="51"/>
      <c r="EW4" s="51"/>
      <c r="EX4" s="51"/>
      <c r="EY4" s="51"/>
      <c r="EZ4" s="51"/>
      <c r="FA4" s="51"/>
      <c r="FB4" s="51"/>
      <c r="FC4" s="51"/>
      <c r="FD4" s="51"/>
      <c r="FE4" s="51"/>
      <c r="FF4" s="51"/>
      <c r="FG4" s="51"/>
      <c r="FH4" s="51"/>
      <c r="FI4" s="51"/>
      <c r="FJ4" s="51"/>
      <c r="FK4" s="51"/>
      <c r="FL4" s="51"/>
      <c r="FM4" s="51"/>
      <c r="FN4" s="51"/>
      <c r="FO4" s="51"/>
      <c r="FP4" s="51"/>
      <c r="FQ4" s="51"/>
      <c r="FR4" s="51"/>
      <c r="FS4" s="51"/>
      <c r="FT4" s="51"/>
      <c r="FU4" s="51"/>
      <c r="FV4" s="51"/>
      <c r="FW4" s="51"/>
      <c r="FX4" s="51"/>
      <c r="FY4" s="51"/>
      <c r="FZ4" s="51"/>
      <c r="GA4" s="51"/>
      <c r="GB4" s="51"/>
      <c r="GC4" s="51"/>
      <c r="GD4" s="51"/>
      <c r="GE4" s="51"/>
      <c r="GF4" s="51"/>
      <c r="GG4" s="51"/>
      <c r="GH4" s="51"/>
      <c r="GI4" s="51"/>
      <c r="GJ4" s="51"/>
      <c r="GK4" s="51"/>
      <c r="GL4" s="51"/>
      <c r="GM4" s="51"/>
      <c r="GN4" s="51"/>
      <c r="GO4" s="51"/>
      <c r="GP4" s="51"/>
      <c r="GQ4" s="51"/>
      <c r="GR4" s="51"/>
      <c r="GS4" s="51"/>
      <c r="GT4" s="51"/>
      <c r="GU4" s="51"/>
      <c r="GV4" s="51"/>
      <c r="GW4" s="51"/>
      <c r="GX4" s="51"/>
      <c r="GY4" s="51"/>
      <c r="GZ4" s="51"/>
      <c r="HA4" s="51"/>
      <c r="HB4" s="51"/>
      <c r="HC4" s="51"/>
      <c r="HD4" s="51"/>
      <c r="HE4" s="51"/>
      <c r="HF4" s="51"/>
      <c r="HG4" s="51"/>
      <c r="HH4" s="51"/>
      <c r="HI4" s="51"/>
      <c r="HJ4" s="51"/>
      <c r="HK4" s="51"/>
      <c r="HL4" s="51"/>
      <c r="HM4" s="51"/>
      <c r="HN4" s="51"/>
      <c r="HO4" s="51"/>
      <c r="HP4" s="51"/>
      <c r="HQ4" s="51"/>
    </row>
    <row r="5" spans="1:225" ht="25.5" customHeight="1" x14ac:dyDescent="0.2">
      <c r="A5" s="210" t="s">
        <v>19</v>
      </c>
      <c r="B5" s="58"/>
      <c r="C5" s="58"/>
      <c r="D5" s="58"/>
      <c r="E5" s="212" t="s">
        <v>20</v>
      </c>
      <c r="F5" s="210" t="s">
        <v>21</v>
      </c>
      <c r="G5" s="210" t="s">
        <v>19</v>
      </c>
      <c r="H5" s="58"/>
      <c r="I5" s="100"/>
      <c r="J5" s="58"/>
      <c r="K5" s="212" t="s">
        <v>22</v>
      </c>
      <c r="L5" s="43"/>
      <c r="M5" s="43"/>
      <c r="N5" s="43"/>
      <c r="O5" s="43"/>
      <c r="P5" s="43"/>
      <c r="Q5" s="43"/>
      <c r="R5" s="75"/>
      <c r="S5" s="75"/>
    </row>
    <row r="6" spans="1:225" ht="15" customHeight="1" thickBot="1" x14ac:dyDescent="0.25">
      <c r="A6" s="211"/>
      <c r="B6" s="59"/>
      <c r="C6" s="59"/>
      <c r="D6" s="59"/>
      <c r="E6" s="213"/>
      <c r="F6" s="211"/>
      <c r="G6" s="211"/>
      <c r="H6" s="59"/>
      <c r="I6" s="101"/>
      <c r="J6" s="59"/>
      <c r="K6" s="213"/>
      <c r="L6" s="44"/>
      <c r="M6" s="44"/>
      <c r="N6" s="45"/>
      <c r="O6" s="46"/>
      <c r="P6" s="46"/>
      <c r="Q6" s="44"/>
      <c r="R6" s="75"/>
      <c r="S6" s="75"/>
    </row>
    <row r="7" spans="1:225" ht="24.95" customHeight="1" thickBot="1" x14ac:dyDescent="0.25">
      <c r="A7" s="19"/>
      <c r="B7" s="22">
        <f>(COUNTIF('2S EXPRESS'!$A$7:$A$50,'EN PANNE'!A7))+(COUNTIF('2 ZT'!$A$7:$A$50,'EN PANNE'!A7))+(COUNTIF('GO TRANSPORT'!$A$7:$A$50,'EN PANNE'!A7))+(COUNTIF('HMZ - KAIS'!$A$7:$A$50,'EN PANNE'!A7))+(COUNTIF('IB TRANSPORT'!$A$7:$A$50,'EN PANNE'!A7))+(COUNTIF(JSL!$A$7:$A$50,'EN PANNE'!A7))+(COUNTIF(KIFAITOUT!$A$7:$A$50,'EN PANNE'!A7))+(COUNTIF('LUXE DRIVE'!$A$7:$A$50,'EN PANNE'!A7))+(COUNTIF(SSN!$A$7:$A$50,'EN PANNE'!A7))+(COUNTIF('W3'!$A$7:$A$50,'EN PANNE'!A7))+(COUNTIF('ATHIS MONS'!$A$7:$A$50,'EN PANNE'!A7))+(COUNTIF('L HAY LES ROSES'!$A$7:$A$50,'EN PANNE'!A7))+(COUNTIF(RUNGIS!$A$7:$A$50,'EN PANNE'!A7))+(COUNTIF(SCEAUX!$A$7:$A$50,'EN PANNE'!A7))+(COUNTIF('INSTANCE C1'!$A$7:$A$50,'EN PANNE'!A7))+(COUNTIF('INSTANCE C2'!$A$7:$A$50,'EN PANNE'!A7))+(COUNTIF(INTERNES!$A$7:$A$50,'EN PANNE'!A7))+(COUNTIF('EN PANNE'!$A$7:$A$50,'EN PANNE'!A7))-C7</f>
        <v>0</v>
      </c>
      <c r="C7" s="23">
        <f>(COUNTIF('2S EXPRESS'!$G$7:$G$50,'EN PANNE'!A7))+(COUNTIF('2 ZT'!$G$7:$G$50,'EN PANNE'!A7))+(COUNTIF('GO TRANSPORT'!$G$7:$G$50,'EN PANNE'!A7))+(COUNTIF('EN PANNE'!$G$7:$G$50,'EN PANNE'!A7))+(COUNTIF('IB TRANSPORT'!$G$7:$G$50,'EN PANNE'!A7))+(COUNTIF(JSL!$G$7:$G$50,'EN PANNE'!A7))+(COUNTIF(KIFAITOUT!$G$7:$G$50,'EN PANNE'!A7))+(COUNTIF('LUXE DRIVE'!$G$7:$G$50,'EN PANNE'!A7))+(COUNTIF(SSN!$G$7:$G$50,'EN PANNE'!A7))+(COUNTIF('W3'!$G$7:$G$50,'EN PANNE'!A7))+(COUNTIF('ATHIS MONS'!$G$7:$G$50,'EN PANNE'!A7))+(COUNTIF('L HAY LES ROSES'!$G$7:$G$50,'EN PANNE'!A7))+(COUNTIF(RUNGIS!$G$7:$G$50,'EN PANNE'!A7))+(COUNTIF(SCEAUX!$G$7:$G$50,'EN PANNE'!A7))+(COUNTIF('INSTANCE C1'!$G$7:$G$50,'EN PANNE'!A7))+(COUNTIF('INSTANCE C2'!$G$7:$G$50,'EN PANNE'!A7))+(COUNTIF(INTERNES!$G$7:$G$50,'EN PANNE'!A7))+(COUNTIF('EN PANNE'!$G$7:$G$50,'EN PANNE'!A7))</f>
        <v>0</v>
      </c>
      <c r="D7" s="27">
        <f>IF(B7&gt;=2,1,0)</f>
        <v>0</v>
      </c>
      <c r="E7" s="1"/>
      <c r="F7" s="4">
        <f t="shared" ref="F7:F50" si="0">COUNTIF($A$7:$A$50,G7)</f>
        <v>0</v>
      </c>
      <c r="G7" s="19"/>
      <c r="H7" s="22">
        <f>(COUNTIF('2S EXPRESS'!$G$7:$G$50,'EN PANNE'!G7))+(COUNTIF('2 ZT'!$G$7:$G$50,'EN PANNE'!G7))+(COUNTIF('GO TRANSPORT'!$G$7:$G$50,'EN PANNE'!G7))+(COUNTIF('HMZ - KAIS'!$G$7:$G$50,'EN PANNE'!G7))+(COUNTIF('IB TRANSPORT'!$G$7:$G$50,'EN PANNE'!G7))+(COUNTIF(JSL!$G$7:$G$50,'EN PANNE'!G7))+(COUNTIF(KIFAITOUT!$G$7:$G$50,'EN PANNE'!G7))+(COUNTIF('LUXE DRIVE'!$G$7:$G$50,'EN PANNE'!G7))+(COUNTIF(SSN!$G$7:$G$50,'EN PANNE'!G7))+(COUNTIF('W3'!$G$7:$G$50,'EN PANNE'!G7))+(COUNTIF('ATHIS MONS'!$G$7:$G$50,'EN PANNE'!G7))+(COUNTIF('L HAY LES ROSES'!$G$7:$G$50,'EN PANNE'!G7))+(COUNTIF(RUNGIS!$G$7:$G$50,'EN PANNE'!G7))+(COUNTIF(SCEAUX!$G$7:$G$50,'EN PANNE'!G7))+(COUNTIF('INSTANCE C1'!$G$7:$G$50,'EN PANNE'!G7))+(COUNTIF('INSTANCE C2'!$G$7:$G$50,'EN PANNE'!G7))+(COUNTIF(INTERNES!$G$7:$G$50,'EN PANNE'!G7))+(COUNTIF('EN PANNE'!$G$7:$G$50,'EN PANNE'!G7))-I7</f>
        <v>0</v>
      </c>
      <c r="I7" s="22">
        <f>(COUNTIF('2S EXPRESS'!$A$7:$A$50,'EN PANNE'!G7))+(COUNTIF('2 ZT'!$A$7:$A$50,'EN PANNE'!G7))+(COUNTIF('GO TRANSPORT'!$A$7:$A$50,'EN PANNE'!G7))+(COUNTIF('HMZ - KAIS'!$A$7:$A$50,'EN PANNE'!G7))+(COUNTIF('IB TRANSPORT'!$A$7:$A$50,'EN PANNE'!G7))+(COUNTIF(JSL!$A$7:$A$50,'EN PANNE'!G7))+(COUNTIF(KIFAITOUT!$A$7:$A$50,'EN PANNE'!G7))+(COUNTIF('LUXE DRIVE'!$A$7:$A$50,'EN PANNE'!G7))+(COUNTIF(SSN!$A$7:$A$50,'EN PANNE'!G7))+(COUNTIF('W3'!$A$7:$A$50,'EN PANNE'!G7))+(COUNTIF('ATHIS MONS'!$A$7:$A$50,'EN PANNE'!G7))+(COUNTIF('L HAY LES ROSES'!$A$7:$A$50,'EN PANNE'!G7))+(COUNTIF(RUNGIS!$A$7:$A$50,'EN PANNE'!G7))+(COUNTIF(SCEAUX!$A$7:$A$50,'EN PANNE'!G7))+(COUNTIF('INSTANCE C1'!$A$7:$A$50,'EN PANNE'!G7))+(COUNTIF('INSTANCE C2'!$A$7:$A$50,'EN PANNE'!G7))+(COUNTIF(INTERNES!$A$7:$A$50,'EN PANNE'!G7))+(COUNTIF('EN PANNE'!$A$7:$A$50,'EN PANNE'!G7))</f>
        <v>0</v>
      </c>
      <c r="J7" s="27">
        <f>IF(H7&gt;=2,1,0)</f>
        <v>0</v>
      </c>
      <c r="K7" s="1"/>
      <c r="L7" s="47"/>
      <c r="M7" s="48"/>
      <c r="N7" s="9"/>
      <c r="O7" s="48"/>
      <c r="P7" s="48"/>
      <c r="Q7" s="48"/>
      <c r="R7" s="75"/>
      <c r="S7" s="60">
        <f t="shared" ref="S7:S50" si="1">COUNTIF($G$7:$G$50,$A7)</f>
        <v>0</v>
      </c>
      <c r="T7" s="67">
        <f t="shared" ref="T7:T50" si="2">IF($S7=1,"",$A7)</f>
        <v>0</v>
      </c>
    </row>
    <row r="8" spans="1:225" ht="24.95" customHeight="1" thickBot="1" x14ac:dyDescent="0.25">
      <c r="A8" s="20"/>
      <c r="B8" s="23">
        <f>(COUNTIF('2S EXPRESS'!$A$7:$A$50,'EN PANNE'!A8))+(COUNTIF('2 ZT'!$A$7:$A$50,'EN PANNE'!A8))+(COUNTIF('GO TRANSPORT'!$A$7:$A$50,'EN PANNE'!A8))+(COUNTIF('HMZ - KAIS'!$A$7:$A$50,'EN PANNE'!A8))+(COUNTIF('IB TRANSPORT'!$A$7:$A$50,'EN PANNE'!A8))+(COUNTIF(JSL!$A$7:$A$50,'EN PANNE'!A8))+(COUNTIF(KIFAITOUT!$A$7:$A$50,'EN PANNE'!A8))+(COUNTIF('LUXE DRIVE'!$A$7:$A$50,'EN PANNE'!A8))+(COUNTIF(SSN!$A$7:$A$50,'EN PANNE'!A8))+(COUNTIF('W3'!$A$7:$A$50,'EN PANNE'!A8))+(COUNTIF('ATHIS MONS'!$A$7:$A$50,'EN PANNE'!A8))+(COUNTIF('L HAY LES ROSES'!$A$7:$A$50,'EN PANNE'!A8))+(COUNTIF(RUNGIS!$A$7:$A$50,'EN PANNE'!A8))+(COUNTIF(SCEAUX!$A$7:$A$50,'EN PANNE'!A8))+(COUNTIF('INSTANCE C1'!$A$7:$A$50,'EN PANNE'!A8))+(COUNTIF('INSTANCE C2'!$A$7:$A$50,'EN PANNE'!A8))+(COUNTIF(INTERNES!$A$7:$A$50,'EN PANNE'!A8))+(COUNTIF('EN PANNE'!$A$7:$A$50,'EN PANNE'!A8))-C8</f>
        <v>0</v>
      </c>
      <c r="C8" s="23">
        <f>(COUNTIF('2S EXPRESS'!$G$7:$G$50,'EN PANNE'!A8))+(COUNTIF('2 ZT'!$G$7:$G$50,'EN PANNE'!A8))+(COUNTIF('GO TRANSPORT'!$G$7:$G$50,'EN PANNE'!A8))+(COUNTIF('EN PANNE'!$G$7:$G$50,'EN PANNE'!A8))+(COUNTIF('IB TRANSPORT'!$G$7:$G$50,'EN PANNE'!A8))+(COUNTIF(JSL!$G$7:$G$50,'EN PANNE'!A8))+(COUNTIF(KIFAITOUT!$G$7:$G$50,'EN PANNE'!A8))+(COUNTIF('LUXE DRIVE'!$G$7:$G$50,'EN PANNE'!A8))+(COUNTIF(SSN!$G$7:$G$50,'EN PANNE'!A8))+(COUNTIF('W3'!$G$7:$G$50,'EN PANNE'!A8))+(COUNTIF('ATHIS MONS'!$G$7:$G$50,'EN PANNE'!A8))+(COUNTIF('L HAY LES ROSES'!$G$7:$G$50,'EN PANNE'!A8))+(COUNTIF(RUNGIS!$G$7:$G$50,'EN PANNE'!A8))+(COUNTIF(SCEAUX!$G$7:$G$50,'EN PANNE'!A8))+(COUNTIF('INSTANCE C1'!$G$7:$G$50,'EN PANNE'!A8))+(COUNTIF('INSTANCE C2'!$G$7:$G$50,'EN PANNE'!A8))+(COUNTIF(INTERNES!$G$7:$G$50,'EN PANNE'!A8))+(COUNTIF('EN PANNE'!$G$7:$G$50,'EN PANNE'!A8))</f>
        <v>0</v>
      </c>
      <c r="D8" s="28">
        <f t="shared" ref="D8:D50" si="3">IF(B8&gt;=2,1,0)</f>
        <v>0</v>
      </c>
      <c r="E8" s="2"/>
      <c r="F8" s="5">
        <f t="shared" si="0"/>
        <v>0</v>
      </c>
      <c r="G8" s="20"/>
      <c r="H8" s="23">
        <f>(COUNTIF('2S EXPRESS'!$G$7:$G$50,'EN PANNE'!G8))+(COUNTIF('2 ZT'!$G$7:$G$50,'EN PANNE'!G8))+(COUNTIF('GO TRANSPORT'!$G$7:$G$50,'EN PANNE'!G8))+(COUNTIF('HMZ - KAIS'!$G$7:$G$50,'EN PANNE'!G8))+(COUNTIF('IB TRANSPORT'!$G$7:$G$50,'EN PANNE'!G8))+(COUNTIF(JSL!$G$7:$G$50,'EN PANNE'!G8))+(COUNTIF(KIFAITOUT!$G$7:$G$50,'EN PANNE'!G8))+(COUNTIF('LUXE DRIVE'!$G$7:$G$50,'EN PANNE'!G8))+(COUNTIF(SSN!$G$7:$G$50,'EN PANNE'!G8))+(COUNTIF('W3'!$G$7:$G$50,'EN PANNE'!G8))+(COUNTIF('ATHIS MONS'!$G$7:$G$50,'EN PANNE'!G8))+(COUNTIF('L HAY LES ROSES'!$G$7:$G$50,'EN PANNE'!G8))+(COUNTIF(RUNGIS!$G$7:$G$50,'EN PANNE'!G8))+(COUNTIF(SCEAUX!$G$7:$G$50,'EN PANNE'!G8))+(COUNTIF('INSTANCE C1'!$G$7:$G$50,'EN PANNE'!G8))+(COUNTIF('INSTANCE C2'!$G$7:$G$50,'EN PANNE'!G8))+(COUNTIF(INTERNES!$G$7:$G$50,'EN PANNE'!G8))+(COUNTIF('EN PANNE'!$G$7:$G$50,'EN PANNE'!G8))-I8</f>
        <v>0</v>
      </c>
      <c r="I8" s="23">
        <f>(COUNTIF('2S EXPRESS'!$A$7:$A$50,'EN PANNE'!G8))+(COUNTIF('2 ZT'!$A$7:$A$50,'EN PANNE'!G8))+(COUNTIF('GO TRANSPORT'!$A$7:$A$50,'EN PANNE'!G8))+(COUNTIF('HMZ - KAIS'!$A$7:$A$50,'EN PANNE'!G8))+(COUNTIF('IB TRANSPORT'!$A$7:$A$50,'EN PANNE'!G8))+(COUNTIF(JSL!$A$7:$A$50,'EN PANNE'!G8))+(COUNTIF(KIFAITOUT!$A$7:$A$50,'EN PANNE'!G8))+(COUNTIF('LUXE DRIVE'!$A$7:$A$50,'EN PANNE'!G8))+(COUNTIF(SSN!$A$7:$A$50,'EN PANNE'!G8))+(COUNTIF('W3'!$A$7:$A$50,'EN PANNE'!G8))+(COUNTIF('ATHIS MONS'!$A$7:$A$50,'EN PANNE'!G8))+(COUNTIF('L HAY LES ROSES'!$A$7:$A$50,'EN PANNE'!G8))+(COUNTIF(RUNGIS!$A$7:$A$50,'EN PANNE'!G8))+(COUNTIF(SCEAUX!$A$7:$A$50,'EN PANNE'!G8))+(COUNTIF('INSTANCE C1'!$A$7:$A$50,'EN PANNE'!G8))+(COUNTIF('INSTANCE C2'!$A$7:$A$50,'EN PANNE'!G8))+(COUNTIF(INTERNES!$A$7:$A$50,'EN PANNE'!G8))+(COUNTIF('EN PANNE'!$A$7:$A$50,'EN PANNE'!G8))</f>
        <v>0</v>
      </c>
      <c r="J8" s="28">
        <f t="shared" ref="J8:J50" si="4">IF(H8&gt;=2,1,0)</f>
        <v>0</v>
      </c>
      <c r="K8" s="2"/>
      <c r="L8" s="47"/>
      <c r="M8" s="203" t="s">
        <v>23</v>
      </c>
      <c r="N8" s="204"/>
      <c r="O8" s="204"/>
      <c r="P8" s="205"/>
      <c r="Q8" s="48"/>
      <c r="R8" s="75"/>
      <c r="S8" s="60">
        <f t="shared" si="1"/>
        <v>0</v>
      </c>
      <c r="T8" s="67">
        <f t="shared" si="2"/>
        <v>0</v>
      </c>
    </row>
    <row r="9" spans="1:225" ht="24.95" customHeight="1" thickBot="1" x14ac:dyDescent="0.25">
      <c r="A9" s="20"/>
      <c r="B9" s="23">
        <f>(COUNTIF('2S EXPRESS'!$A$7:$A$50,'EN PANNE'!A9))+(COUNTIF('2 ZT'!$A$7:$A$50,'EN PANNE'!A9))+(COUNTIF('GO TRANSPORT'!$A$7:$A$50,'EN PANNE'!A9))+(COUNTIF('HMZ - KAIS'!$A$7:$A$50,'EN PANNE'!A9))+(COUNTIF('IB TRANSPORT'!$A$7:$A$50,'EN PANNE'!A9))+(COUNTIF(JSL!$A$7:$A$50,'EN PANNE'!A9))+(COUNTIF(KIFAITOUT!$A$7:$A$50,'EN PANNE'!A9))+(COUNTIF('LUXE DRIVE'!$A$7:$A$50,'EN PANNE'!A9))+(COUNTIF(SSN!$A$7:$A$50,'EN PANNE'!A9))+(COUNTIF('W3'!$A$7:$A$50,'EN PANNE'!A9))+(COUNTIF('ATHIS MONS'!$A$7:$A$50,'EN PANNE'!A9))+(COUNTIF('L HAY LES ROSES'!$A$7:$A$50,'EN PANNE'!A9))+(COUNTIF(RUNGIS!$A$7:$A$50,'EN PANNE'!A9))+(COUNTIF(SCEAUX!$A$7:$A$50,'EN PANNE'!A9))+(COUNTIF('INSTANCE C1'!$A$7:$A$50,'EN PANNE'!A9))+(COUNTIF('INSTANCE C2'!$A$7:$A$50,'EN PANNE'!A9))+(COUNTIF(INTERNES!$A$7:$A$50,'EN PANNE'!A9))+(COUNTIF('EN PANNE'!$A$7:$A$50,'EN PANNE'!A9))-C9</f>
        <v>0</v>
      </c>
      <c r="C9" s="23">
        <f>(COUNTIF('2S EXPRESS'!$G$7:$G$50,'EN PANNE'!A9))+(COUNTIF('2 ZT'!$G$7:$G$50,'EN PANNE'!A9))+(COUNTIF('GO TRANSPORT'!$G$7:$G$50,'EN PANNE'!A9))+(COUNTIF('EN PANNE'!$G$7:$G$50,'EN PANNE'!A9))+(COUNTIF('IB TRANSPORT'!$G$7:$G$50,'EN PANNE'!A9))+(COUNTIF(JSL!$G$7:$G$50,'EN PANNE'!A9))+(COUNTIF(KIFAITOUT!$G$7:$G$50,'EN PANNE'!A9))+(COUNTIF('LUXE DRIVE'!$G$7:$G$50,'EN PANNE'!A9))+(COUNTIF(SSN!$G$7:$G$50,'EN PANNE'!A9))+(COUNTIF('W3'!$G$7:$G$50,'EN PANNE'!A9))+(COUNTIF('ATHIS MONS'!$G$7:$G$50,'EN PANNE'!A9))+(COUNTIF('L HAY LES ROSES'!$G$7:$G$50,'EN PANNE'!A9))+(COUNTIF(RUNGIS!$G$7:$G$50,'EN PANNE'!A9))+(COUNTIF(SCEAUX!$G$7:$G$50,'EN PANNE'!A9))+(COUNTIF('INSTANCE C1'!$G$7:$G$50,'EN PANNE'!A9))+(COUNTIF('INSTANCE C2'!$G$7:$G$50,'EN PANNE'!A9))+(COUNTIF(INTERNES!$G$7:$G$50,'EN PANNE'!A9))+(COUNTIF('EN PANNE'!$G$7:$G$50,'EN PANNE'!A9))</f>
        <v>0</v>
      </c>
      <c r="D9" s="28">
        <f t="shared" si="3"/>
        <v>0</v>
      </c>
      <c r="E9" s="2"/>
      <c r="F9" s="5">
        <f t="shared" si="0"/>
        <v>0</v>
      </c>
      <c r="G9" s="20"/>
      <c r="H9" s="23">
        <f>(COUNTIF('2S EXPRESS'!$G$7:$G$50,'EN PANNE'!G9))+(COUNTIF('2 ZT'!$G$7:$G$50,'EN PANNE'!G9))+(COUNTIF('GO TRANSPORT'!$G$7:$G$50,'EN PANNE'!G9))+(COUNTIF('HMZ - KAIS'!$G$7:$G$50,'EN PANNE'!G9))+(COUNTIF('IB TRANSPORT'!$G$7:$G$50,'EN PANNE'!G9))+(COUNTIF(JSL!$G$7:$G$50,'EN PANNE'!G9))+(COUNTIF(KIFAITOUT!$G$7:$G$50,'EN PANNE'!G9))+(COUNTIF('LUXE DRIVE'!$G$7:$G$50,'EN PANNE'!G9))+(COUNTIF(SSN!$G$7:$G$50,'EN PANNE'!G9))+(COUNTIF('W3'!$G$7:$G$50,'EN PANNE'!G9))+(COUNTIF('ATHIS MONS'!$G$7:$G$50,'EN PANNE'!G9))+(COUNTIF('L HAY LES ROSES'!$G$7:$G$50,'EN PANNE'!G9))+(COUNTIF(RUNGIS!$G$7:$G$50,'EN PANNE'!G9))+(COUNTIF(SCEAUX!$G$7:$G$50,'EN PANNE'!G9))+(COUNTIF('INSTANCE C1'!$G$7:$G$50,'EN PANNE'!G9))+(COUNTIF('INSTANCE C2'!$G$7:$G$50,'EN PANNE'!G9))+(COUNTIF(INTERNES!$G$7:$G$50,'EN PANNE'!G9))+(COUNTIF('EN PANNE'!$G$7:$G$50,'EN PANNE'!G9))-I9</f>
        <v>0</v>
      </c>
      <c r="I9" s="23">
        <f>(COUNTIF('2S EXPRESS'!$A$7:$A$50,'EN PANNE'!G9))+(COUNTIF('2 ZT'!$A$7:$A$50,'EN PANNE'!G9))+(COUNTIF('GO TRANSPORT'!$A$7:$A$50,'EN PANNE'!G9))+(COUNTIF('HMZ - KAIS'!$A$7:$A$50,'EN PANNE'!G9))+(COUNTIF('IB TRANSPORT'!$A$7:$A$50,'EN PANNE'!G9))+(COUNTIF(JSL!$A$7:$A$50,'EN PANNE'!G9))+(COUNTIF(KIFAITOUT!$A$7:$A$50,'EN PANNE'!G9))+(COUNTIF('LUXE DRIVE'!$A$7:$A$50,'EN PANNE'!G9))+(COUNTIF(SSN!$A$7:$A$50,'EN PANNE'!G9))+(COUNTIF('W3'!$A$7:$A$50,'EN PANNE'!G9))+(COUNTIF('ATHIS MONS'!$A$7:$A$50,'EN PANNE'!G9))+(COUNTIF('L HAY LES ROSES'!$A$7:$A$50,'EN PANNE'!G9))+(COUNTIF(RUNGIS!$A$7:$A$50,'EN PANNE'!G9))+(COUNTIF(SCEAUX!$A$7:$A$50,'EN PANNE'!G9))+(COUNTIF('INSTANCE C1'!$A$7:$A$50,'EN PANNE'!G9))+(COUNTIF('INSTANCE C2'!$A$7:$A$50,'EN PANNE'!G9))+(COUNTIF(INTERNES!$A$7:$A$50,'EN PANNE'!G9))+(COUNTIF('EN PANNE'!$A$7:$A$50,'EN PANNE'!G9))</f>
        <v>0</v>
      </c>
      <c r="J9" s="28">
        <f t="shared" si="4"/>
        <v>0</v>
      </c>
      <c r="K9" s="2"/>
      <c r="L9" s="47"/>
      <c r="M9" s="200">
        <f>COUNTA($A$7:$A$50)</f>
        <v>0</v>
      </c>
      <c r="N9" s="201"/>
      <c r="O9" s="201"/>
      <c r="P9" s="202"/>
      <c r="Q9" s="49" t="s">
        <v>24</v>
      </c>
      <c r="R9" s="75"/>
      <c r="S9" s="60">
        <f t="shared" si="1"/>
        <v>0</v>
      </c>
      <c r="T9" s="67">
        <f t="shared" si="2"/>
        <v>0</v>
      </c>
    </row>
    <row r="10" spans="1:225" ht="24.95" customHeight="1" thickBot="1" x14ac:dyDescent="0.25">
      <c r="A10" s="20"/>
      <c r="B10" s="23">
        <f>(COUNTIF('2S EXPRESS'!$A$7:$A$50,'EN PANNE'!A10))+(COUNTIF('2 ZT'!$A$7:$A$50,'EN PANNE'!A10))+(COUNTIF('GO TRANSPORT'!$A$7:$A$50,'EN PANNE'!A10))+(COUNTIF('HMZ - KAIS'!$A$7:$A$50,'EN PANNE'!A10))+(COUNTIF('IB TRANSPORT'!$A$7:$A$50,'EN PANNE'!A10))+(COUNTIF(JSL!$A$7:$A$50,'EN PANNE'!A10))+(COUNTIF(KIFAITOUT!$A$7:$A$50,'EN PANNE'!A10))+(COUNTIF('LUXE DRIVE'!$A$7:$A$50,'EN PANNE'!A10))+(COUNTIF(SSN!$A$7:$A$50,'EN PANNE'!A10))+(COUNTIF('W3'!$A$7:$A$50,'EN PANNE'!A10))+(COUNTIF('ATHIS MONS'!$A$7:$A$50,'EN PANNE'!A10))+(COUNTIF('L HAY LES ROSES'!$A$7:$A$50,'EN PANNE'!A10))+(COUNTIF(RUNGIS!$A$7:$A$50,'EN PANNE'!A10))+(COUNTIF(SCEAUX!$A$7:$A$50,'EN PANNE'!A10))+(COUNTIF('INSTANCE C1'!$A$7:$A$50,'EN PANNE'!A10))+(COUNTIF('INSTANCE C2'!$A$7:$A$50,'EN PANNE'!A10))+(COUNTIF(INTERNES!$A$7:$A$50,'EN PANNE'!A10))+(COUNTIF('EN PANNE'!$A$7:$A$50,'EN PANNE'!A10))-C10</f>
        <v>0</v>
      </c>
      <c r="C10" s="23">
        <f>(COUNTIF('2S EXPRESS'!$G$7:$G$50,'EN PANNE'!A10))+(COUNTIF('2 ZT'!$G$7:$G$50,'EN PANNE'!A10))+(COUNTIF('GO TRANSPORT'!$G$7:$G$50,'EN PANNE'!A10))+(COUNTIF('EN PANNE'!$G$7:$G$50,'EN PANNE'!A10))+(COUNTIF('IB TRANSPORT'!$G$7:$G$50,'EN PANNE'!A10))+(COUNTIF(JSL!$G$7:$G$50,'EN PANNE'!A10))+(COUNTIF(KIFAITOUT!$G$7:$G$50,'EN PANNE'!A10))+(COUNTIF('LUXE DRIVE'!$G$7:$G$50,'EN PANNE'!A10))+(COUNTIF(SSN!$G$7:$G$50,'EN PANNE'!A10))+(COUNTIF('W3'!$G$7:$G$50,'EN PANNE'!A10))+(COUNTIF('ATHIS MONS'!$G$7:$G$50,'EN PANNE'!A10))+(COUNTIF('L HAY LES ROSES'!$G$7:$G$50,'EN PANNE'!A10))+(COUNTIF(RUNGIS!$G$7:$G$50,'EN PANNE'!A10))+(COUNTIF(SCEAUX!$G$7:$G$50,'EN PANNE'!A10))+(COUNTIF('INSTANCE C1'!$G$7:$G$50,'EN PANNE'!A10))+(COUNTIF('INSTANCE C2'!$G$7:$G$50,'EN PANNE'!A10))+(COUNTIF(INTERNES!$G$7:$G$50,'EN PANNE'!A10))+(COUNTIF('EN PANNE'!$G$7:$G$50,'EN PANNE'!A10))</f>
        <v>0</v>
      </c>
      <c r="D10" s="28">
        <f t="shared" si="3"/>
        <v>0</v>
      </c>
      <c r="E10" s="2"/>
      <c r="F10" s="5">
        <f t="shared" si="0"/>
        <v>0</v>
      </c>
      <c r="G10" s="20"/>
      <c r="H10" s="23">
        <f>(COUNTIF('2S EXPRESS'!$G$7:$G$50,'EN PANNE'!G10))+(COUNTIF('2 ZT'!$G$7:$G$50,'EN PANNE'!G10))+(COUNTIF('GO TRANSPORT'!$G$7:$G$50,'EN PANNE'!G10))+(COUNTIF('HMZ - KAIS'!$G$7:$G$50,'EN PANNE'!G10))+(COUNTIF('IB TRANSPORT'!$G$7:$G$50,'EN PANNE'!G10))+(COUNTIF(JSL!$G$7:$G$50,'EN PANNE'!G10))+(COUNTIF(KIFAITOUT!$G$7:$G$50,'EN PANNE'!G10))+(COUNTIF('LUXE DRIVE'!$G$7:$G$50,'EN PANNE'!G10))+(COUNTIF(SSN!$G$7:$G$50,'EN PANNE'!G10))+(COUNTIF('W3'!$G$7:$G$50,'EN PANNE'!G10))+(COUNTIF('ATHIS MONS'!$G$7:$G$50,'EN PANNE'!G10))+(COUNTIF('L HAY LES ROSES'!$G$7:$G$50,'EN PANNE'!G10))+(COUNTIF(RUNGIS!$G$7:$G$50,'EN PANNE'!G10))+(COUNTIF(SCEAUX!$G$7:$G$50,'EN PANNE'!G10))+(COUNTIF('INSTANCE C1'!$G$7:$G$50,'EN PANNE'!G10))+(COUNTIF('INSTANCE C2'!$G$7:$G$50,'EN PANNE'!G10))+(COUNTIF(INTERNES!$G$7:$G$50,'EN PANNE'!G10))+(COUNTIF('EN PANNE'!$G$7:$G$50,'EN PANNE'!G10))-I10</f>
        <v>0</v>
      </c>
      <c r="I10" s="23">
        <f>(COUNTIF('2S EXPRESS'!$A$7:$A$50,'EN PANNE'!G10))+(COUNTIF('2 ZT'!$A$7:$A$50,'EN PANNE'!G10))+(COUNTIF('GO TRANSPORT'!$A$7:$A$50,'EN PANNE'!G10))+(COUNTIF('HMZ - KAIS'!$A$7:$A$50,'EN PANNE'!G10))+(COUNTIF('IB TRANSPORT'!$A$7:$A$50,'EN PANNE'!G10))+(COUNTIF(JSL!$A$7:$A$50,'EN PANNE'!G10))+(COUNTIF(KIFAITOUT!$A$7:$A$50,'EN PANNE'!G10))+(COUNTIF('LUXE DRIVE'!$A$7:$A$50,'EN PANNE'!G10))+(COUNTIF(SSN!$A$7:$A$50,'EN PANNE'!G10))+(COUNTIF('W3'!$A$7:$A$50,'EN PANNE'!G10))+(COUNTIF('ATHIS MONS'!$A$7:$A$50,'EN PANNE'!G10))+(COUNTIF('L HAY LES ROSES'!$A$7:$A$50,'EN PANNE'!G10))+(COUNTIF(RUNGIS!$A$7:$A$50,'EN PANNE'!G10))+(COUNTIF(SCEAUX!$A$7:$A$50,'EN PANNE'!G10))+(COUNTIF('INSTANCE C1'!$A$7:$A$50,'EN PANNE'!G10))+(COUNTIF('INSTANCE C2'!$A$7:$A$50,'EN PANNE'!G10))+(COUNTIF(INTERNES!$A$7:$A$50,'EN PANNE'!G10))+(COUNTIF('EN PANNE'!$A$7:$A$50,'EN PANNE'!G10))</f>
        <v>0</v>
      </c>
      <c r="J10" s="28">
        <f t="shared" si="4"/>
        <v>0</v>
      </c>
      <c r="K10" s="2"/>
      <c r="L10" s="47"/>
      <c r="M10" s="48"/>
      <c r="N10" s="45"/>
      <c r="O10" s="48"/>
      <c r="P10" s="48"/>
      <c r="Q10" s="50" t="s">
        <v>25</v>
      </c>
      <c r="R10" s="75"/>
      <c r="S10" s="60">
        <f t="shared" si="1"/>
        <v>0</v>
      </c>
      <c r="T10" s="67">
        <f t="shared" si="2"/>
        <v>0</v>
      </c>
    </row>
    <row r="11" spans="1:225" ht="24.95" customHeight="1" thickBot="1" x14ac:dyDescent="0.25">
      <c r="A11" s="20"/>
      <c r="B11" s="23">
        <f>(COUNTIF('2S EXPRESS'!$A$7:$A$50,'EN PANNE'!A11))+(COUNTIF('2 ZT'!$A$7:$A$50,'EN PANNE'!A11))+(COUNTIF('GO TRANSPORT'!$A$7:$A$50,'EN PANNE'!A11))+(COUNTIF('HMZ - KAIS'!$A$7:$A$50,'EN PANNE'!A11))+(COUNTIF('IB TRANSPORT'!$A$7:$A$50,'EN PANNE'!A11))+(COUNTIF(JSL!$A$7:$A$50,'EN PANNE'!A11))+(COUNTIF(KIFAITOUT!$A$7:$A$50,'EN PANNE'!A11))+(COUNTIF('LUXE DRIVE'!$A$7:$A$50,'EN PANNE'!A11))+(COUNTIF(SSN!$A$7:$A$50,'EN PANNE'!A11))+(COUNTIF('W3'!$A$7:$A$50,'EN PANNE'!A11))+(COUNTIF('ATHIS MONS'!$A$7:$A$50,'EN PANNE'!A11))+(COUNTIF('L HAY LES ROSES'!$A$7:$A$50,'EN PANNE'!A11))+(COUNTIF(RUNGIS!$A$7:$A$50,'EN PANNE'!A11))+(COUNTIF(SCEAUX!$A$7:$A$50,'EN PANNE'!A11))+(COUNTIF('INSTANCE C1'!$A$7:$A$50,'EN PANNE'!A11))+(COUNTIF('INSTANCE C2'!$A$7:$A$50,'EN PANNE'!A11))+(COUNTIF(INTERNES!$A$7:$A$50,'EN PANNE'!A11))+(COUNTIF('EN PANNE'!$A$7:$A$50,'EN PANNE'!A11))-C11</f>
        <v>0</v>
      </c>
      <c r="C11" s="23">
        <f>(COUNTIF('2S EXPRESS'!$G$7:$G$50,'EN PANNE'!A11))+(COUNTIF('2 ZT'!$G$7:$G$50,'EN PANNE'!A11))+(COUNTIF('GO TRANSPORT'!$G$7:$G$50,'EN PANNE'!A11))+(COUNTIF('EN PANNE'!$G$7:$G$50,'EN PANNE'!A11))+(COUNTIF('IB TRANSPORT'!$G$7:$G$50,'EN PANNE'!A11))+(COUNTIF(JSL!$G$7:$G$50,'EN PANNE'!A11))+(COUNTIF(KIFAITOUT!$G$7:$G$50,'EN PANNE'!A11))+(COUNTIF('LUXE DRIVE'!$G$7:$G$50,'EN PANNE'!A11))+(COUNTIF(SSN!$G$7:$G$50,'EN PANNE'!A11))+(COUNTIF('W3'!$G$7:$G$50,'EN PANNE'!A11))+(COUNTIF('ATHIS MONS'!$G$7:$G$50,'EN PANNE'!A11))+(COUNTIF('L HAY LES ROSES'!$G$7:$G$50,'EN PANNE'!A11))+(COUNTIF(RUNGIS!$G$7:$G$50,'EN PANNE'!A11))+(COUNTIF(SCEAUX!$G$7:$G$50,'EN PANNE'!A11))+(COUNTIF('INSTANCE C1'!$G$7:$G$50,'EN PANNE'!A11))+(COUNTIF('INSTANCE C2'!$G$7:$G$50,'EN PANNE'!A11))+(COUNTIF(INTERNES!$G$7:$G$50,'EN PANNE'!A11))+(COUNTIF('EN PANNE'!$G$7:$G$50,'EN PANNE'!A11))</f>
        <v>0</v>
      </c>
      <c r="D11" s="28">
        <f t="shared" si="3"/>
        <v>0</v>
      </c>
      <c r="E11" s="2"/>
      <c r="F11" s="5">
        <f t="shared" si="0"/>
        <v>0</v>
      </c>
      <c r="G11" s="20"/>
      <c r="H11" s="23">
        <f>(COUNTIF('2S EXPRESS'!$G$7:$G$50,'EN PANNE'!G11))+(COUNTIF('2 ZT'!$G$7:$G$50,'EN PANNE'!G11))+(COUNTIF('GO TRANSPORT'!$G$7:$G$50,'EN PANNE'!G11))+(COUNTIF('HMZ - KAIS'!$G$7:$G$50,'EN PANNE'!G11))+(COUNTIF('IB TRANSPORT'!$G$7:$G$50,'EN PANNE'!G11))+(COUNTIF(JSL!$G$7:$G$50,'EN PANNE'!G11))+(COUNTIF(KIFAITOUT!$G$7:$G$50,'EN PANNE'!G11))+(COUNTIF('LUXE DRIVE'!$G$7:$G$50,'EN PANNE'!G11))+(COUNTIF(SSN!$G$7:$G$50,'EN PANNE'!G11))+(COUNTIF('W3'!$G$7:$G$50,'EN PANNE'!G11))+(COUNTIF('ATHIS MONS'!$G$7:$G$50,'EN PANNE'!G11))+(COUNTIF('L HAY LES ROSES'!$G$7:$G$50,'EN PANNE'!G11))+(COUNTIF(RUNGIS!$G$7:$G$50,'EN PANNE'!G11))+(COUNTIF(SCEAUX!$G$7:$G$50,'EN PANNE'!G11))+(COUNTIF('INSTANCE C1'!$G$7:$G$50,'EN PANNE'!G11))+(COUNTIF('INSTANCE C2'!$G$7:$G$50,'EN PANNE'!G11))+(COUNTIF(INTERNES!$G$7:$G$50,'EN PANNE'!G11))+(COUNTIF('EN PANNE'!$G$7:$G$50,'EN PANNE'!G11))-I11</f>
        <v>0</v>
      </c>
      <c r="I11" s="23">
        <f>(COUNTIF('2S EXPRESS'!$A$7:$A$50,'EN PANNE'!G11))+(COUNTIF('2 ZT'!$A$7:$A$50,'EN PANNE'!G11))+(COUNTIF('GO TRANSPORT'!$A$7:$A$50,'EN PANNE'!G11))+(COUNTIF('HMZ - KAIS'!$A$7:$A$50,'EN PANNE'!G11))+(COUNTIF('IB TRANSPORT'!$A$7:$A$50,'EN PANNE'!G11))+(COUNTIF(JSL!$A$7:$A$50,'EN PANNE'!G11))+(COUNTIF(KIFAITOUT!$A$7:$A$50,'EN PANNE'!G11))+(COUNTIF('LUXE DRIVE'!$A$7:$A$50,'EN PANNE'!G11))+(COUNTIF(SSN!$A$7:$A$50,'EN PANNE'!G11))+(COUNTIF('W3'!$A$7:$A$50,'EN PANNE'!G11))+(COUNTIF('ATHIS MONS'!$A$7:$A$50,'EN PANNE'!G11))+(COUNTIF('L HAY LES ROSES'!$A$7:$A$50,'EN PANNE'!G11))+(COUNTIF(RUNGIS!$A$7:$A$50,'EN PANNE'!G11))+(COUNTIF(SCEAUX!$A$7:$A$50,'EN PANNE'!G11))+(COUNTIF('INSTANCE C1'!$A$7:$A$50,'EN PANNE'!G11))+(COUNTIF('INSTANCE C2'!$A$7:$A$50,'EN PANNE'!G11))+(COUNTIF(INTERNES!$A$7:$A$50,'EN PANNE'!G11))+(COUNTIF('EN PANNE'!$A$7:$A$50,'EN PANNE'!G11))</f>
        <v>0</v>
      </c>
      <c r="J11" s="28">
        <f t="shared" si="4"/>
        <v>0</v>
      </c>
      <c r="K11" s="2"/>
      <c r="L11" s="47"/>
      <c r="M11" s="203" t="s">
        <v>26</v>
      </c>
      <c r="N11" s="204"/>
      <c r="O11" s="204"/>
      <c r="P11" s="205"/>
      <c r="Q11" s="50" t="s">
        <v>27</v>
      </c>
      <c r="R11" s="75"/>
      <c r="S11" s="60">
        <f t="shared" si="1"/>
        <v>0</v>
      </c>
      <c r="T11" s="67">
        <f t="shared" si="2"/>
        <v>0</v>
      </c>
    </row>
    <row r="12" spans="1:225" ht="24.95" customHeight="1" thickBot="1" x14ac:dyDescent="0.25">
      <c r="A12" s="20"/>
      <c r="B12" s="23">
        <f>(COUNTIF('2S EXPRESS'!$A$7:$A$50,'EN PANNE'!A12))+(COUNTIF('2 ZT'!$A$7:$A$50,'EN PANNE'!A12))+(COUNTIF('GO TRANSPORT'!$A$7:$A$50,'EN PANNE'!A12))+(COUNTIF('HMZ - KAIS'!$A$7:$A$50,'EN PANNE'!A12))+(COUNTIF('IB TRANSPORT'!$A$7:$A$50,'EN PANNE'!A12))+(COUNTIF(JSL!$A$7:$A$50,'EN PANNE'!A12))+(COUNTIF(KIFAITOUT!$A$7:$A$50,'EN PANNE'!A12))+(COUNTIF('LUXE DRIVE'!$A$7:$A$50,'EN PANNE'!A12))+(COUNTIF(SSN!$A$7:$A$50,'EN PANNE'!A12))+(COUNTIF('W3'!$A$7:$A$50,'EN PANNE'!A12))+(COUNTIF('ATHIS MONS'!$A$7:$A$50,'EN PANNE'!A12))+(COUNTIF('L HAY LES ROSES'!$A$7:$A$50,'EN PANNE'!A12))+(COUNTIF(RUNGIS!$A$7:$A$50,'EN PANNE'!A12))+(COUNTIF(SCEAUX!$A$7:$A$50,'EN PANNE'!A12))+(COUNTIF('INSTANCE C1'!$A$7:$A$50,'EN PANNE'!A12))+(COUNTIF('INSTANCE C2'!$A$7:$A$50,'EN PANNE'!A12))+(COUNTIF(INTERNES!$A$7:$A$50,'EN PANNE'!A12))+(COUNTIF('EN PANNE'!$A$7:$A$50,'EN PANNE'!A12))-C12</f>
        <v>0</v>
      </c>
      <c r="C12" s="23">
        <f>(COUNTIF('2S EXPRESS'!$G$7:$G$50,'EN PANNE'!A12))+(COUNTIF('2 ZT'!$G$7:$G$50,'EN PANNE'!A12))+(COUNTIF('GO TRANSPORT'!$G$7:$G$50,'EN PANNE'!A12))+(COUNTIF('EN PANNE'!$G$7:$G$50,'EN PANNE'!A12))+(COUNTIF('IB TRANSPORT'!$G$7:$G$50,'EN PANNE'!A12))+(COUNTIF(JSL!$G$7:$G$50,'EN PANNE'!A12))+(COUNTIF(KIFAITOUT!$G$7:$G$50,'EN PANNE'!A12))+(COUNTIF('LUXE DRIVE'!$G$7:$G$50,'EN PANNE'!A12))+(COUNTIF(SSN!$G$7:$G$50,'EN PANNE'!A12))+(COUNTIF('W3'!$G$7:$G$50,'EN PANNE'!A12))+(COUNTIF('ATHIS MONS'!$G$7:$G$50,'EN PANNE'!A12))+(COUNTIF('L HAY LES ROSES'!$G$7:$G$50,'EN PANNE'!A12))+(COUNTIF(RUNGIS!$G$7:$G$50,'EN PANNE'!A12))+(COUNTIF(SCEAUX!$G$7:$G$50,'EN PANNE'!A12))+(COUNTIF('INSTANCE C1'!$G$7:$G$50,'EN PANNE'!A12))+(COUNTIF('INSTANCE C2'!$G$7:$G$50,'EN PANNE'!A12))+(COUNTIF(INTERNES!$G$7:$G$50,'EN PANNE'!A12))+(COUNTIF('EN PANNE'!$G$7:$G$50,'EN PANNE'!A12))</f>
        <v>0</v>
      </c>
      <c r="D12" s="28">
        <f t="shared" si="3"/>
        <v>0</v>
      </c>
      <c r="E12" s="2"/>
      <c r="F12" s="5">
        <f t="shared" si="0"/>
        <v>0</v>
      </c>
      <c r="G12" s="20"/>
      <c r="H12" s="23">
        <f>(COUNTIF('2S EXPRESS'!$G$7:$G$50,'EN PANNE'!G12))+(COUNTIF('2 ZT'!$G$7:$G$50,'EN PANNE'!G12))+(COUNTIF('GO TRANSPORT'!$G$7:$G$50,'EN PANNE'!G12))+(COUNTIF('HMZ - KAIS'!$G$7:$G$50,'EN PANNE'!G12))+(COUNTIF('IB TRANSPORT'!$G$7:$G$50,'EN PANNE'!G12))+(COUNTIF(JSL!$G$7:$G$50,'EN PANNE'!G12))+(COUNTIF(KIFAITOUT!$G$7:$G$50,'EN PANNE'!G12))+(COUNTIF('LUXE DRIVE'!$G$7:$G$50,'EN PANNE'!G12))+(COUNTIF(SSN!$G$7:$G$50,'EN PANNE'!G12))+(COUNTIF('W3'!$G$7:$G$50,'EN PANNE'!G12))+(COUNTIF('ATHIS MONS'!$G$7:$G$50,'EN PANNE'!G12))+(COUNTIF('L HAY LES ROSES'!$G$7:$G$50,'EN PANNE'!G12))+(COUNTIF(RUNGIS!$G$7:$G$50,'EN PANNE'!G12))+(COUNTIF(SCEAUX!$G$7:$G$50,'EN PANNE'!G12))+(COUNTIF('INSTANCE C1'!$G$7:$G$50,'EN PANNE'!G12))+(COUNTIF('INSTANCE C2'!$G$7:$G$50,'EN PANNE'!G12))+(COUNTIF(INTERNES!$G$7:$G$50,'EN PANNE'!G12))+(COUNTIF('EN PANNE'!$G$7:$G$50,'EN PANNE'!G12))-I12</f>
        <v>0</v>
      </c>
      <c r="I12" s="23">
        <f>(COUNTIF('2S EXPRESS'!$A$7:$A$50,'EN PANNE'!G12))+(COUNTIF('2 ZT'!$A$7:$A$50,'EN PANNE'!G12))+(COUNTIF('GO TRANSPORT'!$A$7:$A$50,'EN PANNE'!G12))+(COUNTIF('HMZ - KAIS'!$A$7:$A$50,'EN PANNE'!G12))+(COUNTIF('IB TRANSPORT'!$A$7:$A$50,'EN PANNE'!G12))+(COUNTIF(JSL!$A$7:$A$50,'EN PANNE'!G12))+(COUNTIF(KIFAITOUT!$A$7:$A$50,'EN PANNE'!G12))+(COUNTIF('LUXE DRIVE'!$A$7:$A$50,'EN PANNE'!G12))+(COUNTIF(SSN!$A$7:$A$50,'EN PANNE'!G12))+(COUNTIF('W3'!$A$7:$A$50,'EN PANNE'!G12))+(COUNTIF('ATHIS MONS'!$A$7:$A$50,'EN PANNE'!G12))+(COUNTIF('L HAY LES ROSES'!$A$7:$A$50,'EN PANNE'!G12))+(COUNTIF(RUNGIS!$A$7:$A$50,'EN PANNE'!G12))+(COUNTIF(SCEAUX!$A$7:$A$50,'EN PANNE'!G12))+(COUNTIF('INSTANCE C1'!$A$7:$A$50,'EN PANNE'!G12))+(COUNTIF('INSTANCE C2'!$A$7:$A$50,'EN PANNE'!G12))+(COUNTIF(INTERNES!$A$7:$A$50,'EN PANNE'!G12))+(COUNTIF('EN PANNE'!$A$7:$A$50,'EN PANNE'!G12))</f>
        <v>0</v>
      </c>
      <c r="J12" s="28">
        <f t="shared" si="4"/>
        <v>0</v>
      </c>
      <c r="K12" s="2"/>
      <c r="L12" s="47"/>
      <c r="M12" s="200">
        <f>COUNTA(G7:G50)</f>
        <v>0</v>
      </c>
      <c r="N12" s="201"/>
      <c r="O12" s="201"/>
      <c r="P12" s="202"/>
      <c r="Q12" s="50" t="s">
        <v>28</v>
      </c>
      <c r="R12" s="75"/>
      <c r="S12" s="60">
        <f t="shared" si="1"/>
        <v>0</v>
      </c>
      <c r="T12" s="67">
        <f t="shared" si="2"/>
        <v>0</v>
      </c>
    </row>
    <row r="13" spans="1:225" ht="24.95" customHeight="1" x14ac:dyDescent="0.2">
      <c r="A13" s="20"/>
      <c r="B13" s="23">
        <f>(COUNTIF('2S EXPRESS'!$A$7:$A$50,'EN PANNE'!A13))+(COUNTIF('2 ZT'!$A$7:$A$50,'EN PANNE'!A13))+(COUNTIF('GO TRANSPORT'!$A$7:$A$50,'EN PANNE'!A13))+(COUNTIF('HMZ - KAIS'!$A$7:$A$50,'EN PANNE'!A13))+(COUNTIF('IB TRANSPORT'!$A$7:$A$50,'EN PANNE'!A13))+(COUNTIF(JSL!$A$7:$A$50,'EN PANNE'!A13))+(COUNTIF(KIFAITOUT!$A$7:$A$50,'EN PANNE'!A13))+(COUNTIF('LUXE DRIVE'!$A$7:$A$50,'EN PANNE'!A13))+(COUNTIF(SSN!$A$7:$A$50,'EN PANNE'!A13))+(COUNTIF('W3'!$A$7:$A$50,'EN PANNE'!A13))+(COUNTIF('ATHIS MONS'!$A$7:$A$50,'EN PANNE'!A13))+(COUNTIF('L HAY LES ROSES'!$A$7:$A$50,'EN PANNE'!A13))+(COUNTIF(RUNGIS!$A$7:$A$50,'EN PANNE'!A13))+(COUNTIF(SCEAUX!$A$7:$A$50,'EN PANNE'!A13))+(COUNTIF('INSTANCE C1'!$A$7:$A$50,'EN PANNE'!A13))+(COUNTIF('INSTANCE C2'!$A$7:$A$50,'EN PANNE'!A13))+(COUNTIF(INTERNES!$A$7:$A$50,'EN PANNE'!A13))+(COUNTIF('EN PANNE'!$A$7:$A$50,'EN PANNE'!A13))-C13</f>
        <v>0</v>
      </c>
      <c r="C13" s="23">
        <f>(COUNTIF('2S EXPRESS'!$G$7:$G$50,'EN PANNE'!A13))+(COUNTIF('2 ZT'!$G$7:$G$50,'EN PANNE'!A13))+(COUNTIF('GO TRANSPORT'!$G$7:$G$50,'EN PANNE'!A13))+(COUNTIF('EN PANNE'!$G$7:$G$50,'EN PANNE'!A13))+(COUNTIF('IB TRANSPORT'!$G$7:$G$50,'EN PANNE'!A13))+(COUNTIF(JSL!$G$7:$G$50,'EN PANNE'!A13))+(COUNTIF(KIFAITOUT!$G$7:$G$50,'EN PANNE'!A13))+(COUNTIF('LUXE DRIVE'!$G$7:$G$50,'EN PANNE'!A13))+(COUNTIF(SSN!$G$7:$G$50,'EN PANNE'!A13))+(COUNTIF('W3'!$G$7:$G$50,'EN PANNE'!A13))+(COUNTIF('ATHIS MONS'!$G$7:$G$50,'EN PANNE'!A13))+(COUNTIF('L HAY LES ROSES'!$G$7:$G$50,'EN PANNE'!A13))+(COUNTIF(RUNGIS!$G$7:$G$50,'EN PANNE'!A13))+(COUNTIF(SCEAUX!$G$7:$G$50,'EN PANNE'!A13))+(COUNTIF('INSTANCE C1'!$G$7:$G$50,'EN PANNE'!A13))+(COUNTIF('INSTANCE C2'!$G$7:$G$50,'EN PANNE'!A13))+(COUNTIF(INTERNES!$G$7:$G$50,'EN PANNE'!A13))+(COUNTIF('EN PANNE'!$G$7:$G$50,'EN PANNE'!A13))</f>
        <v>0</v>
      </c>
      <c r="D13" s="28">
        <f t="shared" si="3"/>
        <v>0</v>
      </c>
      <c r="E13" s="2"/>
      <c r="F13" s="5">
        <f t="shared" si="0"/>
        <v>0</v>
      </c>
      <c r="G13" s="20"/>
      <c r="H13" s="23">
        <f>(COUNTIF('2S EXPRESS'!$G$7:$G$50,'EN PANNE'!G13))+(COUNTIF('2 ZT'!$G$7:$G$50,'EN PANNE'!G13))+(COUNTIF('GO TRANSPORT'!$G$7:$G$50,'EN PANNE'!G13))+(COUNTIF('HMZ - KAIS'!$G$7:$G$50,'EN PANNE'!G13))+(COUNTIF('IB TRANSPORT'!$G$7:$G$50,'EN PANNE'!G13))+(COUNTIF(JSL!$G$7:$G$50,'EN PANNE'!G13))+(COUNTIF(KIFAITOUT!$G$7:$G$50,'EN PANNE'!G13))+(COUNTIF('LUXE DRIVE'!$G$7:$G$50,'EN PANNE'!G13))+(COUNTIF(SSN!$G$7:$G$50,'EN PANNE'!G13))+(COUNTIF('W3'!$G$7:$G$50,'EN PANNE'!G13))+(COUNTIF('ATHIS MONS'!$G$7:$G$50,'EN PANNE'!G13))+(COUNTIF('L HAY LES ROSES'!$G$7:$G$50,'EN PANNE'!G13))+(COUNTIF(RUNGIS!$G$7:$G$50,'EN PANNE'!G13))+(COUNTIF(SCEAUX!$G$7:$G$50,'EN PANNE'!G13))+(COUNTIF('INSTANCE C1'!$G$7:$G$50,'EN PANNE'!G13))+(COUNTIF('INSTANCE C2'!$G$7:$G$50,'EN PANNE'!G13))+(COUNTIF(INTERNES!$G$7:$G$50,'EN PANNE'!G13))+(COUNTIF('EN PANNE'!$G$7:$G$50,'EN PANNE'!G13))-I13</f>
        <v>0</v>
      </c>
      <c r="I13" s="23">
        <f>(COUNTIF('2S EXPRESS'!$A$7:$A$50,'EN PANNE'!G13))+(COUNTIF('2 ZT'!$A$7:$A$50,'EN PANNE'!G13))+(COUNTIF('GO TRANSPORT'!$A$7:$A$50,'EN PANNE'!G13))+(COUNTIF('HMZ - KAIS'!$A$7:$A$50,'EN PANNE'!G13))+(COUNTIF('IB TRANSPORT'!$A$7:$A$50,'EN PANNE'!G13))+(COUNTIF(JSL!$A$7:$A$50,'EN PANNE'!G13))+(COUNTIF(KIFAITOUT!$A$7:$A$50,'EN PANNE'!G13))+(COUNTIF('LUXE DRIVE'!$A$7:$A$50,'EN PANNE'!G13))+(COUNTIF(SSN!$A$7:$A$50,'EN PANNE'!G13))+(COUNTIF('W3'!$A$7:$A$50,'EN PANNE'!G13))+(COUNTIF('ATHIS MONS'!$A$7:$A$50,'EN PANNE'!G13))+(COUNTIF('L HAY LES ROSES'!$A$7:$A$50,'EN PANNE'!G13))+(COUNTIF(RUNGIS!$A$7:$A$50,'EN PANNE'!G13))+(COUNTIF(SCEAUX!$A$7:$A$50,'EN PANNE'!G13))+(COUNTIF('INSTANCE C1'!$A$7:$A$50,'EN PANNE'!G13))+(COUNTIF('INSTANCE C2'!$A$7:$A$50,'EN PANNE'!G13))+(COUNTIF(INTERNES!$A$7:$A$50,'EN PANNE'!G13))+(COUNTIF('EN PANNE'!$A$7:$A$50,'EN PANNE'!G13))</f>
        <v>0</v>
      </c>
      <c r="J13" s="28">
        <f t="shared" si="4"/>
        <v>0</v>
      </c>
      <c r="K13" s="2"/>
      <c r="L13" s="47"/>
      <c r="M13" s="48"/>
      <c r="N13" s="45"/>
      <c r="O13" s="48"/>
      <c r="P13" s="48"/>
      <c r="Q13" s="49" t="s">
        <v>29</v>
      </c>
      <c r="R13" s="75"/>
      <c r="S13" s="60">
        <f t="shared" si="1"/>
        <v>0</v>
      </c>
      <c r="T13" s="67">
        <f t="shared" si="2"/>
        <v>0</v>
      </c>
      <c r="V13" s="76"/>
    </row>
    <row r="14" spans="1:225" ht="24.95" customHeight="1" x14ac:dyDescent="0.2">
      <c r="A14" s="20"/>
      <c r="B14" s="23">
        <f>(COUNTIF('2S EXPRESS'!$A$7:$A$50,'EN PANNE'!A14))+(COUNTIF('2 ZT'!$A$7:$A$50,'EN PANNE'!A14))+(COUNTIF('GO TRANSPORT'!$A$7:$A$50,'EN PANNE'!A14))+(COUNTIF('HMZ - KAIS'!$A$7:$A$50,'EN PANNE'!A14))+(COUNTIF('IB TRANSPORT'!$A$7:$A$50,'EN PANNE'!A14))+(COUNTIF(JSL!$A$7:$A$50,'EN PANNE'!A14))+(COUNTIF(KIFAITOUT!$A$7:$A$50,'EN PANNE'!A14))+(COUNTIF('LUXE DRIVE'!$A$7:$A$50,'EN PANNE'!A14))+(COUNTIF(SSN!$A$7:$A$50,'EN PANNE'!A14))+(COUNTIF('W3'!$A$7:$A$50,'EN PANNE'!A14))+(COUNTIF('ATHIS MONS'!$A$7:$A$50,'EN PANNE'!A14))+(COUNTIF('L HAY LES ROSES'!$A$7:$A$50,'EN PANNE'!A14))+(COUNTIF(RUNGIS!$A$7:$A$50,'EN PANNE'!A14))+(COUNTIF(SCEAUX!$A$7:$A$50,'EN PANNE'!A14))+(COUNTIF('INSTANCE C1'!$A$7:$A$50,'EN PANNE'!A14))+(COUNTIF('INSTANCE C2'!$A$7:$A$50,'EN PANNE'!A14))+(COUNTIF(INTERNES!$A$7:$A$50,'EN PANNE'!A14))+(COUNTIF('EN PANNE'!$A$7:$A$50,'EN PANNE'!A14))-C14</f>
        <v>0</v>
      </c>
      <c r="C14" s="23">
        <f>(COUNTIF('2S EXPRESS'!$G$7:$G$50,'EN PANNE'!A14))+(COUNTIF('2 ZT'!$G$7:$G$50,'EN PANNE'!A14))+(COUNTIF('GO TRANSPORT'!$G$7:$G$50,'EN PANNE'!A14))+(COUNTIF('EN PANNE'!$G$7:$G$50,'EN PANNE'!A14))+(COUNTIF('IB TRANSPORT'!$G$7:$G$50,'EN PANNE'!A14))+(COUNTIF(JSL!$G$7:$G$50,'EN PANNE'!A14))+(COUNTIF(KIFAITOUT!$G$7:$G$50,'EN PANNE'!A14))+(COUNTIF('LUXE DRIVE'!$G$7:$G$50,'EN PANNE'!A14))+(COUNTIF(SSN!$G$7:$G$50,'EN PANNE'!A14))+(COUNTIF('W3'!$G$7:$G$50,'EN PANNE'!A14))+(COUNTIF('ATHIS MONS'!$G$7:$G$50,'EN PANNE'!A14))+(COUNTIF('L HAY LES ROSES'!$G$7:$G$50,'EN PANNE'!A14))+(COUNTIF(RUNGIS!$G$7:$G$50,'EN PANNE'!A14))+(COUNTIF(SCEAUX!$G$7:$G$50,'EN PANNE'!A14))+(COUNTIF('INSTANCE C1'!$G$7:$G$50,'EN PANNE'!A14))+(COUNTIF('INSTANCE C2'!$G$7:$G$50,'EN PANNE'!A14))+(COUNTIF(INTERNES!$G$7:$G$50,'EN PANNE'!A14))+(COUNTIF('EN PANNE'!$G$7:$G$50,'EN PANNE'!A14))</f>
        <v>0</v>
      </c>
      <c r="D14" s="28">
        <f t="shared" si="3"/>
        <v>0</v>
      </c>
      <c r="E14" s="2"/>
      <c r="F14" s="5">
        <f t="shared" si="0"/>
        <v>0</v>
      </c>
      <c r="G14" s="20"/>
      <c r="H14" s="23">
        <f>(COUNTIF('2S EXPRESS'!$G$7:$G$50,'EN PANNE'!G14))+(COUNTIF('2 ZT'!$G$7:$G$50,'EN PANNE'!G14))+(COUNTIF('GO TRANSPORT'!$G$7:$G$50,'EN PANNE'!G14))+(COUNTIF('HMZ - KAIS'!$G$7:$G$50,'EN PANNE'!G14))+(COUNTIF('IB TRANSPORT'!$G$7:$G$50,'EN PANNE'!G14))+(COUNTIF(JSL!$G$7:$G$50,'EN PANNE'!G14))+(COUNTIF(KIFAITOUT!$G$7:$G$50,'EN PANNE'!G14))+(COUNTIF('LUXE DRIVE'!$G$7:$G$50,'EN PANNE'!G14))+(COUNTIF(SSN!$G$7:$G$50,'EN PANNE'!G14))+(COUNTIF('W3'!$G$7:$G$50,'EN PANNE'!G14))+(COUNTIF('ATHIS MONS'!$G$7:$G$50,'EN PANNE'!G14))+(COUNTIF('L HAY LES ROSES'!$G$7:$G$50,'EN PANNE'!G14))+(COUNTIF(RUNGIS!$G$7:$G$50,'EN PANNE'!G14))+(COUNTIF(SCEAUX!$G$7:$G$50,'EN PANNE'!G14))+(COUNTIF('INSTANCE C1'!$G$7:$G$50,'EN PANNE'!G14))+(COUNTIF('INSTANCE C2'!$G$7:$G$50,'EN PANNE'!G14))+(COUNTIF(INTERNES!$G$7:$G$50,'EN PANNE'!G14))+(COUNTIF('EN PANNE'!$G$7:$G$50,'EN PANNE'!G14))-I14</f>
        <v>0</v>
      </c>
      <c r="I14" s="23">
        <f>(COUNTIF('2S EXPRESS'!$A$7:$A$50,'EN PANNE'!G14))+(COUNTIF('2 ZT'!$A$7:$A$50,'EN PANNE'!G14))+(COUNTIF('GO TRANSPORT'!$A$7:$A$50,'EN PANNE'!G14))+(COUNTIF('HMZ - KAIS'!$A$7:$A$50,'EN PANNE'!G14))+(COUNTIF('IB TRANSPORT'!$A$7:$A$50,'EN PANNE'!G14))+(COUNTIF(JSL!$A$7:$A$50,'EN PANNE'!G14))+(COUNTIF(KIFAITOUT!$A$7:$A$50,'EN PANNE'!G14))+(COUNTIF('LUXE DRIVE'!$A$7:$A$50,'EN PANNE'!G14))+(COUNTIF(SSN!$A$7:$A$50,'EN PANNE'!G14))+(COUNTIF('W3'!$A$7:$A$50,'EN PANNE'!G14))+(COUNTIF('ATHIS MONS'!$A$7:$A$50,'EN PANNE'!G14))+(COUNTIF('L HAY LES ROSES'!$A$7:$A$50,'EN PANNE'!G14))+(COUNTIF(RUNGIS!$A$7:$A$50,'EN PANNE'!G14))+(COUNTIF(SCEAUX!$A$7:$A$50,'EN PANNE'!G14))+(COUNTIF('INSTANCE C1'!$A$7:$A$50,'EN PANNE'!G14))+(COUNTIF('INSTANCE C2'!$A$7:$A$50,'EN PANNE'!G14))+(COUNTIF(INTERNES!$A$7:$A$50,'EN PANNE'!G14))+(COUNTIF('EN PANNE'!$A$7:$A$50,'EN PANNE'!G14))</f>
        <v>0</v>
      </c>
      <c r="J14" s="28">
        <f t="shared" si="4"/>
        <v>0</v>
      </c>
      <c r="K14" s="2"/>
      <c r="L14" s="47"/>
      <c r="M14" s="48"/>
      <c r="N14" s="45"/>
      <c r="O14" s="48"/>
      <c r="P14" s="48"/>
      <c r="Q14" s="49" t="s">
        <v>30</v>
      </c>
      <c r="R14" s="75"/>
      <c r="S14" s="60">
        <f t="shared" si="1"/>
        <v>0</v>
      </c>
      <c r="T14" s="67">
        <f t="shared" si="2"/>
        <v>0</v>
      </c>
    </row>
    <row r="15" spans="1:225" ht="24.95" customHeight="1" x14ac:dyDescent="0.2">
      <c r="A15" s="20"/>
      <c r="B15" s="23">
        <f>(COUNTIF('2S EXPRESS'!$A$7:$A$50,'EN PANNE'!A15))+(COUNTIF('2 ZT'!$A$7:$A$50,'EN PANNE'!A15))+(COUNTIF('GO TRANSPORT'!$A$7:$A$50,'EN PANNE'!A15))+(COUNTIF('HMZ - KAIS'!$A$7:$A$50,'EN PANNE'!A15))+(COUNTIF('IB TRANSPORT'!$A$7:$A$50,'EN PANNE'!A15))+(COUNTIF(JSL!$A$7:$A$50,'EN PANNE'!A15))+(COUNTIF(KIFAITOUT!$A$7:$A$50,'EN PANNE'!A15))+(COUNTIF('LUXE DRIVE'!$A$7:$A$50,'EN PANNE'!A15))+(COUNTIF(SSN!$A$7:$A$50,'EN PANNE'!A15))+(COUNTIF('W3'!$A$7:$A$50,'EN PANNE'!A15))+(COUNTIF('ATHIS MONS'!$A$7:$A$50,'EN PANNE'!A15))+(COUNTIF('L HAY LES ROSES'!$A$7:$A$50,'EN PANNE'!A15))+(COUNTIF(RUNGIS!$A$7:$A$50,'EN PANNE'!A15))+(COUNTIF(SCEAUX!$A$7:$A$50,'EN PANNE'!A15))+(COUNTIF('INSTANCE C1'!$A$7:$A$50,'EN PANNE'!A15))+(COUNTIF('INSTANCE C2'!$A$7:$A$50,'EN PANNE'!A15))+(COUNTIF(INTERNES!$A$7:$A$50,'EN PANNE'!A15))+(COUNTIF('EN PANNE'!$A$7:$A$50,'EN PANNE'!A15))-C15</f>
        <v>0</v>
      </c>
      <c r="C15" s="23">
        <f>(COUNTIF('2S EXPRESS'!$G$7:$G$50,'EN PANNE'!A15))+(COUNTIF('2 ZT'!$G$7:$G$50,'EN PANNE'!A15))+(COUNTIF('GO TRANSPORT'!$G$7:$G$50,'EN PANNE'!A15))+(COUNTIF('EN PANNE'!$G$7:$G$50,'EN PANNE'!A15))+(COUNTIF('IB TRANSPORT'!$G$7:$G$50,'EN PANNE'!A15))+(COUNTIF(JSL!$G$7:$G$50,'EN PANNE'!A15))+(COUNTIF(KIFAITOUT!$G$7:$G$50,'EN PANNE'!A15))+(COUNTIF('LUXE DRIVE'!$G$7:$G$50,'EN PANNE'!A15))+(COUNTIF(SSN!$G$7:$G$50,'EN PANNE'!A15))+(COUNTIF('W3'!$G$7:$G$50,'EN PANNE'!A15))+(COUNTIF('ATHIS MONS'!$G$7:$G$50,'EN PANNE'!A15))+(COUNTIF('L HAY LES ROSES'!$G$7:$G$50,'EN PANNE'!A15))+(COUNTIF(RUNGIS!$G$7:$G$50,'EN PANNE'!A15))+(COUNTIF(SCEAUX!$G$7:$G$50,'EN PANNE'!A15))+(COUNTIF('INSTANCE C1'!$G$7:$G$50,'EN PANNE'!A15))+(COUNTIF('INSTANCE C2'!$G$7:$G$50,'EN PANNE'!A15))+(COUNTIF(INTERNES!$G$7:$G$50,'EN PANNE'!A15))+(COUNTIF('EN PANNE'!$G$7:$G$50,'EN PANNE'!A15))</f>
        <v>0</v>
      </c>
      <c r="D15" s="28">
        <f t="shared" si="3"/>
        <v>0</v>
      </c>
      <c r="E15" s="2"/>
      <c r="F15" s="5">
        <f t="shared" si="0"/>
        <v>0</v>
      </c>
      <c r="G15" s="20"/>
      <c r="H15" s="23">
        <f>(COUNTIF('2S EXPRESS'!$G$7:$G$50,'EN PANNE'!G15))+(COUNTIF('2 ZT'!$G$7:$G$50,'EN PANNE'!G15))+(COUNTIF('GO TRANSPORT'!$G$7:$G$50,'EN PANNE'!G15))+(COUNTIF('HMZ - KAIS'!$G$7:$G$50,'EN PANNE'!G15))+(COUNTIF('IB TRANSPORT'!$G$7:$G$50,'EN PANNE'!G15))+(COUNTIF(JSL!$G$7:$G$50,'EN PANNE'!G15))+(COUNTIF(KIFAITOUT!$G$7:$G$50,'EN PANNE'!G15))+(COUNTIF('LUXE DRIVE'!$G$7:$G$50,'EN PANNE'!G15))+(COUNTIF(SSN!$G$7:$G$50,'EN PANNE'!G15))+(COUNTIF('W3'!$G$7:$G$50,'EN PANNE'!G15))+(COUNTIF('ATHIS MONS'!$G$7:$G$50,'EN PANNE'!G15))+(COUNTIF('L HAY LES ROSES'!$G$7:$G$50,'EN PANNE'!G15))+(COUNTIF(RUNGIS!$G$7:$G$50,'EN PANNE'!G15))+(COUNTIF(SCEAUX!$G$7:$G$50,'EN PANNE'!G15))+(COUNTIF('INSTANCE C1'!$G$7:$G$50,'EN PANNE'!G15))+(COUNTIF('INSTANCE C2'!$G$7:$G$50,'EN PANNE'!G15))+(COUNTIF(INTERNES!$G$7:$G$50,'EN PANNE'!G15))+(COUNTIF('EN PANNE'!$G$7:$G$50,'EN PANNE'!G15))-I15</f>
        <v>0</v>
      </c>
      <c r="I15" s="23">
        <f>(COUNTIF('2S EXPRESS'!$A$7:$A$50,'EN PANNE'!G15))+(COUNTIF('2 ZT'!$A$7:$A$50,'EN PANNE'!G15))+(COUNTIF('GO TRANSPORT'!$A$7:$A$50,'EN PANNE'!G15))+(COUNTIF('HMZ - KAIS'!$A$7:$A$50,'EN PANNE'!G15))+(COUNTIF('IB TRANSPORT'!$A$7:$A$50,'EN PANNE'!G15))+(COUNTIF(JSL!$A$7:$A$50,'EN PANNE'!G15))+(COUNTIF(KIFAITOUT!$A$7:$A$50,'EN PANNE'!G15))+(COUNTIF('LUXE DRIVE'!$A$7:$A$50,'EN PANNE'!G15))+(COUNTIF(SSN!$A$7:$A$50,'EN PANNE'!G15))+(COUNTIF('W3'!$A$7:$A$50,'EN PANNE'!G15))+(COUNTIF('ATHIS MONS'!$A$7:$A$50,'EN PANNE'!G15))+(COUNTIF('L HAY LES ROSES'!$A$7:$A$50,'EN PANNE'!G15))+(COUNTIF(RUNGIS!$A$7:$A$50,'EN PANNE'!G15))+(COUNTIF(SCEAUX!$A$7:$A$50,'EN PANNE'!G15))+(COUNTIF('INSTANCE C1'!$A$7:$A$50,'EN PANNE'!G15))+(COUNTIF('INSTANCE C2'!$A$7:$A$50,'EN PANNE'!G15))+(COUNTIF(INTERNES!$A$7:$A$50,'EN PANNE'!G15))+(COUNTIF('EN PANNE'!$A$7:$A$50,'EN PANNE'!G15))</f>
        <v>0</v>
      </c>
      <c r="J15" s="28">
        <f t="shared" si="4"/>
        <v>0</v>
      </c>
      <c r="K15" s="2"/>
      <c r="L15" s="47"/>
      <c r="M15" s="48"/>
      <c r="N15" s="45"/>
      <c r="O15" s="48"/>
      <c r="P15" s="48"/>
      <c r="Q15" s="49" t="s">
        <v>31</v>
      </c>
      <c r="R15" s="75"/>
      <c r="S15" s="60">
        <f t="shared" si="1"/>
        <v>0</v>
      </c>
      <c r="T15" s="67">
        <f t="shared" si="2"/>
        <v>0</v>
      </c>
    </row>
    <row r="16" spans="1:225" ht="24.95" customHeight="1" x14ac:dyDescent="0.2">
      <c r="A16" s="20"/>
      <c r="B16" s="23">
        <f>(COUNTIF('2S EXPRESS'!$A$7:$A$50,'EN PANNE'!A16))+(COUNTIF('2 ZT'!$A$7:$A$50,'EN PANNE'!A16))+(COUNTIF('GO TRANSPORT'!$A$7:$A$50,'EN PANNE'!A16))+(COUNTIF('HMZ - KAIS'!$A$7:$A$50,'EN PANNE'!A16))+(COUNTIF('IB TRANSPORT'!$A$7:$A$50,'EN PANNE'!A16))+(COUNTIF(JSL!$A$7:$A$50,'EN PANNE'!A16))+(COUNTIF(KIFAITOUT!$A$7:$A$50,'EN PANNE'!A16))+(COUNTIF('LUXE DRIVE'!$A$7:$A$50,'EN PANNE'!A16))+(COUNTIF(SSN!$A$7:$A$50,'EN PANNE'!A16))+(COUNTIF('W3'!$A$7:$A$50,'EN PANNE'!A16))+(COUNTIF('ATHIS MONS'!$A$7:$A$50,'EN PANNE'!A16))+(COUNTIF('L HAY LES ROSES'!$A$7:$A$50,'EN PANNE'!A16))+(COUNTIF(RUNGIS!$A$7:$A$50,'EN PANNE'!A16))+(COUNTIF(SCEAUX!$A$7:$A$50,'EN PANNE'!A16))+(COUNTIF('INSTANCE C1'!$A$7:$A$50,'EN PANNE'!A16))+(COUNTIF('INSTANCE C2'!$A$7:$A$50,'EN PANNE'!A16))+(COUNTIF(INTERNES!$A$7:$A$50,'EN PANNE'!A16))+(COUNTIF('EN PANNE'!$A$7:$A$50,'EN PANNE'!A16))-C16</f>
        <v>0</v>
      </c>
      <c r="C16" s="23">
        <f>(COUNTIF('2S EXPRESS'!$G$7:$G$50,'EN PANNE'!A16))+(COUNTIF('2 ZT'!$G$7:$G$50,'EN PANNE'!A16))+(COUNTIF('GO TRANSPORT'!$G$7:$G$50,'EN PANNE'!A16))+(COUNTIF('EN PANNE'!$G$7:$G$50,'EN PANNE'!A16))+(COUNTIF('IB TRANSPORT'!$G$7:$G$50,'EN PANNE'!A16))+(COUNTIF(JSL!$G$7:$G$50,'EN PANNE'!A16))+(COUNTIF(KIFAITOUT!$G$7:$G$50,'EN PANNE'!A16))+(COUNTIF('LUXE DRIVE'!$G$7:$G$50,'EN PANNE'!A16))+(COUNTIF(SSN!$G$7:$G$50,'EN PANNE'!A16))+(COUNTIF('W3'!$G$7:$G$50,'EN PANNE'!A16))+(COUNTIF('ATHIS MONS'!$G$7:$G$50,'EN PANNE'!A16))+(COUNTIF('L HAY LES ROSES'!$G$7:$G$50,'EN PANNE'!A16))+(COUNTIF(RUNGIS!$G$7:$G$50,'EN PANNE'!A16))+(COUNTIF(SCEAUX!$G$7:$G$50,'EN PANNE'!A16))+(COUNTIF('INSTANCE C1'!$G$7:$G$50,'EN PANNE'!A16))+(COUNTIF('INSTANCE C2'!$G$7:$G$50,'EN PANNE'!A16))+(COUNTIF(INTERNES!$G$7:$G$50,'EN PANNE'!A16))+(COUNTIF('EN PANNE'!$G$7:$G$50,'EN PANNE'!A16))</f>
        <v>0</v>
      </c>
      <c r="D16" s="28">
        <f t="shared" si="3"/>
        <v>0</v>
      </c>
      <c r="E16" s="2"/>
      <c r="F16" s="5">
        <f t="shared" si="0"/>
        <v>0</v>
      </c>
      <c r="G16" s="20"/>
      <c r="H16" s="23">
        <f>(COUNTIF('2S EXPRESS'!$G$7:$G$50,'EN PANNE'!G16))+(COUNTIF('2 ZT'!$G$7:$G$50,'EN PANNE'!G16))+(COUNTIF('GO TRANSPORT'!$G$7:$G$50,'EN PANNE'!G16))+(COUNTIF('HMZ - KAIS'!$G$7:$G$50,'EN PANNE'!G16))+(COUNTIF('IB TRANSPORT'!$G$7:$G$50,'EN PANNE'!G16))+(COUNTIF(JSL!$G$7:$G$50,'EN PANNE'!G16))+(COUNTIF(KIFAITOUT!$G$7:$G$50,'EN PANNE'!G16))+(COUNTIF('LUXE DRIVE'!$G$7:$G$50,'EN PANNE'!G16))+(COUNTIF(SSN!$G$7:$G$50,'EN PANNE'!G16))+(COUNTIF('W3'!$G$7:$G$50,'EN PANNE'!G16))+(COUNTIF('ATHIS MONS'!$G$7:$G$50,'EN PANNE'!G16))+(COUNTIF('L HAY LES ROSES'!$G$7:$G$50,'EN PANNE'!G16))+(COUNTIF(RUNGIS!$G$7:$G$50,'EN PANNE'!G16))+(COUNTIF(SCEAUX!$G$7:$G$50,'EN PANNE'!G16))+(COUNTIF('INSTANCE C1'!$G$7:$G$50,'EN PANNE'!G16))+(COUNTIF('INSTANCE C2'!$G$7:$G$50,'EN PANNE'!G16))+(COUNTIF(INTERNES!$G$7:$G$50,'EN PANNE'!G16))+(COUNTIF('EN PANNE'!$G$7:$G$50,'EN PANNE'!G16))-I16</f>
        <v>0</v>
      </c>
      <c r="I16" s="23">
        <f>(COUNTIF('2S EXPRESS'!$A$7:$A$50,'EN PANNE'!G16))+(COUNTIF('2 ZT'!$A$7:$A$50,'EN PANNE'!G16))+(COUNTIF('GO TRANSPORT'!$A$7:$A$50,'EN PANNE'!G16))+(COUNTIF('HMZ - KAIS'!$A$7:$A$50,'EN PANNE'!G16))+(COUNTIF('IB TRANSPORT'!$A$7:$A$50,'EN PANNE'!G16))+(COUNTIF(JSL!$A$7:$A$50,'EN PANNE'!G16))+(COUNTIF(KIFAITOUT!$A$7:$A$50,'EN PANNE'!G16))+(COUNTIF('LUXE DRIVE'!$A$7:$A$50,'EN PANNE'!G16))+(COUNTIF(SSN!$A$7:$A$50,'EN PANNE'!G16))+(COUNTIF('W3'!$A$7:$A$50,'EN PANNE'!G16))+(COUNTIF('ATHIS MONS'!$A$7:$A$50,'EN PANNE'!G16))+(COUNTIF('L HAY LES ROSES'!$A$7:$A$50,'EN PANNE'!G16))+(COUNTIF(RUNGIS!$A$7:$A$50,'EN PANNE'!G16))+(COUNTIF(SCEAUX!$A$7:$A$50,'EN PANNE'!G16))+(COUNTIF('INSTANCE C1'!$A$7:$A$50,'EN PANNE'!G16))+(COUNTIF('INSTANCE C2'!$A$7:$A$50,'EN PANNE'!G16))+(COUNTIF(INTERNES!$A$7:$A$50,'EN PANNE'!G16))+(COUNTIF('EN PANNE'!$A$7:$A$50,'EN PANNE'!G16))</f>
        <v>0</v>
      </c>
      <c r="J16" s="28">
        <f t="shared" si="4"/>
        <v>0</v>
      </c>
      <c r="K16" s="2"/>
      <c r="L16" s="47"/>
      <c r="M16" s="48"/>
      <c r="N16" s="45"/>
      <c r="O16" s="48"/>
      <c r="P16" s="48"/>
      <c r="Q16" s="49" t="s">
        <v>32</v>
      </c>
      <c r="R16" s="75"/>
      <c r="S16" s="60">
        <f t="shared" si="1"/>
        <v>0</v>
      </c>
      <c r="T16" s="67">
        <f t="shared" si="2"/>
        <v>0</v>
      </c>
    </row>
    <row r="17" spans="1:20" ht="24.95" customHeight="1" x14ac:dyDescent="0.2">
      <c r="A17" s="20"/>
      <c r="B17" s="23">
        <f>(COUNTIF('2S EXPRESS'!$A$7:$A$50,'EN PANNE'!A17))+(COUNTIF('2 ZT'!$A$7:$A$50,'EN PANNE'!A17))+(COUNTIF('GO TRANSPORT'!$A$7:$A$50,'EN PANNE'!A17))+(COUNTIF('HMZ - KAIS'!$A$7:$A$50,'EN PANNE'!A17))+(COUNTIF('IB TRANSPORT'!$A$7:$A$50,'EN PANNE'!A17))+(COUNTIF(JSL!$A$7:$A$50,'EN PANNE'!A17))+(COUNTIF(KIFAITOUT!$A$7:$A$50,'EN PANNE'!A17))+(COUNTIF('LUXE DRIVE'!$A$7:$A$50,'EN PANNE'!A17))+(COUNTIF(SSN!$A$7:$A$50,'EN PANNE'!A17))+(COUNTIF('W3'!$A$7:$A$50,'EN PANNE'!A17))+(COUNTIF('ATHIS MONS'!$A$7:$A$50,'EN PANNE'!A17))+(COUNTIF('L HAY LES ROSES'!$A$7:$A$50,'EN PANNE'!A17))+(COUNTIF(RUNGIS!$A$7:$A$50,'EN PANNE'!A17))+(COUNTIF(SCEAUX!$A$7:$A$50,'EN PANNE'!A17))+(COUNTIF('INSTANCE C1'!$A$7:$A$50,'EN PANNE'!A17))+(COUNTIF('INSTANCE C2'!$A$7:$A$50,'EN PANNE'!A17))+(COUNTIF(INTERNES!$A$7:$A$50,'EN PANNE'!A17))+(COUNTIF('EN PANNE'!$A$7:$A$50,'EN PANNE'!A17))-C17</f>
        <v>0</v>
      </c>
      <c r="C17" s="23">
        <f>(COUNTIF('2S EXPRESS'!$G$7:$G$50,'EN PANNE'!A17))+(COUNTIF('2 ZT'!$G$7:$G$50,'EN PANNE'!A17))+(COUNTIF('GO TRANSPORT'!$G$7:$G$50,'EN PANNE'!A17))+(COUNTIF('EN PANNE'!$G$7:$G$50,'EN PANNE'!A17))+(COUNTIF('IB TRANSPORT'!$G$7:$G$50,'EN PANNE'!A17))+(COUNTIF(JSL!$G$7:$G$50,'EN PANNE'!A17))+(COUNTIF(KIFAITOUT!$G$7:$G$50,'EN PANNE'!A17))+(COUNTIF('LUXE DRIVE'!$G$7:$G$50,'EN PANNE'!A17))+(COUNTIF(SSN!$G$7:$G$50,'EN PANNE'!A17))+(COUNTIF('W3'!$G$7:$G$50,'EN PANNE'!A17))+(COUNTIF('ATHIS MONS'!$G$7:$G$50,'EN PANNE'!A17))+(COUNTIF('L HAY LES ROSES'!$G$7:$G$50,'EN PANNE'!A17))+(COUNTIF(RUNGIS!$G$7:$G$50,'EN PANNE'!A17))+(COUNTIF(SCEAUX!$G$7:$G$50,'EN PANNE'!A17))+(COUNTIF('INSTANCE C1'!$G$7:$G$50,'EN PANNE'!A17))+(COUNTIF('INSTANCE C2'!$G$7:$G$50,'EN PANNE'!A17))+(COUNTIF(INTERNES!$G$7:$G$50,'EN PANNE'!A17))+(COUNTIF('EN PANNE'!$G$7:$G$50,'EN PANNE'!A17))</f>
        <v>0</v>
      </c>
      <c r="D17" s="28">
        <f t="shared" si="3"/>
        <v>0</v>
      </c>
      <c r="E17" s="2"/>
      <c r="F17" s="5">
        <f t="shared" si="0"/>
        <v>0</v>
      </c>
      <c r="G17" s="20"/>
      <c r="H17" s="23">
        <f>(COUNTIF('2S EXPRESS'!$G$7:$G$50,'EN PANNE'!G17))+(COUNTIF('2 ZT'!$G$7:$G$50,'EN PANNE'!G17))+(COUNTIF('GO TRANSPORT'!$G$7:$G$50,'EN PANNE'!G17))+(COUNTIF('HMZ - KAIS'!$G$7:$G$50,'EN PANNE'!G17))+(COUNTIF('IB TRANSPORT'!$G$7:$G$50,'EN PANNE'!G17))+(COUNTIF(JSL!$G$7:$G$50,'EN PANNE'!G17))+(COUNTIF(KIFAITOUT!$G$7:$G$50,'EN PANNE'!G17))+(COUNTIF('LUXE DRIVE'!$G$7:$G$50,'EN PANNE'!G17))+(COUNTIF(SSN!$G$7:$G$50,'EN PANNE'!G17))+(COUNTIF('W3'!$G$7:$G$50,'EN PANNE'!G17))+(COUNTIF('ATHIS MONS'!$G$7:$G$50,'EN PANNE'!G17))+(COUNTIF('L HAY LES ROSES'!$G$7:$G$50,'EN PANNE'!G17))+(COUNTIF(RUNGIS!$G$7:$G$50,'EN PANNE'!G17))+(COUNTIF(SCEAUX!$G$7:$G$50,'EN PANNE'!G17))+(COUNTIF('INSTANCE C1'!$G$7:$G$50,'EN PANNE'!G17))+(COUNTIF('INSTANCE C2'!$G$7:$G$50,'EN PANNE'!G17))+(COUNTIF(INTERNES!$G$7:$G$50,'EN PANNE'!G17))+(COUNTIF('EN PANNE'!$G$7:$G$50,'EN PANNE'!G17))-I17</f>
        <v>0</v>
      </c>
      <c r="I17" s="23">
        <f>(COUNTIF('2S EXPRESS'!$A$7:$A$50,'EN PANNE'!G17))+(COUNTIF('2 ZT'!$A$7:$A$50,'EN PANNE'!G17))+(COUNTIF('GO TRANSPORT'!$A$7:$A$50,'EN PANNE'!G17))+(COUNTIF('HMZ - KAIS'!$A$7:$A$50,'EN PANNE'!G17))+(COUNTIF('IB TRANSPORT'!$A$7:$A$50,'EN PANNE'!G17))+(COUNTIF(JSL!$A$7:$A$50,'EN PANNE'!G17))+(COUNTIF(KIFAITOUT!$A$7:$A$50,'EN PANNE'!G17))+(COUNTIF('LUXE DRIVE'!$A$7:$A$50,'EN PANNE'!G17))+(COUNTIF(SSN!$A$7:$A$50,'EN PANNE'!G17))+(COUNTIF('W3'!$A$7:$A$50,'EN PANNE'!G17))+(COUNTIF('ATHIS MONS'!$A$7:$A$50,'EN PANNE'!G17))+(COUNTIF('L HAY LES ROSES'!$A$7:$A$50,'EN PANNE'!G17))+(COUNTIF(RUNGIS!$A$7:$A$50,'EN PANNE'!G17))+(COUNTIF(SCEAUX!$A$7:$A$50,'EN PANNE'!G17))+(COUNTIF('INSTANCE C1'!$A$7:$A$50,'EN PANNE'!G17))+(COUNTIF('INSTANCE C2'!$A$7:$A$50,'EN PANNE'!G17))+(COUNTIF(INTERNES!$A$7:$A$50,'EN PANNE'!G17))+(COUNTIF('EN PANNE'!$A$7:$A$50,'EN PANNE'!G17))</f>
        <v>0</v>
      </c>
      <c r="J17" s="28">
        <f t="shared" si="4"/>
        <v>0</v>
      </c>
      <c r="K17" s="2"/>
      <c r="L17" s="47"/>
      <c r="M17" s="48"/>
      <c r="N17" s="45"/>
      <c r="O17" s="48"/>
      <c r="P17" s="48"/>
      <c r="Q17" s="49" t="s">
        <v>33</v>
      </c>
      <c r="R17" s="75"/>
      <c r="S17" s="60">
        <f t="shared" si="1"/>
        <v>0</v>
      </c>
      <c r="T17" s="67">
        <f t="shared" si="2"/>
        <v>0</v>
      </c>
    </row>
    <row r="18" spans="1:20" ht="24.95" customHeight="1" x14ac:dyDescent="0.2">
      <c r="A18" s="20"/>
      <c r="B18" s="23">
        <f>(COUNTIF('2S EXPRESS'!$A$7:$A$50,'EN PANNE'!A18))+(COUNTIF('2 ZT'!$A$7:$A$50,'EN PANNE'!A18))+(COUNTIF('GO TRANSPORT'!$A$7:$A$50,'EN PANNE'!A18))+(COUNTIF('HMZ - KAIS'!$A$7:$A$50,'EN PANNE'!A18))+(COUNTIF('IB TRANSPORT'!$A$7:$A$50,'EN PANNE'!A18))+(COUNTIF(JSL!$A$7:$A$50,'EN PANNE'!A18))+(COUNTIF(KIFAITOUT!$A$7:$A$50,'EN PANNE'!A18))+(COUNTIF('LUXE DRIVE'!$A$7:$A$50,'EN PANNE'!A18))+(COUNTIF(SSN!$A$7:$A$50,'EN PANNE'!A18))+(COUNTIF('W3'!$A$7:$A$50,'EN PANNE'!A18))+(COUNTIF('ATHIS MONS'!$A$7:$A$50,'EN PANNE'!A18))+(COUNTIF('L HAY LES ROSES'!$A$7:$A$50,'EN PANNE'!A18))+(COUNTIF(RUNGIS!$A$7:$A$50,'EN PANNE'!A18))+(COUNTIF(SCEAUX!$A$7:$A$50,'EN PANNE'!A18))+(COUNTIF('INSTANCE C1'!$A$7:$A$50,'EN PANNE'!A18))+(COUNTIF('INSTANCE C2'!$A$7:$A$50,'EN PANNE'!A18))+(COUNTIF(INTERNES!$A$7:$A$50,'EN PANNE'!A18))+(COUNTIF('EN PANNE'!$A$7:$A$50,'EN PANNE'!A18))-C18</f>
        <v>0</v>
      </c>
      <c r="C18" s="23">
        <f>(COUNTIF('2S EXPRESS'!$G$7:$G$50,'EN PANNE'!A18))+(COUNTIF('2 ZT'!$G$7:$G$50,'EN PANNE'!A18))+(COUNTIF('GO TRANSPORT'!$G$7:$G$50,'EN PANNE'!A18))+(COUNTIF('EN PANNE'!$G$7:$G$50,'EN PANNE'!A18))+(COUNTIF('IB TRANSPORT'!$G$7:$G$50,'EN PANNE'!A18))+(COUNTIF(JSL!$G$7:$G$50,'EN PANNE'!A18))+(COUNTIF(KIFAITOUT!$G$7:$G$50,'EN PANNE'!A18))+(COUNTIF('LUXE DRIVE'!$G$7:$G$50,'EN PANNE'!A18))+(COUNTIF(SSN!$G$7:$G$50,'EN PANNE'!A18))+(COUNTIF('W3'!$G$7:$G$50,'EN PANNE'!A18))+(COUNTIF('ATHIS MONS'!$G$7:$G$50,'EN PANNE'!A18))+(COUNTIF('L HAY LES ROSES'!$G$7:$G$50,'EN PANNE'!A18))+(COUNTIF(RUNGIS!$G$7:$G$50,'EN PANNE'!A18))+(COUNTIF(SCEAUX!$G$7:$G$50,'EN PANNE'!A18))+(COUNTIF('INSTANCE C1'!$G$7:$G$50,'EN PANNE'!A18))+(COUNTIF('INSTANCE C2'!$G$7:$G$50,'EN PANNE'!A18))+(COUNTIF(INTERNES!$G$7:$G$50,'EN PANNE'!A18))+(COUNTIF('EN PANNE'!$G$7:$G$50,'EN PANNE'!A18))</f>
        <v>0</v>
      </c>
      <c r="D18" s="28">
        <f t="shared" si="3"/>
        <v>0</v>
      </c>
      <c r="E18" s="2"/>
      <c r="F18" s="5">
        <f t="shared" si="0"/>
        <v>0</v>
      </c>
      <c r="G18" s="20"/>
      <c r="H18" s="23">
        <f>(COUNTIF('2S EXPRESS'!$G$7:$G$50,'EN PANNE'!G18))+(COUNTIF('2 ZT'!$G$7:$G$50,'EN PANNE'!G18))+(COUNTIF('GO TRANSPORT'!$G$7:$G$50,'EN PANNE'!G18))+(COUNTIF('HMZ - KAIS'!$G$7:$G$50,'EN PANNE'!G18))+(COUNTIF('IB TRANSPORT'!$G$7:$G$50,'EN PANNE'!G18))+(COUNTIF(JSL!$G$7:$G$50,'EN PANNE'!G18))+(COUNTIF(KIFAITOUT!$G$7:$G$50,'EN PANNE'!G18))+(COUNTIF('LUXE DRIVE'!$G$7:$G$50,'EN PANNE'!G18))+(COUNTIF(SSN!$G$7:$G$50,'EN PANNE'!G18))+(COUNTIF('W3'!$G$7:$G$50,'EN PANNE'!G18))+(COUNTIF('ATHIS MONS'!$G$7:$G$50,'EN PANNE'!G18))+(COUNTIF('L HAY LES ROSES'!$G$7:$G$50,'EN PANNE'!G18))+(COUNTIF(RUNGIS!$G$7:$G$50,'EN PANNE'!G18))+(COUNTIF(SCEAUX!$G$7:$G$50,'EN PANNE'!G18))+(COUNTIF('INSTANCE C1'!$G$7:$G$50,'EN PANNE'!G18))+(COUNTIF('INSTANCE C2'!$G$7:$G$50,'EN PANNE'!G18))+(COUNTIF(INTERNES!$G$7:$G$50,'EN PANNE'!G18))+(COUNTIF('EN PANNE'!$G$7:$G$50,'EN PANNE'!G18))-I18</f>
        <v>0</v>
      </c>
      <c r="I18" s="23">
        <f>(COUNTIF('2S EXPRESS'!$A$7:$A$50,'EN PANNE'!G18))+(COUNTIF('2 ZT'!$A$7:$A$50,'EN PANNE'!G18))+(COUNTIF('GO TRANSPORT'!$A$7:$A$50,'EN PANNE'!G18))+(COUNTIF('HMZ - KAIS'!$A$7:$A$50,'EN PANNE'!G18))+(COUNTIF('IB TRANSPORT'!$A$7:$A$50,'EN PANNE'!G18))+(COUNTIF(JSL!$A$7:$A$50,'EN PANNE'!G18))+(COUNTIF(KIFAITOUT!$A$7:$A$50,'EN PANNE'!G18))+(COUNTIF('LUXE DRIVE'!$A$7:$A$50,'EN PANNE'!G18))+(COUNTIF(SSN!$A$7:$A$50,'EN PANNE'!G18))+(COUNTIF('W3'!$A$7:$A$50,'EN PANNE'!G18))+(COUNTIF('ATHIS MONS'!$A$7:$A$50,'EN PANNE'!G18))+(COUNTIF('L HAY LES ROSES'!$A$7:$A$50,'EN PANNE'!G18))+(COUNTIF(RUNGIS!$A$7:$A$50,'EN PANNE'!G18))+(COUNTIF(SCEAUX!$A$7:$A$50,'EN PANNE'!G18))+(COUNTIF('INSTANCE C1'!$A$7:$A$50,'EN PANNE'!G18))+(COUNTIF('INSTANCE C2'!$A$7:$A$50,'EN PANNE'!G18))+(COUNTIF(INTERNES!$A$7:$A$50,'EN PANNE'!G18))+(COUNTIF('EN PANNE'!$A$7:$A$50,'EN PANNE'!G18))</f>
        <v>0</v>
      </c>
      <c r="J18" s="28">
        <f t="shared" si="4"/>
        <v>0</v>
      </c>
      <c r="K18" s="2"/>
      <c r="L18" s="47"/>
      <c r="M18" s="48"/>
      <c r="N18" s="45"/>
      <c r="O18" s="48"/>
      <c r="P18" s="48"/>
      <c r="Q18" s="48"/>
      <c r="R18" s="75"/>
      <c r="S18" s="60">
        <f t="shared" si="1"/>
        <v>0</v>
      </c>
      <c r="T18" s="67">
        <f t="shared" si="2"/>
        <v>0</v>
      </c>
    </row>
    <row r="19" spans="1:20" ht="24.95" customHeight="1" x14ac:dyDescent="0.2">
      <c r="A19" s="20"/>
      <c r="B19" s="23">
        <f>(COUNTIF('2S EXPRESS'!$A$7:$A$50,'EN PANNE'!A19))+(COUNTIF('2 ZT'!$A$7:$A$50,'EN PANNE'!A19))+(COUNTIF('GO TRANSPORT'!$A$7:$A$50,'EN PANNE'!A19))+(COUNTIF('HMZ - KAIS'!$A$7:$A$50,'EN PANNE'!A19))+(COUNTIF('IB TRANSPORT'!$A$7:$A$50,'EN PANNE'!A19))+(COUNTIF(JSL!$A$7:$A$50,'EN PANNE'!A19))+(COUNTIF(KIFAITOUT!$A$7:$A$50,'EN PANNE'!A19))+(COUNTIF('LUXE DRIVE'!$A$7:$A$50,'EN PANNE'!A19))+(COUNTIF(SSN!$A$7:$A$50,'EN PANNE'!A19))+(COUNTIF('W3'!$A$7:$A$50,'EN PANNE'!A19))+(COUNTIF('ATHIS MONS'!$A$7:$A$50,'EN PANNE'!A19))+(COUNTIF('L HAY LES ROSES'!$A$7:$A$50,'EN PANNE'!A19))+(COUNTIF(RUNGIS!$A$7:$A$50,'EN PANNE'!A19))+(COUNTIF(SCEAUX!$A$7:$A$50,'EN PANNE'!A19))+(COUNTIF('INSTANCE C1'!$A$7:$A$50,'EN PANNE'!A19))+(COUNTIF('INSTANCE C2'!$A$7:$A$50,'EN PANNE'!A19))+(COUNTIF(INTERNES!$A$7:$A$50,'EN PANNE'!A19))+(COUNTIF('EN PANNE'!$A$7:$A$50,'EN PANNE'!A19))-C19</f>
        <v>0</v>
      </c>
      <c r="C19" s="23">
        <f>(COUNTIF('2S EXPRESS'!$G$7:$G$50,'EN PANNE'!A19))+(COUNTIF('2 ZT'!$G$7:$G$50,'EN PANNE'!A19))+(COUNTIF('GO TRANSPORT'!$G$7:$G$50,'EN PANNE'!A19))+(COUNTIF('EN PANNE'!$G$7:$G$50,'EN PANNE'!A19))+(COUNTIF('IB TRANSPORT'!$G$7:$G$50,'EN PANNE'!A19))+(COUNTIF(JSL!$G$7:$G$50,'EN PANNE'!A19))+(COUNTIF(KIFAITOUT!$G$7:$G$50,'EN PANNE'!A19))+(COUNTIF('LUXE DRIVE'!$G$7:$G$50,'EN PANNE'!A19))+(COUNTIF(SSN!$G$7:$G$50,'EN PANNE'!A19))+(COUNTIF('W3'!$G$7:$G$50,'EN PANNE'!A19))+(COUNTIF('ATHIS MONS'!$G$7:$G$50,'EN PANNE'!A19))+(COUNTIF('L HAY LES ROSES'!$G$7:$G$50,'EN PANNE'!A19))+(COUNTIF(RUNGIS!$G$7:$G$50,'EN PANNE'!A19))+(COUNTIF(SCEAUX!$G$7:$G$50,'EN PANNE'!A19))+(COUNTIF('INSTANCE C1'!$G$7:$G$50,'EN PANNE'!A19))+(COUNTIF('INSTANCE C2'!$G$7:$G$50,'EN PANNE'!A19))+(COUNTIF(INTERNES!$G$7:$G$50,'EN PANNE'!A19))+(COUNTIF('EN PANNE'!$G$7:$G$50,'EN PANNE'!A19))</f>
        <v>0</v>
      </c>
      <c r="D19" s="28">
        <f t="shared" si="3"/>
        <v>0</v>
      </c>
      <c r="E19" s="2"/>
      <c r="F19" s="5">
        <f t="shared" si="0"/>
        <v>0</v>
      </c>
      <c r="G19" s="20"/>
      <c r="H19" s="23">
        <f>(COUNTIF('2S EXPRESS'!$G$7:$G$50,'EN PANNE'!G19))+(COUNTIF('2 ZT'!$G$7:$G$50,'EN PANNE'!G19))+(COUNTIF('GO TRANSPORT'!$G$7:$G$50,'EN PANNE'!G19))+(COUNTIF('HMZ - KAIS'!$G$7:$G$50,'EN PANNE'!G19))+(COUNTIF('IB TRANSPORT'!$G$7:$G$50,'EN PANNE'!G19))+(COUNTIF(JSL!$G$7:$G$50,'EN PANNE'!G19))+(COUNTIF(KIFAITOUT!$G$7:$G$50,'EN PANNE'!G19))+(COUNTIF('LUXE DRIVE'!$G$7:$G$50,'EN PANNE'!G19))+(COUNTIF(SSN!$G$7:$G$50,'EN PANNE'!G19))+(COUNTIF('W3'!$G$7:$G$50,'EN PANNE'!G19))+(COUNTIF('ATHIS MONS'!$G$7:$G$50,'EN PANNE'!G19))+(COUNTIF('L HAY LES ROSES'!$G$7:$G$50,'EN PANNE'!G19))+(COUNTIF(RUNGIS!$G$7:$G$50,'EN PANNE'!G19))+(COUNTIF(SCEAUX!$G$7:$G$50,'EN PANNE'!G19))+(COUNTIF('INSTANCE C1'!$G$7:$G$50,'EN PANNE'!G19))+(COUNTIF('INSTANCE C2'!$G$7:$G$50,'EN PANNE'!G19))+(COUNTIF(INTERNES!$G$7:$G$50,'EN PANNE'!G19))+(COUNTIF('EN PANNE'!$G$7:$G$50,'EN PANNE'!G19))-I19</f>
        <v>0</v>
      </c>
      <c r="I19" s="23">
        <f>(COUNTIF('2S EXPRESS'!$A$7:$A$50,'EN PANNE'!G19))+(COUNTIF('2 ZT'!$A$7:$A$50,'EN PANNE'!G19))+(COUNTIF('GO TRANSPORT'!$A$7:$A$50,'EN PANNE'!G19))+(COUNTIF('HMZ - KAIS'!$A$7:$A$50,'EN PANNE'!G19))+(COUNTIF('IB TRANSPORT'!$A$7:$A$50,'EN PANNE'!G19))+(COUNTIF(JSL!$A$7:$A$50,'EN PANNE'!G19))+(COUNTIF(KIFAITOUT!$A$7:$A$50,'EN PANNE'!G19))+(COUNTIF('LUXE DRIVE'!$A$7:$A$50,'EN PANNE'!G19))+(COUNTIF(SSN!$A$7:$A$50,'EN PANNE'!G19))+(COUNTIF('W3'!$A$7:$A$50,'EN PANNE'!G19))+(COUNTIF('ATHIS MONS'!$A$7:$A$50,'EN PANNE'!G19))+(COUNTIF('L HAY LES ROSES'!$A$7:$A$50,'EN PANNE'!G19))+(COUNTIF(RUNGIS!$A$7:$A$50,'EN PANNE'!G19))+(COUNTIF(SCEAUX!$A$7:$A$50,'EN PANNE'!G19))+(COUNTIF('INSTANCE C1'!$A$7:$A$50,'EN PANNE'!G19))+(COUNTIF('INSTANCE C2'!$A$7:$A$50,'EN PANNE'!G19))+(COUNTIF(INTERNES!$A$7:$A$50,'EN PANNE'!G19))+(COUNTIF('EN PANNE'!$A$7:$A$50,'EN PANNE'!G19))</f>
        <v>0</v>
      </c>
      <c r="J19" s="28">
        <f t="shared" si="4"/>
        <v>0</v>
      </c>
      <c r="K19" s="2"/>
      <c r="L19" s="47"/>
      <c r="M19" s="48"/>
      <c r="N19" s="45"/>
      <c r="O19" s="48"/>
      <c r="P19" s="48"/>
      <c r="Q19" s="48"/>
      <c r="R19" s="75"/>
      <c r="S19" s="60">
        <f t="shared" si="1"/>
        <v>0</v>
      </c>
      <c r="T19" s="67">
        <f t="shared" si="2"/>
        <v>0</v>
      </c>
    </row>
    <row r="20" spans="1:20" ht="24.95" customHeight="1" x14ac:dyDescent="0.2">
      <c r="A20" s="20"/>
      <c r="B20" s="23">
        <f>(COUNTIF('2S EXPRESS'!$A$7:$A$50,'EN PANNE'!A20))+(COUNTIF('2 ZT'!$A$7:$A$50,'EN PANNE'!A20))+(COUNTIF('GO TRANSPORT'!$A$7:$A$50,'EN PANNE'!A20))+(COUNTIF('HMZ - KAIS'!$A$7:$A$50,'EN PANNE'!A20))+(COUNTIF('IB TRANSPORT'!$A$7:$A$50,'EN PANNE'!A20))+(COUNTIF(JSL!$A$7:$A$50,'EN PANNE'!A20))+(COUNTIF(KIFAITOUT!$A$7:$A$50,'EN PANNE'!A20))+(COUNTIF('LUXE DRIVE'!$A$7:$A$50,'EN PANNE'!A20))+(COUNTIF(SSN!$A$7:$A$50,'EN PANNE'!A20))+(COUNTIF('W3'!$A$7:$A$50,'EN PANNE'!A20))+(COUNTIF('ATHIS MONS'!$A$7:$A$50,'EN PANNE'!A20))+(COUNTIF('L HAY LES ROSES'!$A$7:$A$50,'EN PANNE'!A20))+(COUNTIF(RUNGIS!$A$7:$A$50,'EN PANNE'!A20))+(COUNTIF(SCEAUX!$A$7:$A$50,'EN PANNE'!A20))+(COUNTIF('INSTANCE C1'!$A$7:$A$50,'EN PANNE'!A20))+(COUNTIF('INSTANCE C2'!$A$7:$A$50,'EN PANNE'!A20))+(COUNTIF(INTERNES!$A$7:$A$50,'EN PANNE'!A20))+(COUNTIF('EN PANNE'!$A$7:$A$50,'EN PANNE'!A20))-C20</f>
        <v>0</v>
      </c>
      <c r="C20" s="23">
        <f>(COUNTIF('2S EXPRESS'!$G$7:$G$50,'EN PANNE'!A20))+(COUNTIF('2 ZT'!$G$7:$G$50,'EN PANNE'!A20))+(COUNTIF('GO TRANSPORT'!$G$7:$G$50,'EN PANNE'!A20))+(COUNTIF('EN PANNE'!$G$7:$G$50,'EN PANNE'!A20))+(COUNTIF('IB TRANSPORT'!$G$7:$G$50,'EN PANNE'!A20))+(COUNTIF(JSL!$G$7:$G$50,'EN PANNE'!A20))+(COUNTIF(KIFAITOUT!$G$7:$G$50,'EN PANNE'!A20))+(COUNTIF('LUXE DRIVE'!$G$7:$G$50,'EN PANNE'!A20))+(COUNTIF(SSN!$G$7:$G$50,'EN PANNE'!A20))+(COUNTIF('W3'!$G$7:$G$50,'EN PANNE'!A20))+(COUNTIF('ATHIS MONS'!$G$7:$G$50,'EN PANNE'!A20))+(COUNTIF('L HAY LES ROSES'!$G$7:$G$50,'EN PANNE'!A20))+(COUNTIF(RUNGIS!$G$7:$G$50,'EN PANNE'!A20))+(COUNTIF(SCEAUX!$G$7:$G$50,'EN PANNE'!A20))+(COUNTIF('INSTANCE C1'!$G$7:$G$50,'EN PANNE'!A20))+(COUNTIF('INSTANCE C2'!$G$7:$G$50,'EN PANNE'!A20))+(COUNTIF(INTERNES!$G$7:$G$50,'EN PANNE'!A20))+(COUNTIF('EN PANNE'!$G$7:$G$50,'EN PANNE'!A20))</f>
        <v>0</v>
      </c>
      <c r="D20" s="28">
        <f t="shared" si="3"/>
        <v>0</v>
      </c>
      <c r="E20" s="2"/>
      <c r="F20" s="5">
        <f t="shared" si="0"/>
        <v>0</v>
      </c>
      <c r="G20" s="20"/>
      <c r="H20" s="23">
        <f>(COUNTIF('2S EXPRESS'!$G$7:$G$50,'EN PANNE'!G20))+(COUNTIF('2 ZT'!$G$7:$G$50,'EN PANNE'!G20))+(COUNTIF('GO TRANSPORT'!$G$7:$G$50,'EN PANNE'!G20))+(COUNTIF('HMZ - KAIS'!$G$7:$G$50,'EN PANNE'!G20))+(COUNTIF('IB TRANSPORT'!$G$7:$G$50,'EN PANNE'!G20))+(COUNTIF(JSL!$G$7:$G$50,'EN PANNE'!G20))+(COUNTIF(KIFAITOUT!$G$7:$G$50,'EN PANNE'!G20))+(COUNTIF('LUXE DRIVE'!$G$7:$G$50,'EN PANNE'!G20))+(COUNTIF(SSN!$G$7:$G$50,'EN PANNE'!G20))+(COUNTIF('W3'!$G$7:$G$50,'EN PANNE'!G20))+(COUNTIF('ATHIS MONS'!$G$7:$G$50,'EN PANNE'!G20))+(COUNTIF('L HAY LES ROSES'!$G$7:$G$50,'EN PANNE'!G20))+(COUNTIF(RUNGIS!$G$7:$G$50,'EN PANNE'!G20))+(COUNTIF(SCEAUX!$G$7:$G$50,'EN PANNE'!G20))+(COUNTIF('INSTANCE C1'!$G$7:$G$50,'EN PANNE'!G20))+(COUNTIF('INSTANCE C2'!$G$7:$G$50,'EN PANNE'!G20))+(COUNTIF(INTERNES!$G$7:$G$50,'EN PANNE'!G20))+(COUNTIF('EN PANNE'!$G$7:$G$50,'EN PANNE'!G20))-I20</f>
        <v>0</v>
      </c>
      <c r="I20" s="23">
        <f>(COUNTIF('2S EXPRESS'!$A$7:$A$50,'EN PANNE'!G20))+(COUNTIF('2 ZT'!$A$7:$A$50,'EN PANNE'!G20))+(COUNTIF('GO TRANSPORT'!$A$7:$A$50,'EN PANNE'!G20))+(COUNTIF('HMZ - KAIS'!$A$7:$A$50,'EN PANNE'!G20))+(COUNTIF('IB TRANSPORT'!$A$7:$A$50,'EN PANNE'!G20))+(COUNTIF(JSL!$A$7:$A$50,'EN PANNE'!G20))+(COUNTIF(KIFAITOUT!$A$7:$A$50,'EN PANNE'!G20))+(COUNTIF('LUXE DRIVE'!$A$7:$A$50,'EN PANNE'!G20))+(COUNTIF(SSN!$A$7:$A$50,'EN PANNE'!G20))+(COUNTIF('W3'!$A$7:$A$50,'EN PANNE'!G20))+(COUNTIF('ATHIS MONS'!$A$7:$A$50,'EN PANNE'!G20))+(COUNTIF('L HAY LES ROSES'!$A$7:$A$50,'EN PANNE'!G20))+(COUNTIF(RUNGIS!$A$7:$A$50,'EN PANNE'!G20))+(COUNTIF(SCEAUX!$A$7:$A$50,'EN PANNE'!G20))+(COUNTIF('INSTANCE C1'!$A$7:$A$50,'EN PANNE'!G20))+(COUNTIF('INSTANCE C2'!$A$7:$A$50,'EN PANNE'!G20))+(COUNTIF(INTERNES!$A$7:$A$50,'EN PANNE'!G20))+(COUNTIF('EN PANNE'!$A$7:$A$50,'EN PANNE'!G20))</f>
        <v>0</v>
      </c>
      <c r="J20" s="28">
        <f t="shared" si="4"/>
        <v>0</v>
      </c>
      <c r="K20" s="2"/>
      <c r="L20" s="47"/>
      <c r="M20" s="48"/>
      <c r="N20" s="45"/>
      <c r="O20" s="48"/>
      <c r="P20" s="48"/>
      <c r="Q20" s="48"/>
      <c r="R20" s="75"/>
      <c r="S20" s="60">
        <f t="shared" si="1"/>
        <v>0</v>
      </c>
      <c r="T20" s="67">
        <f t="shared" si="2"/>
        <v>0</v>
      </c>
    </row>
    <row r="21" spans="1:20" ht="24.95" customHeight="1" x14ac:dyDescent="0.2">
      <c r="A21" s="20"/>
      <c r="B21" s="23">
        <f>(COUNTIF('2S EXPRESS'!$A$7:$A$50,'EN PANNE'!A21))+(COUNTIF('2 ZT'!$A$7:$A$50,'EN PANNE'!A21))+(COUNTIF('GO TRANSPORT'!$A$7:$A$50,'EN PANNE'!A21))+(COUNTIF('HMZ - KAIS'!$A$7:$A$50,'EN PANNE'!A21))+(COUNTIF('IB TRANSPORT'!$A$7:$A$50,'EN PANNE'!A21))+(COUNTIF(JSL!$A$7:$A$50,'EN PANNE'!A21))+(COUNTIF(KIFAITOUT!$A$7:$A$50,'EN PANNE'!A21))+(COUNTIF('LUXE DRIVE'!$A$7:$A$50,'EN PANNE'!A21))+(COUNTIF(SSN!$A$7:$A$50,'EN PANNE'!A21))+(COUNTIF('W3'!$A$7:$A$50,'EN PANNE'!A21))+(COUNTIF('ATHIS MONS'!$A$7:$A$50,'EN PANNE'!A21))+(COUNTIF('L HAY LES ROSES'!$A$7:$A$50,'EN PANNE'!A21))+(COUNTIF(RUNGIS!$A$7:$A$50,'EN PANNE'!A21))+(COUNTIF(SCEAUX!$A$7:$A$50,'EN PANNE'!A21))+(COUNTIF('INSTANCE C1'!$A$7:$A$50,'EN PANNE'!A21))+(COUNTIF('INSTANCE C2'!$A$7:$A$50,'EN PANNE'!A21))+(COUNTIF(INTERNES!$A$7:$A$50,'EN PANNE'!A21))+(COUNTIF('EN PANNE'!$A$7:$A$50,'EN PANNE'!A21))-C21</f>
        <v>0</v>
      </c>
      <c r="C21" s="23">
        <f>(COUNTIF('2S EXPRESS'!$G$7:$G$50,'EN PANNE'!A21))+(COUNTIF('2 ZT'!$G$7:$G$50,'EN PANNE'!A21))+(COUNTIF('GO TRANSPORT'!$G$7:$G$50,'EN PANNE'!A21))+(COUNTIF('EN PANNE'!$G$7:$G$50,'EN PANNE'!A21))+(COUNTIF('IB TRANSPORT'!$G$7:$G$50,'EN PANNE'!A21))+(COUNTIF(JSL!$G$7:$G$50,'EN PANNE'!A21))+(COUNTIF(KIFAITOUT!$G$7:$G$50,'EN PANNE'!A21))+(COUNTIF('LUXE DRIVE'!$G$7:$G$50,'EN PANNE'!A21))+(COUNTIF(SSN!$G$7:$G$50,'EN PANNE'!A21))+(COUNTIF('W3'!$G$7:$G$50,'EN PANNE'!A21))+(COUNTIF('ATHIS MONS'!$G$7:$G$50,'EN PANNE'!A21))+(COUNTIF('L HAY LES ROSES'!$G$7:$G$50,'EN PANNE'!A21))+(COUNTIF(RUNGIS!$G$7:$G$50,'EN PANNE'!A21))+(COUNTIF(SCEAUX!$G$7:$G$50,'EN PANNE'!A21))+(COUNTIF('INSTANCE C1'!$G$7:$G$50,'EN PANNE'!A21))+(COUNTIF('INSTANCE C2'!$G$7:$G$50,'EN PANNE'!A21))+(COUNTIF(INTERNES!$G$7:$G$50,'EN PANNE'!A21))+(COUNTIF('EN PANNE'!$G$7:$G$50,'EN PANNE'!A21))</f>
        <v>0</v>
      </c>
      <c r="D21" s="28">
        <f t="shared" si="3"/>
        <v>0</v>
      </c>
      <c r="E21" s="2"/>
      <c r="F21" s="5">
        <f t="shared" si="0"/>
        <v>0</v>
      </c>
      <c r="G21" s="20"/>
      <c r="H21" s="23">
        <f>(COUNTIF('2S EXPRESS'!$G$7:$G$50,'EN PANNE'!G21))+(COUNTIF('2 ZT'!$G$7:$G$50,'EN PANNE'!G21))+(COUNTIF('GO TRANSPORT'!$G$7:$G$50,'EN PANNE'!G21))+(COUNTIF('HMZ - KAIS'!$G$7:$G$50,'EN PANNE'!G21))+(COUNTIF('IB TRANSPORT'!$G$7:$G$50,'EN PANNE'!G21))+(COUNTIF(JSL!$G$7:$G$50,'EN PANNE'!G21))+(COUNTIF(KIFAITOUT!$G$7:$G$50,'EN PANNE'!G21))+(COUNTIF('LUXE DRIVE'!$G$7:$G$50,'EN PANNE'!G21))+(COUNTIF(SSN!$G$7:$G$50,'EN PANNE'!G21))+(COUNTIF('W3'!$G$7:$G$50,'EN PANNE'!G21))+(COUNTIF('ATHIS MONS'!$G$7:$G$50,'EN PANNE'!G21))+(COUNTIF('L HAY LES ROSES'!$G$7:$G$50,'EN PANNE'!G21))+(COUNTIF(RUNGIS!$G$7:$G$50,'EN PANNE'!G21))+(COUNTIF(SCEAUX!$G$7:$G$50,'EN PANNE'!G21))+(COUNTIF('INSTANCE C1'!$G$7:$G$50,'EN PANNE'!G21))+(COUNTIF('INSTANCE C2'!$G$7:$G$50,'EN PANNE'!G21))+(COUNTIF(INTERNES!$G$7:$G$50,'EN PANNE'!G21))+(COUNTIF('EN PANNE'!$G$7:$G$50,'EN PANNE'!G21))-I21</f>
        <v>0</v>
      </c>
      <c r="I21" s="23">
        <f>(COUNTIF('2S EXPRESS'!$A$7:$A$50,'EN PANNE'!G21))+(COUNTIF('2 ZT'!$A$7:$A$50,'EN PANNE'!G21))+(COUNTIF('GO TRANSPORT'!$A$7:$A$50,'EN PANNE'!G21))+(COUNTIF('HMZ - KAIS'!$A$7:$A$50,'EN PANNE'!G21))+(COUNTIF('IB TRANSPORT'!$A$7:$A$50,'EN PANNE'!G21))+(COUNTIF(JSL!$A$7:$A$50,'EN PANNE'!G21))+(COUNTIF(KIFAITOUT!$A$7:$A$50,'EN PANNE'!G21))+(COUNTIF('LUXE DRIVE'!$A$7:$A$50,'EN PANNE'!G21))+(COUNTIF(SSN!$A$7:$A$50,'EN PANNE'!G21))+(COUNTIF('W3'!$A$7:$A$50,'EN PANNE'!G21))+(COUNTIF('ATHIS MONS'!$A$7:$A$50,'EN PANNE'!G21))+(COUNTIF('L HAY LES ROSES'!$A$7:$A$50,'EN PANNE'!G21))+(COUNTIF(RUNGIS!$A$7:$A$50,'EN PANNE'!G21))+(COUNTIF(SCEAUX!$A$7:$A$50,'EN PANNE'!G21))+(COUNTIF('INSTANCE C1'!$A$7:$A$50,'EN PANNE'!G21))+(COUNTIF('INSTANCE C2'!$A$7:$A$50,'EN PANNE'!G21))+(COUNTIF(INTERNES!$A$7:$A$50,'EN PANNE'!G21))+(COUNTIF('EN PANNE'!$A$7:$A$50,'EN PANNE'!G21))</f>
        <v>0</v>
      </c>
      <c r="J21" s="28">
        <f t="shared" si="4"/>
        <v>0</v>
      </c>
      <c r="K21" s="2"/>
      <c r="L21" s="47"/>
      <c r="M21" s="48"/>
      <c r="N21" s="45"/>
      <c r="O21" s="48"/>
      <c r="P21" s="48"/>
      <c r="Q21" s="48"/>
      <c r="R21" s="75"/>
      <c r="S21" s="60">
        <f t="shared" si="1"/>
        <v>0</v>
      </c>
      <c r="T21" s="67">
        <f t="shared" si="2"/>
        <v>0</v>
      </c>
    </row>
    <row r="22" spans="1:20" ht="24.95" customHeight="1" x14ac:dyDescent="0.2">
      <c r="A22" s="20"/>
      <c r="B22" s="23">
        <f>(COUNTIF('2S EXPRESS'!$A$7:$A$50,'EN PANNE'!A22))+(COUNTIF('2 ZT'!$A$7:$A$50,'EN PANNE'!A22))+(COUNTIF('GO TRANSPORT'!$A$7:$A$50,'EN PANNE'!A22))+(COUNTIF('HMZ - KAIS'!$A$7:$A$50,'EN PANNE'!A22))+(COUNTIF('IB TRANSPORT'!$A$7:$A$50,'EN PANNE'!A22))+(COUNTIF(JSL!$A$7:$A$50,'EN PANNE'!A22))+(COUNTIF(KIFAITOUT!$A$7:$A$50,'EN PANNE'!A22))+(COUNTIF('LUXE DRIVE'!$A$7:$A$50,'EN PANNE'!A22))+(COUNTIF(SSN!$A$7:$A$50,'EN PANNE'!A22))+(COUNTIF('W3'!$A$7:$A$50,'EN PANNE'!A22))+(COUNTIF('ATHIS MONS'!$A$7:$A$50,'EN PANNE'!A22))+(COUNTIF('L HAY LES ROSES'!$A$7:$A$50,'EN PANNE'!A22))+(COUNTIF(RUNGIS!$A$7:$A$50,'EN PANNE'!A22))+(COUNTIF(SCEAUX!$A$7:$A$50,'EN PANNE'!A22))+(COUNTIF('INSTANCE C1'!$A$7:$A$50,'EN PANNE'!A22))+(COUNTIF('INSTANCE C2'!$A$7:$A$50,'EN PANNE'!A22))+(COUNTIF(INTERNES!$A$7:$A$50,'EN PANNE'!A22))+(COUNTIF('EN PANNE'!$A$7:$A$50,'EN PANNE'!A22))-C22</f>
        <v>0</v>
      </c>
      <c r="C22" s="23">
        <f>(COUNTIF('2S EXPRESS'!$G$7:$G$50,'EN PANNE'!A22))+(COUNTIF('2 ZT'!$G$7:$G$50,'EN PANNE'!A22))+(COUNTIF('GO TRANSPORT'!$G$7:$G$50,'EN PANNE'!A22))+(COUNTIF('EN PANNE'!$G$7:$G$50,'EN PANNE'!A22))+(COUNTIF('IB TRANSPORT'!$G$7:$G$50,'EN PANNE'!A22))+(COUNTIF(JSL!$G$7:$G$50,'EN PANNE'!A22))+(COUNTIF(KIFAITOUT!$G$7:$G$50,'EN PANNE'!A22))+(COUNTIF('LUXE DRIVE'!$G$7:$G$50,'EN PANNE'!A22))+(COUNTIF(SSN!$G$7:$G$50,'EN PANNE'!A22))+(COUNTIF('W3'!$G$7:$G$50,'EN PANNE'!A22))+(COUNTIF('ATHIS MONS'!$G$7:$G$50,'EN PANNE'!A22))+(COUNTIF('L HAY LES ROSES'!$G$7:$G$50,'EN PANNE'!A22))+(COUNTIF(RUNGIS!$G$7:$G$50,'EN PANNE'!A22))+(COUNTIF(SCEAUX!$G$7:$G$50,'EN PANNE'!A22))+(COUNTIF('INSTANCE C1'!$G$7:$G$50,'EN PANNE'!A22))+(COUNTIF('INSTANCE C2'!$G$7:$G$50,'EN PANNE'!A22))+(COUNTIF(INTERNES!$G$7:$G$50,'EN PANNE'!A22))+(COUNTIF('EN PANNE'!$G$7:$G$50,'EN PANNE'!A22))</f>
        <v>0</v>
      </c>
      <c r="D22" s="28">
        <f t="shared" si="3"/>
        <v>0</v>
      </c>
      <c r="E22" s="2"/>
      <c r="F22" s="5">
        <f t="shared" si="0"/>
        <v>0</v>
      </c>
      <c r="G22" s="20"/>
      <c r="H22" s="23">
        <f>(COUNTIF('2S EXPRESS'!$G$7:$G$50,'EN PANNE'!G22))+(COUNTIF('2 ZT'!$G$7:$G$50,'EN PANNE'!G22))+(COUNTIF('GO TRANSPORT'!$G$7:$G$50,'EN PANNE'!G22))+(COUNTIF('HMZ - KAIS'!$G$7:$G$50,'EN PANNE'!G22))+(COUNTIF('IB TRANSPORT'!$G$7:$G$50,'EN PANNE'!G22))+(COUNTIF(JSL!$G$7:$G$50,'EN PANNE'!G22))+(COUNTIF(KIFAITOUT!$G$7:$G$50,'EN PANNE'!G22))+(COUNTIF('LUXE DRIVE'!$G$7:$G$50,'EN PANNE'!G22))+(COUNTIF(SSN!$G$7:$G$50,'EN PANNE'!G22))+(COUNTIF('W3'!$G$7:$G$50,'EN PANNE'!G22))+(COUNTIF('ATHIS MONS'!$G$7:$G$50,'EN PANNE'!G22))+(COUNTIF('L HAY LES ROSES'!$G$7:$G$50,'EN PANNE'!G22))+(COUNTIF(RUNGIS!$G$7:$G$50,'EN PANNE'!G22))+(COUNTIF(SCEAUX!$G$7:$G$50,'EN PANNE'!G22))+(COUNTIF('INSTANCE C1'!$G$7:$G$50,'EN PANNE'!G22))+(COUNTIF('INSTANCE C2'!$G$7:$G$50,'EN PANNE'!G22))+(COUNTIF(INTERNES!$G$7:$G$50,'EN PANNE'!G22))+(COUNTIF('EN PANNE'!$G$7:$G$50,'EN PANNE'!G22))-I22</f>
        <v>0</v>
      </c>
      <c r="I22" s="23">
        <f>(COUNTIF('2S EXPRESS'!$A$7:$A$50,'EN PANNE'!G22))+(COUNTIF('2 ZT'!$A$7:$A$50,'EN PANNE'!G22))+(COUNTIF('GO TRANSPORT'!$A$7:$A$50,'EN PANNE'!G22))+(COUNTIF('HMZ - KAIS'!$A$7:$A$50,'EN PANNE'!G22))+(COUNTIF('IB TRANSPORT'!$A$7:$A$50,'EN PANNE'!G22))+(COUNTIF(JSL!$A$7:$A$50,'EN PANNE'!G22))+(COUNTIF(KIFAITOUT!$A$7:$A$50,'EN PANNE'!G22))+(COUNTIF('LUXE DRIVE'!$A$7:$A$50,'EN PANNE'!G22))+(COUNTIF(SSN!$A$7:$A$50,'EN PANNE'!G22))+(COUNTIF('W3'!$A$7:$A$50,'EN PANNE'!G22))+(COUNTIF('ATHIS MONS'!$A$7:$A$50,'EN PANNE'!G22))+(COUNTIF('L HAY LES ROSES'!$A$7:$A$50,'EN PANNE'!G22))+(COUNTIF(RUNGIS!$A$7:$A$50,'EN PANNE'!G22))+(COUNTIF(SCEAUX!$A$7:$A$50,'EN PANNE'!G22))+(COUNTIF('INSTANCE C1'!$A$7:$A$50,'EN PANNE'!G22))+(COUNTIF('INSTANCE C2'!$A$7:$A$50,'EN PANNE'!G22))+(COUNTIF(INTERNES!$A$7:$A$50,'EN PANNE'!G22))+(COUNTIF('EN PANNE'!$A$7:$A$50,'EN PANNE'!G22))</f>
        <v>0</v>
      </c>
      <c r="J22" s="28">
        <f t="shared" si="4"/>
        <v>0</v>
      </c>
      <c r="K22" s="2"/>
      <c r="L22" s="47"/>
      <c r="M22" s="48"/>
      <c r="N22" s="45"/>
      <c r="O22" s="48"/>
      <c r="P22" s="48"/>
      <c r="Q22" s="48"/>
      <c r="R22" s="75"/>
      <c r="S22" s="60">
        <f t="shared" si="1"/>
        <v>0</v>
      </c>
      <c r="T22" s="67">
        <f t="shared" si="2"/>
        <v>0</v>
      </c>
    </row>
    <row r="23" spans="1:20" ht="24.95" customHeight="1" x14ac:dyDescent="0.2">
      <c r="A23" s="20"/>
      <c r="B23" s="23">
        <f>(COUNTIF('2S EXPRESS'!$A$7:$A$50,'EN PANNE'!A23))+(COUNTIF('2 ZT'!$A$7:$A$50,'EN PANNE'!A23))+(COUNTIF('GO TRANSPORT'!$A$7:$A$50,'EN PANNE'!A23))+(COUNTIF('HMZ - KAIS'!$A$7:$A$50,'EN PANNE'!A23))+(COUNTIF('IB TRANSPORT'!$A$7:$A$50,'EN PANNE'!A23))+(COUNTIF(JSL!$A$7:$A$50,'EN PANNE'!A23))+(COUNTIF(KIFAITOUT!$A$7:$A$50,'EN PANNE'!A23))+(COUNTIF('LUXE DRIVE'!$A$7:$A$50,'EN PANNE'!A23))+(COUNTIF(SSN!$A$7:$A$50,'EN PANNE'!A23))+(COUNTIF('W3'!$A$7:$A$50,'EN PANNE'!A23))+(COUNTIF('ATHIS MONS'!$A$7:$A$50,'EN PANNE'!A23))+(COUNTIF('L HAY LES ROSES'!$A$7:$A$50,'EN PANNE'!A23))+(COUNTIF(RUNGIS!$A$7:$A$50,'EN PANNE'!A23))+(COUNTIF(SCEAUX!$A$7:$A$50,'EN PANNE'!A23))+(COUNTIF('INSTANCE C1'!$A$7:$A$50,'EN PANNE'!A23))+(COUNTIF('INSTANCE C2'!$A$7:$A$50,'EN PANNE'!A23))+(COUNTIF(INTERNES!$A$7:$A$50,'EN PANNE'!A23))+(COUNTIF('EN PANNE'!$A$7:$A$50,'EN PANNE'!A23))-C23</f>
        <v>0</v>
      </c>
      <c r="C23" s="23">
        <f>(COUNTIF('2S EXPRESS'!$G$7:$G$50,'EN PANNE'!A23))+(COUNTIF('2 ZT'!$G$7:$G$50,'EN PANNE'!A23))+(COUNTIF('GO TRANSPORT'!$G$7:$G$50,'EN PANNE'!A23))+(COUNTIF('EN PANNE'!$G$7:$G$50,'EN PANNE'!A23))+(COUNTIF('IB TRANSPORT'!$G$7:$G$50,'EN PANNE'!A23))+(COUNTIF(JSL!$G$7:$G$50,'EN PANNE'!A23))+(COUNTIF(KIFAITOUT!$G$7:$G$50,'EN PANNE'!A23))+(COUNTIF('LUXE DRIVE'!$G$7:$G$50,'EN PANNE'!A23))+(COUNTIF(SSN!$G$7:$G$50,'EN PANNE'!A23))+(COUNTIF('W3'!$G$7:$G$50,'EN PANNE'!A23))+(COUNTIF('ATHIS MONS'!$G$7:$G$50,'EN PANNE'!A23))+(COUNTIF('L HAY LES ROSES'!$G$7:$G$50,'EN PANNE'!A23))+(COUNTIF(RUNGIS!$G$7:$G$50,'EN PANNE'!A23))+(COUNTIF(SCEAUX!$G$7:$G$50,'EN PANNE'!A23))+(COUNTIF('INSTANCE C1'!$G$7:$G$50,'EN PANNE'!A23))+(COUNTIF('INSTANCE C2'!$G$7:$G$50,'EN PANNE'!A23))+(COUNTIF(INTERNES!$G$7:$G$50,'EN PANNE'!A23))+(COUNTIF('EN PANNE'!$G$7:$G$50,'EN PANNE'!A23))</f>
        <v>0</v>
      </c>
      <c r="D23" s="28">
        <f t="shared" si="3"/>
        <v>0</v>
      </c>
      <c r="E23" s="2"/>
      <c r="F23" s="6">
        <f t="shared" si="0"/>
        <v>0</v>
      </c>
      <c r="G23" s="20"/>
      <c r="H23" s="23">
        <f>(COUNTIF('2S EXPRESS'!$G$7:$G$50,'EN PANNE'!G23))+(COUNTIF('2 ZT'!$G$7:$G$50,'EN PANNE'!G23))+(COUNTIF('GO TRANSPORT'!$G$7:$G$50,'EN PANNE'!G23))+(COUNTIF('HMZ - KAIS'!$G$7:$G$50,'EN PANNE'!G23))+(COUNTIF('IB TRANSPORT'!$G$7:$G$50,'EN PANNE'!G23))+(COUNTIF(JSL!$G$7:$G$50,'EN PANNE'!G23))+(COUNTIF(KIFAITOUT!$G$7:$G$50,'EN PANNE'!G23))+(COUNTIF('LUXE DRIVE'!$G$7:$G$50,'EN PANNE'!G23))+(COUNTIF(SSN!$G$7:$G$50,'EN PANNE'!G23))+(COUNTIF('W3'!$G$7:$G$50,'EN PANNE'!G23))+(COUNTIF('ATHIS MONS'!$G$7:$G$50,'EN PANNE'!G23))+(COUNTIF('L HAY LES ROSES'!$G$7:$G$50,'EN PANNE'!G23))+(COUNTIF(RUNGIS!$G$7:$G$50,'EN PANNE'!G23))+(COUNTIF(SCEAUX!$G$7:$G$50,'EN PANNE'!G23))+(COUNTIF('INSTANCE C1'!$G$7:$G$50,'EN PANNE'!G23))+(COUNTIF('INSTANCE C2'!$G$7:$G$50,'EN PANNE'!G23))+(COUNTIF(INTERNES!$G$7:$G$50,'EN PANNE'!G23))+(COUNTIF('EN PANNE'!$G$7:$G$50,'EN PANNE'!G23))-I23</f>
        <v>0</v>
      </c>
      <c r="I23" s="23">
        <f>(COUNTIF('2S EXPRESS'!$A$7:$A$50,'EN PANNE'!G23))+(COUNTIF('2 ZT'!$A$7:$A$50,'EN PANNE'!G23))+(COUNTIF('GO TRANSPORT'!$A$7:$A$50,'EN PANNE'!G23))+(COUNTIF('HMZ - KAIS'!$A$7:$A$50,'EN PANNE'!G23))+(COUNTIF('IB TRANSPORT'!$A$7:$A$50,'EN PANNE'!G23))+(COUNTIF(JSL!$A$7:$A$50,'EN PANNE'!G23))+(COUNTIF(KIFAITOUT!$A$7:$A$50,'EN PANNE'!G23))+(COUNTIF('LUXE DRIVE'!$A$7:$A$50,'EN PANNE'!G23))+(COUNTIF(SSN!$A$7:$A$50,'EN PANNE'!G23))+(COUNTIF('W3'!$A$7:$A$50,'EN PANNE'!G23))+(COUNTIF('ATHIS MONS'!$A$7:$A$50,'EN PANNE'!G23))+(COUNTIF('L HAY LES ROSES'!$A$7:$A$50,'EN PANNE'!G23))+(COUNTIF(RUNGIS!$A$7:$A$50,'EN PANNE'!G23))+(COUNTIF(SCEAUX!$A$7:$A$50,'EN PANNE'!G23))+(COUNTIF('INSTANCE C1'!$A$7:$A$50,'EN PANNE'!G23))+(COUNTIF('INSTANCE C2'!$A$7:$A$50,'EN PANNE'!G23))+(COUNTIF(INTERNES!$A$7:$A$50,'EN PANNE'!G23))+(COUNTIF('EN PANNE'!$A$7:$A$50,'EN PANNE'!G23))</f>
        <v>0</v>
      </c>
      <c r="J23" s="28">
        <f t="shared" si="4"/>
        <v>0</v>
      </c>
      <c r="K23" s="2"/>
      <c r="L23" s="47"/>
      <c r="M23" s="48"/>
      <c r="N23" s="45"/>
      <c r="O23" s="48"/>
      <c r="P23" s="48"/>
      <c r="Q23" s="48"/>
      <c r="R23" s="75"/>
      <c r="S23" s="60">
        <f t="shared" si="1"/>
        <v>0</v>
      </c>
      <c r="T23" s="67">
        <f t="shared" si="2"/>
        <v>0</v>
      </c>
    </row>
    <row r="24" spans="1:20" ht="24.95" customHeight="1" x14ac:dyDescent="0.2">
      <c r="A24" s="20"/>
      <c r="B24" s="23">
        <f>(COUNTIF('2S EXPRESS'!$A$7:$A$50,'EN PANNE'!A24))+(COUNTIF('2 ZT'!$A$7:$A$50,'EN PANNE'!A24))+(COUNTIF('GO TRANSPORT'!$A$7:$A$50,'EN PANNE'!A24))+(COUNTIF('HMZ - KAIS'!$A$7:$A$50,'EN PANNE'!A24))+(COUNTIF('IB TRANSPORT'!$A$7:$A$50,'EN PANNE'!A24))+(COUNTIF(JSL!$A$7:$A$50,'EN PANNE'!A24))+(COUNTIF(KIFAITOUT!$A$7:$A$50,'EN PANNE'!A24))+(COUNTIF('LUXE DRIVE'!$A$7:$A$50,'EN PANNE'!A24))+(COUNTIF(SSN!$A$7:$A$50,'EN PANNE'!A24))+(COUNTIF('W3'!$A$7:$A$50,'EN PANNE'!A24))+(COUNTIF('ATHIS MONS'!$A$7:$A$50,'EN PANNE'!A24))+(COUNTIF('L HAY LES ROSES'!$A$7:$A$50,'EN PANNE'!A24))+(COUNTIF(RUNGIS!$A$7:$A$50,'EN PANNE'!A24))+(COUNTIF(SCEAUX!$A$7:$A$50,'EN PANNE'!A24))+(COUNTIF('INSTANCE C1'!$A$7:$A$50,'EN PANNE'!A24))+(COUNTIF('INSTANCE C2'!$A$7:$A$50,'EN PANNE'!A24))+(COUNTIF(INTERNES!$A$7:$A$50,'EN PANNE'!A24))+(COUNTIF('EN PANNE'!$A$7:$A$50,'EN PANNE'!A24))-C24</f>
        <v>0</v>
      </c>
      <c r="C24" s="23">
        <f>(COUNTIF('2S EXPRESS'!$G$7:$G$50,'EN PANNE'!A24))+(COUNTIF('2 ZT'!$G$7:$G$50,'EN PANNE'!A24))+(COUNTIF('GO TRANSPORT'!$G$7:$G$50,'EN PANNE'!A24))+(COUNTIF('EN PANNE'!$G$7:$G$50,'EN PANNE'!A24))+(COUNTIF('IB TRANSPORT'!$G$7:$G$50,'EN PANNE'!A24))+(COUNTIF(JSL!$G$7:$G$50,'EN PANNE'!A24))+(COUNTIF(KIFAITOUT!$G$7:$G$50,'EN PANNE'!A24))+(COUNTIF('LUXE DRIVE'!$G$7:$G$50,'EN PANNE'!A24))+(COUNTIF(SSN!$G$7:$G$50,'EN PANNE'!A24))+(COUNTIF('W3'!$G$7:$G$50,'EN PANNE'!A24))+(COUNTIF('ATHIS MONS'!$G$7:$G$50,'EN PANNE'!A24))+(COUNTIF('L HAY LES ROSES'!$G$7:$G$50,'EN PANNE'!A24))+(COUNTIF(RUNGIS!$G$7:$G$50,'EN PANNE'!A24))+(COUNTIF(SCEAUX!$G$7:$G$50,'EN PANNE'!A24))+(COUNTIF('INSTANCE C1'!$G$7:$G$50,'EN PANNE'!A24))+(COUNTIF('INSTANCE C2'!$G$7:$G$50,'EN PANNE'!A24))+(COUNTIF(INTERNES!$G$7:$G$50,'EN PANNE'!A24))+(COUNTIF('EN PANNE'!$G$7:$G$50,'EN PANNE'!A24))</f>
        <v>0</v>
      </c>
      <c r="D24" s="28">
        <f t="shared" si="3"/>
        <v>0</v>
      </c>
      <c r="E24" s="2"/>
      <c r="F24" s="6">
        <f t="shared" si="0"/>
        <v>0</v>
      </c>
      <c r="G24" s="20"/>
      <c r="H24" s="23">
        <f>(COUNTIF('2S EXPRESS'!$G$7:$G$50,'EN PANNE'!G24))+(COUNTIF('2 ZT'!$G$7:$G$50,'EN PANNE'!G24))+(COUNTIF('GO TRANSPORT'!$G$7:$G$50,'EN PANNE'!G24))+(COUNTIF('HMZ - KAIS'!$G$7:$G$50,'EN PANNE'!G24))+(COUNTIF('IB TRANSPORT'!$G$7:$G$50,'EN PANNE'!G24))+(COUNTIF(JSL!$G$7:$G$50,'EN PANNE'!G24))+(COUNTIF(KIFAITOUT!$G$7:$G$50,'EN PANNE'!G24))+(COUNTIF('LUXE DRIVE'!$G$7:$G$50,'EN PANNE'!G24))+(COUNTIF(SSN!$G$7:$G$50,'EN PANNE'!G24))+(COUNTIF('W3'!$G$7:$G$50,'EN PANNE'!G24))+(COUNTIF('ATHIS MONS'!$G$7:$G$50,'EN PANNE'!G24))+(COUNTIF('L HAY LES ROSES'!$G$7:$G$50,'EN PANNE'!G24))+(COUNTIF(RUNGIS!$G$7:$G$50,'EN PANNE'!G24))+(COUNTIF(SCEAUX!$G$7:$G$50,'EN PANNE'!G24))+(COUNTIF('INSTANCE C1'!$G$7:$G$50,'EN PANNE'!G24))+(COUNTIF('INSTANCE C2'!$G$7:$G$50,'EN PANNE'!G24))+(COUNTIF(INTERNES!$G$7:$G$50,'EN PANNE'!G24))+(COUNTIF('EN PANNE'!$G$7:$G$50,'EN PANNE'!G24))-I24</f>
        <v>0</v>
      </c>
      <c r="I24" s="23">
        <f>(COUNTIF('2S EXPRESS'!$A$7:$A$50,'EN PANNE'!G24))+(COUNTIF('2 ZT'!$A$7:$A$50,'EN PANNE'!G24))+(COUNTIF('GO TRANSPORT'!$A$7:$A$50,'EN PANNE'!G24))+(COUNTIF('HMZ - KAIS'!$A$7:$A$50,'EN PANNE'!G24))+(COUNTIF('IB TRANSPORT'!$A$7:$A$50,'EN PANNE'!G24))+(COUNTIF(JSL!$A$7:$A$50,'EN PANNE'!G24))+(COUNTIF(KIFAITOUT!$A$7:$A$50,'EN PANNE'!G24))+(COUNTIF('LUXE DRIVE'!$A$7:$A$50,'EN PANNE'!G24))+(COUNTIF(SSN!$A$7:$A$50,'EN PANNE'!G24))+(COUNTIF('W3'!$A$7:$A$50,'EN PANNE'!G24))+(COUNTIF('ATHIS MONS'!$A$7:$A$50,'EN PANNE'!G24))+(COUNTIF('L HAY LES ROSES'!$A$7:$A$50,'EN PANNE'!G24))+(COUNTIF(RUNGIS!$A$7:$A$50,'EN PANNE'!G24))+(COUNTIF(SCEAUX!$A$7:$A$50,'EN PANNE'!G24))+(COUNTIF('INSTANCE C1'!$A$7:$A$50,'EN PANNE'!G24))+(COUNTIF('INSTANCE C2'!$A$7:$A$50,'EN PANNE'!G24))+(COUNTIF(INTERNES!$A$7:$A$50,'EN PANNE'!G24))+(COUNTIF('EN PANNE'!$A$7:$A$50,'EN PANNE'!G24))</f>
        <v>0</v>
      </c>
      <c r="J24" s="28">
        <f t="shared" si="4"/>
        <v>0</v>
      </c>
      <c r="K24" s="2"/>
      <c r="L24" s="47"/>
      <c r="M24" s="9"/>
      <c r="N24" s="9"/>
      <c r="O24" s="9"/>
      <c r="P24" s="9"/>
      <c r="S24" s="60">
        <f t="shared" si="1"/>
        <v>0</v>
      </c>
      <c r="T24" s="67">
        <f t="shared" si="2"/>
        <v>0</v>
      </c>
    </row>
    <row r="25" spans="1:20" ht="24.95" customHeight="1" x14ac:dyDescent="0.2">
      <c r="A25" s="20"/>
      <c r="B25" s="23">
        <f>(COUNTIF('2S EXPRESS'!$A$7:$A$50,'EN PANNE'!A25))+(COUNTIF('2 ZT'!$A$7:$A$50,'EN PANNE'!A25))+(COUNTIF('GO TRANSPORT'!$A$7:$A$50,'EN PANNE'!A25))+(COUNTIF('HMZ - KAIS'!$A$7:$A$50,'EN PANNE'!A25))+(COUNTIF('IB TRANSPORT'!$A$7:$A$50,'EN PANNE'!A25))+(COUNTIF(JSL!$A$7:$A$50,'EN PANNE'!A25))+(COUNTIF(KIFAITOUT!$A$7:$A$50,'EN PANNE'!A25))+(COUNTIF('LUXE DRIVE'!$A$7:$A$50,'EN PANNE'!A25))+(COUNTIF(SSN!$A$7:$A$50,'EN PANNE'!A25))+(COUNTIF('W3'!$A$7:$A$50,'EN PANNE'!A25))+(COUNTIF('ATHIS MONS'!$A$7:$A$50,'EN PANNE'!A25))+(COUNTIF('L HAY LES ROSES'!$A$7:$A$50,'EN PANNE'!A25))+(COUNTIF(RUNGIS!$A$7:$A$50,'EN PANNE'!A25))+(COUNTIF(SCEAUX!$A$7:$A$50,'EN PANNE'!A25))+(COUNTIF('INSTANCE C1'!$A$7:$A$50,'EN PANNE'!A25))+(COUNTIF('INSTANCE C2'!$A$7:$A$50,'EN PANNE'!A25))+(COUNTIF(INTERNES!$A$7:$A$50,'EN PANNE'!A25))+(COUNTIF('EN PANNE'!$A$7:$A$50,'EN PANNE'!A25))-C25</f>
        <v>0</v>
      </c>
      <c r="C25" s="23">
        <f>(COUNTIF('2S EXPRESS'!$G$7:$G$50,'EN PANNE'!A25))+(COUNTIF('2 ZT'!$G$7:$G$50,'EN PANNE'!A25))+(COUNTIF('GO TRANSPORT'!$G$7:$G$50,'EN PANNE'!A25))+(COUNTIF('EN PANNE'!$G$7:$G$50,'EN PANNE'!A25))+(COUNTIF('IB TRANSPORT'!$G$7:$G$50,'EN PANNE'!A25))+(COUNTIF(JSL!$G$7:$G$50,'EN PANNE'!A25))+(COUNTIF(KIFAITOUT!$G$7:$G$50,'EN PANNE'!A25))+(COUNTIF('LUXE DRIVE'!$G$7:$G$50,'EN PANNE'!A25))+(COUNTIF(SSN!$G$7:$G$50,'EN PANNE'!A25))+(COUNTIF('W3'!$G$7:$G$50,'EN PANNE'!A25))+(COUNTIF('ATHIS MONS'!$G$7:$G$50,'EN PANNE'!A25))+(COUNTIF('L HAY LES ROSES'!$G$7:$G$50,'EN PANNE'!A25))+(COUNTIF(RUNGIS!$G$7:$G$50,'EN PANNE'!A25))+(COUNTIF(SCEAUX!$G$7:$G$50,'EN PANNE'!A25))+(COUNTIF('INSTANCE C1'!$G$7:$G$50,'EN PANNE'!A25))+(COUNTIF('INSTANCE C2'!$G$7:$G$50,'EN PANNE'!A25))+(COUNTIF(INTERNES!$G$7:$G$50,'EN PANNE'!A25))+(COUNTIF('EN PANNE'!$G$7:$G$50,'EN PANNE'!A25))</f>
        <v>0</v>
      </c>
      <c r="D25" s="28">
        <f t="shared" si="3"/>
        <v>0</v>
      </c>
      <c r="E25" s="2"/>
      <c r="F25" s="6">
        <f t="shared" si="0"/>
        <v>0</v>
      </c>
      <c r="G25" s="20"/>
      <c r="H25" s="23">
        <f>(COUNTIF('2S EXPRESS'!$G$7:$G$50,'EN PANNE'!G25))+(COUNTIF('2 ZT'!$G$7:$G$50,'EN PANNE'!G25))+(COUNTIF('GO TRANSPORT'!$G$7:$G$50,'EN PANNE'!G25))+(COUNTIF('HMZ - KAIS'!$G$7:$G$50,'EN PANNE'!G25))+(COUNTIF('IB TRANSPORT'!$G$7:$G$50,'EN PANNE'!G25))+(COUNTIF(JSL!$G$7:$G$50,'EN PANNE'!G25))+(COUNTIF(KIFAITOUT!$G$7:$G$50,'EN PANNE'!G25))+(COUNTIF('LUXE DRIVE'!$G$7:$G$50,'EN PANNE'!G25))+(COUNTIF(SSN!$G$7:$G$50,'EN PANNE'!G25))+(COUNTIF('W3'!$G$7:$G$50,'EN PANNE'!G25))+(COUNTIF('ATHIS MONS'!$G$7:$G$50,'EN PANNE'!G25))+(COUNTIF('L HAY LES ROSES'!$G$7:$G$50,'EN PANNE'!G25))+(COUNTIF(RUNGIS!$G$7:$G$50,'EN PANNE'!G25))+(COUNTIF(SCEAUX!$G$7:$G$50,'EN PANNE'!G25))+(COUNTIF('INSTANCE C1'!$G$7:$G$50,'EN PANNE'!G25))+(COUNTIF('INSTANCE C2'!$G$7:$G$50,'EN PANNE'!G25))+(COUNTIF(INTERNES!$G$7:$G$50,'EN PANNE'!G25))+(COUNTIF('EN PANNE'!$G$7:$G$50,'EN PANNE'!G25))-I25</f>
        <v>0</v>
      </c>
      <c r="I25" s="23">
        <f>(COUNTIF('2S EXPRESS'!$A$7:$A$50,'EN PANNE'!G25))+(COUNTIF('2 ZT'!$A$7:$A$50,'EN PANNE'!G25))+(COUNTIF('GO TRANSPORT'!$A$7:$A$50,'EN PANNE'!G25))+(COUNTIF('HMZ - KAIS'!$A$7:$A$50,'EN PANNE'!G25))+(COUNTIF('IB TRANSPORT'!$A$7:$A$50,'EN PANNE'!G25))+(COUNTIF(JSL!$A$7:$A$50,'EN PANNE'!G25))+(COUNTIF(KIFAITOUT!$A$7:$A$50,'EN PANNE'!G25))+(COUNTIF('LUXE DRIVE'!$A$7:$A$50,'EN PANNE'!G25))+(COUNTIF(SSN!$A$7:$A$50,'EN PANNE'!G25))+(COUNTIF('W3'!$A$7:$A$50,'EN PANNE'!G25))+(COUNTIF('ATHIS MONS'!$A$7:$A$50,'EN PANNE'!G25))+(COUNTIF('L HAY LES ROSES'!$A$7:$A$50,'EN PANNE'!G25))+(COUNTIF(RUNGIS!$A$7:$A$50,'EN PANNE'!G25))+(COUNTIF(SCEAUX!$A$7:$A$50,'EN PANNE'!G25))+(COUNTIF('INSTANCE C1'!$A$7:$A$50,'EN PANNE'!G25))+(COUNTIF('INSTANCE C2'!$A$7:$A$50,'EN PANNE'!G25))+(COUNTIF(INTERNES!$A$7:$A$50,'EN PANNE'!G25))+(COUNTIF('EN PANNE'!$A$7:$A$50,'EN PANNE'!G25))</f>
        <v>0</v>
      </c>
      <c r="J25" s="28">
        <f t="shared" si="4"/>
        <v>0</v>
      </c>
      <c r="K25" s="2"/>
      <c r="L25" s="47"/>
      <c r="M25" s="9"/>
      <c r="N25" s="9"/>
      <c r="O25" s="9"/>
      <c r="P25" s="9"/>
      <c r="S25" s="60">
        <f t="shared" si="1"/>
        <v>0</v>
      </c>
      <c r="T25" s="67">
        <f t="shared" si="2"/>
        <v>0</v>
      </c>
    </row>
    <row r="26" spans="1:20" ht="24.95" customHeight="1" x14ac:dyDescent="0.2">
      <c r="A26" s="20"/>
      <c r="B26" s="23">
        <f>(COUNTIF('2S EXPRESS'!$A$7:$A$50,'EN PANNE'!A26))+(COUNTIF('2 ZT'!$A$7:$A$50,'EN PANNE'!A26))+(COUNTIF('GO TRANSPORT'!$A$7:$A$50,'EN PANNE'!A26))+(COUNTIF('HMZ - KAIS'!$A$7:$A$50,'EN PANNE'!A26))+(COUNTIF('IB TRANSPORT'!$A$7:$A$50,'EN PANNE'!A26))+(COUNTIF(JSL!$A$7:$A$50,'EN PANNE'!A26))+(COUNTIF(KIFAITOUT!$A$7:$A$50,'EN PANNE'!A26))+(COUNTIF('LUXE DRIVE'!$A$7:$A$50,'EN PANNE'!A26))+(COUNTIF(SSN!$A$7:$A$50,'EN PANNE'!A26))+(COUNTIF('W3'!$A$7:$A$50,'EN PANNE'!A26))+(COUNTIF('ATHIS MONS'!$A$7:$A$50,'EN PANNE'!A26))+(COUNTIF('L HAY LES ROSES'!$A$7:$A$50,'EN PANNE'!A26))+(COUNTIF(RUNGIS!$A$7:$A$50,'EN PANNE'!A26))+(COUNTIF(SCEAUX!$A$7:$A$50,'EN PANNE'!A26))+(COUNTIF('INSTANCE C1'!$A$7:$A$50,'EN PANNE'!A26))+(COUNTIF('INSTANCE C2'!$A$7:$A$50,'EN PANNE'!A26))+(COUNTIF(INTERNES!$A$7:$A$50,'EN PANNE'!A26))+(COUNTIF('EN PANNE'!$A$7:$A$50,'EN PANNE'!A26))-C26</f>
        <v>0</v>
      </c>
      <c r="C26" s="23">
        <f>(COUNTIF('2S EXPRESS'!$G$7:$G$50,'EN PANNE'!A26))+(COUNTIF('2 ZT'!$G$7:$G$50,'EN PANNE'!A26))+(COUNTIF('GO TRANSPORT'!$G$7:$G$50,'EN PANNE'!A26))+(COUNTIF('EN PANNE'!$G$7:$G$50,'EN PANNE'!A26))+(COUNTIF('IB TRANSPORT'!$G$7:$G$50,'EN PANNE'!A26))+(COUNTIF(JSL!$G$7:$G$50,'EN PANNE'!A26))+(COUNTIF(KIFAITOUT!$G$7:$G$50,'EN PANNE'!A26))+(COUNTIF('LUXE DRIVE'!$G$7:$G$50,'EN PANNE'!A26))+(COUNTIF(SSN!$G$7:$G$50,'EN PANNE'!A26))+(COUNTIF('W3'!$G$7:$G$50,'EN PANNE'!A26))+(COUNTIF('ATHIS MONS'!$G$7:$G$50,'EN PANNE'!A26))+(COUNTIF('L HAY LES ROSES'!$G$7:$G$50,'EN PANNE'!A26))+(COUNTIF(RUNGIS!$G$7:$G$50,'EN PANNE'!A26))+(COUNTIF(SCEAUX!$G$7:$G$50,'EN PANNE'!A26))+(COUNTIF('INSTANCE C1'!$G$7:$G$50,'EN PANNE'!A26))+(COUNTIF('INSTANCE C2'!$G$7:$G$50,'EN PANNE'!A26))+(COUNTIF(INTERNES!$G$7:$G$50,'EN PANNE'!A26))+(COUNTIF('EN PANNE'!$G$7:$G$50,'EN PANNE'!A26))</f>
        <v>0</v>
      </c>
      <c r="D26" s="28">
        <f t="shared" si="3"/>
        <v>0</v>
      </c>
      <c r="E26" s="2"/>
      <c r="F26" s="6">
        <f t="shared" si="0"/>
        <v>0</v>
      </c>
      <c r="G26" s="20"/>
      <c r="H26" s="23">
        <f>(COUNTIF('2S EXPRESS'!$G$7:$G$50,'EN PANNE'!G26))+(COUNTIF('2 ZT'!$G$7:$G$50,'EN PANNE'!G26))+(COUNTIF('GO TRANSPORT'!$G$7:$G$50,'EN PANNE'!G26))+(COUNTIF('HMZ - KAIS'!$G$7:$G$50,'EN PANNE'!G26))+(COUNTIF('IB TRANSPORT'!$G$7:$G$50,'EN PANNE'!G26))+(COUNTIF(JSL!$G$7:$G$50,'EN PANNE'!G26))+(COUNTIF(KIFAITOUT!$G$7:$G$50,'EN PANNE'!G26))+(COUNTIF('LUXE DRIVE'!$G$7:$G$50,'EN PANNE'!G26))+(COUNTIF(SSN!$G$7:$G$50,'EN PANNE'!G26))+(COUNTIF('W3'!$G$7:$G$50,'EN PANNE'!G26))+(COUNTIF('ATHIS MONS'!$G$7:$G$50,'EN PANNE'!G26))+(COUNTIF('L HAY LES ROSES'!$G$7:$G$50,'EN PANNE'!G26))+(COUNTIF(RUNGIS!$G$7:$G$50,'EN PANNE'!G26))+(COUNTIF(SCEAUX!$G$7:$G$50,'EN PANNE'!G26))+(COUNTIF('INSTANCE C1'!$G$7:$G$50,'EN PANNE'!G26))+(COUNTIF('INSTANCE C2'!$G$7:$G$50,'EN PANNE'!G26))+(COUNTIF(INTERNES!$G$7:$G$50,'EN PANNE'!G26))+(COUNTIF('EN PANNE'!$G$7:$G$50,'EN PANNE'!G26))-I26</f>
        <v>0</v>
      </c>
      <c r="I26" s="23">
        <f>(COUNTIF('2S EXPRESS'!$A$7:$A$50,'EN PANNE'!G26))+(COUNTIF('2 ZT'!$A$7:$A$50,'EN PANNE'!G26))+(COUNTIF('GO TRANSPORT'!$A$7:$A$50,'EN PANNE'!G26))+(COUNTIF('HMZ - KAIS'!$A$7:$A$50,'EN PANNE'!G26))+(COUNTIF('IB TRANSPORT'!$A$7:$A$50,'EN PANNE'!G26))+(COUNTIF(JSL!$A$7:$A$50,'EN PANNE'!G26))+(COUNTIF(KIFAITOUT!$A$7:$A$50,'EN PANNE'!G26))+(COUNTIF('LUXE DRIVE'!$A$7:$A$50,'EN PANNE'!G26))+(COUNTIF(SSN!$A$7:$A$50,'EN PANNE'!G26))+(COUNTIF('W3'!$A$7:$A$50,'EN PANNE'!G26))+(COUNTIF('ATHIS MONS'!$A$7:$A$50,'EN PANNE'!G26))+(COUNTIF('L HAY LES ROSES'!$A$7:$A$50,'EN PANNE'!G26))+(COUNTIF(RUNGIS!$A$7:$A$50,'EN PANNE'!G26))+(COUNTIF(SCEAUX!$A$7:$A$50,'EN PANNE'!G26))+(COUNTIF('INSTANCE C1'!$A$7:$A$50,'EN PANNE'!G26))+(COUNTIF('INSTANCE C2'!$A$7:$A$50,'EN PANNE'!G26))+(COUNTIF(INTERNES!$A$7:$A$50,'EN PANNE'!G26))+(COUNTIF('EN PANNE'!$A$7:$A$50,'EN PANNE'!G26))</f>
        <v>0</v>
      </c>
      <c r="J26" s="28">
        <f t="shared" si="4"/>
        <v>0</v>
      </c>
      <c r="K26" s="2"/>
      <c r="L26" s="47"/>
      <c r="M26" s="9"/>
      <c r="N26" s="9"/>
      <c r="O26" s="9"/>
      <c r="P26" s="9"/>
      <c r="S26" s="60">
        <f t="shared" si="1"/>
        <v>0</v>
      </c>
      <c r="T26" s="67">
        <f t="shared" si="2"/>
        <v>0</v>
      </c>
    </row>
    <row r="27" spans="1:20" ht="24.95" customHeight="1" x14ac:dyDescent="0.2">
      <c r="A27" s="20"/>
      <c r="B27" s="23">
        <f>(COUNTIF('2S EXPRESS'!$A$7:$A$50,'EN PANNE'!A27))+(COUNTIF('2 ZT'!$A$7:$A$50,'EN PANNE'!A27))+(COUNTIF('GO TRANSPORT'!$A$7:$A$50,'EN PANNE'!A27))+(COUNTIF('HMZ - KAIS'!$A$7:$A$50,'EN PANNE'!A27))+(COUNTIF('IB TRANSPORT'!$A$7:$A$50,'EN PANNE'!A27))+(COUNTIF(JSL!$A$7:$A$50,'EN PANNE'!A27))+(COUNTIF(KIFAITOUT!$A$7:$A$50,'EN PANNE'!A27))+(COUNTIF('LUXE DRIVE'!$A$7:$A$50,'EN PANNE'!A27))+(COUNTIF(SSN!$A$7:$A$50,'EN PANNE'!A27))+(COUNTIF('W3'!$A$7:$A$50,'EN PANNE'!A27))+(COUNTIF('ATHIS MONS'!$A$7:$A$50,'EN PANNE'!A27))+(COUNTIF('L HAY LES ROSES'!$A$7:$A$50,'EN PANNE'!A27))+(COUNTIF(RUNGIS!$A$7:$A$50,'EN PANNE'!A27))+(COUNTIF(SCEAUX!$A$7:$A$50,'EN PANNE'!A27))+(COUNTIF('INSTANCE C1'!$A$7:$A$50,'EN PANNE'!A27))+(COUNTIF('INSTANCE C2'!$A$7:$A$50,'EN PANNE'!A27))+(COUNTIF(INTERNES!$A$7:$A$50,'EN PANNE'!A27))+(COUNTIF('EN PANNE'!$A$7:$A$50,'EN PANNE'!A27))-C27</f>
        <v>0</v>
      </c>
      <c r="C27" s="23">
        <f>(COUNTIF('2S EXPRESS'!$G$7:$G$50,'EN PANNE'!A27))+(COUNTIF('2 ZT'!$G$7:$G$50,'EN PANNE'!A27))+(COUNTIF('GO TRANSPORT'!$G$7:$G$50,'EN PANNE'!A27))+(COUNTIF('EN PANNE'!$G$7:$G$50,'EN PANNE'!A27))+(COUNTIF('IB TRANSPORT'!$G$7:$G$50,'EN PANNE'!A27))+(COUNTIF(JSL!$G$7:$G$50,'EN PANNE'!A27))+(COUNTIF(KIFAITOUT!$G$7:$G$50,'EN PANNE'!A27))+(COUNTIF('LUXE DRIVE'!$G$7:$G$50,'EN PANNE'!A27))+(COUNTIF(SSN!$G$7:$G$50,'EN PANNE'!A27))+(COUNTIF('W3'!$G$7:$G$50,'EN PANNE'!A27))+(COUNTIF('ATHIS MONS'!$G$7:$G$50,'EN PANNE'!A27))+(COUNTIF('L HAY LES ROSES'!$G$7:$G$50,'EN PANNE'!A27))+(COUNTIF(RUNGIS!$G$7:$G$50,'EN PANNE'!A27))+(COUNTIF(SCEAUX!$G$7:$G$50,'EN PANNE'!A27))+(COUNTIF('INSTANCE C1'!$G$7:$G$50,'EN PANNE'!A27))+(COUNTIF('INSTANCE C2'!$G$7:$G$50,'EN PANNE'!A27))+(COUNTIF(INTERNES!$G$7:$G$50,'EN PANNE'!A27))+(COUNTIF('EN PANNE'!$G$7:$G$50,'EN PANNE'!A27))</f>
        <v>0</v>
      </c>
      <c r="D27" s="28">
        <f t="shared" si="3"/>
        <v>0</v>
      </c>
      <c r="E27" s="2"/>
      <c r="F27" s="6">
        <f t="shared" si="0"/>
        <v>0</v>
      </c>
      <c r="G27" s="20"/>
      <c r="H27" s="23">
        <f>(COUNTIF('2S EXPRESS'!$G$7:$G$50,'EN PANNE'!G27))+(COUNTIF('2 ZT'!$G$7:$G$50,'EN PANNE'!G27))+(COUNTIF('GO TRANSPORT'!$G$7:$G$50,'EN PANNE'!G27))+(COUNTIF('HMZ - KAIS'!$G$7:$G$50,'EN PANNE'!G27))+(COUNTIF('IB TRANSPORT'!$G$7:$G$50,'EN PANNE'!G27))+(COUNTIF(JSL!$G$7:$G$50,'EN PANNE'!G27))+(COUNTIF(KIFAITOUT!$G$7:$G$50,'EN PANNE'!G27))+(COUNTIF('LUXE DRIVE'!$G$7:$G$50,'EN PANNE'!G27))+(COUNTIF(SSN!$G$7:$G$50,'EN PANNE'!G27))+(COUNTIF('W3'!$G$7:$G$50,'EN PANNE'!G27))+(COUNTIF('ATHIS MONS'!$G$7:$G$50,'EN PANNE'!G27))+(COUNTIF('L HAY LES ROSES'!$G$7:$G$50,'EN PANNE'!G27))+(COUNTIF(RUNGIS!$G$7:$G$50,'EN PANNE'!G27))+(COUNTIF(SCEAUX!$G$7:$G$50,'EN PANNE'!G27))+(COUNTIF('INSTANCE C1'!$G$7:$G$50,'EN PANNE'!G27))+(COUNTIF('INSTANCE C2'!$G$7:$G$50,'EN PANNE'!G27))+(COUNTIF(INTERNES!$G$7:$G$50,'EN PANNE'!G27))+(COUNTIF('EN PANNE'!$G$7:$G$50,'EN PANNE'!G27))-I27</f>
        <v>0</v>
      </c>
      <c r="I27" s="23">
        <f>(COUNTIF('2S EXPRESS'!$A$7:$A$50,'EN PANNE'!G27))+(COUNTIF('2 ZT'!$A$7:$A$50,'EN PANNE'!G27))+(COUNTIF('GO TRANSPORT'!$A$7:$A$50,'EN PANNE'!G27))+(COUNTIF('HMZ - KAIS'!$A$7:$A$50,'EN PANNE'!G27))+(COUNTIF('IB TRANSPORT'!$A$7:$A$50,'EN PANNE'!G27))+(COUNTIF(JSL!$A$7:$A$50,'EN PANNE'!G27))+(COUNTIF(KIFAITOUT!$A$7:$A$50,'EN PANNE'!G27))+(COUNTIF('LUXE DRIVE'!$A$7:$A$50,'EN PANNE'!G27))+(COUNTIF(SSN!$A$7:$A$50,'EN PANNE'!G27))+(COUNTIF('W3'!$A$7:$A$50,'EN PANNE'!G27))+(COUNTIF('ATHIS MONS'!$A$7:$A$50,'EN PANNE'!G27))+(COUNTIF('L HAY LES ROSES'!$A$7:$A$50,'EN PANNE'!G27))+(COUNTIF(RUNGIS!$A$7:$A$50,'EN PANNE'!G27))+(COUNTIF(SCEAUX!$A$7:$A$50,'EN PANNE'!G27))+(COUNTIF('INSTANCE C1'!$A$7:$A$50,'EN PANNE'!G27))+(COUNTIF('INSTANCE C2'!$A$7:$A$50,'EN PANNE'!G27))+(COUNTIF(INTERNES!$A$7:$A$50,'EN PANNE'!G27))+(COUNTIF('EN PANNE'!$A$7:$A$50,'EN PANNE'!G27))</f>
        <v>0</v>
      </c>
      <c r="J27" s="28">
        <f t="shared" si="4"/>
        <v>0</v>
      </c>
      <c r="K27" s="2"/>
      <c r="L27" s="47"/>
      <c r="M27" s="9"/>
      <c r="N27" s="9"/>
      <c r="O27" s="9"/>
      <c r="P27" s="9"/>
      <c r="S27" s="60">
        <f t="shared" si="1"/>
        <v>0</v>
      </c>
      <c r="T27" s="67">
        <f t="shared" si="2"/>
        <v>0</v>
      </c>
    </row>
    <row r="28" spans="1:20" ht="24.95" customHeight="1" x14ac:dyDescent="0.2">
      <c r="A28" s="20"/>
      <c r="B28" s="23">
        <f>(COUNTIF('2S EXPRESS'!$A$7:$A$50,'EN PANNE'!A28))+(COUNTIF('2 ZT'!$A$7:$A$50,'EN PANNE'!A28))+(COUNTIF('GO TRANSPORT'!$A$7:$A$50,'EN PANNE'!A28))+(COUNTIF('HMZ - KAIS'!$A$7:$A$50,'EN PANNE'!A28))+(COUNTIF('IB TRANSPORT'!$A$7:$A$50,'EN PANNE'!A28))+(COUNTIF(JSL!$A$7:$A$50,'EN PANNE'!A28))+(COUNTIF(KIFAITOUT!$A$7:$A$50,'EN PANNE'!A28))+(COUNTIF('LUXE DRIVE'!$A$7:$A$50,'EN PANNE'!A28))+(COUNTIF(SSN!$A$7:$A$50,'EN PANNE'!A28))+(COUNTIF('W3'!$A$7:$A$50,'EN PANNE'!A28))+(COUNTIF('ATHIS MONS'!$A$7:$A$50,'EN PANNE'!A28))+(COUNTIF('L HAY LES ROSES'!$A$7:$A$50,'EN PANNE'!A28))+(COUNTIF(RUNGIS!$A$7:$A$50,'EN PANNE'!A28))+(COUNTIF(SCEAUX!$A$7:$A$50,'EN PANNE'!A28))+(COUNTIF('INSTANCE C1'!$A$7:$A$50,'EN PANNE'!A28))+(COUNTIF('INSTANCE C2'!$A$7:$A$50,'EN PANNE'!A28))+(COUNTIF(INTERNES!$A$7:$A$50,'EN PANNE'!A28))+(COUNTIF('EN PANNE'!$A$7:$A$50,'EN PANNE'!A28))-C28</f>
        <v>0</v>
      </c>
      <c r="C28" s="23">
        <f>(COUNTIF('2S EXPRESS'!$G$7:$G$50,'EN PANNE'!A28))+(COUNTIF('2 ZT'!$G$7:$G$50,'EN PANNE'!A28))+(COUNTIF('GO TRANSPORT'!$G$7:$G$50,'EN PANNE'!A28))+(COUNTIF('EN PANNE'!$G$7:$G$50,'EN PANNE'!A28))+(COUNTIF('IB TRANSPORT'!$G$7:$G$50,'EN PANNE'!A28))+(COUNTIF(JSL!$G$7:$G$50,'EN PANNE'!A28))+(COUNTIF(KIFAITOUT!$G$7:$G$50,'EN PANNE'!A28))+(COUNTIF('LUXE DRIVE'!$G$7:$G$50,'EN PANNE'!A28))+(COUNTIF(SSN!$G$7:$G$50,'EN PANNE'!A28))+(COUNTIF('W3'!$G$7:$G$50,'EN PANNE'!A28))+(COUNTIF('ATHIS MONS'!$G$7:$G$50,'EN PANNE'!A28))+(COUNTIF('L HAY LES ROSES'!$G$7:$G$50,'EN PANNE'!A28))+(COUNTIF(RUNGIS!$G$7:$G$50,'EN PANNE'!A28))+(COUNTIF(SCEAUX!$G$7:$G$50,'EN PANNE'!A28))+(COUNTIF('INSTANCE C1'!$G$7:$G$50,'EN PANNE'!A28))+(COUNTIF('INSTANCE C2'!$G$7:$G$50,'EN PANNE'!A28))+(COUNTIF(INTERNES!$G$7:$G$50,'EN PANNE'!A28))+(COUNTIF('EN PANNE'!$G$7:$G$50,'EN PANNE'!A28))</f>
        <v>0</v>
      </c>
      <c r="D28" s="28">
        <f t="shared" si="3"/>
        <v>0</v>
      </c>
      <c r="E28" s="2"/>
      <c r="F28" s="6">
        <f t="shared" si="0"/>
        <v>0</v>
      </c>
      <c r="G28" s="20"/>
      <c r="H28" s="23">
        <f>(COUNTIF('2S EXPRESS'!$G$7:$G$50,'EN PANNE'!G28))+(COUNTIF('2 ZT'!$G$7:$G$50,'EN PANNE'!G28))+(COUNTIF('GO TRANSPORT'!$G$7:$G$50,'EN PANNE'!G28))+(COUNTIF('HMZ - KAIS'!$G$7:$G$50,'EN PANNE'!G28))+(COUNTIF('IB TRANSPORT'!$G$7:$G$50,'EN PANNE'!G28))+(COUNTIF(JSL!$G$7:$G$50,'EN PANNE'!G28))+(COUNTIF(KIFAITOUT!$G$7:$G$50,'EN PANNE'!G28))+(COUNTIF('LUXE DRIVE'!$G$7:$G$50,'EN PANNE'!G28))+(COUNTIF(SSN!$G$7:$G$50,'EN PANNE'!G28))+(COUNTIF('W3'!$G$7:$G$50,'EN PANNE'!G28))+(COUNTIF('ATHIS MONS'!$G$7:$G$50,'EN PANNE'!G28))+(COUNTIF('L HAY LES ROSES'!$G$7:$G$50,'EN PANNE'!G28))+(COUNTIF(RUNGIS!$G$7:$G$50,'EN PANNE'!G28))+(COUNTIF(SCEAUX!$G$7:$G$50,'EN PANNE'!G28))+(COUNTIF('INSTANCE C1'!$G$7:$G$50,'EN PANNE'!G28))+(COUNTIF('INSTANCE C2'!$G$7:$G$50,'EN PANNE'!G28))+(COUNTIF(INTERNES!$G$7:$G$50,'EN PANNE'!G28))+(COUNTIF('EN PANNE'!$G$7:$G$50,'EN PANNE'!G28))-I28</f>
        <v>0</v>
      </c>
      <c r="I28" s="23">
        <f>(COUNTIF('2S EXPRESS'!$A$7:$A$50,'EN PANNE'!G28))+(COUNTIF('2 ZT'!$A$7:$A$50,'EN PANNE'!G28))+(COUNTIF('GO TRANSPORT'!$A$7:$A$50,'EN PANNE'!G28))+(COUNTIF('HMZ - KAIS'!$A$7:$A$50,'EN PANNE'!G28))+(COUNTIF('IB TRANSPORT'!$A$7:$A$50,'EN PANNE'!G28))+(COUNTIF(JSL!$A$7:$A$50,'EN PANNE'!G28))+(COUNTIF(KIFAITOUT!$A$7:$A$50,'EN PANNE'!G28))+(COUNTIF('LUXE DRIVE'!$A$7:$A$50,'EN PANNE'!G28))+(COUNTIF(SSN!$A$7:$A$50,'EN PANNE'!G28))+(COUNTIF('W3'!$A$7:$A$50,'EN PANNE'!G28))+(COUNTIF('ATHIS MONS'!$A$7:$A$50,'EN PANNE'!G28))+(COUNTIF('L HAY LES ROSES'!$A$7:$A$50,'EN PANNE'!G28))+(COUNTIF(RUNGIS!$A$7:$A$50,'EN PANNE'!G28))+(COUNTIF(SCEAUX!$A$7:$A$50,'EN PANNE'!G28))+(COUNTIF('INSTANCE C1'!$A$7:$A$50,'EN PANNE'!G28))+(COUNTIF('INSTANCE C2'!$A$7:$A$50,'EN PANNE'!G28))+(COUNTIF(INTERNES!$A$7:$A$50,'EN PANNE'!G28))+(COUNTIF('EN PANNE'!$A$7:$A$50,'EN PANNE'!G28))</f>
        <v>0</v>
      </c>
      <c r="J28" s="28">
        <f t="shared" si="4"/>
        <v>0</v>
      </c>
      <c r="K28" s="2"/>
      <c r="L28" s="47"/>
      <c r="M28" s="9"/>
      <c r="N28" s="9"/>
      <c r="O28" s="9"/>
      <c r="P28" s="9"/>
      <c r="S28" s="60">
        <f t="shared" si="1"/>
        <v>0</v>
      </c>
      <c r="T28" s="67">
        <f t="shared" si="2"/>
        <v>0</v>
      </c>
    </row>
    <row r="29" spans="1:20" ht="24.95" customHeight="1" x14ac:dyDescent="0.2">
      <c r="A29" s="20"/>
      <c r="B29" s="23">
        <f>(COUNTIF('2S EXPRESS'!$A$7:$A$50,'EN PANNE'!A29))+(COUNTIF('2 ZT'!$A$7:$A$50,'EN PANNE'!A29))+(COUNTIF('GO TRANSPORT'!$A$7:$A$50,'EN PANNE'!A29))+(COUNTIF('HMZ - KAIS'!$A$7:$A$50,'EN PANNE'!A29))+(COUNTIF('IB TRANSPORT'!$A$7:$A$50,'EN PANNE'!A29))+(COUNTIF(JSL!$A$7:$A$50,'EN PANNE'!A29))+(COUNTIF(KIFAITOUT!$A$7:$A$50,'EN PANNE'!A29))+(COUNTIF('LUXE DRIVE'!$A$7:$A$50,'EN PANNE'!A29))+(COUNTIF(SSN!$A$7:$A$50,'EN PANNE'!A29))+(COUNTIF('W3'!$A$7:$A$50,'EN PANNE'!A29))+(COUNTIF('ATHIS MONS'!$A$7:$A$50,'EN PANNE'!A29))+(COUNTIF('L HAY LES ROSES'!$A$7:$A$50,'EN PANNE'!A29))+(COUNTIF(RUNGIS!$A$7:$A$50,'EN PANNE'!A29))+(COUNTIF(SCEAUX!$A$7:$A$50,'EN PANNE'!A29))+(COUNTIF('INSTANCE C1'!$A$7:$A$50,'EN PANNE'!A29))+(COUNTIF('INSTANCE C2'!$A$7:$A$50,'EN PANNE'!A29))+(COUNTIF(INTERNES!$A$7:$A$50,'EN PANNE'!A29))+(COUNTIF('EN PANNE'!$A$7:$A$50,'EN PANNE'!A29))-C29</f>
        <v>0</v>
      </c>
      <c r="C29" s="23">
        <f>(COUNTIF('2S EXPRESS'!$G$7:$G$50,'EN PANNE'!A29))+(COUNTIF('2 ZT'!$G$7:$G$50,'EN PANNE'!A29))+(COUNTIF('GO TRANSPORT'!$G$7:$G$50,'EN PANNE'!A29))+(COUNTIF('EN PANNE'!$G$7:$G$50,'EN PANNE'!A29))+(COUNTIF('IB TRANSPORT'!$G$7:$G$50,'EN PANNE'!A29))+(COUNTIF(JSL!$G$7:$G$50,'EN PANNE'!A29))+(COUNTIF(KIFAITOUT!$G$7:$G$50,'EN PANNE'!A29))+(COUNTIF('LUXE DRIVE'!$G$7:$G$50,'EN PANNE'!A29))+(COUNTIF(SSN!$G$7:$G$50,'EN PANNE'!A29))+(COUNTIF('W3'!$G$7:$G$50,'EN PANNE'!A29))+(COUNTIF('ATHIS MONS'!$G$7:$G$50,'EN PANNE'!A29))+(COUNTIF('L HAY LES ROSES'!$G$7:$G$50,'EN PANNE'!A29))+(COUNTIF(RUNGIS!$G$7:$G$50,'EN PANNE'!A29))+(COUNTIF(SCEAUX!$G$7:$G$50,'EN PANNE'!A29))+(COUNTIF('INSTANCE C1'!$G$7:$G$50,'EN PANNE'!A29))+(COUNTIF('INSTANCE C2'!$G$7:$G$50,'EN PANNE'!A29))+(COUNTIF(INTERNES!$G$7:$G$50,'EN PANNE'!A29))+(COUNTIF('EN PANNE'!$G$7:$G$50,'EN PANNE'!A29))</f>
        <v>0</v>
      </c>
      <c r="D29" s="28">
        <f t="shared" si="3"/>
        <v>0</v>
      </c>
      <c r="E29" s="2"/>
      <c r="F29" s="6">
        <f t="shared" si="0"/>
        <v>0</v>
      </c>
      <c r="G29" s="20"/>
      <c r="H29" s="23">
        <f>(COUNTIF('2S EXPRESS'!$G$7:$G$50,'EN PANNE'!G29))+(COUNTIF('2 ZT'!$G$7:$G$50,'EN PANNE'!G29))+(COUNTIF('GO TRANSPORT'!$G$7:$G$50,'EN PANNE'!G29))+(COUNTIF('HMZ - KAIS'!$G$7:$G$50,'EN PANNE'!G29))+(COUNTIF('IB TRANSPORT'!$G$7:$G$50,'EN PANNE'!G29))+(COUNTIF(JSL!$G$7:$G$50,'EN PANNE'!G29))+(COUNTIF(KIFAITOUT!$G$7:$G$50,'EN PANNE'!G29))+(COUNTIF('LUXE DRIVE'!$G$7:$G$50,'EN PANNE'!G29))+(COUNTIF(SSN!$G$7:$G$50,'EN PANNE'!G29))+(COUNTIF('W3'!$G$7:$G$50,'EN PANNE'!G29))+(COUNTIF('ATHIS MONS'!$G$7:$G$50,'EN PANNE'!G29))+(COUNTIF('L HAY LES ROSES'!$G$7:$G$50,'EN PANNE'!G29))+(COUNTIF(RUNGIS!$G$7:$G$50,'EN PANNE'!G29))+(COUNTIF(SCEAUX!$G$7:$G$50,'EN PANNE'!G29))+(COUNTIF('INSTANCE C1'!$G$7:$G$50,'EN PANNE'!G29))+(COUNTIF('INSTANCE C2'!$G$7:$G$50,'EN PANNE'!G29))+(COUNTIF(INTERNES!$G$7:$G$50,'EN PANNE'!G29))+(COUNTIF('EN PANNE'!$G$7:$G$50,'EN PANNE'!G29))-I29</f>
        <v>0</v>
      </c>
      <c r="I29" s="23">
        <f>(COUNTIF('2S EXPRESS'!$A$7:$A$50,'EN PANNE'!G29))+(COUNTIF('2 ZT'!$A$7:$A$50,'EN PANNE'!G29))+(COUNTIF('GO TRANSPORT'!$A$7:$A$50,'EN PANNE'!G29))+(COUNTIF('HMZ - KAIS'!$A$7:$A$50,'EN PANNE'!G29))+(COUNTIF('IB TRANSPORT'!$A$7:$A$50,'EN PANNE'!G29))+(COUNTIF(JSL!$A$7:$A$50,'EN PANNE'!G29))+(COUNTIF(KIFAITOUT!$A$7:$A$50,'EN PANNE'!G29))+(COUNTIF('LUXE DRIVE'!$A$7:$A$50,'EN PANNE'!G29))+(COUNTIF(SSN!$A$7:$A$50,'EN PANNE'!G29))+(COUNTIF('W3'!$A$7:$A$50,'EN PANNE'!G29))+(COUNTIF('ATHIS MONS'!$A$7:$A$50,'EN PANNE'!G29))+(COUNTIF('L HAY LES ROSES'!$A$7:$A$50,'EN PANNE'!G29))+(COUNTIF(RUNGIS!$A$7:$A$50,'EN PANNE'!G29))+(COUNTIF(SCEAUX!$A$7:$A$50,'EN PANNE'!G29))+(COUNTIF('INSTANCE C1'!$A$7:$A$50,'EN PANNE'!G29))+(COUNTIF('INSTANCE C2'!$A$7:$A$50,'EN PANNE'!G29))+(COUNTIF(INTERNES!$A$7:$A$50,'EN PANNE'!G29))+(COUNTIF('EN PANNE'!$A$7:$A$50,'EN PANNE'!G29))</f>
        <v>0</v>
      </c>
      <c r="J29" s="28">
        <f t="shared" si="4"/>
        <v>0</v>
      </c>
      <c r="K29" s="2"/>
      <c r="L29" s="47"/>
      <c r="M29" s="9"/>
      <c r="N29" s="9"/>
      <c r="O29" s="9"/>
      <c r="P29" s="9"/>
      <c r="S29" s="60">
        <f t="shared" si="1"/>
        <v>0</v>
      </c>
      <c r="T29" s="67">
        <f t="shared" si="2"/>
        <v>0</v>
      </c>
    </row>
    <row r="30" spans="1:20" ht="24.95" customHeight="1" x14ac:dyDescent="0.2">
      <c r="A30" s="20"/>
      <c r="B30" s="23">
        <f>(COUNTIF('2S EXPRESS'!$A$7:$A$50,'EN PANNE'!A30))+(COUNTIF('2 ZT'!$A$7:$A$50,'EN PANNE'!A30))+(COUNTIF('GO TRANSPORT'!$A$7:$A$50,'EN PANNE'!A30))+(COUNTIF('HMZ - KAIS'!$A$7:$A$50,'EN PANNE'!A30))+(COUNTIF('IB TRANSPORT'!$A$7:$A$50,'EN PANNE'!A30))+(COUNTIF(JSL!$A$7:$A$50,'EN PANNE'!A30))+(COUNTIF(KIFAITOUT!$A$7:$A$50,'EN PANNE'!A30))+(COUNTIF('LUXE DRIVE'!$A$7:$A$50,'EN PANNE'!A30))+(COUNTIF(SSN!$A$7:$A$50,'EN PANNE'!A30))+(COUNTIF('W3'!$A$7:$A$50,'EN PANNE'!A30))+(COUNTIF('ATHIS MONS'!$A$7:$A$50,'EN PANNE'!A30))+(COUNTIF('L HAY LES ROSES'!$A$7:$A$50,'EN PANNE'!A30))+(COUNTIF(RUNGIS!$A$7:$A$50,'EN PANNE'!A30))+(COUNTIF(SCEAUX!$A$7:$A$50,'EN PANNE'!A30))+(COUNTIF('INSTANCE C1'!$A$7:$A$50,'EN PANNE'!A30))+(COUNTIF('INSTANCE C2'!$A$7:$A$50,'EN PANNE'!A30))+(COUNTIF(INTERNES!$A$7:$A$50,'EN PANNE'!A30))+(COUNTIF('EN PANNE'!$A$7:$A$50,'EN PANNE'!A30))-C30</f>
        <v>0</v>
      </c>
      <c r="C30" s="23">
        <f>(COUNTIF('2S EXPRESS'!$G$7:$G$50,'EN PANNE'!A30))+(COUNTIF('2 ZT'!$G$7:$G$50,'EN PANNE'!A30))+(COUNTIF('GO TRANSPORT'!$G$7:$G$50,'EN PANNE'!A30))+(COUNTIF('EN PANNE'!$G$7:$G$50,'EN PANNE'!A30))+(COUNTIF('IB TRANSPORT'!$G$7:$G$50,'EN PANNE'!A30))+(COUNTIF(JSL!$G$7:$G$50,'EN PANNE'!A30))+(COUNTIF(KIFAITOUT!$G$7:$G$50,'EN PANNE'!A30))+(COUNTIF('LUXE DRIVE'!$G$7:$G$50,'EN PANNE'!A30))+(COUNTIF(SSN!$G$7:$G$50,'EN PANNE'!A30))+(COUNTIF('W3'!$G$7:$G$50,'EN PANNE'!A30))+(COUNTIF('ATHIS MONS'!$G$7:$G$50,'EN PANNE'!A30))+(COUNTIF('L HAY LES ROSES'!$G$7:$G$50,'EN PANNE'!A30))+(COUNTIF(RUNGIS!$G$7:$G$50,'EN PANNE'!A30))+(COUNTIF(SCEAUX!$G$7:$G$50,'EN PANNE'!A30))+(COUNTIF('INSTANCE C1'!$G$7:$G$50,'EN PANNE'!A30))+(COUNTIF('INSTANCE C2'!$G$7:$G$50,'EN PANNE'!A30))+(COUNTIF(INTERNES!$G$7:$G$50,'EN PANNE'!A30))+(COUNTIF('EN PANNE'!$G$7:$G$50,'EN PANNE'!A30))</f>
        <v>0</v>
      </c>
      <c r="D30" s="28">
        <f t="shared" si="3"/>
        <v>0</v>
      </c>
      <c r="E30" s="2"/>
      <c r="F30" s="6">
        <f t="shared" si="0"/>
        <v>0</v>
      </c>
      <c r="G30" s="20"/>
      <c r="H30" s="23">
        <f>(COUNTIF('2S EXPRESS'!$G$7:$G$50,'EN PANNE'!G30))+(COUNTIF('2 ZT'!$G$7:$G$50,'EN PANNE'!G30))+(COUNTIF('GO TRANSPORT'!$G$7:$G$50,'EN PANNE'!G30))+(COUNTIF('HMZ - KAIS'!$G$7:$G$50,'EN PANNE'!G30))+(COUNTIF('IB TRANSPORT'!$G$7:$G$50,'EN PANNE'!G30))+(COUNTIF(JSL!$G$7:$G$50,'EN PANNE'!G30))+(COUNTIF(KIFAITOUT!$G$7:$G$50,'EN PANNE'!G30))+(COUNTIF('LUXE DRIVE'!$G$7:$G$50,'EN PANNE'!G30))+(COUNTIF(SSN!$G$7:$G$50,'EN PANNE'!G30))+(COUNTIF('W3'!$G$7:$G$50,'EN PANNE'!G30))+(COUNTIF('ATHIS MONS'!$G$7:$G$50,'EN PANNE'!G30))+(COUNTIF('L HAY LES ROSES'!$G$7:$G$50,'EN PANNE'!G30))+(COUNTIF(RUNGIS!$G$7:$G$50,'EN PANNE'!G30))+(COUNTIF(SCEAUX!$G$7:$G$50,'EN PANNE'!G30))+(COUNTIF('INSTANCE C1'!$G$7:$G$50,'EN PANNE'!G30))+(COUNTIF('INSTANCE C2'!$G$7:$G$50,'EN PANNE'!G30))+(COUNTIF(INTERNES!$G$7:$G$50,'EN PANNE'!G30))+(COUNTIF('EN PANNE'!$G$7:$G$50,'EN PANNE'!G30))-I30</f>
        <v>0</v>
      </c>
      <c r="I30" s="23">
        <f>(COUNTIF('2S EXPRESS'!$A$7:$A$50,'EN PANNE'!G30))+(COUNTIF('2 ZT'!$A$7:$A$50,'EN PANNE'!G30))+(COUNTIF('GO TRANSPORT'!$A$7:$A$50,'EN PANNE'!G30))+(COUNTIF('HMZ - KAIS'!$A$7:$A$50,'EN PANNE'!G30))+(COUNTIF('IB TRANSPORT'!$A$7:$A$50,'EN PANNE'!G30))+(COUNTIF(JSL!$A$7:$A$50,'EN PANNE'!G30))+(COUNTIF(KIFAITOUT!$A$7:$A$50,'EN PANNE'!G30))+(COUNTIF('LUXE DRIVE'!$A$7:$A$50,'EN PANNE'!G30))+(COUNTIF(SSN!$A$7:$A$50,'EN PANNE'!G30))+(COUNTIF('W3'!$A$7:$A$50,'EN PANNE'!G30))+(COUNTIF('ATHIS MONS'!$A$7:$A$50,'EN PANNE'!G30))+(COUNTIF('L HAY LES ROSES'!$A$7:$A$50,'EN PANNE'!G30))+(COUNTIF(RUNGIS!$A$7:$A$50,'EN PANNE'!G30))+(COUNTIF(SCEAUX!$A$7:$A$50,'EN PANNE'!G30))+(COUNTIF('INSTANCE C1'!$A$7:$A$50,'EN PANNE'!G30))+(COUNTIF('INSTANCE C2'!$A$7:$A$50,'EN PANNE'!G30))+(COUNTIF(INTERNES!$A$7:$A$50,'EN PANNE'!G30))+(COUNTIF('EN PANNE'!$A$7:$A$50,'EN PANNE'!G30))</f>
        <v>0</v>
      </c>
      <c r="J30" s="28">
        <f t="shared" si="4"/>
        <v>0</v>
      </c>
      <c r="K30" s="2"/>
      <c r="L30" s="47"/>
      <c r="M30" s="9"/>
      <c r="N30" s="9"/>
      <c r="O30" s="9"/>
      <c r="P30" s="9"/>
      <c r="S30" s="60">
        <f t="shared" si="1"/>
        <v>0</v>
      </c>
      <c r="T30" s="67">
        <f t="shared" si="2"/>
        <v>0</v>
      </c>
    </row>
    <row r="31" spans="1:20" ht="24.95" customHeight="1" x14ac:dyDescent="0.2">
      <c r="A31" s="20"/>
      <c r="B31" s="23">
        <f>(COUNTIF('2S EXPRESS'!$A$7:$A$50,'EN PANNE'!A31))+(COUNTIF('2 ZT'!$A$7:$A$50,'EN PANNE'!A31))+(COUNTIF('GO TRANSPORT'!$A$7:$A$50,'EN PANNE'!A31))+(COUNTIF('HMZ - KAIS'!$A$7:$A$50,'EN PANNE'!A31))+(COUNTIF('IB TRANSPORT'!$A$7:$A$50,'EN PANNE'!A31))+(COUNTIF(JSL!$A$7:$A$50,'EN PANNE'!A31))+(COUNTIF(KIFAITOUT!$A$7:$A$50,'EN PANNE'!A31))+(COUNTIF('LUXE DRIVE'!$A$7:$A$50,'EN PANNE'!A31))+(COUNTIF(SSN!$A$7:$A$50,'EN PANNE'!A31))+(COUNTIF('W3'!$A$7:$A$50,'EN PANNE'!A31))+(COUNTIF('ATHIS MONS'!$A$7:$A$50,'EN PANNE'!A31))+(COUNTIF('L HAY LES ROSES'!$A$7:$A$50,'EN PANNE'!A31))+(COUNTIF(RUNGIS!$A$7:$A$50,'EN PANNE'!A31))+(COUNTIF(SCEAUX!$A$7:$A$50,'EN PANNE'!A31))+(COUNTIF('INSTANCE C1'!$A$7:$A$50,'EN PANNE'!A31))+(COUNTIF('INSTANCE C2'!$A$7:$A$50,'EN PANNE'!A31))+(COUNTIF(INTERNES!$A$7:$A$50,'EN PANNE'!A31))+(COUNTIF('EN PANNE'!$A$7:$A$50,'EN PANNE'!A31))-C31</f>
        <v>0</v>
      </c>
      <c r="C31" s="23">
        <f>(COUNTIF('2S EXPRESS'!$G$7:$G$50,'EN PANNE'!A31))+(COUNTIF('2 ZT'!$G$7:$G$50,'EN PANNE'!A31))+(COUNTIF('GO TRANSPORT'!$G$7:$G$50,'EN PANNE'!A31))+(COUNTIF('EN PANNE'!$G$7:$G$50,'EN PANNE'!A31))+(COUNTIF('IB TRANSPORT'!$G$7:$G$50,'EN PANNE'!A31))+(COUNTIF(JSL!$G$7:$G$50,'EN PANNE'!A31))+(COUNTIF(KIFAITOUT!$G$7:$G$50,'EN PANNE'!A31))+(COUNTIF('LUXE DRIVE'!$G$7:$G$50,'EN PANNE'!A31))+(COUNTIF(SSN!$G$7:$G$50,'EN PANNE'!A31))+(COUNTIF('W3'!$G$7:$G$50,'EN PANNE'!A31))+(COUNTIF('ATHIS MONS'!$G$7:$G$50,'EN PANNE'!A31))+(COUNTIF('L HAY LES ROSES'!$G$7:$G$50,'EN PANNE'!A31))+(COUNTIF(RUNGIS!$G$7:$G$50,'EN PANNE'!A31))+(COUNTIF(SCEAUX!$G$7:$G$50,'EN PANNE'!A31))+(COUNTIF('INSTANCE C1'!$G$7:$G$50,'EN PANNE'!A31))+(COUNTIF('INSTANCE C2'!$G$7:$G$50,'EN PANNE'!A31))+(COUNTIF(INTERNES!$G$7:$G$50,'EN PANNE'!A31))+(COUNTIF('EN PANNE'!$G$7:$G$50,'EN PANNE'!A31))</f>
        <v>0</v>
      </c>
      <c r="D31" s="28">
        <f t="shared" si="3"/>
        <v>0</v>
      </c>
      <c r="E31" s="2"/>
      <c r="F31" s="6">
        <f t="shared" si="0"/>
        <v>0</v>
      </c>
      <c r="G31" s="20"/>
      <c r="H31" s="23">
        <f>(COUNTIF('2S EXPRESS'!$G$7:$G$50,'EN PANNE'!G31))+(COUNTIF('2 ZT'!$G$7:$G$50,'EN PANNE'!G31))+(COUNTIF('GO TRANSPORT'!$G$7:$G$50,'EN PANNE'!G31))+(COUNTIF('HMZ - KAIS'!$G$7:$G$50,'EN PANNE'!G31))+(COUNTIF('IB TRANSPORT'!$G$7:$G$50,'EN PANNE'!G31))+(COUNTIF(JSL!$G$7:$G$50,'EN PANNE'!G31))+(COUNTIF(KIFAITOUT!$G$7:$G$50,'EN PANNE'!G31))+(COUNTIF('LUXE DRIVE'!$G$7:$G$50,'EN PANNE'!G31))+(COUNTIF(SSN!$G$7:$G$50,'EN PANNE'!G31))+(COUNTIF('W3'!$G$7:$G$50,'EN PANNE'!G31))+(COUNTIF('ATHIS MONS'!$G$7:$G$50,'EN PANNE'!G31))+(COUNTIF('L HAY LES ROSES'!$G$7:$G$50,'EN PANNE'!G31))+(COUNTIF(RUNGIS!$G$7:$G$50,'EN PANNE'!G31))+(COUNTIF(SCEAUX!$G$7:$G$50,'EN PANNE'!G31))+(COUNTIF('INSTANCE C1'!$G$7:$G$50,'EN PANNE'!G31))+(COUNTIF('INSTANCE C2'!$G$7:$G$50,'EN PANNE'!G31))+(COUNTIF(INTERNES!$G$7:$G$50,'EN PANNE'!G31))+(COUNTIF('EN PANNE'!$G$7:$G$50,'EN PANNE'!G31))-I31</f>
        <v>0</v>
      </c>
      <c r="I31" s="23">
        <f>(COUNTIF('2S EXPRESS'!$A$7:$A$50,'EN PANNE'!G31))+(COUNTIF('2 ZT'!$A$7:$A$50,'EN PANNE'!G31))+(COUNTIF('GO TRANSPORT'!$A$7:$A$50,'EN PANNE'!G31))+(COUNTIF('HMZ - KAIS'!$A$7:$A$50,'EN PANNE'!G31))+(COUNTIF('IB TRANSPORT'!$A$7:$A$50,'EN PANNE'!G31))+(COUNTIF(JSL!$A$7:$A$50,'EN PANNE'!G31))+(COUNTIF(KIFAITOUT!$A$7:$A$50,'EN PANNE'!G31))+(COUNTIF('LUXE DRIVE'!$A$7:$A$50,'EN PANNE'!G31))+(COUNTIF(SSN!$A$7:$A$50,'EN PANNE'!G31))+(COUNTIF('W3'!$A$7:$A$50,'EN PANNE'!G31))+(COUNTIF('ATHIS MONS'!$A$7:$A$50,'EN PANNE'!G31))+(COUNTIF('L HAY LES ROSES'!$A$7:$A$50,'EN PANNE'!G31))+(COUNTIF(RUNGIS!$A$7:$A$50,'EN PANNE'!G31))+(COUNTIF(SCEAUX!$A$7:$A$50,'EN PANNE'!G31))+(COUNTIF('INSTANCE C1'!$A$7:$A$50,'EN PANNE'!G31))+(COUNTIF('INSTANCE C2'!$A$7:$A$50,'EN PANNE'!G31))+(COUNTIF(INTERNES!$A$7:$A$50,'EN PANNE'!G31))+(COUNTIF('EN PANNE'!$A$7:$A$50,'EN PANNE'!G31))</f>
        <v>0</v>
      </c>
      <c r="J31" s="28">
        <f t="shared" si="4"/>
        <v>0</v>
      </c>
      <c r="K31" s="2"/>
      <c r="L31" s="47"/>
      <c r="M31" s="9"/>
      <c r="N31" s="9"/>
      <c r="O31" s="9"/>
      <c r="P31" s="9"/>
      <c r="S31" s="60">
        <f t="shared" si="1"/>
        <v>0</v>
      </c>
      <c r="T31" s="67">
        <f t="shared" si="2"/>
        <v>0</v>
      </c>
    </row>
    <row r="32" spans="1:20" ht="24.95" customHeight="1" x14ac:dyDescent="0.2">
      <c r="A32" s="20"/>
      <c r="B32" s="23">
        <f>(COUNTIF('2S EXPRESS'!$A$7:$A$50,'EN PANNE'!A32))+(COUNTIF('2 ZT'!$A$7:$A$50,'EN PANNE'!A32))+(COUNTIF('GO TRANSPORT'!$A$7:$A$50,'EN PANNE'!A32))+(COUNTIF('HMZ - KAIS'!$A$7:$A$50,'EN PANNE'!A32))+(COUNTIF('IB TRANSPORT'!$A$7:$A$50,'EN PANNE'!A32))+(COUNTIF(JSL!$A$7:$A$50,'EN PANNE'!A32))+(COUNTIF(KIFAITOUT!$A$7:$A$50,'EN PANNE'!A32))+(COUNTIF('LUXE DRIVE'!$A$7:$A$50,'EN PANNE'!A32))+(COUNTIF(SSN!$A$7:$A$50,'EN PANNE'!A32))+(COUNTIF('W3'!$A$7:$A$50,'EN PANNE'!A32))+(COUNTIF('ATHIS MONS'!$A$7:$A$50,'EN PANNE'!A32))+(COUNTIF('L HAY LES ROSES'!$A$7:$A$50,'EN PANNE'!A32))+(COUNTIF(RUNGIS!$A$7:$A$50,'EN PANNE'!A32))+(COUNTIF(SCEAUX!$A$7:$A$50,'EN PANNE'!A32))+(COUNTIF('INSTANCE C1'!$A$7:$A$50,'EN PANNE'!A32))+(COUNTIF('INSTANCE C2'!$A$7:$A$50,'EN PANNE'!A32))+(COUNTIF(INTERNES!$A$7:$A$50,'EN PANNE'!A32))+(COUNTIF('EN PANNE'!$A$7:$A$50,'EN PANNE'!A32))-C32</f>
        <v>0</v>
      </c>
      <c r="C32" s="23">
        <f>(COUNTIF('2S EXPRESS'!$G$7:$G$50,'EN PANNE'!A32))+(COUNTIF('2 ZT'!$G$7:$G$50,'EN PANNE'!A32))+(COUNTIF('GO TRANSPORT'!$G$7:$G$50,'EN PANNE'!A32))+(COUNTIF('EN PANNE'!$G$7:$G$50,'EN PANNE'!A32))+(COUNTIF('IB TRANSPORT'!$G$7:$G$50,'EN PANNE'!A32))+(COUNTIF(JSL!$G$7:$G$50,'EN PANNE'!A32))+(COUNTIF(KIFAITOUT!$G$7:$G$50,'EN PANNE'!A32))+(COUNTIF('LUXE DRIVE'!$G$7:$G$50,'EN PANNE'!A32))+(COUNTIF(SSN!$G$7:$G$50,'EN PANNE'!A32))+(COUNTIF('W3'!$G$7:$G$50,'EN PANNE'!A32))+(COUNTIF('ATHIS MONS'!$G$7:$G$50,'EN PANNE'!A32))+(COUNTIF('L HAY LES ROSES'!$G$7:$G$50,'EN PANNE'!A32))+(COUNTIF(RUNGIS!$G$7:$G$50,'EN PANNE'!A32))+(COUNTIF(SCEAUX!$G$7:$G$50,'EN PANNE'!A32))+(COUNTIF('INSTANCE C1'!$G$7:$G$50,'EN PANNE'!A32))+(COUNTIF('INSTANCE C2'!$G$7:$G$50,'EN PANNE'!A32))+(COUNTIF(INTERNES!$G$7:$G$50,'EN PANNE'!A32))+(COUNTIF('EN PANNE'!$G$7:$G$50,'EN PANNE'!A32))</f>
        <v>0</v>
      </c>
      <c r="D32" s="28">
        <f t="shared" si="3"/>
        <v>0</v>
      </c>
      <c r="E32" s="2"/>
      <c r="F32" s="6">
        <f t="shared" si="0"/>
        <v>0</v>
      </c>
      <c r="G32" s="20"/>
      <c r="H32" s="23">
        <f>(COUNTIF('2S EXPRESS'!$G$7:$G$50,'EN PANNE'!G32))+(COUNTIF('2 ZT'!$G$7:$G$50,'EN PANNE'!G32))+(COUNTIF('GO TRANSPORT'!$G$7:$G$50,'EN PANNE'!G32))+(COUNTIF('HMZ - KAIS'!$G$7:$G$50,'EN PANNE'!G32))+(COUNTIF('IB TRANSPORT'!$G$7:$G$50,'EN PANNE'!G32))+(COUNTIF(JSL!$G$7:$G$50,'EN PANNE'!G32))+(COUNTIF(KIFAITOUT!$G$7:$G$50,'EN PANNE'!G32))+(COUNTIF('LUXE DRIVE'!$G$7:$G$50,'EN PANNE'!G32))+(COUNTIF(SSN!$G$7:$G$50,'EN PANNE'!G32))+(COUNTIF('W3'!$G$7:$G$50,'EN PANNE'!G32))+(COUNTIF('ATHIS MONS'!$G$7:$G$50,'EN PANNE'!G32))+(COUNTIF('L HAY LES ROSES'!$G$7:$G$50,'EN PANNE'!G32))+(COUNTIF(RUNGIS!$G$7:$G$50,'EN PANNE'!G32))+(COUNTIF(SCEAUX!$G$7:$G$50,'EN PANNE'!G32))+(COUNTIF('INSTANCE C1'!$G$7:$G$50,'EN PANNE'!G32))+(COUNTIF('INSTANCE C2'!$G$7:$G$50,'EN PANNE'!G32))+(COUNTIF(INTERNES!$G$7:$G$50,'EN PANNE'!G32))+(COUNTIF('EN PANNE'!$G$7:$G$50,'EN PANNE'!G32))-I32</f>
        <v>0</v>
      </c>
      <c r="I32" s="23">
        <f>(COUNTIF('2S EXPRESS'!$A$7:$A$50,'EN PANNE'!G32))+(COUNTIF('2 ZT'!$A$7:$A$50,'EN PANNE'!G32))+(COUNTIF('GO TRANSPORT'!$A$7:$A$50,'EN PANNE'!G32))+(COUNTIF('HMZ - KAIS'!$A$7:$A$50,'EN PANNE'!G32))+(COUNTIF('IB TRANSPORT'!$A$7:$A$50,'EN PANNE'!G32))+(COUNTIF(JSL!$A$7:$A$50,'EN PANNE'!G32))+(COUNTIF(KIFAITOUT!$A$7:$A$50,'EN PANNE'!G32))+(COUNTIF('LUXE DRIVE'!$A$7:$A$50,'EN PANNE'!G32))+(COUNTIF(SSN!$A$7:$A$50,'EN PANNE'!G32))+(COUNTIF('W3'!$A$7:$A$50,'EN PANNE'!G32))+(COUNTIF('ATHIS MONS'!$A$7:$A$50,'EN PANNE'!G32))+(COUNTIF('L HAY LES ROSES'!$A$7:$A$50,'EN PANNE'!G32))+(COUNTIF(RUNGIS!$A$7:$A$50,'EN PANNE'!G32))+(COUNTIF(SCEAUX!$A$7:$A$50,'EN PANNE'!G32))+(COUNTIF('INSTANCE C1'!$A$7:$A$50,'EN PANNE'!G32))+(COUNTIF('INSTANCE C2'!$A$7:$A$50,'EN PANNE'!G32))+(COUNTIF(INTERNES!$A$7:$A$50,'EN PANNE'!G32))+(COUNTIF('EN PANNE'!$A$7:$A$50,'EN PANNE'!G32))</f>
        <v>0</v>
      </c>
      <c r="J32" s="28">
        <f t="shared" si="4"/>
        <v>0</v>
      </c>
      <c r="K32" s="2"/>
      <c r="L32" s="47"/>
      <c r="M32" s="46"/>
      <c r="N32" s="46"/>
      <c r="O32" s="46"/>
      <c r="P32" s="46"/>
      <c r="Q32" s="46"/>
      <c r="S32" s="60">
        <f t="shared" si="1"/>
        <v>0</v>
      </c>
      <c r="T32" s="67">
        <f t="shared" si="2"/>
        <v>0</v>
      </c>
    </row>
    <row r="33" spans="1:20" ht="24.95" customHeight="1" x14ac:dyDescent="0.2">
      <c r="A33" s="20"/>
      <c r="B33" s="23">
        <f>(COUNTIF('2S EXPRESS'!$A$7:$A$50,'EN PANNE'!A33))+(COUNTIF('2 ZT'!$A$7:$A$50,'EN PANNE'!A33))+(COUNTIF('GO TRANSPORT'!$A$7:$A$50,'EN PANNE'!A33))+(COUNTIF('HMZ - KAIS'!$A$7:$A$50,'EN PANNE'!A33))+(COUNTIF('IB TRANSPORT'!$A$7:$A$50,'EN PANNE'!A33))+(COUNTIF(JSL!$A$7:$A$50,'EN PANNE'!A33))+(COUNTIF(KIFAITOUT!$A$7:$A$50,'EN PANNE'!A33))+(COUNTIF('LUXE DRIVE'!$A$7:$A$50,'EN PANNE'!A33))+(COUNTIF(SSN!$A$7:$A$50,'EN PANNE'!A33))+(COUNTIF('W3'!$A$7:$A$50,'EN PANNE'!A33))+(COUNTIF('ATHIS MONS'!$A$7:$A$50,'EN PANNE'!A33))+(COUNTIF('L HAY LES ROSES'!$A$7:$A$50,'EN PANNE'!A33))+(COUNTIF(RUNGIS!$A$7:$A$50,'EN PANNE'!A33))+(COUNTIF(SCEAUX!$A$7:$A$50,'EN PANNE'!A33))+(COUNTIF('INSTANCE C1'!$A$7:$A$50,'EN PANNE'!A33))+(COUNTIF('INSTANCE C2'!$A$7:$A$50,'EN PANNE'!A33))+(COUNTIF(INTERNES!$A$7:$A$50,'EN PANNE'!A33))+(COUNTIF('EN PANNE'!$A$7:$A$50,'EN PANNE'!A33))-C33</f>
        <v>0</v>
      </c>
      <c r="C33" s="23">
        <f>(COUNTIF('2S EXPRESS'!$G$7:$G$50,'EN PANNE'!A33))+(COUNTIF('2 ZT'!$G$7:$G$50,'EN PANNE'!A33))+(COUNTIF('GO TRANSPORT'!$G$7:$G$50,'EN PANNE'!A33))+(COUNTIF('EN PANNE'!$G$7:$G$50,'EN PANNE'!A33))+(COUNTIF('IB TRANSPORT'!$G$7:$G$50,'EN PANNE'!A33))+(COUNTIF(JSL!$G$7:$G$50,'EN PANNE'!A33))+(COUNTIF(KIFAITOUT!$G$7:$G$50,'EN PANNE'!A33))+(COUNTIF('LUXE DRIVE'!$G$7:$G$50,'EN PANNE'!A33))+(COUNTIF(SSN!$G$7:$G$50,'EN PANNE'!A33))+(COUNTIF('W3'!$G$7:$G$50,'EN PANNE'!A33))+(COUNTIF('ATHIS MONS'!$G$7:$G$50,'EN PANNE'!A33))+(COUNTIF('L HAY LES ROSES'!$G$7:$G$50,'EN PANNE'!A33))+(COUNTIF(RUNGIS!$G$7:$G$50,'EN PANNE'!A33))+(COUNTIF(SCEAUX!$G$7:$G$50,'EN PANNE'!A33))+(COUNTIF('INSTANCE C1'!$G$7:$G$50,'EN PANNE'!A33))+(COUNTIF('INSTANCE C2'!$G$7:$G$50,'EN PANNE'!A33))+(COUNTIF(INTERNES!$G$7:$G$50,'EN PANNE'!A33))+(COUNTIF('EN PANNE'!$G$7:$G$50,'EN PANNE'!A33))</f>
        <v>0</v>
      </c>
      <c r="D33" s="28">
        <f t="shared" si="3"/>
        <v>0</v>
      </c>
      <c r="E33" s="2"/>
      <c r="F33" s="6">
        <f t="shared" si="0"/>
        <v>0</v>
      </c>
      <c r="G33" s="20"/>
      <c r="H33" s="23">
        <f>(COUNTIF('2S EXPRESS'!$G$7:$G$50,'EN PANNE'!G33))+(COUNTIF('2 ZT'!$G$7:$G$50,'EN PANNE'!G33))+(COUNTIF('GO TRANSPORT'!$G$7:$G$50,'EN PANNE'!G33))+(COUNTIF('HMZ - KAIS'!$G$7:$G$50,'EN PANNE'!G33))+(COUNTIF('IB TRANSPORT'!$G$7:$G$50,'EN PANNE'!G33))+(COUNTIF(JSL!$G$7:$G$50,'EN PANNE'!G33))+(COUNTIF(KIFAITOUT!$G$7:$G$50,'EN PANNE'!G33))+(COUNTIF('LUXE DRIVE'!$G$7:$G$50,'EN PANNE'!G33))+(COUNTIF(SSN!$G$7:$G$50,'EN PANNE'!G33))+(COUNTIF('W3'!$G$7:$G$50,'EN PANNE'!G33))+(COUNTIF('ATHIS MONS'!$G$7:$G$50,'EN PANNE'!G33))+(COUNTIF('L HAY LES ROSES'!$G$7:$G$50,'EN PANNE'!G33))+(COUNTIF(RUNGIS!$G$7:$G$50,'EN PANNE'!G33))+(COUNTIF(SCEAUX!$G$7:$G$50,'EN PANNE'!G33))+(COUNTIF('INSTANCE C1'!$G$7:$G$50,'EN PANNE'!G33))+(COUNTIF('INSTANCE C2'!$G$7:$G$50,'EN PANNE'!G33))+(COUNTIF(INTERNES!$G$7:$G$50,'EN PANNE'!G33))+(COUNTIF('EN PANNE'!$G$7:$G$50,'EN PANNE'!G33))-I33</f>
        <v>0</v>
      </c>
      <c r="I33" s="23">
        <f>(COUNTIF('2S EXPRESS'!$A$7:$A$50,'EN PANNE'!G33))+(COUNTIF('2 ZT'!$A$7:$A$50,'EN PANNE'!G33))+(COUNTIF('GO TRANSPORT'!$A$7:$A$50,'EN PANNE'!G33))+(COUNTIF('HMZ - KAIS'!$A$7:$A$50,'EN PANNE'!G33))+(COUNTIF('IB TRANSPORT'!$A$7:$A$50,'EN PANNE'!G33))+(COUNTIF(JSL!$A$7:$A$50,'EN PANNE'!G33))+(COUNTIF(KIFAITOUT!$A$7:$A$50,'EN PANNE'!G33))+(COUNTIF('LUXE DRIVE'!$A$7:$A$50,'EN PANNE'!G33))+(COUNTIF(SSN!$A$7:$A$50,'EN PANNE'!G33))+(COUNTIF('W3'!$A$7:$A$50,'EN PANNE'!G33))+(COUNTIF('ATHIS MONS'!$A$7:$A$50,'EN PANNE'!G33))+(COUNTIF('L HAY LES ROSES'!$A$7:$A$50,'EN PANNE'!G33))+(COUNTIF(RUNGIS!$A$7:$A$50,'EN PANNE'!G33))+(COUNTIF(SCEAUX!$A$7:$A$50,'EN PANNE'!G33))+(COUNTIF('INSTANCE C1'!$A$7:$A$50,'EN PANNE'!G33))+(COUNTIF('INSTANCE C2'!$A$7:$A$50,'EN PANNE'!G33))+(COUNTIF(INTERNES!$A$7:$A$50,'EN PANNE'!G33))+(COUNTIF('EN PANNE'!$A$7:$A$50,'EN PANNE'!G33))</f>
        <v>0</v>
      </c>
      <c r="J33" s="28">
        <f t="shared" si="4"/>
        <v>0</v>
      </c>
      <c r="K33" s="2"/>
      <c r="L33" s="47"/>
      <c r="M33" s="46"/>
      <c r="N33" s="46"/>
      <c r="O33" s="46"/>
      <c r="P33" s="46"/>
      <c r="Q33" s="46"/>
      <c r="S33" s="60">
        <f t="shared" si="1"/>
        <v>0</v>
      </c>
      <c r="T33" s="67">
        <f t="shared" si="2"/>
        <v>0</v>
      </c>
    </row>
    <row r="34" spans="1:20" ht="24.95" customHeight="1" x14ac:dyDescent="0.2">
      <c r="A34" s="20"/>
      <c r="B34" s="23">
        <f>(COUNTIF('2S EXPRESS'!$A$7:$A$50,'EN PANNE'!A34))+(COUNTIF('2 ZT'!$A$7:$A$50,'EN PANNE'!A34))+(COUNTIF('GO TRANSPORT'!$A$7:$A$50,'EN PANNE'!A34))+(COUNTIF('HMZ - KAIS'!$A$7:$A$50,'EN PANNE'!A34))+(COUNTIF('IB TRANSPORT'!$A$7:$A$50,'EN PANNE'!A34))+(COUNTIF(JSL!$A$7:$A$50,'EN PANNE'!A34))+(COUNTIF(KIFAITOUT!$A$7:$A$50,'EN PANNE'!A34))+(COUNTIF('LUXE DRIVE'!$A$7:$A$50,'EN PANNE'!A34))+(COUNTIF(SSN!$A$7:$A$50,'EN PANNE'!A34))+(COUNTIF('W3'!$A$7:$A$50,'EN PANNE'!A34))+(COUNTIF('ATHIS MONS'!$A$7:$A$50,'EN PANNE'!A34))+(COUNTIF('L HAY LES ROSES'!$A$7:$A$50,'EN PANNE'!A34))+(COUNTIF(RUNGIS!$A$7:$A$50,'EN PANNE'!A34))+(COUNTIF(SCEAUX!$A$7:$A$50,'EN PANNE'!A34))+(COUNTIF('INSTANCE C1'!$A$7:$A$50,'EN PANNE'!A34))+(COUNTIF('INSTANCE C2'!$A$7:$A$50,'EN PANNE'!A34))+(COUNTIF(INTERNES!$A$7:$A$50,'EN PANNE'!A34))+(COUNTIF('EN PANNE'!$A$7:$A$50,'EN PANNE'!A34))-C34</f>
        <v>0</v>
      </c>
      <c r="C34" s="23">
        <f>(COUNTIF('2S EXPRESS'!$G$7:$G$50,'EN PANNE'!A34))+(COUNTIF('2 ZT'!$G$7:$G$50,'EN PANNE'!A34))+(COUNTIF('GO TRANSPORT'!$G$7:$G$50,'EN PANNE'!A34))+(COUNTIF('EN PANNE'!$G$7:$G$50,'EN PANNE'!A34))+(COUNTIF('IB TRANSPORT'!$G$7:$G$50,'EN PANNE'!A34))+(COUNTIF(JSL!$G$7:$G$50,'EN PANNE'!A34))+(COUNTIF(KIFAITOUT!$G$7:$G$50,'EN PANNE'!A34))+(COUNTIF('LUXE DRIVE'!$G$7:$G$50,'EN PANNE'!A34))+(COUNTIF(SSN!$G$7:$G$50,'EN PANNE'!A34))+(COUNTIF('W3'!$G$7:$G$50,'EN PANNE'!A34))+(COUNTIF('ATHIS MONS'!$G$7:$G$50,'EN PANNE'!A34))+(COUNTIF('L HAY LES ROSES'!$G$7:$G$50,'EN PANNE'!A34))+(COUNTIF(RUNGIS!$G$7:$G$50,'EN PANNE'!A34))+(COUNTIF(SCEAUX!$G$7:$G$50,'EN PANNE'!A34))+(COUNTIF('INSTANCE C1'!$G$7:$G$50,'EN PANNE'!A34))+(COUNTIF('INSTANCE C2'!$G$7:$G$50,'EN PANNE'!A34))+(COUNTIF(INTERNES!$G$7:$G$50,'EN PANNE'!A34))+(COUNTIF('EN PANNE'!$G$7:$G$50,'EN PANNE'!A34))</f>
        <v>0</v>
      </c>
      <c r="D34" s="28">
        <f t="shared" si="3"/>
        <v>0</v>
      </c>
      <c r="E34" s="2"/>
      <c r="F34" s="6">
        <f t="shared" si="0"/>
        <v>0</v>
      </c>
      <c r="G34" s="20"/>
      <c r="H34" s="23">
        <f>(COUNTIF('2S EXPRESS'!$G$7:$G$50,'EN PANNE'!G34))+(COUNTIF('2 ZT'!$G$7:$G$50,'EN PANNE'!G34))+(COUNTIF('GO TRANSPORT'!$G$7:$G$50,'EN PANNE'!G34))+(COUNTIF('HMZ - KAIS'!$G$7:$G$50,'EN PANNE'!G34))+(COUNTIF('IB TRANSPORT'!$G$7:$G$50,'EN PANNE'!G34))+(COUNTIF(JSL!$G$7:$G$50,'EN PANNE'!G34))+(COUNTIF(KIFAITOUT!$G$7:$G$50,'EN PANNE'!G34))+(COUNTIF('LUXE DRIVE'!$G$7:$G$50,'EN PANNE'!G34))+(COUNTIF(SSN!$G$7:$G$50,'EN PANNE'!G34))+(COUNTIF('W3'!$G$7:$G$50,'EN PANNE'!G34))+(COUNTIF('ATHIS MONS'!$G$7:$G$50,'EN PANNE'!G34))+(COUNTIF('L HAY LES ROSES'!$G$7:$G$50,'EN PANNE'!G34))+(COUNTIF(RUNGIS!$G$7:$G$50,'EN PANNE'!G34))+(COUNTIF(SCEAUX!$G$7:$G$50,'EN PANNE'!G34))+(COUNTIF('INSTANCE C1'!$G$7:$G$50,'EN PANNE'!G34))+(COUNTIF('INSTANCE C2'!$G$7:$G$50,'EN PANNE'!G34))+(COUNTIF(INTERNES!$G$7:$G$50,'EN PANNE'!G34))+(COUNTIF('EN PANNE'!$G$7:$G$50,'EN PANNE'!G34))-I34</f>
        <v>0</v>
      </c>
      <c r="I34" s="23">
        <f>(COUNTIF('2S EXPRESS'!$A$7:$A$50,'EN PANNE'!G34))+(COUNTIF('2 ZT'!$A$7:$A$50,'EN PANNE'!G34))+(COUNTIF('GO TRANSPORT'!$A$7:$A$50,'EN PANNE'!G34))+(COUNTIF('HMZ - KAIS'!$A$7:$A$50,'EN PANNE'!G34))+(COUNTIF('IB TRANSPORT'!$A$7:$A$50,'EN PANNE'!G34))+(COUNTIF(JSL!$A$7:$A$50,'EN PANNE'!G34))+(COUNTIF(KIFAITOUT!$A$7:$A$50,'EN PANNE'!G34))+(COUNTIF('LUXE DRIVE'!$A$7:$A$50,'EN PANNE'!G34))+(COUNTIF(SSN!$A$7:$A$50,'EN PANNE'!G34))+(COUNTIF('W3'!$A$7:$A$50,'EN PANNE'!G34))+(COUNTIF('ATHIS MONS'!$A$7:$A$50,'EN PANNE'!G34))+(COUNTIF('L HAY LES ROSES'!$A$7:$A$50,'EN PANNE'!G34))+(COUNTIF(RUNGIS!$A$7:$A$50,'EN PANNE'!G34))+(COUNTIF(SCEAUX!$A$7:$A$50,'EN PANNE'!G34))+(COUNTIF('INSTANCE C1'!$A$7:$A$50,'EN PANNE'!G34))+(COUNTIF('INSTANCE C2'!$A$7:$A$50,'EN PANNE'!G34))+(COUNTIF(INTERNES!$A$7:$A$50,'EN PANNE'!G34))+(COUNTIF('EN PANNE'!$A$7:$A$50,'EN PANNE'!G34))</f>
        <v>0</v>
      </c>
      <c r="J34" s="28">
        <f t="shared" si="4"/>
        <v>0</v>
      </c>
      <c r="K34" s="2"/>
      <c r="L34" s="47"/>
      <c r="M34" s="46"/>
      <c r="N34" s="46"/>
      <c r="O34" s="46"/>
      <c r="P34" s="46"/>
      <c r="Q34" s="46"/>
      <c r="S34" s="60">
        <f t="shared" si="1"/>
        <v>0</v>
      </c>
      <c r="T34" s="67">
        <f t="shared" si="2"/>
        <v>0</v>
      </c>
    </row>
    <row r="35" spans="1:20" ht="24.95" customHeight="1" x14ac:dyDescent="0.2">
      <c r="A35" s="20"/>
      <c r="B35" s="23">
        <f>(COUNTIF('2S EXPRESS'!$A$7:$A$50,'EN PANNE'!A35))+(COUNTIF('2 ZT'!$A$7:$A$50,'EN PANNE'!A35))+(COUNTIF('GO TRANSPORT'!$A$7:$A$50,'EN PANNE'!A35))+(COUNTIF('HMZ - KAIS'!$A$7:$A$50,'EN PANNE'!A35))+(COUNTIF('IB TRANSPORT'!$A$7:$A$50,'EN PANNE'!A35))+(COUNTIF(JSL!$A$7:$A$50,'EN PANNE'!A35))+(COUNTIF(KIFAITOUT!$A$7:$A$50,'EN PANNE'!A35))+(COUNTIF('LUXE DRIVE'!$A$7:$A$50,'EN PANNE'!A35))+(COUNTIF(SSN!$A$7:$A$50,'EN PANNE'!A35))+(COUNTIF('W3'!$A$7:$A$50,'EN PANNE'!A35))+(COUNTIF('ATHIS MONS'!$A$7:$A$50,'EN PANNE'!A35))+(COUNTIF('L HAY LES ROSES'!$A$7:$A$50,'EN PANNE'!A35))+(COUNTIF(RUNGIS!$A$7:$A$50,'EN PANNE'!A35))+(COUNTIF(SCEAUX!$A$7:$A$50,'EN PANNE'!A35))+(COUNTIF('INSTANCE C1'!$A$7:$A$50,'EN PANNE'!A35))+(COUNTIF('INSTANCE C2'!$A$7:$A$50,'EN PANNE'!A35))+(COUNTIF(INTERNES!$A$7:$A$50,'EN PANNE'!A35))+(COUNTIF('EN PANNE'!$A$7:$A$50,'EN PANNE'!A35))-C35</f>
        <v>0</v>
      </c>
      <c r="C35" s="23">
        <f>(COUNTIF('2S EXPRESS'!$G$7:$G$50,'EN PANNE'!A35))+(COUNTIF('2 ZT'!$G$7:$G$50,'EN PANNE'!A35))+(COUNTIF('GO TRANSPORT'!$G$7:$G$50,'EN PANNE'!A35))+(COUNTIF('EN PANNE'!$G$7:$G$50,'EN PANNE'!A35))+(COUNTIF('IB TRANSPORT'!$G$7:$G$50,'EN PANNE'!A35))+(COUNTIF(JSL!$G$7:$G$50,'EN PANNE'!A35))+(COUNTIF(KIFAITOUT!$G$7:$G$50,'EN PANNE'!A35))+(COUNTIF('LUXE DRIVE'!$G$7:$G$50,'EN PANNE'!A35))+(COUNTIF(SSN!$G$7:$G$50,'EN PANNE'!A35))+(COUNTIF('W3'!$G$7:$G$50,'EN PANNE'!A35))+(COUNTIF('ATHIS MONS'!$G$7:$G$50,'EN PANNE'!A35))+(COUNTIF('L HAY LES ROSES'!$G$7:$G$50,'EN PANNE'!A35))+(COUNTIF(RUNGIS!$G$7:$G$50,'EN PANNE'!A35))+(COUNTIF(SCEAUX!$G$7:$G$50,'EN PANNE'!A35))+(COUNTIF('INSTANCE C1'!$G$7:$G$50,'EN PANNE'!A35))+(COUNTIF('INSTANCE C2'!$G$7:$G$50,'EN PANNE'!A35))+(COUNTIF(INTERNES!$G$7:$G$50,'EN PANNE'!A35))+(COUNTIF('EN PANNE'!$G$7:$G$50,'EN PANNE'!A35))</f>
        <v>0</v>
      </c>
      <c r="D35" s="28">
        <f t="shared" si="3"/>
        <v>0</v>
      </c>
      <c r="E35" s="2"/>
      <c r="F35" s="6">
        <f t="shared" si="0"/>
        <v>0</v>
      </c>
      <c r="G35" s="20"/>
      <c r="H35" s="23">
        <f>(COUNTIF('2S EXPRESS'!$G$7:$G$50,'EN PANNE'!G35))+(COUNTIF('2 ZT'!$G$7:$G$50,'EN PANNE'!G35))+(COUNTIF('GO TRANSPORT'!$G$7:$G$50,'EN PANNE'!G35))+(COUNTIF('HMZ - KAIS'!$G$7:$G$50,'EN PANNE'!G35))+(COUNTIF('IB TRANSPORT'!$G$7:$G$50,'EN PANNE'!G35))+(COUNTIF(JSL!$G$7:$G$50,'EN PANNE'!G35))+(COUNTIF(KIFAITOUT!$G$7:$G$50,'EN PANNE'!G35))+(COUNTIF('LUXE DRIVE'!$G$7:$G$50,'EN PANNE'!G35))+(COUNTIF(SSN!$G$7:$G$50,'EN PANNE'!G35))+(COUNTIF('W3'!$G$7:$G$50,'EN PANNE'!G35))+(COUNTIF('ATHIS MONS'!$G$7:$G$50,'EN PANNE'!G35))+(COUNTIF('L HAY LES ROSES'!$G$7:$G$50,'EN PANNE'!G35))+(COUNTIF(RUNGIS!$G$7:$G$50,'EN PANNE'!G35))+(COUNTIF(SCEAUX!$G$7:$G$50,'EN PANNE'!G35))+(COUNTIF('INSTANCE C1'!$G$7:$G$50,'EN PANNE'!G35))+(COUNTIF('INSTANCE C2'!$G$7:$G$50,'EN PANNE'!G35))+(COUNTIF(INTERNES!$G$7:$G$50,'EN PANNE'!G35))+(COUNTIF('EN PANNE'!$G$7:$G$50,'EN PANNE'!G35))-I35</f>
        <v>0</v>
      </c>
      <c r="I35" s="23">
        <f>(COUNTIF('2S EXPRESS'!$A$7:$A$50,'EN PANNE'!G35))+(COUNTIF('2 ZT'!$A$7:$A$50,'EN PANNE'!G35))+(COUNTIF('GO TRANSPORT'!$A$7:$A$50,'EN PANNE'!G35))+(COUNTIF('HMZ - KAIS'!$A$7:$A$50,'EN PANNE'!G35))+(COUNTIF('IB TRANSPORT'!$A$7:$A$50,'EN PANNE'!G35))+(COUNTIF(JSL!$A$7:$A$50,'EN PANNE'!G35))+(COUNTIF(KIFAITOUT!$A$7:$A$50,'EN PANNE'!G35))+(COUNTIF('LUXE DRIVE'!$A$7:$A$50,'EN PANNE'!G35))+(COUNTIF(SSN!$A$7:$A$50,'EN PANNE'!G35))+(COUNTIF('W3'!$A$7:$A$50,'EN PANNE'!G35))+(COUNTIF('ATHIS MONS'!$A$7:$A$50,'EN PANNE'!G35))+(COUNTIF('L HAY LES ROSES'!$A$7:$A$50,'EN PANNE'!G35))+(COUNTIF(RUNGIS!$A$7:$A$50,'EN PANNE'!G35))+(COUNTIF(SCEAUX!$A$7:$A$50,'EN PANNE'!G35))+(COUNTIF('INSTANCE C1'!$A$7:$A$50,'EN PANNE'!G35))+(COUNTIF('INSTANCE C2'!$A$7:$A$50,'EN PANNE'!G35))+(COUNTIF(INTERNES!$A$7:$A$50,'EN PANNE'!G35))+(COUNTIF('EN PANNE'!$A$7:$A$50,'EN PANNE'!G35))</f>
        <v>0</v>
      </c>
      <c r="J35" s="28">
        <f t="shared" si="4"/>
        <v>0</v>
      </c>
      <c r="K35" s="2"/>
      <c r="L35" s="47"/>
      <c r="M35" s="46"/>
      <c r="N35" s="46"/>
      <c r="O35" s="46"/>
      <c r="P35" s="46"/>
      <c r="Q35" s="46"/>
      <c r="S35" s="60">
        <f t="shared" si="1"/>
        <v>0</v>
      </c>
      <c r="T35" s="67">
        <f t="shared" si="2"/>
        <v>0</v>
      </c>
    </row>
    <row r="36" spans="1:20" ht="24.95" customHeight="1" x14ac:dyDescent="0.2">
      <c r="A36" s="20"/>
      <c r="B36" s="23">
        <f>(COUNTIF('2S EXPRESS'!$A$7:$A$50,'EN PANNE'!A36))+(COUNTIF('2 ZT'!$A$7:$A$50,'EN PANNE'!A36))+(COUNTIF('GO TRANSPORT'!$A$7:$A$50,'EN PANNE'!A36))+(COUNTIF('HMZ - KAIS'!$A$7:$A$50,'EN PANNE'!A36))+(COUNTIF('IB TRANSPORT'!$A$7:$A$50,'EN PANNE'!A36))+(COUNTIF(JSL!$A$7:$A$50,'EN PANNE'!A36))+(COUNTIF(KIFAITOUT!$A$7:$A$50,'EN PANNE'!A36))+(COUNTIF('LUXE DRIVE'!$A$7:$A$50,'EN PANNE'!A36))+(COUNTIF(SSN!$A$7:$A$50,'EN PANNE'!A36))+(COUNTIF('W3'!$A$7:$A$50,'EN PANNE'!A36))+(COUNTIF('ATHIS MONS'!$A$7:$A$50,'EN PANNE'!A36))+(COUNTIF('L HAY LES ROSES'!$A$7:$A$50,'EN PANNE'!A36))+(COUNTIF(RUNGIS!$A$7:$A$50,'EN PANNE'!A36))+(COUNTIF(SCEAUX!$A$7:$A$50,'EN PANNE'!A36))+(COUNTIF('INSTANCE C1'!$A$7:$A$50,'EN PANNE'!A36))+(COUNTIF('INSTANCE C2'!$A$7:$A$50,'EN PANNE'!A36))+(COUNTIF(INTERNES!$A$7:$A$50,'EN PANNE'!A36))+(COUNTIF('EN PANNE'!$A$7:$A$50,'EN PANNE'!A36))-C36</f>
        <v>0</v>
      </c>
      <c r="C36" s="23">
        <f>(COUNTIF('2S EXPRESS'!$G$7:$G$50,'EN PANNE'!A36))+(COUNTIF('2 ZT'!$G$7:$G$50,'EN PANNE'!A36))+(COUNTIF('GO TRANSPORT'!$G$7:$G$50,'EN PANNE'!A36))+(COUNTIF('EN PANNE'!$G$7:$G$50,'EN PANNE'!A36))+(COUNTIF('IB TRANSPORT'!$G$7:$G$50,'EN PANNE'!A36))+(COUNTIF(JSL!$G$7:$G$50,'EN PANNE'!A36))+(COUNTIF(KIFAITOUT!$G$7:$G$50,'EN PANNE'!A36))+(COUNTIF('LUXE DRIVE'!$G$7:$G$50,'EN PANNE'!A36))+(COUNTIF(SSN!$G$7:$G$50,'EN PANNE'!A36))+(COUNTIF('W3'!$G$7:$G$50,'EN PANNE'!A36))+(COUNTIF('ATHIS MONS'!$G$7:$G$50,'EN PANNE'!A36))+(COUNTIF('L HAY LES ROSES'!$G$7:$G$50,'EN PANNE'!A36))+(COUNTIF(RUNGIS!$G$7:$G$50,'EN PANNE'!A36))+(COUNTIF(SCEAUX!$G$7:$G$50,'EN PANNE'!A36))+(COUNTIF('INSTANCE C1'!$G$7:$G$50,'EN PANNE'!A36))+(COUNTIF('INSTANCE C2'!$G$7:$G$50,'EN PANNE'!A36))+(COUNTIF(INTERNES!$G$7:$G$50,'EN PANNE'!A36))+(COUNTIF('EN PANNE'!$G$7:$G$50,'EN PANNE'!A36))</f>
        <v>0</v>
      </c>
      <c r="D36" s="28">
        <f t="shared" si="3"/>
        <v>0</v>
      </c>
      <c r="E36" s="2"/>
      <c r="F36" s="6">
        <f t="shared" si="0"/>
        <v>0</v>
      </c>
      <c r="G36" s="20"/>
      <c r="H36" s="23">
        <f>(COUNTIF('2S EXPRESS'!$G$7:$G$50,'EN PANNE'!G36))+(COUNTIF('2 ZT'!$G$7:$G$50,'EN PANNE'!G36))+(COUNTIF('GO TRANSPORT'!$G$7:$G$50,'EN PANNE'!G36))+(COUNTIF('HMZ - KAIS'!$G$7:$G$50,'EN PANNE'!G36))+(COUNTIF('IB TRANSPORT'!$G$7:$G$50,'EN PANNE'!G36))+(COUNTIF(JSL!$G$7:$G$50,'EN PANNE'!G36))+(COUNTIF(KIFAITOUT!$G$7:$G$50,'EN PANNE'!G36))+(COUNTIF('LUXE DRIVE'!$G$7:$G$50,'EN PANNE'!G36))+(COUNTIF(SSN!$G$7:$G$50,'EN PANNE'!G36))+(COUNTIF('W3'!$G$7:$G$50,'EN PANNE'!G36))+(COUNTIF('ATHIS MONS'!$G$7:$G$50,'EN PANNE'!G36))+(COUNTIF('L HAY LES ROSES'!$G$7:$G$50,'EN PANNE'!G36))+(COUNTIF(RUNGIS!$G$7:$G$50,'EN PANNE'!G36))+(COUNTIF(SCEAUX!$G$7:$G$50,'EN PANNE'!G36))+(COUNTIF('INSTANCE C1'!$G$7:$G$50,'EN PANNE'!G36))+(COUNTIF('INSTANCE C2'!$G$7:$G$50,'EN PANNE'!G36))+(COUNTIF(INTERNES!$G$7:$G$50,'EN PANNE'!G36))+(COUNTIF('EN PANNE'!$G$7:$G$50,'EN PANNE'!G36))-I36</f>
        <v>0</v>
      </c>
      <c r="I36" s="23">
        <f>(COUNTIF('2S EXPRESS'!$A$7:$A$50,'EN PANNE'!G36))+(COUNTIF('2 ZT'!$A$7:$A$50,'EN PANNE'!G36))+(COUNTIF('GO TRANSPORT'!$A$7:$A$50,'EN PANNE'!G36))+(COUNTIF('HMZ - KAIS'!$A$7:$A$50,'EN PANNE'!G36))+(COUNTIF('IB TRANSPORT'!$A$7:$A$50,'EN PANNE'!G36))+(COUNTIF(JSL!$A$7:$A$50,'EN PANNE'!G36))+(COUNTIF(KIFAITOUT!$A$7:$A$50,'EN PANNE'!G36))+(COUNTIF('LUXE DRIVE'!$A$7:$A$50,'EN PANNE'!G36))+(COUNTIF(SSN!$A$7:$A$50,'EN PANNE'!G36))+(COUNTIF('W3'!$A$7:$A$50,'EN PANNE'!G36))+(COUNTIF('ATHIS MONS'!$A$7:$A$50,'EN PANNE'!G36))+(COUNTIF('L HAY LES ROSES'!$A$7:$A$50,'EN PANNE'!G36))+(COUNTIF(RUNGIS!$A$7:$A$50,'EN PANNE'!G36))+(COUNTIF(SCEAUX!$A$7:$A$50,'EN PANNE'!G36))+(COUNTIF('INSTANCE C1'!$A$7:$A$50,'EN PANNE'!G36))+(COUNTIF('INSTANCE C2'!$A$7:$A$50,'EN PANNE'!G36))+(COUNTIF(INTERNES!$A$7:$A$50,'EN PANNE'!G36))+(COUNTIF('EN PANNE'!$A$7:$A$50,'EN PANNE'!G36))</f>
        <v>0</v>
      </c>
      <c r="J36" s="28">
        <f t="shared" si="4"/>
        <v>0</v>
      </c>
      <c r="K36" s="2"/>
      <c r="L36" s="47"/>
      <c r="M36" s="9"/>
      <c r="N36" s="9"/>
      <c r="O36" s="9"/>
      <c r="P36" s="9"/>
      <c r="R36" s="30" t="s">
        <v>49</v>
      </c>
      <c r="S36" s="60">
        <f t="shared" si="1"/>
        <v>0</v>
      </c>
      <c r="T36" s="67">
        <f t="shared" si="2"/>
        <v>0</v>
      </c>
    </row>
    <row r="37" spans="1:20" ht="24.95" customHeight="1" x14ac:dyDescent="0.2">
      <c r="A37" s="20"/>
      <c r="B37" s="23">
        <f>(COUNTIF('2S EXPRESS'!$A$7:$A$50,'EN PANNE'!A37))+(COUNTIF('2 ZT'!$A$7:$A$50,'EN PANNE'!A37))+(COUNTIF('GO TRANSPORT'!$A$7:$A$50,'EN PANNE'!A37))+(COUNTIF('HMZ - KAIS'!$A$7:$A$50,'EN PANNE'!A37))+(COUNTIF('IB TRANSPORT'!$A$7:$A$50,'EN PANNE'!A37))+(COUNTIF(JSL!$A$7:$A$50,'EN PANNE'!A37))+(COUNTIF(KIFAITOUT!$A$7:$A$50,'EN PANNE'!A37))+(COUNTIF('LUXE DRIVE'!$A$7:$A$50,'EN PANNE'!A37))+(COUNTIF(SSN!$A$7:$A$50,'EN PANNE'!A37))+(COUNTIF('W3'!$A$7:$A$50,'EN PANNE'!A37))+(COUNTIF('ATHIS MONS'!$A$7:$A$50,'EN PANNE'!A37))+(COUNTIF('L HAY LES ROSES'!$A$7:$A$50,'EN PANNE'!A37))+(COUNTIF(RUNGIS!$A$7:$A$50,'EN PANNE'!A37))+(COUNTIF(SCEAUX!$A$7:$A$50,'EN PANNE'!A37))+(COUNTIF('INSTANCE C1'!$A$7:$A$50,'EN PANNE'!A37))+(COUNTIF('INSTANCE C2'!$A$7:$A$50,'EN PANNE'!A37))+(COUNTIF(INTERNES!$A$7:$A$50,'EN PANNE'!A37))+(COUNTIF('EN PANNE'!$A$7:$A$50,'EN PANNE'!A37))-C37</f>
        <v>0</v>
      </c>
      <c r="C37" s="23">
        <f>(COUNTIF('2S EXPRESS'!$G$7:$G$50,'EN PANNE'!A37))+(COUNTIF('2 ZT'!$G$7:$G$50,'EN PANNE'!A37))+(COUNTIF('GO TRANSPORT'!$G$7:$G$50,'EN PANNE'!A37))+(COUNTIF('EN PANNE'!$G$7:$G$50,'EN PANNE'!A37))+(COUNTIF('IB TRANSPORT'!$G$7:$G$50,'EN PANNE'!A37))+(COUNTIF(JSL!$G$7:$G$50,'EN PANNE'!A37))+(COUNTIF(KIFAITOUT!$G$7:$G$50,'EN PANNE'!A37))+(COUNTIF('LUXE DRIVE'!$G$7:$G$50,'EN PANNE'!A37))+(COUNTIF(SSN!$G$7:$G$50,'EN PANNE'!A37))+(COUNTIF('W3'!$G$7:$G$50,'EN PANNE'!A37))+(COUNTIF('ATHIS MONS'!$G$7:$G$50,'EN PANNE'!A37))+(COUNTIF('L HAY LES ROSES'!$G$7:$G$50,'EN PANNE'!A37))+(COUNTIF(RUNGIS!$G$7:$G$50,'EN PANNE'!A37))+(COUNTIF(SCEAUX!$G$7:$G$50,'EN PANNE'!A37))+(COUNTIF('INSTANCE C1'!$G$7:$G$50,'EN PANNE'!A37))+(COUNTIF('INSTANCE C2'!$G$7:$G$50,'EN PANNE'!A37))+(COUNTIF(INTERNES!$G$7:$G$50,'EN PANNE'!A37))+(COUNTIF('EN PANNE'!$G$7:$G$50,'EN PANNE'!A37))</f>
        <v>0</v>
      </c>
      <c r="D37" s="28">
        <f t="shared" si="3"/>
        <v>0</v>
      </c>
      <c r="E37" s="2"/>
      <c r="F37" s="6">
        <f t="shared" si="0"/>
        <v>0</v>
      </c>
      <c r="G37" s="20"/>
      <c r="H37" s="23">
        <f>(COUNTIF('2S EXPRESS'!$G$7:$G$50,'EN PANNE'!G37))+(COUNTIF('2 ZT'!$G$7:$G$50,'EN PANNE'!G37))+(COUNTIF('GO TRANSPORT'!$G$7:$G$50,'EN PANNE'!G37))+(COUNTIF('HMZ - KAIS'!$G$7:$G$50,'EN PANNE'!G37))+(COUNTIF('IB TRANSPORT'!$G$7:$G$50,'EN PANNE'!G37))+(COUNTIF(JSL!$G$7:$G$50,'EN PANNE'!G37))+(COUNTIF(KIFAITOUT!$G$7:$G$50,'EN PANNE'!G37))+(COUNTIF('LUXE DRIVE'!$G$7:$G$50,'EN PANNE'!G37))+(COUNTIF(SSN!$G$7:$G$50,'EN PANNE'!G37))+(COUNTIF('W3'!$G$7:$G$50,'EN PANNE'!G37))+(COUNTIF('ATHIS MONS'!$G$7:$G$50,'EN PANNE'!G37))+(COUNTIF('L HAY LES ROSES'!$G$7:$G$50,'EN PANNE'!G37))+(COUNTIF(RUNGIS!$G$7:$G$50,'EN PANNE'!G37))+(COUNTIF(SCEAUX!$G$7:$G$50,'EN PANNE'!G37))+(COUNTIF('INSTANCE C1'!$G$7:$G$50,'EN PANNE'!G37))+(COUNTIF('INSTANCE C2'!$G$7:$G$50,'EN PANNE'!G37))+(COUNTIF(INTERNES!$G$7:$G$50,'EN PANNE'!G37))+(COUNTIF('EN PANNE'!$G$7:$G$50,'EN PANNE'!G37))-I37</f>
        <v>0</v>
      </c>
      <c r="I37" s="23">
        <f>(COUNTIF('2S EXPRESS'!$A$7:$A$50,'EN PANNE'!G37))+(COUNTIF('2 ZT'!$A$7:$A$50,'EN PANNE'!G37))+(COUNTIF('GO TRANSPORT'!$A$7:$A$50,'EN PANNE'!G37))+(COUNTIF('HMZ - KAIS'!$A$7:$A$50,'EN PANNE'!G37))+(COUNTIF('IB TRANSPORT'!$A$7:$A$50,'EN PANNE'!G37))+(COUNTIF(JSL!$A$7:$A$50,'EN PANNE'!G37))+(COUNTIF(KIFAITOUT!$A$7:$A$50,'EN PANNE'!G37))+(COUNTIF('LUXE DRIVE'!$A$7:$A$50,'EN PANNE'!G37))+(COUNTIF(SSN!$A$7:$A$50,'EN PANNE'!G37))+(COUNTIF('W3'!$A$7:$A$50,'EN PANNE'!G37))+(COUNTIF('ATHIS MONS'!$A$7:$A$50,'EN PANNE'!G37))+(COUNTIF('L HAY LES ROSES'!$A$7:$A$50,'EN PANNE'!G37))+(COUNTIF(RUNGIS!$A$7:$A$50,'EN PANNE'!G37))+(COUNTIF(SCEAUX!$A$7:$A$50,'EN PANNE'!G37))+(COUNTIF('INSTANCE C1'!$A$7:$A$50,'EN PANNE'!G37))+(COUNTIF('INSTANCE C2'!$A$7:$A$50,'EN PANNE'!G37))+(COUNTIF(INTERNES!$A$7:$A$50,'EN PANNE'!G37))+(COUNTIF('EN PANNE'!$A$7:$A$50,'EN PANNE'!G37))</f>
        <v>0</v>
      </c>
      <c r="J37" s="28">
        <f t="shared" si="4"/>
        <v>0</v>
      </c>
      <c r="K37" s="2"/>
      <c r="L37" s="47"/>
      <c r="M37" s="9"/>
      <c r="N37" s="9"/>
      <c r="O37" s="9"/>
      <c r="P37" s="9"/>
      <c r="S37" s="60">
        <f t="shared" si="1"/>
        <v>0</v>
      </c>
      <c r="T37" s="67">
        <f t="shared" si="2"/>
        <v>0</v>
      </c>
    </row>
    <row r="38" spans="1:20" ht="24.95" customHeight="1" x14ac:dyDescent="0.2">
      <c r="A38" s="20"/>
      <c r="B38" s="23">
        <f>(COUNTIF('2S EXPRESS'!$A$7:$A$50,'EN PANNE'!A38))+(COUNTIF('2 ZT'!$A$7:$A$50,'EN PANNE'!A38))+(COUNTIF('GO TRANSPORT'!$A$7:$A$50,'EN PANNE'!A38))+(COUNTIF('HMZ - KAIS'!$A$7:$A$50,'EN PANNE'!A38))+(COUNTIF('IB TRANSPORT'!$A$7:$A$50,'EN PANNE'!A38))+(COUNTIF(JSL!$A$7:$A$50,'EN PANNE'!A38))+(COUNTIF(KIFAITOUT!$A$7:$A$50,'EN PANNE'!A38))+(COUNTIF('LUXE DRIVE'!$A$7:$A$50,'EN PANNE'!A38))+(COUNTIF(SSN!$A$7:$A$50,'EN PANNE'!A38))+(COUNTIF('W3'!$A$7:$A$50,'EN PANNE'!A38))+(COUNTIF('ATHIS MONS'!$A$7:$A$50,'EN PANNE'!A38))+(COUNTIF('L HAY LES ROSES'!$A$7:$A$50,'EN PANNE'!A38))+(COUNTIF(RUNGIS!$A$7:$A$50,'EN PANNE'!A38))+(COUNTIF(SCEAUX!$A$7:$A$50,'EN PANNE'!A38))+(COUNTIF('INSTANCE C1'!$A$7:$A$50,'EN PANNE'!A38))+(COUNTIF('INSTANCE C2'!$A$7:$A$50,'EN PANNE'!A38))+(COUNTIF(INTERNES!$A$7:$A$50,'EN PANNE'!A38))+(COUNTIF('EN PANNE'!$A$7:$A$50,'EN PANNE'!A38))-C38</f>
        <v>0</v>
      </c>
      <c r="C38" s="23">
        <f>(COUNTIF('2S EXPRESS'!$G$7:$G$50,'EN PANNE'!A38))+(COUNTIF('2 ZT'!$G$7:$G$50,'EN PANNE'!A38))+(COUNTIF('GO TRANSPORT'!$G$7:$G$50,'EN PANNE'!A38))+(COUNTIF('EN PANNE'!$G$7:$G$50,'EN PANNE'!A38))+(COUNTIF('IB TRANSPORT'!$G$7:$G$50,'EN PANNE'!A38))+(COUNTIF(JSL!$G$7:$G$50,'EN PANNE'!A38))+(COUNTIF(KIFAITOUT!$G$7:$G$50,'EN PANNE'!A38))+(COUNTIF('LUXE DRIVE'!$G$7:$G$50,'EN PANNE'!A38))+(COUNTIF(SSN!$G$7:$G$50,'EN PANNE'!A38))+(COUNTIF('W3'!$G$7:$G$50,'EN PANNE'!A38))+(COUNTIF('ATHIS MONS'!$G$7:$G$50,'EN PANNE'!A38))+(COUNTIF('L HAY LES ROSES'!$G$7:$G$50,'EN PANNE'!A38))+(COUNTIF(RUNGIS!$G$7:$G$50,'EN PANNE'!A38))+(COUNTIF(SCEAUX!$G$7:$G$50,'EN PANNE'!A38))+(COUNTIF('INSTANCE C1'!$G$7:$G$50,'EN PANNE'!A38))+(COUNTIF('INSTANCE C2'!$G$7:$G$50,'EN PANNE'!A38))+(COUNTIF(INTERNES!$G$7:$G$50,'EN PANNE'!A38))+(COUNTIF('EN PANNE'!$G$7:$G$50,'EN PANNE'!A38))</f>
        <v>0</v>
      </c>
      <c r="D38" s="28">
        <f t="shared" si="3"/>
        <v>0</v>
      </c>
      <c r="E38" s="2"/>
      <c r="F38" s="6">
        <f t="shared" si="0"/>
        <v>0</v>
      </c>
      <c r="G38" s="20"/>
      <c r="H38" s="23">
        <f>(COUNTIF('2S EXPRESS'!$G$7:$G$50,'EN PANNE'!G38))+(COUNTIF('2 ZT'!$G$7:$G$50,'EN PANNE'!G38))+(COUNTIF('GO TRANSPORT'!$G$7:$G$50,'EN PANNE'!G38))+(COUNTIF('HMZ - KAIS'!$G$7:$G$50,'EN PANNE'!G38))+(COUNTIF('IB TRANSPORT'!$G$7:$G$50,'EN PANNE'!G38))+(COUNTIF(JSL!$G$7:$G$50,'EN PANNE'!G38))+(COUNTIF(KIFAITOUT!$G$7:$G$50,'EN PANNE'!G38))+(COUNTIF('LUXE DRIVE'!$G$7:$G$50,'EN PANNE'!G38))+(COUNTIF(SSN!$G$7:$G$50,'EN PANNE'!G38))+(COUNTIF('W3'!$G$7:$G$50,'EN PANNE'!G38))+(COUNTIF('ATHIS MONS'!$G$7:$G$50,'EN PANNE'!G38))+(COUNTIF('L HAY LES ROSES'!$G$7:$G$50,'EN PANNE'!G38))+(COUNTIF(RUNGIS!$G$7:$G$50,'EN PANNE'!G38))+(COUNTIF(SCEAUX!$G$7:$G$50,'EN PANNE'!G38))+(COUNTIF('INSTANCE C1'!$G$7:$G$50,'EN PANNE'!G38))+(COUNTIF('INSTANCE C2'!$G$7:$G$50,'EN PANNE'!G38))+(COUNTIF(INTERNES!$G$7:$G$50,'EN PANNE'!G38))+(COUNTIF('EN PANNE'!$G$7:$G$50,'EN PANNE'!G38))-I38</f>
        <v>0</v>
      </c>
      <c r="I38" s="23">
        <f>(COUNTIF('2S EXPRESS'!$A$7:$A$50,'EN PANNE'!G38))+(COUNTIF('2 ZT'!$A$7:$A$50,'EN PANNE'!G38))+(COUNTIF('GO TRANSPORT'!$A$7:$A$50,'EN PANNE'!G38))+(COUNTIF('HMZ - KAIS'!$A$7:$A$50,'EN PANNE'!G38))+(COUNTIF('IB TRANSPORT'!$A$7:$A$50,'EN PANNE'!G38))+(COUNTIF(JSL!$A$7:$A$50,'EN PANNE'!G38))+(COUNTIF(KIFAITOUT!$A$7:$A$50,'EN PANNE'!G38))+(COUNTIF('LUXE DRIVE'!$A$7:$A$50,'EN PANNE'!G38))+(COUNTIF(SSN!$A$7:$A$50,'EN PANNE'!G38))+(COUNTIF('W3'!$A$7:$A$50,'EN PANNE'!G38))+(COUNTIF('ATHIS MONS'!$A$7:$A$50,'EN PANNE'!G38))+(COUNTIF('L HAY LES ROSES'!$A$7:$A$50,'EN PANNE'!G38))+(COUNTIF(RUNGIS!$A$7:$A$50,'EN PANNE'!G38))+(COUNTIF(SCEAUX!$A$7:$A$50,'EN PANNE'!G38))+(COUNTIF('INSTANCE C1'!$A$7:$A$50,'EN PANNE'!G38))+(COUNTIF('INSTANCE C2'!$A$7:$A$50,'EN PANNE'!G38))+(COUNTIF(INTERNES!$A$7:$A$50,'EN PANNE'!G38))+(COUNTIF('EN PANNE'!$A$7:$A$50,'EN PANNE'!G38))</f>
        <v>0</v>
      </c>
      <c r="J38" s="28">
        <f t="shared" si="4"/>
        <v>0</v>
      </c>
      <c r="K38" s="2"/>
      <c r="L38" s="47"/>
      <c r="M38" s="9"/>
      <c r="N38" s="9"/>
      <c r="O38" s="9"/>
      <c r="P38" s="9"/>
      <c r="S38" s="60">
        <f t="shared" si="1"/>
        <v>0</v>
      </c>
      <c r="T38" s="67">
        <f t="shared" si="2"/>
        <v>0</v>
      </c>
    </row>
    <row r="39" spans="1:20" ht="24.95" customHeight="1" x14ac:dyDescent="0.2">
      <c r="A39" s="20"/>
      <c r="B39" s="23">
        <f>(COUNTIF('2S EXPRESS'!$A$7:$A$50,'EN PANNE'!A39))+(COUNTIF('2 ZT'!$A$7:$A$50,'EN PANNE'!A39))+(COUNTIF('GO TRANSPORT'!$A$7:$A$50,'EN PANNE'!A39))+(COUNTIF('HMZ - KAIS'!$A$7:$A$50,'EN PANNE'!A39))+(COUNTIF('IB TRANSPORT'!$A$7:$A$50,'EN PANNE'!A39))+(COUNTIF(JSL!$A$7:$A$50,'EN PANNE'!A39))+(COUNTIF(KIFAITOUT!$A$7:$A$50,'EN PANNE'!A39))+(COUNTIF('LUXE DRIVE'!$A$7:$A$50,'EN PANNE'!A39))+(COUNTIF(SSN!$A$7:$A$50,'EN PANNE'!A39))+(COUNTIF('W3'!$A$7:$A$50,'EN PANNE'!A39))+(COUNTIF('ATHIS MONS'!$A$7:$A$50,'EN PANNE'!A39))+(COUNTIF('L HAY LES ROSES'!$A$7:$A$50,'EN PANNE'!A39))+(COUNTIF(RUNGIS!$A$7:$A$50,'EN PANNE'!A39))+(COUNTIF(SCEAUX!$A$7:$A$50,'EN PANNE'!A39))+(COUNTIF('INSTANCE C1'!$A$7:$A$50,'EN PANNE'!A39))+(COUNTIF('INSTANCE C2'!$A$7:$A$50,'EN PANNE'!A39))+(COUNTIF(INTERNES!$A$7:$A$50,'EN PANNE'!A39))+(COUNTIF('EN PANNE'!$A$7:$A$50,'EN PANNE'!A39))-C39</f>
        <v>0</v>
      </c>
      <c r="C39" s="23">
        <f>(COUNTIF('2S EXPRESS'!$G$7:$G$50,'EN PANNE'!A39))+(COUNTIF('2 ZT'!$G$7:$G$50,'EN PANNE'!A39))+(COUNTIF('GO TRANSPORT'!$G$7:$G$50,'EN PANNE'!A39))+(COUNTIF('EN PANNE'!$G$7:$G$50,'EN PANNE'!A39))+(COUNTIF('IB TRANSPORT'!$G$7:$G$50,'EN PANNE'!A39))+(COUNTIF(JSL!$G$7:$G$50,'EN PANNE'!A39))+(COUNTIF(KIFAITOUT!$G$7:$G$50,'EN PANNE'!A39))+(COUNTIF('LUXE DRIVE'!$G$7:$G$50,'EN PANNE'!A39))+(COUNTIF(SSN!$G$7:$G$50,'EN PANNE'!A39))+(COUNTIF('W3'!$G$7:$G$50,'EN PANNE'!A39))+(COUNTIF('ATHIS MONS'!$G$7:$G$50,'EN PANNE'!A39))+(COUNTIF('L HAY LES ROSES'!$G$7:$G$50,'EN PANNE'!A39))+(COUNTIF(RUNGIS!$G$7:$G$50,'EN PANNE'!A39))+(COUNTIF(SCEAUX!$G$7:$G$50,'EN PANNE'!A39))+(COUNTIF('INSTANCE C1'!$G$7:$G$50,'EN PANNE'!A39))+(COUNTIF('INSTANCE C2'!$G$7:$G$50,'EN PANNE'!A39))+(COUNTIF(INTERNES!$G$7:$G$50,'EN PANNE'!A39))+(COUNTIF('EN PANNE'!$G$7:$G$50,'EN PANNE'!A39))</f>
        <v>0</v>
      </c>
      <c r="D39" s="28">
        <f t="shared" si="3"/>
        <v>0</v>
      </c>
      <c r="E39" s="2"/>
      <c r="F39" s="6">
        <f t="shared" si="0"/>
        <v>0</v>
      </c>
      <c r="G39" s="20"/>
      <c r="H39" s="23">
        <f>(COUNTIF('2S EXPRESS'!$G$7:$G$50,'EN PANNE'!G39))+(COUNTIF('2 ZT'!$G$7:$G$50,'EN PANNE'!G39))+(COUNTIF('GO TRANSPORT'!$G$7:$G$50,'EN PANNE'!G39))+(COUNTIF('HMZ - KAIS'!$G$7:$G$50,'EN PANNE'!G39))+(COUNTIF('IB TRANSPORT'!$G$7:$G$50,'EN PANNE'!G39))+(COUNTIF(JSL!$G$7:$G$50,'EN PANNE'!G39))+(COUNTIF(KIFAITOUT!$G$7:$G$50,'EN PANNE'!G39))+(COUNTIF('LUXE DRIVE'!$G$7:$G$50,'EN PANNE'!G39))+(COUNTIF(SSN!$G$7:$G$50,'EN PANNE'!G39))+(COUNTIF('W3'!$G$7:$G$50,'EN PANNE'!G39))+(COUNTIF('ATHIS MONS'!$G$7:$G$50,'EN PANNE'!G39))+(COUNTIF('L HAY LES ROSES'!$G$7:$G$50,'EN PANNE'!G39))+(COUNTIF(RUNGIS!$G$7:$G$50,'EN PANNE'!G39))+(COUNTIF(SCEAUX!$G$7:$G$50,'EN PANNE'!G39))+(COUNTIF('INSTANCE C1'!$G$7:$G$50,'EN PANNE'!G39))+(COUNTIF('INSTANCE C2'!$G$7:$G$50,'EN PANNE'!G39))+(COUNTIF(INTERNES!$G$7:$G$50,'EN PANNE'!G39))+(COUNTIF('EN PANNE'!$G$7:$G$50,'EN PANNE'!G39))-I39</f>
        <v>0</v>
      </c>
      <c r="I39" s="23">
        <f>(COUNTIF('2S EXPRESS'!$A$7:$A$50,'EN PANNE'!G39))+(COUNTIF('2 ZT'!$A$7:$A$50,'EN PANNE'!G39))+(COUNTIF('GO TRANSPORT'!$A$7:$A$50,'EN PANNE'!G39))+(COUNTIF('HMZ - KAIS'!$A$7:$A$50,'EN PANNE'!G39))+(COUNTIF('IB TRANSPORT'!$A$7:$A$50,'EN PANNE'!G39))+(COUNTIF(JSL!$A$7:$A$50,'EN PANNE'!G39))+(COUNTIF(KIFAITOUT!$A$7:$A$50,'EN PANNE'!G39))+(COUNTIF('LUXE DRIVE'!$A$7:$A$50,'EN PANNE'!G39))+(COUNTIF(SSN!$A$7:$A$50,'EN PANNE'!G39))+(COUNTIF('W3'!$A$7:$A$50,'EN PANNE'!G39))+(COUNTIF('ATHIS MONS'!$A$7:$A$50,'EN PANNE'!G39))+(COUNTIF('L HAY LES ROSES'!$A$7:$A$50,'EN PANNE'!G39))+(COUNTIF(RUNGIS!$A$7:$A$50,'EN PANNE'!G39))+(COUNTIF(SCEAUX!$A$7:$A$50,'EN PANNE'!G39))+(COUNTIF('INSTANCE C1'!$A$7:$A$50,'EN PANNE'!G39))+(COUNTIF('INSTANCE C2'!$A$7:$A$50,'EN PANNE'!G39))+(COUNTIF(INTERNES!$A$7:$A$50,'EN PANNE'!G39))+(COUNTIF('EN PANNE'!$A$7:$A$50,'EN PANNE'!G39))</f>
        <v>0</v>
      </c>
      <c r="J39" s="28">
        <f t="shared" si="4"/>
        <v>0</v>
      </c>
      <c r="K39" s="2"/>
      <c r="L39" s="47"/>
      <c r="M39" s="9"/>
      <c r="N39" s="9"/>
      <c r="O39" s="9"/>
      <c r="P39" s="9"/>
      <c r="S39" s="60">
        <f t="shared" si="1"/>
        <v>0</v>
      </c>
      <c r="T39" s="67">
        <f t="shared" si="2"/>
        <v>0</v>
      </c>
    </row>
    <row r="40" spans="1:20" ht="24.95" customHeight="1" x14ac:dyDescent="0.2">
      <c r="A40" s="20"/>
      <c r="B40" s="23">
        <f>(COUNTIF('2S EXPRESS'!$A$7:$A$50,'EN PANNE'!A40))+(COUNTIF('2 ZT'!$A$7:$A$50,'EN PANNE'!A40))+(COUNTIF('GO TRANSPORT'!$A$7:$A$50,'EN PANNE'!A40))+(COUNTIF('HMZ - KAIS'!$A$7:$A$50,'EN PANNE'!A40))+(COUNTIF('IB TRANSPORT'!$A$7:$A$50,'EN PANNE'!A40))+(COUNTIF(JSL!$A$7:$A$50,'EN PANNE'!A40))+(COUNTIF(KIFAITOUT!$A$7:$A$50,'EN PANNE'!A40))+(COUNTIF('LUXE DRIVE'!$A$7:$A$50,'EN PANNE'!A40))+(COUNTIF(SSN!$A$7:$A$50,'EN PANNE'!A40))+(COUNTIF('W3'!$A$7:$A$50,'EN PANNE'!A40))+(COUNTIF('ATHIS MONS'!$A$7:$A$50,'EN PANNE'!A40))+(COUNTIF('L HAY LES ROSES'!$A$7:$A$50,'EN PANNE'!A40))+(COUNTIF(RUNGIS!$A$7:$A$50,'EN PANNE'!A40))+(COUNTIF(SCEAUX!$A$7:$A$50,'EN PANNE'!A40))+(COUNTIF('INSTANCE C1'!$A$7:$A$50,'EN PANNE'!A40))+(COUNTIF('INSTANCE C2'!$A$7:$A$50,'EN PANNE'!A40))+(COUNTIF(INTERNES!$A$7:$A$50,'EN PANNE'!A40))+(COUNTIF('EN PANNE'!$A$7:$A$50,'EN PANNE'!A40))-C40</f>
        <v>0</v>
      </c>
      <c r="C40" s="23">
        <f>(COUNTIF('2S EXPRESS'!$G$7:$G$50,'EN PANNE'!A40))+(COUNTIF('2 ZT'!$G$7:$G$50,'EN PANNE'!A40))+(COUNTIF('GO TRANSPORT'!$G$7:$G$50,'EN PANNE'!A40))+(COUNTIF('EN PANNE'!$G$7:$G$50,'EN PANNE'!A40))+(COUNTIF('IB TRANSPORT'!$G$7:$G$50,'EN PANNE'!A40))+(COUNTIF(JSL!$G$7:$G$50,'EN PANNE'!A40))+(COUNTIF(KIFAITOUT!$G$7:$G$50,'EN PANNE'!A40))+(COUNTIF('LUXE DRIVE'!$G$7:$G$50,'EN PANNE'!A40))+(COUNTIF(SSN!$G$7:$G$50,'EN PANNE'!A40))+(COUNTIF('W3'!$G$7:$G$50,'EN PANNE'!A40))+(COUNTIF('ATHIS MONS'!$G$7:$G$50,'EN PANNE'!A40))+(COUNTIF('L HAY LES ROSES'!$G$7:$G$50,'EN PANNE'!A40))+(COUNTIF(RUNGIS!$G$7:$G$50,'EN PANNE'!A40))+(COUNTIF(SCEAUX!$G$7:$G$50,'EN PANNE'!A40))+(COUNTIF('INSTANCE C1'!$G$7:$G$50,'EN PANNE'!A40))+(COUNTIF('INSTANCE C2'!$G$7:$G$50,'EN PANNE'!A40))+(COUNTIF(INTERNES!$G$7:$G$50,'EN PANNE'!A40))+(COUNTIF('EN PANNE'!$G$7:$G$50,'EN PANNE'!A40))</f>
        <v>0</v>
      </c>
      <c r="D40" s="28">
        <f t="shared" si="3"/>
        <v>0</v>
      </c>
      <c r="E40" s="2"/>
      <c r="F40" s="6">
        <f t="shared" si="0"/>
        <v>0</v>
      </c>
      <c r="G40" s="20"/>
      <c r="H40" s="23">
        <f>(COUNTIF('2S EXPRESS'!$G$7:$G$50,'EN PANNE'!G40))+(COUNTIF('2 ZT'!$G$7:$G$50,'EN PANNE'!G40))+(COUNTIF('GO TRANSPORT'!$G$7:$G$50,'EN PANNE'!G40))+(COUNTIF('HMZ - KAIS'!$G$7:$G$50,'EN PANNE'!G40))+(COUNTIF('IB TRANSPORT'!$G$7:$G$50,'EN PANNE'!G40))+(COUNTIF(JSL!$G$7:$G$50,'EN PANNE'!G40))+(COUNTIF(KIFAITOUT!$G$7:$G$50,'EN PANNE'!G40))+(COUNTIF('LUXE DRIVE'!$G$7:$G$50,'EN PANNE'!G40))+(COUNTIF(SSN!$G$7:$G$50,'EN PANNE'!G40))+(COUNTIF('W3'!$G$7:$G$50,'EN PANNE'!G40))+(COUNTIF('ATHIS MONS'!$G$7:$G$50,'EN PANNE'!G40))+(COUNTIF('L HAY LES ROSES'!$G$7:$G$50,'EN PANNE'!G40))+(COUNTIF(RUNGIS!$G$7:$G$50,'EN PANNE'!G40))+(COUNTIF(SCEAUX!$G$7:$G$50,'EN PANNE'!G40))+(COUNTIF('INSTANCE C1'!$G$7:$G$50,'EN PANNE'!G40))+(COUNTIF('INSTANCE C2'!$G$7:$G$50,'EN PANNE'!G40))+(COUNTIF(INTERNES!$G$7:$G$50,'EN PANNE'!G40))+(COUNTIF('EN PANNE'!$G$7:$G$50,'EN PANNE'!G40))-I40</f>
        <v>0</v>
      </c>
      <c r="I40" s="23">
        <f>(COUNTIF('2S EXPRESS'!$A$7:$A$50,'EN PANNE'!G40))+(COUNTIF('2 ZT'!$A$7:$A$50,'EN PANNE'!G40))+(COUNTIF('GO TRANSPORT'!$A$7:$A$50,'EN PANNE'!G40))+(COUNTIF('HMZ - KAIS'!$A$7:$A$50,'EN PANNE'!G40))+(COUNTIF('IB TRANSPORT'!$A$7:$A$50,'EN PANNE'!G40))+(COUNTIF(JSL!$A$7:$A$50,'EN PANNE'!G40))+(COUNTIF(KIFAITOUT!$A$7:$A$50,'EN PANNE'!G40))+(COUNTIF('LUXE DRIVE'!$A$7:$A$50,'EN PANNE'!G40))+(COUNTIF(SSN!$A$7:$A$50,'EN PANNE'!G40))+(COUNTIF('W3'!$A$7:$A$50,'EN PANNE'!G40))+(COUNTIF('ATHIS MONS'!$A$7:$A$50,'EN PANNE'!G40))+(COUNTIF('L HAY LES ROSES'!$A$7:$A$50,'EN PANNE'!G40))+(COUNTIF(RUNGIS!$A$7:$A$50,'EN PANNE'!G40))+(COUNTIF(SCEAUX!$A$7:$A$50,'EN PANNE'!G40))+(COUNTIF('INSTANCE C1'!$A$7:$A$50,'EN PANNE'!G40))+(COUNTIF('INSTANCE C2'!$A$7:$A$50,'EN PANNE'!G40))+(COUNTIF(INTERNES!$A$7:$A$50,'EN PANNE'!G40))+(COUNTIF('EN PANNE'!$A$7:$A$50,'EN PANNE'!G40))</f>
        <v>0</v>
      </c>
      <c r="J40" s="28">
        <f t="shared" si="4"/>
        <v>0</v>
      </c>
      <c r="K40" s="2"/>
      <c r="L40" s="47"/>
      <c r="M40" s="9"/>
      <c r="N40" s="9"/>
      <c r="O40" s="9"/>
      <c r="P40" s="9"/>
      <c r="S40" s="60">
        <f t="shared" si="1"/>
        <v>0</v>
      </c>
      <c r="T40" s="67">
        <f t="shared" si="2"/>
        <v>0</v>
      </c>
    </row>
    <row r="41" spans="1:20" ht="24.95" customHeight="1" x14ac:dyDescent="0.2">
      <c r="A41" s="20"/>
      <c r="B41" s="23">
        <f>(COUNTIF('2S EXPRESS'!$A$7:$A$50,'EN PANNE'!A41))+(COUNTIF('2 ZT'!$A$7:$A$50,'EN PANNE'!A41))+(COUNTIF('GO TRANSPORT'!$A$7:$A$50,'EN PANNE'!A41))+(COUNTIF('HMZ - KAIS'!$A$7:$A$50,'EN PANNE'!A41))+(COUNTIF('IB TRANSPORT'!$A$7:$A$50,'EN PANNE'!A41))+(COUNTIF(JSL!$A$7:$A$50,'EN PANNE'!A41))+(COUNTIF(KIFAITOUT!$A$7:$A$50,'EN PANNE'!A41))+(COUNTIF('LUXE DRIVE'!$A$7:$A$50,'EN PANNE'!A41))+(COUNTIF(SSN!$A$7:$A$50,'EN PANNE'!A41))+(COUNTIF('W3'!$A$7:$A$50,'EN PANNE'!A41))+(COUNTIF('ATHIS MONS'!$A$7:$A$50,'EN PANNE'!A41))+(COUNTIF('L HAY LES ROSES'!$A$7:$A$50,'EN PANNE'!A41))+(COUNTIF(RUNGIS!$A$7:$A$50,'EN PANNE'!A41))+(COUNTIF(SCEAUX!$A$7:$A$50,'EN PANNE'!A41))+(COUNTIF('INSTANCE C1'!$A$7:$A$50,'EN PANNE'!A41))+(COUNTIF('INSTANCE C2'!$A$7:$A$50,'EN PANNE'!A41))+(COUNTIF(INTERNES!$A$7:$A$50,'EN PANNE'!A41))+(COUNTIF('EN PANNE'!$A$7:$A$50,'EN PANNE'!A41))-C41</f>
        <v>0</v>
      </c>
      <c r="C41" s="23">
        <f>(COUNTIF('2S EXPRESS'!$G$7:$G$50,'EN PANNE'!A41))+(COUNTIF('2 ZT'!$G$7:$G$50,'EN PANNE'!A41))+(COUNTIF('GO TRANSPORT'!$G$7:$G$50,'EN PANNE'!A41))+(COUNTIF('EN PANNE'!$G$7:$G$50,'EN PANNE'!A41))+(COUNTIF('IB TRANSPORT'!$G$7:$G$50,'EN PANNE'!A41))+(COUNTIF(JSL!$G$7:$G$50,'EN PANNE'!A41))+(COUNTIF(KIFAITOUT!$G$7:$G$50,'EN PANNE'!A41))+(COUNTIF('LUXE DRIVE'!$G$7:$G$50,'EN PANNE'!A41))+(COUNTIF(SSN!$G$7:$G$50,'EN PANNE'!A41))+(COUNTIF('W3'!$G$7:$G$50,'EN PANNE'!A41))+(COUNTIF('ATHIS MONS'!$G$7:$G$50,'EN PANNE'!A41))+(COUNTIF('L HAY LES ROSES'!$G$7:$G$50,'EN PANNE'!A41))+(COUNTIF(RUNGIS!$G$7:$G$50,'EN PANNE'!A41))+(COUNTIF(SCEAUX!$G$7:$G$50,'EN PANNE'!A41))+(COUNTIF('INSTANCE C1'!$G$7:$G$50,'EN PANNE'!A41))+(COUNTIF('INSTANCE C2'!$G$7:$G$50,'EN PANNE'!A41))+(COUNTIF(INTERNES!$G$7:$G$50,'EN PANNE'!A41))+(COUNTIF('EN PANNE'!$G$7:$G$50,'EN PANNE'!A41))</f>
        <v>0</v>
      </c>
      <c r="D41" s="28">
        <f t="shared" si="3"/>
        <v>0</v>
      </c>
      <c r="E41" s="2"/>
      <c r="F41" s="6">
        <f t="shared" si="0"/>
        <v>0</v>
      </c>
      <c r="G41" s="20"/>
      <c r="H41" s="23">
        <f>(COUNTIF('2S EXPRESS'!$G$7:$G$50,'EN PANNE'!G41))+(COUNTIF('2 ZT'!$G$7:$G$50,'EN PANNE'!G41))+(COUNTIF('GO TRANSPORT'!$G$7:$G$50,'EN PANNE'!G41))+(COUNTIF('HMZ - KAIS'!$G$7:$G$50,'EN PANNE'!G41))+(COUNTIF('IB TRANSPORT'!$G$7:$G$50,'EN PANNE'!G41))+(COUNTIF(JSL!$G$7:$G$50,'EN PANNE'!G41))+(COUNTIF(KIFAITOUT!$G$7:$G$50,'EN PANNE'!G41))+(COUNTIF('LUXE DRIVE'!$G$7:$G$50,'EN PANNE'!G41))+(COUNTIF(SSN!$G$7:$G$50,'EN PANNE'!G41))+(COUNTIF('W3'!$G$7:$G$50,'EN PANNE'!G41))+(COUNTIF('ATHIS MONS'!$G$7:$G$50,'EN PANNE'!G41))+(COUNTIF('L HAY LES ROSES'!$G$7:$G$50,'EN PANNE'!G41))+(COUNTIF(RUNGIS!$G$7:$G$50,'EN PANNE'!G41))+(COUNTIF(SCEAUX!$G$7:$G$50,'EN PANNE'!G41))+(COUNTIF('INSTANCE C1'!$G$7:$G$50,'EN PANNE'!G41))+(COUNTIF('INSTANCE C2'!$G$7:$G$50,'EN PANNE'!G41))+(COUNTIF(INTERNES!$G$7:$G$50,'EN PANNE'!G41))+(COUNTIF('EN PANNE'!$G$7:$G$50,'EN PANNE'!G41))-I41</f>
        <v>0</v>
      </c>
      <c r="I41" s="23">
        <f>(COUNTIF('2S EXPRESS'!$A$7:$A$50,'EN PANNE'!G41))+(COUNTIF('2 ZT'!$A$7:$A$50,'EN PANNE'!G41))+(COUNTIF('GO TRANSPORT'!$A$7:$A$50,'EN PANNE'!G41))+(COUNTIF('HMZ - KAIS'!$A$7:$A$50,'EN PANNE'!G41))+(COUNTIF('IB TRANSPORT'!$A$7:$A$50,'EN PANNE'!G41))+(COUNTIF(JSL!$A$7:$A$50,'EN PANNE'!G41))+(COUNTIF(KIFAITOUT!$A$7:$A$50,'EN PANNE'!G41))+(COUNTIF('LUXE DRIVE'!$A$7:$A$50,'EN PANNE'!G41))+(COUNTIF(SSN!$A$7:$A$50,'EN PANNE'!G41))+(COUNTIF('W3'!$A$7:$A$50,'EN PANNE'!G41))+(COUNTIF('ATHIS MONS'!$A$7:$A$50,'EN PANNE'!G41))+(COUNTIF('L HAY LES ROSES'!$A$7:$A$50,'EN PANNE'!G41))+(COUNTIF(RUNGIS!$A$7:$A$50,'EN PANNE'!G41))+(COUNTIF(SCEAUX!$A$7:$A$50,'EN PANNE'!G41))+(COUNTIF('INSTANCE C1'!$A$7:$A$50,'EN PANNE'!G41))+(COUNTIF('INSTANCE C2'!$A$7:$A$50,'EN PANNE'!G41))+(COUNTIF(INTERNES!$A$7:$A$50,'EN PANNE'!G41))+(COUNTIF('EN PANNE'!$A$7:$A$50,'EN PANNE'!G41))</f>
        <v>0</v>
      </c>
      <c r="J41" s="28">
        <f t="shared" si="4"/>
        <v>0</v>
      </c>
      <c r="K41" s="2"/>
      <c r="L41" s="47"/>
      <c r="M41" s="9"/>
      <c r="N41" s="9"/>
      <c r="O41" s="9"/>
      <c r="P41" s="9"/>
      <c r="S41" s="60">
        <f t="shared" si="1"/>
        <v>0</v>
      </c>
      <c r="T41" s="67">
        <f t="shared" si="2"/>
        <v>0</v>
      </c>
    </row>
    <row r="42" spans="1:20" ht="24.95" customHeight="1" x14ac:dyDescent="0.2">
      <c r="A42" s="20"/>
      <c r="B42" s="23">
        <f>(COUNTIF('2S EXPRESS'!$A$7:$A$50,'EN PANNE'!A42))+(COUNTIF('2 ZT'!$A$7:$A$50,'EN PANNE'!A42))+(COUNTIF('GO TRANSPORT'!$A$7:$A$50,'EN PANNE'!A42))+(COUNTIF('HMZ - KAIS'!$A$7:$A$50,'EN PANNE'!A42))+(COUNTIF('IB TRANSPORT'!$A$7:$A$50,'EN PANNE'!A42))+(COUNTIF(JSL!$A$7:$A$50,'EN PANNE'!A42))+(COUNTIF(KIFAITOUT!$A$7:$A$50,'EN PANNE'!A42))+(COUNTIF('LUXE DRIVE'!$A$7:$A$50,'EN PANNE'!A42))+(COUNTIF(SSN!$A$7:$A$50,'EN PANNE'!A42))+(COUNTIF('W3'!$A$7:$A$50,'EN PANNE'!A42))+(COUNTIF('ATHIS MONS'!$A$7:$A$50,'EN PANNE'!A42))+(COUNTIF('L HAY LES ROSES'!$A$7:$A$50,'EN PANNE'!A42))+(COUNTIF(RUNGIS!$A$7:$A$50,'EN PANNE'!A42))+(COUNTIF(SCEAUX!$A$7:$A$50,'EN PANNE'!A42))+(COUNTIF('INSTANCE C1'!$A$7:$A$50,'EN PANNE'!A42))+(COUNTIF('INSTANCE C2'!$A$7:$A$50,'EN PANNE'!A42))+(COUNTIF(INTERNES!$A$7:$A$50,'EN PANNE'!A42))+(COUNTIF('EN PANNE'!$A$7:$A$50,'EN PANNE'!A42))-C42</f>
        <v>0</v>
      </c>
      <c r="C42" s="23">
        <f>(COUNTIF('2S EXPRESS'!$G$7:$G$50,'EN PANNE'!A42))+(COUNTIF('2 ZT'!$G$7:$G$50,'EN PANNE'!A42))+(COUNTIF('GO TRANSPORT'!$G$7:$G$50,'EN PANNE'!A42))+(COUNTIF('EN PANNE'!$G$7:$G$50,'EN PANNE'!A42))+(COUNTIF('IB TRANSPORT'!$G$7:$G$50,'EN PANNE'!A42))+(COUNTIF(JSL!$G$7:$G$50,'EN PANNE'!A42))+(COUNTIF(KIFAITOUT!$G$7:$G$50,'EN PANNE'!A42))+(COUNTIF('LUXE DRIVE'!$G$7:$G$50,'EN PANNE'!A42))+(COUNTIF(SSN!$G$7:$G$50,'EN PANNE'!A42))+(COUNTIF('W3'!$G$7:$G$50,'EN PANNE'!A42))+(COUNTIF('ATHIS MONS'!$G$7:$G$50,'EN PANNE'!A42))+(COUNTIF('L HAY LES ROSES'!$G$7:$G$50,'EN PANNE'!A42))+(COUNTIF(RUNGIS!$G$7:$G$50,'EN PANNE'!A42))+(COUNTIF(SCEAUX!$G$7:$G$50,'EN PANNE'!A42))+(COUNTIF('INSTANCE C1'!$G$7:$G$50,'EN PANNE'!A42))+(COUNTIF('INSTANCE C2'!$G$7:$G$50,'EN PANNE'!A42))+(COUNTIF(INTERNES!$G$7:$G$50,'EN PANNE'!A42))+(COUNTIF('EN PANNE'!$G$7:$G$50,'EN PANNE'!A42))</f>
        <v>0</v>
      </c>
      <c r="D42" s="28">
        <f t="shared" si="3"/>
        <v>0</v>
      </c>
      <c r="E42" s="2"/>
      <c r="F42" s="6">
        <f t="shared" si="0"/>
        <v>0</v>
      </c>
      <c r="G42" s="20"/>
      <c r="H42" s="23">
        <f>(COUNTIF('2S EXPRESS'!$G$7:$G$50,'EN PANNE'!G42))+(COUNTIF('2 ZT'!$G$7:$G$50,'EN PANNE'!G42))+(COUNTIF('GO TRANSPORT'!$G$7:$G$50,'EN PANNE'!G42))+(COUNTIF('HMZ - KAIS'!$G$7:$G$50,'EN PANNE'!G42))+(COUNTIF('IB TRANSPORT'!$G$7:$G$50,'EN PANNE'!G42))+(COUNTIF(JSL!$G$7:$G$50,'EN PANNE'!G42))+(COUNTIF(KIFAITOUT!$G$7:$G$50,'EN PANNE'!G42))+(COUNTIF('LUXE DRIVE'!$G$7:$G$50,'EN PANNE'!G42))+(COUNTIF(SSN!$G$7:$G$50,'EN PANNE'!G42))+(COUNTIF('W3'!$G$7:$G$50,'EN PANNE'!G42))+(COUNTIF('ATHIS MONS'!$G$7:$G$50,'EN PANNE'!G42))+(COUNTIF('L HAY LES ROSES'!$G$7:$G$50,'EN PANNE'!G42))+(COUNTIF(RUNGIS!$G$7:$G$50,'EN PANNE'!G42))+(COUNTIF(SCEAUX!$G$7:$G$50,'EN PANNE'!G42))+(COUNTIF('INSTANCE C1'!$G$7:$G$50,'EN PANNE'!G42))+(COUNTIF('INSTANCE C2'!$G$7:$G$50,'EN PANNE'!G42))+(COUNTIF(INTERNES!$G$7:$G$50,'EN PANNE'!G42))+(COUNTIF('EN PANNE'!$G$7:$G$50,'EN PANNE'!G42))-I42</f>
        <v>0</v>
      </c>
      <c r="I42" s="23">
        <f>(COUNTIF('2S EXPRESS'!$A$7:$A$50,'EN PANNE'!G42))+(COUNTIF('2 ZT'!$A$7:$A$50,'EN PANNE'!G42))+(COUNTIF('GO TRANSPORT'!$A$7:$A$50,'EN PANNE'!G42))+(COUNTIF('HMZ - KAIS'!$A$7:$A$50,'EN PANNE'!G42))+(COUNTIF('IB TRANSPORT'!$A$7:$A$50,'EN PANNE'!G42))+(COUNTIF(JSL!$A$7:$A$50,'EN PANNE'!G42))+(COUNTIF(KIFAITOUT!$A$7:$A$50,'EN PANNE'!G42))+(COUNTIF('LUXE DRIVE'!$A$7:$A$50,'EN PANNE'!G42))+(COUNTIF(SSN!$A$7:$A$50,'EN PANNE'!G42))+(COUNTIF('W3'!$A$7:$A$50,'EN PANNE'!G42))+(COUNTIF('ATHIS MONS'!$A$7:$A$50,'EN PANNE'!G42))+(COUNTIF('L HAY LES ROSES'!$A$7:$A$50,'EN PANNE'!G42))+(COUNTIF(RUNGIS!$A$7:$A$50,'EN PANNE'!G42))+(COUNTIF(SCEAUX!$A$7:$A$50,'EN PANNE'!G42))+(COUNTIF('INSTANCE C1'!$A$7:$A$50,'EN PANNE'!G42))+(COUNTIF('INSTANCE C2'!$A$7:$A$50,'EN PANNE'!G42))+(COUNTIF(INTERNES!$A$7:$A$50,'EN PANNE'!G42))+(COUNTIF('EN PANNE'!$A$7:$A$50,'EN PANNE'!G42))</f>
        <v>0</v>
      </c>
      <c r="J42" s="28">
        <f t="shared" si="4"/>
        <v>0</v>
      </c>
      <c r="K42" s="2"/>
      <c r="L42" s="47"/>
      <c r="M42" s="9"/>
      <c r="N42" s="9"/>
      <c r="O42" s="9"/>
      <c r="P42" s="9"/>
      <c r="S42" s="60">
        <f t="shared" si="1"/>
        <v>0</v>
      </c>
      <c r="T42" s="67">
        <f t="shared" si="2"/>
        <v>0</v>
      </c>
    </row>
    <row r="43" spans="1:20" ht="24.95" customHeight="1" x14ac:dyDescent="0.2">
      <c r="A43" s="20"/>
      <c r="B43" s="23">
        <f>(COUNTIF('2S EXPRESS'!$A$7:$A$50,'EN PANNE'!A43))+(COUNTIF('2 ZT'!$A$7:$A$50,'EN PANNE'!A43))+(COUNTIF('GO TRANSPORT'!$A$7:$A$50,'EN PANNE'!A43))+(COUNTIF('HMZ - KAIS'!$A$7:$A$50,'EN PANNE'!A43))+(COUNTIF('IB TRANSPORT'!$A$7:$A$50,'EN PANNE'!A43))+(COUNTIF(JSL!$A$7:$A$50,'EN PANNE'!A43))+(COUNTIF(KIFAITOUT!$A$7:$A$50,'EN PANNE'!A43))+(COUNTIF('LUXE DRIVE'!$A$7:$A$50,'EN PANNE'!A43))+(COUNTIF(SSN!$A$7:$A$50,'EN PANNE'!A43))+(COUNTIF('W3'!$A$7:$A$50,'EN PANNE'!A43))+(COUNTIF('ATHIS MONS'!$A$7:$A$50,'EN PANNE'!A43))+(COUNTIF('L HAY LES ROSES'!$A$7:$A$50,'EN PANNE'!A43))+(COUNTIF(RUNGIS!$A$7:$A$50,'EN PANNE'!A43))+(COUNTIF(SCEAUX!$A$7:$A$50,'EN PANNE'!A43))+(COUNTIF('INSTANCE C1'!$A$7:$A$50,'EN PANNE'!A43))+(COUNTIF('INSTANCE C2'!$A$7:$A$50,'EN PANNE'!A43))+(COUNTIF(INTERNES!$A$7:$A$50,'EN PANNE'!A43))+(COUNTIF('EN PANNE'!$A$7:$A$50,'EN PANNE'!A43))-C43</f>
        <v>0</v>
      </c>
      <c r="C43" s="23">
        <f>(COUNTIF('2S EXPRESS'!$G$7:$G$50,'EN PANNE'!A43))+(COUNTIF('2 ZT'!$G$7:$G$50,'EN PANNE'!A43))+(COUNTIF('GO TRANSPORT'!$G$7:$G$50,'EN PANNE'!A43))+(COUNTIF('EN PANNE'!$G$7:$G$50,'EN PANNE'!A43))+(COUNTIF('IB TRANSPORT'!$G$7:$G$50,'EN PANNE'!A43))+(COUNTIF(JSL!$G$7:$G$50,'EN PANNE'!A43))+(COUNTIF(KIFAITOUT!$G$7:$G$50,'EN PANNE'!A43))+(COUNTIF('LUXE DRIVE'!$G$7:$G$50,'EN PANNE'!A43))+(COUNTIF(SSN!$G$7:$G$50,'EN PANNE'!A43))+(COUNTIF('W3'!$G$7:$G$50,'EN PANNE'!A43))+(COUNTIF('ATHIS MONS'!$G$7:$G$50,'EN PANNE'!A43))+(COUNTIF('L HAY LES ROSES'!$G$7:$G$50,'EN PANNE'!A43))+(COUNTIF(RUNGIS!$G$7:$G$50,'EN PANNE'!A43))+(COUNTIF(SCEAUX!$G$7:$G$50,'EN PANNE'!A43))+(COUNTIF('INSTANCE C1'!$G$7:$G$50,'EN PANNE'!A43))+(COUNTIF('INSTANCE C2'!$G$7:$G$50,'EN PANNE'!A43))+(COUNTIF(INTERNES!$G$7:$G$50,'EN PANNE'!A43))+(COUNTIF('EN PANNE'!$G$7:$G$50,'EN PANNE'!A43))</f>
        <v>0</v>
      </c>
      <c r="D43" s="28">
        <f t="shared" si="3"/>
        <v>0</v>
      </c>
      <c r="E43" s="2"/>
      <c r="F43" s="6">
        <f t="shared" si="0"/>
        <v>0</v>
      </c>
      <c r="G43" s="20"/>
      <c r="H43" s="23">
        <f>(COUNTIF('2S EXPRESS'!$G$7:$G$50,'EN PANNE'!G43))+(COUNTIF('2 ZT'!$G$7:$G$50,'EN PANNE'!G43))+(COUNTIF('GO TRANSPORT'!$G$7:$G$50,'EN PANNE'!G43))+(COUNTIF('HMZ - KAIS'!$G$7:$G$50,'EN PANNE'!G43))+(COUNTIF('IB TRANSPORT'!$G$7:$G$50,'EN PANNE'!G43))+(COUNTIF(JSL!$G$7:$G$50,'EN PANNE'!G43))+(COUNTIF(KIFAITOUT!$G$7:$G$50,'EN PANNE'!G43))+(COUNTIF('LUXE DRIVE'!$G$7:$G$50,'EN PANNE'!G43))+(COUNTIF(SSN!$G$7:$G$50,'EN PANNE'!G43))+(COUNTIF('W3'!$G$7:$G$50,'EN PANNE'!G43))+(COUNTIF('ATHIS MONS'!$G$7:$G$50,'EN PANNE'!G43))+(COUNTIF('L HAY LES ROSES'!$G$7:$G$50,'EN PANNE'!G43))+(COUNTIF(RUNGIS!$G$7:$G$50,'EN PANNE'!G43))+(COUNTIF(SCEAUX!$G$7:$G$50,'EN PANNE'!G43))+(COUNTIF('INSTANCE C1'!$G$7:$G$50,'EN PANNE'!G43))+(COUNTIF('INSTANCE C2'!$G$7:$G$50,'EN PANNE'!G43))+(COUNTIF(INTERNES!$G$7:$G$50,'EN PANNE'!G43))+(COUNTIF('EN PANNE'!$G$7:$G$50,'EN PANNE'!G43))-I43</f>
        <v>0</v>
      </c>
      <c r="I43" s="23">
        <f>(COUNTIF('2S EXPRESS'!$A$7:$A$50,'EN PANNE'!G43))+(COUNTIF('2 ZT'!$A$7:$A$50,'EN PANNE'!G43))+(COUNTIF('GO TRANSPORT'!$A$7:$A$50,'EN PANNE'!G43))+(COUNTIF('HMZ - KAIS'!$A$7:$A$50,'EN PANNE'!G43))+(COUNTIF('IB TRANSPORT'!$A$7:$A$50,'EN PANNE'!G43))+(COUNTIF(JSL!$A$7:$A$50,'EN PANNE'!G43))+(COUNTIF(KIFAITOUT!$A$7:$A$50,'EN PANNE'!G43))+(COUNTIF('LUXE DRIVE'!$A$7:$A$50,'EN PANNE'!G43))+(COUNTIF(SSN!$A$7:$A$50,'EN PANNE'!G43))+(COUNTIF('W3'!$A$7:$A$50,'EN PANNE'!G43))+(COUNTIF('ATHIS MONS'!$A$7:$A$50,'EN PANNE'!G43))+(COUNTIF('L HAY LES ROSES'!$A$7:$A$50,'EN PANNE'!G43))+(COUNTIF(RUNGIS!$A$7:$A$50,'EN PANNE'!G43))+(COUNTIF(SCEAUX!$A$7:$A$50,'EN PANNE'!G43))+(COUNTIF('INSTANCE C1'!$A$7:$A$50,'EN PANNE'!G43))+(COUNTIF('INSTANCE C2'!$A$7:$A$50,'EN PANNE'!G43))+(COUNTIF(INTERNES!$A$7:$A$50,'EN PANNE'!G43))+(COUNTIF('EN PANNE'!$A$7:$A$50,'EN PANNE'!G43))</f>
        <v>0</v>
      </c>
      <c r="J43" s="28">
        <f t="shared" si="4"/>
        <v>0</v>
      </c>
      <c r="K43" s="2"/>
      <c r="L43" s="47"/>
      <c r="M43" s="9"/>
      <c r="N43" s="9"/>
      <c r="O43" s="9"/>
      <c r="P43" s="9"/>
      <c r="S43" s="60">
        <f t="shared" si="1"/>
        <v>0</v>
      </c>
      <c r="T43" s="67">
        <f t="shared" si="2"/>
        <v>0</v>
      </c>
    </row>
    <row r="44" spans="1:20" ht="24.95" customHeight="1" x14ac:dyDescent="0.2">
      <c r="A44" s="20"/>
      <c r="B44" s="23">
        <f>(COUNTIF('2S EXPRESS'!$A$7:$A$50,'EN PANNE'!A44))+(COUNTIF('2 ZT'!$A$7:$A$50,'EN PANNE'!A44))+(COUNTIF('GO TRANSPORT'!$A$7:$A$50,'EN PANNE'!A44))+(COUNTIF('HMZ - KAIS'!$A$7:$A$50,'EN PANNE'!A44))+(COUNTIF('IB TRANSPORT'!$A$7:$A$50,'EN PANNE'!A44))+(COUNTIF(JSL!$A$7:$A$50,'EN PANNE'!A44))+(COUNTIF(KIFAITOUT!$A$7:$A$50,'EN PANNE'!A44))+(COUNTIF('LUXE DRIVE'!$A$7:$A$50,'EN PANNE'!A44))+(COUNTIF(SSN!$A$7:$A$50,'EN PANNE'!A44))+(COUNTIF('W3'!$A$7:$A$50,'EN PANNE'!A44))+(COUNTIF('ATHIS MONS'!$A$7:$A$50,'EN PANNE'!A44))+(COUNTIF('L HAY LES ROSES'!$A$7:$A$50,'EN PANNE'!A44))+(COUNTIF(RUNGIS!$A$7:$A$50,'EN PANNE'!A44))+(COUNTIF(SCEAUX!$A$7:$A$50,'EN PANNE'!A44))+(COUNTIF('INSTANCE C1'!$A$7:$A$50,'EN PANNE'!A44))+(COUNTIF('INSTANCE C2'!$A$7:$A$50,'EN PANNE'!A44))+(COUNTIF(INTERNES!$A$7:$A$50,'EN PANNE'!A44))+(COUNTIF('EN PANNE'!$A$7:$A$50,'EN PANNE'!A44))-C44</f>
        <v>0</v>
      </c>
      <c r="C44" s="23">
        <f>(COUNTIF('2S EXPRESS'!$G$7:$G$50,'EN PANNE'!A44))+(COUNTIF('2 ZT'!$G$7:$G$50,'EN PANNE'!A44))+(COUNTIF('GO TRANSPORT'!$G$7:$G$50,'EN PANNE'!A44))+(COUNTIF('EN PANNE'!$G$7:$G$50,'EN PANNE'!A44))+(COUNTIF('IB TRANSPORT'!$G$7:$G$50,'EN PANNE'!A44))+(COUNTIF(JSL!$G$7:$G$50,'EN PANNE'!A44))+(COUNTIF(KIFAITOUT!$G$7:$G$50,'EN PANNE'!A44))+(COUNTIF('LUXE DRIVE'!$G$7:$G$50,'EN PANNE'!A44))+(COUNTIF(SSN!$G$7:$G$50,'EN PANNE'!A44))+(COUNTIF('W3'!$G$7:$G$50,'EN PANNE'!A44))+(COUNTIF('ATHIS MONS'!$G$7:$G$50,'EN PANNE'!A44))+(COUNTIF('L HAY LES ROSES'!$G$7:$G$50,'EN PANNE'!A44))+(COUNTIF(RUNGIS!$G$7:$G$50,'EN PANNE'!A44))+(COUNTIF(SCEAUX!$G$7:$G$50,'EN PANNE'!A44))+(COUNTIF('INSTANCE C1'!$G$7:$G$50,'EN PANNE'!A44))+(COUNTIF('INSTANCE C2'!$G$7:$G$50,'EN PANNE'!A44))+(COUNTIF(INTERNES!$G$7:$G$50,'EN PANNE'!A44))+(COUNTIF('EN PANNE'!$G$7:$G$50,'EN PANNE'!A44))</f>
        <v>0</v>
      </c>
      <c r="D44" s="28">
        <f t="shared" si="3"/>
        <v>0</v>
      </c>
      <c r="E44" s="2"/>
      <c r="F44" s="6">
        <f t="shared" si="0"/>
        <v>0</v>
      </c>
      <c r="G44" s="20"/>
      <c r="H44" s="23">
        <f>(COUNTIF('2S EXPRESS'!$G$7:$G$50,'EN PANNE'!G44))+(COUNTIF('2 ZT'!$G$7:$G$50,'EN PANNE'!G44))+(COUNTIF('GO TRANSPORT'!$G$7:$G$50,'EN PANNE'!G44))+(COUNTIF('HMZ - KAIS'!$G$7:$G$50,'EN PANNE'!G44))+(COUNTIF('IB TRANSPORT'!$G$7:$G$50,'EN PANNE'!G44))+(COUNTIF(JSL!$G$7:$G$50,'EN PANNE'!G44))+(COUNTIF(KIFAITOUT!$G$7:$G$50,'EN PANNE'!G44))+(COUNTIF('LUXE DRIVE'!$G$7:$G$50,'EN PANNE'!G44))+(COUNTIF(SSN!$G$7:$G$50,'EN PANNE'!G44))+(COUNTIF('W3'!$G$7:$G$50,'EN PANNE'!G44))+(COUNTIF('ATHIS MONS'!$G$7:$G$50,'EN PANNE'!G44))+(COUNTIF('L HAY LES ROSES'!$G$7:$G$50,'EN PANNE'!G44))+(COUNTIF(RUNGIS!$G$7:$G$50,'EN PANNE'!G44))+(COUNTIF(SCEAUX!$G$7:$G$50,'EN PANNE'!G44))+(COUNTIF('INSTANCE C1'!$G$7:$G$50,'EN PANNE'!G44))+(COUNTIF('INSTANCE C2'!$G$7:$G$50,'EN PANNE'!G44))+(COUNTIF(INTERNES!$G$7:$G$50,'EN PANNE'!G44))+(COUNTIF('EN PANNE'!$G$7:$G$50,'EN PANNE'!G44))-I44</f>
        <v>0</v>
      </c>
      <c r="I44" s="23">
        <f>(COUNTIF('2S EXPRESS'!$A$7:$A$50,'EN PANNE'!G44))+(COUNTIF('2 ZT'!$A$7:$A$50,'EN PANNE'!G44))+(COUNTIF('GO TRANSPORT'!$A$7:$A$50,'EN PANNE'!G44))+(COUNTIF('HMZ - KAIS'!$A$7:$A$50,'EN PANNE'!G44))+(COUNTIF('IB TRANSPORT'!$A$7:$A$50,'EN PANNE'!G44))+(COUNTIF(JSL!$A$7:$A$50,'EN PANNE'!G44))+(COUNTIF(KIFAITOUT!$A$7:$A$50,'EN PANNE'!G44))+(COUNTIF('LUXE DRIVE'!$A$7:$A$50,'EN PANNE'!G44))+(COUNTIF(SSN!$A$7:$A$50,'EN PANNE'!G44))+(COUNTIF('W3'!$A$7:$A$50,'EN PANNE'!G44))+(COUNTIF('ATHIS MONS'!$A$7:$A$50,'EN PANNE'!G44))+(COUNTIF('L HAY LES ROSES'!$A$7:$A$50,'EN PANNE'!G44))+(COUNTIF(RUNGIS!$A$7:$A$50,'EN PANNE'!G44))+(COUNTIF(SCEAUX!$A$7:$A$50,'EN PANNE'!G44))+(COUNTIF('INSTANCE C1'!$A$7:$A$50,'EN PANNE'!G44))+(COUNTIF('INSTANCE C2'!$A$7:$A$50,'EN PANNE'!G44))+(COUNTIF(INTERNES!$A$7:$A$50,'EN PANNE'!G44))+(COUNTIF('EN PANNE'!$A$7:$A$50,'EN PANNE'!G44))</f>
        <v>0</v>
      </c>
      <c r="J44" s="28">
        <f t="shared" si="4"/>
        <v>0</v>
      </c>
      <c r="K44" s="2"/>
      <c r="L44" s="47"/>
      <c r="M44" s="9"/>
      <c r="N44" s="9"/>
      <c r="O44" s="9"/>
      <c r="P44" s="9"/>
      <c r="S44" s="60">
        <f t="shared" si="1"/>
        <v>0</v>
      </c>
      <c r="T44" s="67">
        <f t="shared" si="2"/>
        <v>0</v>
      </c>
    </row>
    <row r="45" spans="1:20" ht="24.95" customHeight="1" x14ac:dyDescent="0.2">
      <c r="A45" s="20"/>
      <c r="B45" s="23">
        <f>(COUNTIF('2S EXPRESS'!$A$7:$A$50,'EN PANNE'!A45))+(COUNTIF('2 ZT'!$A$7:$A$50,'EN PANNE'!A45))+(COUNTIF('GO TRANSPORT'!$A$7:$A$50,'EN PANNE'!A45))+(COUNTIF('HMZ - KAIS'!$A$7:$A$50,'EN PANNE'!A45))+(COUNTIF('IB TRANSPORT'!$A$7:$A$50,'EN PANNE'!A45))+(COUNTIF(JSL!$A$7:$A$50,'EN PANNE'!A45))+(COUNTIF(KIFAITOUT!$A$7:$A$50,'EN PANNE'!A45))+(COUNTIF('LUXE DRIVE'!$A$7:$A$50,'EN PANNE'!A45))+(COUNTIF(SSN!$A$7:$A$50,'EN PANNE'!A45))+(COUNTIF('W3'!$A$7:$A$50,'EN PANNE'!A45))+(COUNTIF('ATHIS MONS'!$A$7:$A$50,'EN PANNE'!A45))+(COUNTIF('L HAY LES ROSES'!$A$7:$A$50,'EN PANNE'!A45))+(COUNTIF(RUNGIS!$A$7:$A$50,'EN PANNE'!A45))+(COUNTIF(SCEAUX!$A$7:$A$50,'EN PANNE'!A45))+(COUNTIF('INSTANCE C1'!$A$7:$A$50,'EN PANNE'!A45))+(COUNTIF('INSTANCE C2'!$A$7:$A$50,'EN PANNE'!A45))+(COUNTIF(INTERNES!$A$7:$A$50,'EN PANNE'!A45))+(COUNTIF('EN PANNE'!$A$7:$A$50,'EN PANNE'!A45))-C45</f>
        <v>0</v>
      </c>
      <c r="C45" s="23">
        <f>(COUNTIF('2S EXPRESS'!$G$7:$G$50,'EN PANNE'!A45))+(COUNTIF('2 ZT'!$G$7:$G$50,'EN PANNE'!A45))+(COUNTIF('GO TRANSPORT'!$G$7:$G$50,'EN PANNE'!A45))+(COUNTIF('EN PANNE'!$G$7:$G$50,'EN PANNE'!A45))+(COUNTIF('IB TRANSPORT'!$G$7:$G$50,'EN PANNE'!A45))+(COUNTIF(JSL!$G$7:$G$50,'EN PANNE'!A45))+(COUNTIF(KIFAITOUT!$G$7:$G$50,'EN PANNE'!A45))+(COUNTIF('LUXE DRIVE'!$G$7:$G$50,'EN PANNE'!A45))+(COUNTIF(SSN!$G$7:$G$50,'EN PANNE'!A45))+(COUNTIF('W3'!$G$7:$G$50,'EN PANNE'!A45))+(COUNTIF('ATHIS MONS'!$G$7:$G$50,'EN PANNE'!A45))+(COUNTIF('L HAY LES ROSES'!$G$7:$G$50,'EN PANNE'!A45))+(COUNTIF(RUNGIS!$G$7:$G$50,'EN PANNE'!A45))+(COUNTIF(SCEAUX!$G$7:$G$50,'EN PANNE'!A45))+(COUNTIF('INSTANCE C1'!$G$7:$G$50,'EN PANNE'!A45))+(COUNTIF('INSTANCE C2'!$G$7:$G$50,'EN PANNE'!A45))+(COUNTIF(INTERNES!$G$7:$G$50,'EN PANNE'!A45))+(COUNTIF('EN PANNE'!$G$7:$G$50,'EN PANNE'!A45))</f>
        <v>0</v>
      </c>
      <c r="D45" s="28">
        <f t="shared" si="3"/>
        <v>0</v>
      </c>
      <c r="E45" s="2"/>
      <c r="F45" s="6">
        <f t="shared" si="0"/>
        <v>0</v>
      </c>
      <c r="G45" s="20"/>
      <c r="H45" s="23">
        <f>(COUNTIF('2S EXPRESS'!$G$7:$G$50,'EN PANNE'!G45))+(COUNTIF('2 ZT'!$G$7:$G$50,'EN PANNE'!G45))+(COUNTIF('GO TRANSPORT'!$G$7:$G$50,'EN PANNE'!G45))+(COUNTIF('HMZ - KAIS'!$G$7:$G$50,'EN PANNE'!G45))+(COUNTIF('IB TRANSPORT'!$G$7:$G$50,'EN PANNE'!G45))+(COUNTIF(JSL!$G$7:$G$50,'EN PANNE'!G45))+(COUNTIF(KIFAITOUT!$G$7:$G$50,'EN PANNE'!G45))+(COUNTIF('LUXE DRIVE'!$G$7:$G$50,'EN PANNE'!G45))+(COUNTIF(SSN!$G$7:$G$50,'EN PANNE'!G45))+(COUNTIF('W3'!$G$7:$G$50,'EN PANNE'!G45))+(COUNTIF('ATHIS MONS'!$G$7:$G$50,'EN PANNE'!G45))+(COUNTIF('L HAY LES ROSES'!$G$7:$G$50,'EN PANNE'!G45))+(COUNTIF(RUNGIS!$G$7:$G$50,'EN PANNE'!G45))+(COUNTIF(SCEAUX!$G$7:$G$50,'EN PANNE'!G45))+(COUNTIF('INSTANCE C1'!$G$7:$G$50,'EN PANNE'!G45))+(COUNTIF('INSTANCE C2'!$G$7:$G$50,'EN PANNE'!G45))+(COUNTIF(INTERNES!$G$7:$G$50,'EN PANNE'!G45))+(COUNTIF('EN PANNE'!$G$7:$G$50,'EN PANNE'!G45))-I45</f>
        <v>0</v>
      </c>
      <c r="I45" s="23">
        <f>(COUNTIF('2S EXPRESS'!$A$7:$A$50,'EN PANNE'!G45))+(COUNTIF('2 ZT'!$A$7:$A$50,'EN PANNE'!G45))+(COUNTIF('GO TRANSPORT'!$A$7:$A$50,'EN PANNE'!G45))+(COUNTIF('HMZ - KAIS'!$A$7:$A$50,'EN PANNE'!G45))+(COUNTIF('IB TRANSPORT'!$A$7:$A$50,'EN PANNE'!G45))+(COUNTIF(JSL!$A$7:$A$50,'EN PANNE'!G45))+(COUNTIF(KIFAITOUT!$A$7:$A$50,'EN PANNE'!G45))+(COUNTIF('LUXE DRIVE'!$A$7:$A$50,'EN PANNE'!G45))+(COUNTIF(SSN!$A$7:$A$50,'EN PANNE'!G45))+(COUNTIF('W3'!$A$7:$A$50,'EN PANNE'!G45))+(COUNTIF('ATHIS MONS'!$A$7:$A$50,'EN PANNE'!G45))+(COUNTIF('L HAY LES ROSES'!$A$7:$A$50,'EN PANNE'!G45))+(COUNTIF(RUNGIS!$A$7:$A$50,'EN PANNE'!G45))+(COUNTIF(SCEAUX!$A$7:$A$50,'EN PANNE'!G45))+(COUNTIF('INSTANCE C1'!$A$7:$A$50,'EN PANNE'!G45))+(COUNTIF('INSTANCE C2'!$A$7:$A$50,'EN PANNE'!G45))+(COUNTIF(INTERNES!$A$7:$A$50,'EN PANNE'!G45))+(COUNTIF('EN PANNE'!$A$7:$A$50,'EN PANNE'!G45))</f>
        <v>0</v>
      </c>
      <c r="J45" s="28">
        <f t="shared" si="4"/>
        <v>0</v>
      </c>
      <c r="K45" s="2"/>
      <c r="L45" s="47"/>
      <c r="M45" s="9"/>
      <c r="N45" s="9"/>
      <c r="O45" s="9"/>
      <c r="P45" s="9"/>
      <c r="S45" s="60">
        <f t="shared" si="1"/>
        <v>0</v>
      </c>
      <c r="T45" s="67">
        <f t="shared" si="2"/>
        <v>0</v>
      </c>
    </row>
    <row r="46" spans="1:20" ht="24.95" customHeight="1" x14ac:dyDescent="0.2">
      <c r="A46" s="20"/>
      <c r="B46" s="23">
        <f>(COUNTIF('2S EXPRESS'!$A$7:$A$50,'EN PANNE'!A46))+(COUNTIF('2 ZT'!$A$7:$A$50,'EN PANNE'!A46))+(COUNTIF('GO TRANSPORT'!$A$7:$A$50,'EN PANNE'!A46))+(COUNTIF('HMZ - KAIS'!$A$7:$A$50,'EN PANNE'!A46))+(COUNTIF('IB TRANSPORT'!$A$7:$A$50,'EN PANNE'!A46))+(COUNTIF(JSL!$A$7:$A$50,'EN PANNE'!A46))+(COUNTIF(KIFAITOUT!$A$7:$A$50,'EN PANNE'!A46))+(COUNTIF('LUXE DRIVE'!$A$7:$A$50,'EN PANNE'!A46))+(COUNTIF(SSN!$A$7:$A$50,'EN PANNE'!A46))+(COUNTIF('W3'!$A$7:$A$50,'EN PANNE'!A46))+(COUNTIF('ATHIS MONS'!$A$7:$A$50,'EN PANNE'!A46))+(COUNTIF('L HAY LES ROSES'!$A$7:$A$50,'EN PANNE'!A46))+(COUNTIF(RUNGIS!$A$7:$A$50,'EN PANNE'!A46))+(COUNTIF(SCEAUX!$A$7:$A$50,'EN PANNE'!A46))+(COUNTIF('INSTANCE C1'!$A$7:$A$50,'EN PANNE'!A46))+(COUNTIF('INSTANCE C2'!$A$7:$A$50,'EN PANNE'!A46))+(COUNTIF(INTERNES!$A$7:$A$50,'EN PANNE'!A46))+(COUNTIF('EN PANNE'!$A$7:$A$50,'EN PANNE'!A46))-C46</f>
        <v>0</v>
      </c>
      <c r="C46" s="23">
        <f>(COUNTIF('2S EXPRESS'!$G$7:$G$50,'EN PANNE'!A46))+(COUNTIF('2 ZT'!$G$7:$G$50,'EN PANNE'!A46))+(COUNTIF('GO TRANSPORT'!$G$7:$G$50,'EN PANNE'!A46))+(COUNTIF('EN PANNE'!$G$7:$G$50,'EN PANNE'!A46))+(COUNTIF('IB TRANSPORT'!$G$7:$G$50,'EN PANNE'!A46))+(COUNTIF(JSL!$G$7:$G$50,'EN PANNE'!A46))+(COUNTIF(KIFAITOUT!$G$7:$G$50,'EN PANNE'!A46))+(COUNTIF('LUXE DRIVE'!$G$7:$G$50,'EN PANNE'!A46))+(COUNTIF(SSN!$G$7:$G$50,'EN PANNE'!A46))+(COUNTIF('W3'!$G$7:$G$50,'EN PANNE'!A46))+(COUNTIF('ATHIS MONS'!$G$7:$G$50,'EN PANNE'!A46))+(COUNTIF('L HAY LES ROSES'!$G$7:$G$50,'EN PANNE'!A46))+(COUNTIF(RUNGIS!$G$7:$G$50,'EN PANNE'!A46))+(COUNTIF(SCEAUX!$G$7:$G$50,'EN PANNE'!A46))+(COUNTIF('INSTANCE C1'!$G$7:$G$50,'EN PANNE'!A46))+(COUNTIF('INSTANCE C2'!$G$7:$G$50,'EN PANNE'!A46))+(COUNTIF(INTERNES!$G$7:$G$50,'EN PANNE'!A46))+(COUNTIF('EN PANNE'!$G$7:$G$50,'EN PANNE'!A46))</f>
        <v>0</v>
      </c>
      <c r="D46" s="28">
        <f t="shared" si="3"/>
        <v>0</v>
      </c>
      <c r="E46" s="2"/>
      <c r="F46" s="6">
        <f t="shared" si="0"/>
        <v>0</v>
      </c>
      <c r="G46" s="20"/>
      <c r="H46" s="23">
        <f>(COUNTIF('2S EXPRESS'!$G$7:$G$50,'EN PANNE'!G46))+(COUNTIF('2 ZT'!$G$7:$G$50,'EN PANNE'!G46))+(COUNTIF('GO TRANSPORT'!$G$7:$G$50,'EN PANNE'!G46))+(COUNTIF('HMZ - KAIS'!$G$7:$G$50,'EN PANNE'!G46))+(COUNTIF('IB TRANSPORT'!$G$7:$G$50,'EN PANNE'!G46))+(COUNTIF(JSL!$G$7:$G$50,'EN PANNE'!G46))+(COUNTIF(KIFAITOUT!$G$7:$G$50,'EN PANNE'!G46))+(COUNTIF('LUXE DRIVE'!$G$7:$G$50,'EN PANNE'!G46))+(COUNTIF(SSN!$G$7:$G$50,'EN PANNE'!G46))+(COUNTIF('W3'!$G$7:$G$50,'EN PANNE'!G46))+(COUNTIF('ATHIS MONS'!$G$7:$G$50,'EN PANNE'!G46))+(COUNTIF('L HAY LES ROSES'!$G$7:$G$50,'EN PANNE'!G46))+(COUNTIF(RUNGIS!$G$7:$G$50,'EN PANNE'!G46))+(COUNTIF(SCEAUX!$G$7:$G$50,'EN PANNE'!G46))+(COUNTIF('INSTANCE C1'!$G$7:$G$50,'EN PANNE'!G46))+(COUNTIF('INSTANCE C2'!$G$7:$G$50,'EN PANNE'!G46))+(COUNTIF(INTERNES!$G$7:$G$50,'EN PANNE'!G46))+(COUNTIF('EN PANNE'!$G$7:$G$50,'EN PANNE'!G46))-I46</f>
        <v>0</v>
      </c>
      <c r="I46" s="23">
        <f>(COUNTIF('2S EXPRESS'!$A$7:$A$50,'EN PANNE'!G46))+(COUNTIF('2 ZT'!$A$7:$A$50,'EN PANNE'!G46))+(COUNTIF('GO TRANSPORT'!$A$7:$A$50,'EN PANNE'!G46))+(COUNTIF('HMZ - KAIS'!$A$7:$A$50,'EN PANNE'!G46))+(COUNTIF('IB TRANSPORT'!$A$7:$A$50,'EN PANNE'!G46))+(COUNTIF(JSL!$A$7:$A$50,'EN PANNE'!G46))+(COUNTIF(KIFAITOUT!$A$7:$A$50,'EN PANNE'!G46))+(COUNTIF('LUXE DRIVE'!$A$7:$A$50,'EN PANNE'!G46))+(COUNTIF(SSN!$A$7:$A$50,'EN PANNE'!G46))+(COUNTIF('W3'!$A$7:$A$50,'EN PANNE'!G46))+(COUNTIF('ATHIS MONS'!$A$7:$A$50,'EN PANNE'!G46))+(COUNTIF('L HAY LES ROSES'!$A$7:$A$50,'EN PANNE'!G46))+(COUNTIF(RUNGIS!$A$7:$A$50,'EN PANNE'!G46))+(COUNTIF(SCEAUX!$A$7:$A$50,'EN PANNE'!G46))+(COUNTIF('INSTANCE C1'!$A$7:$A$50,'EN PANNE'!G46))+(COUNTIF('INSTANCE C2'!$A$7:$A$50,'EN PANNE'!G46))+(COUNTIF(INTERNES!$A$7:$A$50,'EN PANNE'!G46))+(COUNTIF('EN PANNE'!$A$7:$A$50,'EN PANNE'!G46))</f>
        <v>0</v>
      </c>
      <c r="J46" s="28">
        <f t="shared" si="4"/>
        <v>0</v>
      </c>
      <c r="K46" s="2"/>
      <c r="L46" s="47"/>
      <c r="M46" s="9"/>
      <c r="N46" s="9"/>
      <c r="O46" s="9"/>
      <c r="P46" s="9"/>
      <c r="S46" s="60">
        <f t="shared" si="1"/>
        <v>0</v>
      </c>
      <c r="T46" s="67">
        <f t="shared" si="2"/>
        <v>0</v>
      </c>
    </row>
    <row r="47" spans="1:20" ht="24.95" customHeight="1" x14ac:dyDescent="0.2">
      <c r="A47" s="20"/>
      <c r="B47" s="23">
        <f>(COUNTIF('2S EXPRESS'!$A$7:$A$50,'EN PANNE'!A47))+(COUNTIF('2 ZT'!$A$7:$A$50,'EN PANNE'!A47))+(COUNTIF('GO TRANSPORT'!$A$7:$A$50,'EN PANNE'!A47))+(COUNTIF('HMZ - KAIS'!$A$7:$A$50,'EN PANNE'!A47))+(COUNTIF('IB TRANSPORT'!$A$7:$A$50,'EN PANNE'!A47))+(COUNTIF(JSL!$A$7:$A$50,'EN PANNE'!A47))+(COUNTIF(KIFAITOUT!$A$7:$A$50,'EN PANNE'!A47))+(COUNTIF('LUXE DRIVE'!$A$7:$A$50,'EN PANNE'!A47))+(COUNTIF(SSN!$A$7:$A$50,'EN PANNE'!A47))+(COUNTIF('W3'!$A$7:$A$50,'EN PANNE'!A47))+(COUNTIF('ATHIS MONS'!$A$7:$A$50,'EN PANNE'!A47))+(COUNTIF('L HAY LES ROSES'!$A$7:$A$50,'EN PANNE'!A47))+(COUNTIF(RUNGIS!$A$7:$A$50,'EN PANNE'!A47))+(COUNTIF(SCEAUX!$A$7:$A$50,'EN PANNE'!A47))+(COUNTIF('INSTANCE C1'!$A$7:$A$50,'EN PANNE'!A47))+(COUNTIF('INSTANCE C2'!$A$7:$A$50,'EN PANNE'!A47))+(COUNTIF(INTERNES!$A$7:$A$50,'EN PANNE'!A47))+(COUNTIF('EN PANNE'!$A$7:$A$50,'EN PANNE'!A47))-C47</f>
        <v>0</v>
      </c>
      <c r="C47" s="23">
        <f>(COUNTIF('2S EXPRESS'!$G$7:$G$50,'EN PANNE'!A47))+(COUNTIF('2 ZT'!$G$7:$G$50,'EN PANNE'!A47))+(COUNTIF('GO TRANSPORT'!$G$7:$G$50,'EN PANNE'!A47))+(COUNTIF('EN PANNE'!$G$7:$G$50,'EN PANNE'!A47))+(COUNTIF('IB TRANSPORT'!$G$7:$G$50,'EN PANNE'!A47))+(COUNTIF(JSL!$G$7:$G$50,'EN PANNE'!A47))+(COUNTIF(KIFAITOUT!$G$7:$G$50,'EN PANNE'!A47))+(COUNTIF('LUXE DRIVE'!$G$7:$G$50,'EN PANNE'!A47))+(COUNTIF(SSN!$G$7:$G$50,'EN PANNE'!A47))+(COUNTIF('W3'!$G$7:$G$50,'EN PANNE'!A47))+(COUNTIF('ATHIS MONS'!$G$7:$G$50,'EN PANNE'!A47))+(COUNTIF('L HAY LES ROSES'!$G$7:$G$50,'EN PANNE'!A47))+(COUNTIF(RUNGIS!$G$7:$G$50,'EN PANNE'!A47))+(COUNTIF(SCEAUX!$G$7:$G$50,'EN PANNE'!A47))+(COUNTIF('INSTANCE C1'!$G$7:$G$50,'EN PANNE'!A47))+(COUNTIF('INSTANCE C2'!$G$7:$G$50,'EN PANNE'!A47))+(COUNTIF(INTERNES!$G$7:$G$50,'EN PANNE'!A47))+(COUNTIF('EN PANNE'!$G$7:$G$50,'EN PANNE'!A47))</f>
        <v>0</v>
      </c>
      <c r="D47" s="28">
        <f t="shared" si="3"/>
        <v>0</v>
      </c>
      <c r="E47" s="2"/>
      <c r="F47" s="6">
        <f t="shared" si="0"/>
        <v>0</v>
      </c>
      <c r="G47" s="20"/>
      <c r="H47" s="23">
        <f>(COUNTIF('2S EXPRESS'!$G$7:$G$50,'EN PANNE'!G47))+(COUNTIF('2 ZT'!$G$7:$G$50,'EN PANNE'!G47))+(COUNTIF('GO TRANSPORT'!$G$7:$G$50,'EN PANNE'!G47))+(COUNTIF('HMZ - KAIS'!$G$7:$G$50,'EN PANNE'!G47))+(COUNTIF('IB TRANSPORT'!$G$7:$G$50,'EN PANNE'!G47))+(COUNTIF(JSL!$G$7:$G$50,'EN PANNE'!G47))+(COUNTIF(KIFAITOUT!$G$7:$G$50,'EN PANNE'!G47))+(COUNTIF('LUXE DRIVE'!$G$7:$G$50,'EN PANNE'!G47))+(COUNTIF(SSN!$G$7:$G$50,'EN PANNE'!G47))+(COUNTIF('W3'!$G$7:$G$50,'EN PANNE'!G47))+(COUNTIF('ATHIS MONS'!$G$7:$G$50,'EN PANNE'!G47))+(COUNTIF('L HAY LES ROSES'!$G$7:$G$50,'EN PANNE'!G47))+(COUNTIF(RUNGIS!$G$7:$G$50,'EN PANNE'!G47))+(COUNTIF(SCEAUX!$G$7:$G$50,'EN PANNE'!G47))+(COUNTIF('INSTANCE C1'!$G$7:$G$50,'EN PANNE'!G47))+(COUNTIF('INSTANCE C2'!$G$7:$G$50,'EN PANNE'!G47))+(COUNTIF(INTERNES!$G$7:$G$50,'EN PANNE'!G47))+(COUNTIF('EN PANNE'!$G$7:$G$50,'EN PANNE'!G47))-I47</f>
        <v>0</v>
      </c>
      <c r="I47" s="23">
        <f>(COUNTIF('2S EXPRESS'!$A$7:$A$50,'EN PANNE'!G47))+(COUNTIF('2 ZT'!$A$7:$A$50,'EN PANNE'!G47))+(COUNTIF('GO TRANSPORT'!$A$7:$A$50,'EN PANNE'!G47))+(COUNTIF('HMZ - KAIS'!$A$7:$A$50,'EN PANNE'!G47))+(COUNTIF('IB TRANSPORT'!$A$7:$A$50,'EN PANNE'!G47))+(COUNTIF(JSL!$A$7:$A$50,'EN PANNE'!G47))+(COUNTIF(KIFAITOUT!$A$7:$A$50,'EN PANNE'!G47))+(COUNTIF('LUXE DRIVE'!$A$7:$A$50,'EN PANNE'!G47))+(COUNTIF(SSN!$A$7:$A$50,'EN PANNE'!G47))+(COUNTIF('W3'!$A$7:$A$50,'EN PANNE'!G47))+(COUNTIF('ATHIS MONS'!$A$7:$A$50,'EN PANNE'!G47))+(COUNTIF('L HAY LES ROSES'!$A$7:$A$50,'EN PANNE'!G47))+(COUNTIF(RUNGIS!$A$7:$A$50,'EN PANNE'!G47))+(COUNTIF(SCEAUX!$A$7:$A$50,'EN PANNE'!G47))+(COUNTIF('INSTANCE C1'!$A$7:$A$50,'EN PANNE'!G47))+(COUNTIF('INSTANCE C2'!$A$7:$A$50,'EN PANNE'!G47))+(COUNTIF(INTERNES!$A$7:$A$50,'EN PANNE'!G47))+(COUNTIF('EN PANNE'!$A$7:$A$50,'EN PANNE'!G47))</f>
        <v>0</v>
      </c>
      <c r="J47" s="28">
        <f t="shared" si="4"/>
        <v>0</v>
      </c>
      <c r="K47" s="2"/>
      <c r="L47" s="47"/>
      <c r="M47" s="9"/>
      <c r="N47" s="9"/>
      <c r="O47" s="9"/>
      <c r="P47" s="9"/>
      <c r="S47" s="60">
        <f t="shared" si="1"/>
        <v>0</v>
      </c>
      <c r="T47" s="67">
        <f t="shared" si="2"/>
        <v>0</v>
      </c>
    </row>
    <row r="48" spans="1:20" ht="24.95" customHeight="1" x14ac:dyDescent="0.2">
      <c r="A48" s="20"/>
      <c r="B48" s="23">
        <f>(COUNTIF('2S EXPRESS'!$A$7:$A$50,'EN PANNE'!A48))+(COUNTIF('2 ZT'!$A$7:$A$50,'EN PANNE'!A48))+(COUNTIF('GO TRANSPORT'!$A$7:$A$50,'EN PANNE'!A48))+(COUNTIF('HMZ - KAIS'!$A$7:$A$50,'EN PANNE'!A48))+(COUNTIF('IB TRANSPORT'!$A$7:$A$50,'EN PANNE'!A48))+(COUNTIF(JSL!$A$7:$A$50,'EN PANNE'!A48))+(COUNTIF(KIFAITOUT!$A$7:$A$50,'EN PANNE'!A48))+(COUNTIF('LUXE DRIVE'!$A$7:$A$50,'EN PANNE'!A48))+(COUNTIF(SSN!$A$7:$A$50,'EN PANNE'!A48))+(COUNTIF('W3'!$A$7:$A$50,'EN PANNE'!A48))+(COUNTIF('ATHIS MONS'!$A$7:$A$50,'EN PANNE'!A48))+(COUNTIF('L HAY LES ROSES'!$A$7:$A$50,'EN PANNE'!A48))+(COUNTIF(RUNGIS!$A$7:$A$50,'EN PANNE'!A48))+(COUNTIF(SCEAUX!$A$7:$A$50,'EN PANNE'!A48))+(COUNTIF('INSTANCE C1'!$A$7:$A$50,'EN PANNE'!A48))+(COUNTIF('INSTANCE C2'!$A$7:$A$50,'EN PANNE'!A48))+(COUNTIF(INTERNES!$A$7:$A$50,'EN PANNE'!A48))+(COUNTIF('EN PANNE'!$A$7:$A$50,'EN PANNE'!A48))-C48</f>
        <v>0</v>
      </c>
      <c r="C48" s="23">
        <f>(COUNTIF('2S EXPRESS'!$G$7:$G$50,'EN PANNE'!A48))+(COUNTIF('2 ZT'!$G$7:$G$50,'EN PANNE'!A48))+(COUNTIF('GO TRANSPORT'!$G$7:$G$50,'EN PANNE'!A48))+(COUNTIF('EN PANNE'!$G$7:$G$50,'EN PANNE'!A48))+(COUNTIF('IB TRANSPORT'!$G$7:$G$50,'EN PANNE'!A48))+(COUNTIF(JSL!$G$7:$G$50,'EN PANNE'!A48))+(COUNTIF(KIFAITOUT!$G$7:$G$50,'EN PANNE'!A48))+(COUNTIF('LUXE DRIVE'!$G$7:$G$50,'EN PANNE'!A48))+(COUNTIF(SSN!$G$7:$G$50,'EN PANNE'!A48))+(COUNTIF('W3'!$G$7:$G$50,'EN PANNE'!A48))+(COUNTIF('ATHIS MONS'!$G$7:$G$50,'EN PANNE'!A48))+(COUNTIF('L HAY LES ROSES'!$G$7:$G$50,'EN PANNE'!A48))+(COUNTIF(RUNGIS!$G$7:$G$50,'EN PANNE'!A48))+(COUNTIF(SCEAUX!$G$7:$G$50,'EN PANNE'!A48))+(COUNTIF('INSTANCE C1'!$G$7:$G$50,'EN PANNE'!A48))+(COUNTIF('INSTANCE C2'!$G$7:$G$50,'EN PANNE'!A48))+(COUNTIF(INTERNES!$G$7:$G$50,'EN PANNE'!A48))+(COUNTIF('EN PANNE'!$G$7:$G$50,'EN PANNE'!A48))</f>
        <v>0</v>
      </c>
      <c r="D48" s="28">
        <f t="shared" si="3"/>
        <v>0</v>
      </c>
      <c r="E48" s="2"/>
      <c r="F48" s="6">
        <f t="shared" si="0"/>
        <v>0</v>
      </c>
      <c r="G48" s="20"/>
      <c r="H48" s="23">
        <f>(COUNTIF('2S EXPRESS'!$G$7:$G$50,'EN PANNE'!G48))+(COUNTIF('2 ZT'!$G$7:$G$50,'EN PANNE'!G48))+(COUNTIF('GO TRANSPORT'!$G$7:$G$50,'EN PANNE'!G48))+(COUNTIF('HMZ - KAIS'!$G$7:$G$50,'EN PANNE'!G48))+(COUNTIF('IB TRANSPORT'!$G$7:$G$50,'EN PANNE'!G48))+(COUNTIF(JSL!$G$7:$G$50,'EN PANNE'!G48))+(COUNTIF(KIFAITOUT!$G$7:$G$50,'EN PANNE'!G48))+(COUNTIF('LUXE DRIVE'!$G$7:$G$50,'EN PANNE'!G48))+(COUNTIF(SSN!$G$7:$G$50,'EN PANNE'!G48))+(COUNTIF('W3'!$G$7:$G$50,'EN PANNE'!G48))+(COUNTIF('ATHIS MONS'!$G$7:$G$50,'EN PANNE'!G48))+(COUNTIF('L HAY LES ROSES'!$G$7:$G$50,'EN PANNE'!G48))+(COUNTIF(RUNGIS!$G$7:$G$50,'EN PANNE'!G48))+(COUNTIF(SCEAUX!$G$7:$G$50,'EN PANNE'!G48))+(COUNTIF('INSTANCE C1'!$G$7:$G$50,'EN PANNE'!G48))+(COUNTIF('INSTANCE C2'!$G$7:$G$50,'EN PANNE'!G48))+(COUNTIF(INTERNES!$G$7:$G$50,'EN PANNE'!G48))+(COUNTIF('EN PANNE'!$G$7:$G$50,'EN PANNE'!G48))-I48</f>
        <v>0</v>
      </c>
      <c r="I48" s="23">
        <f>(COUNTIF('2S EXPRESS'!$A$7:$A$50,'EN PANNE'!G48))+(COUNTIF('2 ZT'!$A$7:$A$50,'EN PANNE'!G48))+(COUNTIF('GO TRANSPORT'!$A$7:$A$50,'EN PANNE'!G48))+(COUNTIF('HMZ - KAIS'!$A$7:$A$50,'EN PANNE'!G48))+(COUNTIF('IB TRANSPORT'!$A$7:$A$50,'EN PANNE'!G48))+(COUNTIF(JSL!$A$7:$A$50,'EN PANNE'!G48))+(COUNTIF(KIFAITOUT!$A$7:$A$50,'EN PANNE'!G48))+(COUNTIF('LUXE DRIVE'!$A$7:$A$50,'EN PANNE'!G48))+(COUNTIF(SSN!$A$7:$A$50,'EN PANNE'!G48))+(COUNTIF('W3'!$A$7:$A$50,'EN PANNE'!G48))+(COUNTIF('ATHIS MONS'!$A$7:$A$50,'EN PANNE'!G48))+(COUNTIF('L HAY LES ROSES'!$A$7:$A$50,'EN PANNE'!G48))+(COUNTIF(RUNGIS!$A$7:$A$50,'EN PANNE'!G48))+(COUNTIF(SCEAUX!$A$7:$A$50,'EN PANNE'!G48))+(COUNTIF('INSTANCE C1'!$A$7:$A$50,'EN PANNE'!G48))+(COUNTIF('INSTANCE C2'!$A$7:$A$50,'EN PANNE'!G48))+(COUNTIF(INTERNES!$A$7:$A$50,'EN PANNE'!G48))+(COUNTIF('EN PANNE'!$A$7:$A$50,'EN PANNE'!G48))</f>
        <v>0</v>
      </c>
      <c r="J48" s="28">
        <f t="shared" si="4"/>
        <v>0</v>
      </c>
      <c r="K48" s="2"/>
      <c r="L48" s="47"/>
      <c r="M48" s="9"/>
      <c r="N48" s="9"/>
      <c r="O48" s="9"/>
      <c r="P48" s="9"/>
      <c r="S48" s="60">
        <f t="shared" si="1"/>
        <v>0</v>
      </c>
      <c r="T48" s="67">
        <f t="shared" si="2"/>
        <v>0</v>
      </c>
    </row>
    <row r="49" spans="1:26" ht="24.95" customHeight="1" x14ac:dyDescent="0.2">
      <c r="A49" s="20"/>
      <c r="B49" s="23">
        <f>(COUNTIF('2S EXPRESS'!$A$7:$A$50,'EN PANNE'!A49))+(COUNTIF('2 ZT'!$A$7:$A$50,'EN PANNE'!A49))+(COUNTIF('GO TRANSPORT'!$A$7:$A$50,'EN PANNE'!A49))+(COUNTIF('HMZ - KAIS'!$A$7:$A$50,'EN PANNE'!A49))+(COUNTIF('IB TRANSPORT'!$A$7:$A$50,'EN PANNE'!A49))+(COUNTIF(JSL!$A$7:$A$50,'EN PANNE'!A49))+(COUNTIF(KIFAITOUT!$A$7:$A$50,'EN PANNE'!A49))+(COUNTIF('LUXE DRIVE'!$A$7:$A$50,'EN PANNE'!A49))+(COUNTIF(SSN!$A$7:$A$50,'EN PANNE'!A49))+(COUNTIF('W3'!$A$7:$A$50,'EN PANNE'!A49))+(COUNTIF('ATHIS MONS'!$A$7:$A$50,'EN PANNE'!A49))+(COUNTIF('L HAY LES ROSES'!$A$7:$A$50,'EN PANNE'!A49))+(COUNTIF(RUNGIS!$A$7:$A$50,'EN PANNE'!A49))+(COUNTIF(SCEAUX!$A$7:$A$50,'EN PANNE'!A49))+(COUNTIF('INSTANCE C1'!$A$7:$A$50,'EN PANNE'!A49))+(COUNTIF('INSTANCE C2'!$A$7:$A$50,'EN PANNE'!A49))+(COUNTIF(INTERNES!$A$7:$A$50,'EN PANNE'!A49))+(COUNTIF('EN PANNE'!$A$7:$A$50,'EN PANNE'!A49))-C49</f>
        <v>0</v>
      </c>
      <c r="C49" s="23">
        <f>(COUNTIF('2S EXPRESS'!$G$7:$G$50,'EN PANNE'!A49))+(COUNTIF('2 ZT'!$G$7:$G$50,'EN PANNE'!A49))+(COUNTIF('GO TRANSPORT'!$G$7:$G$50,'EN PANNE'!A49))+(COUNTIF('EN PANNE'!$G$7:$G$50,'EN PANNE'!A49))+(COUNTIF('IB TRANSPORT'!$G$7:$G$50,'EN PANNE'!A49))+(COUNTIF(JSL!$G$7:$G$50,'EN PANNE'!A49))+(COUNTIF(KIFAITOUT!$G$7:$G$50,'EN PANNE'!A49))+(COUNTIF('LUXE DRIVE'!$G$7:$G$50,'EN PANNE'!A49))+(COUNTIF(SSN!$G$7:$G$50,'EN PANNE'!A49))+(COUNTIF('W3'!$G$7:$G$50,'EN PANNE'!A49))+(COUNTIF('ATHIS MONS'!$G$7:$G$50,'EN PANNE'!A49))+(COUNTIF('L HAY LES ROSES'!$G$7:$G$50,'EN PANNE'!A49))+(COUNTIF(RUNGIS!$G$7:$G$50,'EN PANNE'!A49))+(COUNTIF(SCEAUX!$G$7:$G$50,'EN PANNE'!A49))+(COUNTIF('INSTANCE C1'!$G$7:$G$50,'EN PANNE'!A49))+(COUNTIF('INSTANCE C2'!$G$7:$G$50,'EN PANNE'!A49))+(COUNTIF(INTERNES!$G$7:$G$50,'EN PANNE'!A49))+(COUNTIF('EN PANNE'!$G$7:$G$50,'EN PANNE'!A49))</f>
        <v>0</v>
      </c>
      <c r="D49" s="28">
        <f t="shared" si="3"/>
        <v>0</v>
      </c>
      <c r="E49" s="2"/>
      <c r="F49" s="6">
        <f t="shared" si="0"/>
        <v>0</v>
      </c>
      <c r="G49" s="20"/>
      <c r="H49" s="23">
        <f>(COUNTIF('2S EXPRESS'!$G$7:$G$50,'EN PANNE'!G49))+(COUNTIF('2 ZT'!$G$7:$G$50,'EN PANNE'!G49))+(COUNTIF('GO TRANSPORT'!$G$7:$G$50,'EN PANNE'!G49))+(COUNTIF('HMZ - KAIS'!$G$7:$G$50,'EN PANNE'!G49))+(COUNTIF('IB TRANSPORT'!$G$7:$G$50,'EN PANNE'!G49))+(COUNTIF(JSL!$G$7:$G$50,'EN PANNE'!G49))+(COUNTIF(KIFAITOUT!$G$7:$G$50,'EN PANNE'!G49))+(COUNTIF('LUXE DRIVE'!$G$7:$G$50,'EN PANNE'!G49))+(COUNTIF(SSN!$G$7:$G$50,'EN PANNE'!G49))+(COUNTIF('W3'!$G$7:$G$50,'EN PANNE'!G49))+(COUNTIF('ATHIS MONS'!$G$7:$G$50,'EN PANNE'!G49))+(COUNTIF('L HAY LES ROSES'!$G$7:$G$50,'EN PANNE'!G49))+(COUNTIF(RUNGIS!$G$7:$G$50,'EN PANNE'!G49))+(COUNTIF(SCEAUX!$G$7:$G$50,'EN PANNE'!G49))+(COUNTIF('INSTANCE C1'!$G$7:$G$50,'EN PANNE'!G49))+(COUNTIF('INSTANCE C2'!$G$7:$G$50,'EN PANNE'!G49))+(COUNTIF(INTERNES!$G$7:$G$50,'EN PANNE'!G49))+(COUNTIF('EN PANNE'!$G$7:$G$50,'EN PANNE'!G49))-I49</f>
        <v>0</v>
      </c>
      <c r="I49" s="23">
        <f>(COUNTIF('2S EXPRESS'!$A$7:$A$50,'EN PANNE'!G49))+(COUNTIF('2 ZT'!$A$7:$A$50,'EN PANNE'!G49))+(COUNTIF('GO TRANSPORT'!$A$7:$A$50,'EN PANNE'!G49))+(COUNTIF('HMZ - KAIS'!$A$7:$A$50,'EN PANNE'!G49))+(COUNTIF('IB TRANSPORT'!$A$7:$A$50,'EN PANNE'!G49))+(COUNTIF(JSL!$A$7:$A$50,'EN PANNE'!G49))+(COUNTIF(KIFAITOUT!$A$7:$A$50,'EN PANNE'!G49))+(COUNTIF('LUXE DRIVE'!$A$7:$A$50,'EN PANNE'!G49))+(COUNTIF(SSN!$A$7:$A$50,'EN PANNE'!G49))+(COUNTIF('W3'!$A$7:$A$50,'EN PANNE'!G49))+(COUNTIF('ATHIS MONS'!$A$7:$A$50,'EN PANNE'!G49))+(COUNTIF('L HAY LES ROSES'!$A$7:$A$50,'EN PANNE'!G49))+(COUNTIF(RUNGIS!$A$7:$A$50,'EN PANNE'!G49))+(COUNTIF(SCEAUX!$A$7:$A$50,'EN PANNE'!G49))+(COUNTIF('INSTANCE C1'!$A$7:$A$50,'EN PANNE'!G49))+(COUNTIF('INSTANCE C2'!$A$7:$A$50,'EN PANNE'!G49))+(COUNTIF(INTERNES!$A$7:$A$50,'EN PANNE'!G49))+(COUNTIF('EN PANNE'!$A$7:$A$50,'EN PANNE'!G49))</f>
        <v>0</v>
      </c>
      <c r="J49" s="28">
        <f t="shared" si="4"/>
        <v>0</v>
      </c>
      <c r="K49" s="2"/>
      <c r="L49" s="47"/>
      <c r="M49" s="9"/>
      <c r="N49" s="9"/>
      <c r="O49" s="9"/>
      <c r="P49" s="9"/>
      <c r="S49" s="60">
        <f t="shared" si="1"/>
        <v>0</v>
      </c>
      <c r="T49" s="67">
        <f t="shared" si="2"/>
        <v>0</v>
      </c>
    </row>
    <row r="50" spans="1:26" ht="24.95" customHeight="1" thickBot="1" x14ac:dyDescent="0.25">
      <c r="A50" s="21"/>
      <c r="B50" s="25">
        <f>(COUNTIF('2S EXPRESS'!$A$7:$A$50,'EN PANNE'!A50))+(COUNTIF('2 ZT'!$A$7:$A$50,'EN PANNE'!A50))+(COUNTIF('GO TRANSPORT'!$A$7:$A$50,'EN PANNE'!A50))+(COUNTIF('HMZ - KAIS'!$A$7:$A$50,'EN PANNE'!A50))+(COUNTIF('IB TRANSPORT'!$A$7:$A$50,'EN PANNE'!A50))+(COUNTIF(JSL!$A$7:$A$50,'EN PANNE'!A50))+(COUNTIF(KIFAITOUT!$A$7:$A$50,'EN PANNE'!A50))+(COUNTIF('LUXE DRIVE'!$A$7:$A$50,'EN PANNE'!A50))+(COUNTIF(SSN!$A$7:$A$50,'EN PANNE'!A50))+(COUNTIF('W3'!$A$7:$A$50,'EN PANNE'!A50))+(COUNTIF('ATHIS MONS'!$A$7:$A$50,'EN PANNE'!A50))+(COUNTIF('L HAY LES ROSES'!$A$7:$A$50,'EN PANNE'!A50))+(COUNTIF(RUNGIS!$A$7:$A$50,'EN PANNE'!A50))+(COUNTIF(SCEAUX!$A$7:$A$50,'EN PANNE'!A50))+(COUNTIF('INSTANCE C1'!$A$7:$A$50,'EN PANNE'!A50))+(COUNTIF('INSTANCE C2'!$A$7:$A$50,'EN PANNE'!A50))+(COUNTIF(INTERNES!$A$7:$A$50,'EN PANNE'!A50))+(COUNTIF('EN PANNE'!$A$7:$A$50,'EN PANNE'!A50))-C50</f>
        <v>0</v>
      </c>
      <c r="C50" s="23">
        <f>(COUNTIF('2S EXPRESS'!$G$7:$G$50,'HMZ - KAIS'!A50))+(COUNTIF('2 ZT'!$G$7:$G$50,'HMZ - KAIS'!A50))+(COUNTIF('GO TRANSPORT'!$G$7:$G$50,'HMZ - KAIS'!A50))+(COUNTIF('HMZ - KAIS'!$G$7:$G$50,'HMZ - KAIS'!A50))+(COUNTIF('IB TRANSPORT'!$G$7:$G$50,'HMZ - KAIS'!A50))+(COUNTIF(JSL!$G$7:$G$50,'HMZ - KAIS'!A50))+(COUNTIF(KIFAITOUT!$G$7:$G$50,'HMZ - KAIS'!A50))+(COUNTIF('LUXE DRIVE'!$G$7:$G$50,'HMZ - KAIS'!A50))+(COUNTIF(SSN!$G$7:$G$50,'HMZ - KAIS'!A50))+(COUNTIF('W3'!$G$7:$G$50,'HMZ - KAIS'!A50))+(COUNTIF('ATHIS MONS'!$G$7:$G$50,'HMZ - KAIS'!A50))+(COUNTIF('L HAY LES ROSES'!$G$7:$G$50,'HMZ - KAIS'!A50))+(COUNTIF(RUNGIS!$G$7:$G$50,'HMZ - KAIS'!A50))+(COUNTIF(SCEAUX!$G$7:$G$50,'HMZ - KAIS'!A50))+(COUNTIF('INSTANCE C1'!$G$7:$G$50,'HMZ - KAIS'!A50))+(COUNTIF('INSTANCE C2'!$G$7:$G$50,'HMZ - KAIS'!A50))+(COUNTIF(INTERNES!$G$7:$G$50,'HMZ - KAIS'!A50))+(COUNTIF('EN PANNE'!$G$7:$G$50,'HMZ - KAIS'!A50))</f>
        <v>0</v>
      </c>
      <c r="D50" s="29">
        <f t="shared" si="3"/>
        <v>0</v>
      </c>
      <c r="E50" s="3"/>
      <c r="F50" s="7">
        <f t="shared" si="0"/>
        <v>0</v>
      </c>
      <c r="G50" s="21"/>
      <c r="H50" s="25">
        <f>(COUNTIF('2S EXPRESS'!$G$7:$G$50,'EN PANNE'!G50))+(COUNTIF('2 ZT'!$G$7:$G$50,'EN PANNE'!G50))+(COUNTIF('GO TRANSPORT'!$G$7:$G$50,'EN PANNE'!G50))+(COUNTIF('HMZ - KAIS'!$G$7:$G$50,'EN PANNE'!G50))+(COUNTIF('IB TRANSPORT'!$G$7:$G$50,'EN PANNE'!G50))+(COUNTIF(JSL!$G$7:$G$50,'EN PANNE'!G50))+(COUNTIF(KIFAITOUT!$G$7:$G$50,'EN PANNE'!G50))+(COUNTIF('LUXE DRIVE'!$G$7:$G$50,'EN PANNE'!G50))+(COUNTIF(SSN!$G$7:$G$50,'EN PANNE'!G50))+(COUNTIF('W3'!$G$7:$G$50,'EN PANNE'!G50))+(COUNTIF('ATHIS MONS'!$G$7:$G$50,'EN PANNE'!G50))+(COUNTIF('L HAY LES ROSES'!$G$7:$G$50,'EN PANNE'!G50))+(COUNTIF(RUNGIS!$G$7:$G$50,'EN PANNE'!G50))+(COUNTIF(SCEAUX!$G$7:$G$50,'EN PANNE'!G50))+(COUNTIF('INSTANCE C1'!$G$7:$G$50,'EN PANNE'!G50))+(COUNTIF('INSTANCE C2'!$G$7:$G$50,'EN PANNE'!G50))+(COUNTIF(INTERNES!$G$7:$G$50,'EN PANNE'!G50))+(COUNTIF('EN PANNE'!$G$7:$G$50,'EN PANNE'!G50))-I50</f>
        <v>0</v>
      </c>
      <c r="I50" s="25">
        <f>(COUNTIF('2S EXPRESS'!$A$7:$A$50,'EN PANNE'!G50))+(COUNTIF('2 ZT'!$A$7:$A$50,'EN PANNE'!G50))+(COUNTIF('GO TRANSPORT'!$A$7:$A$50,'EN PANNE'!G50))+(COUNTIF('HMZ - KAIS'!$A$7:$A$50,'EN PANNE'!G50))+(COUNTIF('IB TRANSPORT'!$A$7:$A$50,'EN PANNE'!G50))+(COUNTIF(JSL!$A$7:$A$50,'EN PANNE'!G50))+(COUNTIF(KIFAITOUT!$A$7:$A$50,'EN PANNE'!G50))+(COUNTIF('LUXE DRIVE'!$A$7:$A$50,'EN PANNE'!G50))+(COUNTIF(SSN!$A$7:$A$50,'EN PANNE'!G50))+(COUNTIF('W3'!$A$7:$A$50,'EN PANNE'!G50))+(COUNTIF('ATHIS MONS'!$A$7:$A$50,'EN PANNE'!G50))+(COUNTIF('L HAY LES ROSES'!$A$7:$A$50,'EN PANNE'!G50))+(COUNTIF(RUNGIS!$A$7:$A$50,'EN PANNE'!G50))+(COUNTIF(SCEAUX!$A$7:$A$50,'EN PANNE'!G50))+(COUNTIF('INSTANCE C1'!$A$7:$A$50,'EN PANNE'!G50))+(COUNTIF('INSTANCE C2'!$A$7:$A$50,'EN PANNE'!G50))+(COUNTIF(INTERNES!$A$7:$A$50,'EN PANNE'!G50))+(COUNTIF('EN PANNE'!$A$7:$A$50,'EN PANNE'!G50))</f>
        <v>0</v>
      </c>
      <c r="J50" s="29">
        <f t="shared" si="4"/>
        <v>0</v>
      </c>
      <c r="K50" s="3"/>
      <c r="L50" s="47"/>
      <c r="M50" s="9"/>
      <c r="N50" s="9"/>
      <c r="O50" s="9"/>
      <c r="P50" s="9"/>
      <c r="S50" s="60">
        <f t="shared" si="1"/>
        <v>0</v>
      </c>
      <c r="T50" s="67">
        <f t="shared" si="2"/>
        <v>0</v>
      </c>
    </row>
    <row r="51" spans="1:26" x14ac:dyDescent="0.2">
      <c r="A51" s="9"/>
      <c r="B51" s="9"/>
      <c r="C51" s="9"/>
      <c r="D51" s="9"/>
      <c r="E51" s="9"/>
      <c r="F51" s="9"/>
      <c r="G51" s="9"/>
      <c r="H51" s="9"/>
      <c r="J51" s="9"/>
      <c r="K51" s="9"/>
      <c r="L51" s="9"/>
      <c r="M51" s="9"/>
      <c r="N51" s="9"/>
      <c r="O51" s="9"/>
      <c r="P51" s="9"/>
    </row>
    <row r="52" spans="1:26" x14ac:dyDescent="0.2">
      <c r="A52" s="9"/>
      <c r="B52" s="9"/>
      <c r="C52" s="9"/>
      <c r="D52" s="9"/>
      <c r="E52" s="9"/>
      <c r="F52" s="9"/>
      <c r="G52" s="9"/>
      <c r="H52" s="9"/>
      <c r="J52" s="9"/>
      <c r="K52" s="9"/>
      <c r="L52" s="9"/>
      <c r="M52" s="9"/>
      <c r="N52" s="9"/>
      <c r="O52" s="9"/>
      <c r="P52" s="9"/>
    </row>
    <row r="53" spans="1:26" s="9" customFormat="1" x14ac:dyDescent="0.2">
      <c r="A53" s="8">
        <f>COUNT($A$7:$A$50)</f>
        <v>0</v>
      </c>
      <c r="B53" s="8"/>
      <c r="C53" s="8"/>
      <c r="D53" s="8">
        <f>SUM(D7:D50)</f>
        <v>0</v>
      </c>
      <c r="F53" s="8">
        <f>SUM(F7:F50)</f>
        <v>0</v>
      </c>
      <c r="G53" s="8">
        <f>COUNT(G7:G50)</f>
        <v>0</v>
      </c>
      <c r="H53" s="8"/>
      <c r="I53" s="8"/>
      <c r="J53" s="8">
        <f>SUM(J7:J50)</f>
        <v>0</v>
      </c>
      <c r="R53" s="56"/>
      <c r="S53" s="56"/>
      <c r="T53" s="56"/>
      <c r="U53" s="56"/>
      <c r="V53" s="56"/>
      <c r="W53" s="56"/>
      <c r="X53" s="56"/>
      <c r="Y53" s="56"/>
      <c r="Z53" s="56"/>
    </row>
  </sheetData>
  <mergeCells count="13">
    <mergeCell ref="M8:P8"/>
    <mergeCell ref="M9:P9"/>
    <mergeCell ref="M11:P11"/>
    <mergeCell ref="M12:P12"/>
    <mergeCell ref="B2:E3"/>
    <mergeCell ref="G2:K3"/>
    <mergeCell ref="A4:E4"/>
    <mergeCell ref="G4:K4"/>
    <mergeCell ref="A5:A6"/>
    <mergeCell ref="E5:E6"/>
    <mergeCell ref="F5:F6"/>
    <mergeCell ref="G5:G6"/>
    <mergeCell ref="K5:K6"/>
  </mergeCells>
  <conditionalFormatting sqref="F7:F50">
    <cfRule type="cellIs" dxfId="9" priority="10" operator="equal">
      <formula>1</formula>
    </cfRule>
  </conditionalFormatting>
  <conditionalFormatting sqref="A7:A50">
    <cfRule type="duplicateValues" dxfId="8" priority="8"/>
  </conditionalFormatting>
  <conditionalFormatting sqref="L7:L50">
    <cfRule type="cellIs" dxfId="7" priority="7" operator="greaterThan">
      <formula>0</formula>
    </cfRule>
  </conditionalFormatting>
  <conditionalFormatting sqref="D7">
    <cfRule type="cellIs" dxfId="6" priority="6" operator="greaterThan">
      <formula>0</formula>
    </cfRule>
  </conditionalFormatting>
  <conditionalFormatting sqref="D8:D50">
    <cfRule type="cellIs" dxfId="5" priority="5" operator="greaterThan">
      <formula>0</formula>
    </cfRule>
  </conditionalFormatting>
  <conditionalFormatting sqref="G7:G50">
    <cfRule type="duplicateValues" dxfId="4" priority="4"/>
  </conditionalFormatting>
  <conditionalFormatting sqref="J7">
    <cfRule type="cellIs" dxfId="3" priority="3" operator="greaterThan">
      <formula>0</formula>
    </cfRule>
  </conditionalFormatting>
  <conditionalFormatting sqref="J8:J50">
    <cfRule type="cellIs" dxfId="2" priority="2" operator="greaterThan">
      <formula>0</formula>
    </cfRule>
  </conditionalFormatting>
  <conditionalFormatting sqref="S7:S50">
    <cfRule type="cellIs" dxfId="1" priority="1" operator="greaterThan">
      <formula>0</formula>
    </cfRule>
  </conditionalFormatting>
  <dataValidations count="1">
    <dataValidation type="list" allowBlank="1" showInputMessage="1" showErrorMessage="1" sqref="K7:K50 E7:E50" xr:uid="{14137AF1-BC0B-4CD2-AE77-795B4072B9F3}">
      <formula1>$Q$9:$Q$17</formula1>
    </dataValidation>
  </dataValidations>
  <pageMargins left="0.25" right="0.25" top="0.75" bottom="0.75" header="0.3" footer="0.3"/>
  <pageSetup paperSize="9" scale="84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41891EA0-504A-4203-92B0-605EFD43FB2F}">
            <xm:f>NOT(ISERROR(SEARCH(0,F7)))</xm:f>
            <xm:f>0</xm:f>
            <x14:dxf>
              <fill>
                <patternFill>
                  <bgColor rgb="FFFF0000"/>
                </patternFill>
              </fill>
            </x14:dxf>
          </x14:cfRule>
          <xm:sqref>F7:F50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B0789-6976-4BCE-98CD-34E042E7F783}">
  <sheetPr codeName="Feuil22">
    <tabColor rgb="FF92D050"/>
  </sheetPr>
  <dimension ref="A1:AI55"/>
  <sheetViews>
    <sheetView showGridLines="0" workbookViewId="0">
      <selection activeCell="T7" sqref="T7"/>
    </sheetView>
  </sheetViews>
  <sheetFormatPr baseColWidth="10" defaultColWidth="11.42578125" defaultRowHeight="12.75" x14ac:dyDescent="0.2"/>
  <cols>
    <col min="1" max="1" width="1.7109375" style="10" customWidth="1"/>
    <col min="2" max="2" width="14.7109375" style="10" customWidth="1"/>
    <col min="3" max="3" width="1.7109375" style="10" customWidth="1"/>
    <col min="4" max="4" width="14.7109375" style="10" customWidth="1"/>
    <col min="5" max="5" width="1.7109375" style="10" customWidth="1"/>
    <col min="6" max="6" width="14.7109375" style="10" customWidth="1"/>
    <col min="7" max="7" width="1.7109375" style="10" customWidth="1"/>
    <col min="8" max="8" width="14.7109375" style="10" customWidth="1"/>
    <col min="9" max="9" width="1.7109375" style="10" customWidth="1"/>
    <col min="10" max="10" width="14.7109375" style="10" customWidth="1"/>
    <col min="11" max="11" width="1.7109375" style="10" customWidth="1"/>
    <col min="12" max="12" width="14.7109375" style="10" customWidth="1"/>
    <col min="13" max="13" width="1.7109375" style="10" customWidth="1"/>
    <col min="14" max="14" width="14.7109375" style="10" customWidth="1"/>
    <col min="15" max="15" width="1.7109375" style="82" customWidth="1"/>
    <col min="16" max="16" width="14.7109375" style="82" customWidth="1"/>
    <col min="17" max="17" width="1.7109375" style="82" customWidth="1"/>
    <col min="18" max="18" width="14.7109375" style="82" customWidth="1"/>
    <col min="19" max="19" width="1.7109375" style="82" customWidth="1"/>
    <col min="20" max="20" width="14.7109375" style="82" customWidth="1"/>
    <col min="21" max="21" width="1.7109375" style="14" customWidth="1"/>
    <col min="22" max="22" width="14.7109375" style="14" customWidth="1"/>
    <col min="23" max="23" width="1.7109375" style="10" customWidth="1"/>
    <col min="24" max="24" width="14.7109375" style="10" customWidth="1"/>
    <col min="25" max="25" width="1.7109375" style="10" customWidth="1"/>
    <col min="26" max="26" width="14.7109375" style="10" customWidth="1"/>
    <col min="27" max="27" width="1.7109375" style="10" customWidth="1"/>
    <col min="28" max="28" width="14.7109375" style="10" customWidth="1"/>
    <col min="29" max="29" width="1.7109375" style="10" customWidth="1"/>
    <col min="30" max="30" width="14.7109375" style="10" customWidth="1"/>
    <col min="31" max="31" width="1.7109375" style="10" customWidth="1"/>
    <col min="32" max="32" width="14.7109375" style="10" customWidth="1"/>
    <col min="33" max="33" width="1.7109375" style="10" customWidth="1"/>
    <col min="34" max="34" width="14.7109375" style="10" customWidth="1"/>
    <col min="35" max="35" width="1.7109375" style="10" customWidth="1"/>
    <col min="36" max="196" width="14.7109375" style="10" customWidth="1"/>
    <col min="197" max="16384" width="11.42578125" style="10"/>
  </cols>
  <sheetData>
    <row r="1" spans="1:35" x14ac:dyDescent="0.2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2"/>
      <c r="P1" s="112"/>
      <c r="Q1" s="112"/>
      <c r="R1" s="112"/>
      <c r="S1" s="112"/>
      <c r="T1" s="112"/>
      <c r="U1" s="113"/>
      <c r="V1" s="113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</row>
    <row r="2" spans="1:35" x14ac:dyDescent="0.2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2"/>
      <c r="P2" s="112"/>
      <c r="Q2" s="112"/>
      <c r="R2" s="112"/>
      <c r="S2" s="112"/>
      <c r="T2" s="112"/>
      <c r="U2" s="113"/>
      <c r="V2" s="113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</row>
    <row r="3" spans="1:35" x14ac:dyDescent="0.2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2"/>
      <c r="P3" s="112"/>
      <c r="Q3" s="112"/>
      <c r="R3" s="112"/>
      <c r="S3" s="112"/>
      <c r="T3" s="112"/>
      <c r="U3" s="113"/>
      <c r="V3" s="113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</row>
    <row r="4" spans="1:35" x14ac:dyDescent="0.2">
      <c r="A4" s="88" t="s">
        <v>0</v>
      </c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4"/>
      <c r="P4" s="84"/>
      <c r="Q4" s="84"/>
      <c r="R4" s="84"/>
      <c r="S4" s="84"/>
      <c r="T4" s="84"/>
      <c r="U4" s="87"/>
      <c r="V4" s="87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</row>
    <row r="5" spans="1:35" s="83" customFormat="1" ht="24.95" customHeight="1" x14ac:dyDescent="0.2">
      <c r="A5" s="85"/>
      <c r="B5" s="216" t="s">
        <v>17</v>
      </c>
      <c r="C5" s="92"/>
      <c r="D5" s="216" t="s">
        <v>34</v>
      </c>
      <c r="E5" s="92"/>
      <c r="F5" s="216" t="s">
        <v>35</v>
      </c>
      <c r="G5" s="92"/>
      <c r="H5" s="216" t="s">
        <v>36</v>
      </c>
      <c r="I5" s="92"/>
      <c r="J5" s="216" t="s">
        <v>37</v>
      </c>
      <c r="K5" s="92"/>
      <c r="L5" s="216" t="s">
        <v>38</v>
      </c>
      <c r="M5" s="92"/>
      <c r="N5" s="216" t="s">
        <v>720</v>
      </c>
      <c r="O5" s="93"/>
      <c r="P5" s="216" t="s">
        <v>40</v>
      </c>
      <c r="Q5" s="93"/>
      <c r="R5" s="216" t="s">
        <v>41</v>
      </c>
      <c r="S5" s="93"/>
      <c r="T5" s="216" t="s">
        <v>724</v>
      </c>
      <c r="U5" s="94"/>
      <c r="V5" s="216" t="s">
        <v>42</v>
      </c>
      <c r="W5" s="92"/>
      <c r="X5" s="220" t="s">
        <v>721</v>
      </c>
      <c r="Y5" s="92"/>
      <c r="Z5" s="220" t="s">
        <v>45</v>
      </c>
      <c r="AA5" s="92"/>
      <c r="AB5" s="220" t="s">
        <v>46</v>
      </c>
      <c r="AC5" s="92"/>
      <c r="AD5" s="220" t="s">
        <v>47</v>
      </c>
      <c r="AE5" s="92"/>
      <c r="AF5" s="220" t="s">
        <v>48</v>
      </c>
      <c r="AG5" s="93"/>
      <c r="AH5" s="220" t="s">
        <v>50</v>
      </c>
      <c r="AI5" s="91"/>
    </row>
    <row r="6" spans="1:35" s="83" customFormat="1" ht="24.95" customHeight="1" x14ac:dyDescent="0.2">
      <c r="A6" s="85"/>
      <c r="B6" s="216"/>
      <c r="C6" s="92"/>
      <c r="D6" s="216"/>
      <c r="E6" s="92"/>
      <c r="F6" s="216"/>
      <c r="G6" s="92"/>
      <c r="H6" s="216"/>
      <c r="I6" s="92"/>
      <c r="J6" s="216"/>
      <c r="K6" s="92"/>
      <c r="L6" s="216"/>
      <c r="M6" s="92"/>
      <c r="N6" s="216"/>
      <c r="O6" s="93"/>
      <c r="P6" s="216"/>
      <c r="Q6" s="93"/>
      <c r="R6" s="216"/>
      <c r="S6" s="93"/>
      <c r="T6" s="216"/>
      <c r="U6" s="94"/>
      <c r="V6" s="216"/>
      <c r="W6" s="92"/>
      <c r="X6" s="220"/>
      <c r="Y6" s="92"/>
      <c r="Z6" s="220"/>
      <c r="AA6" s="92"/>
      <c r="AB6" s="220"/>
      <c r="AC6" s="92"/>
      <c r="AD6" s="220"/>
      <c r="AE6" s="92"/>
      <c r="AF6" s="220"/>
      <c r="AG6" s="93"/>
      <c r="AH6" s="220"/>
      <c r="AI6" s="91"/>
    </row>
    <row r="7" spans="1:35" ht="12.75" customHeight="1" x14ac:dyDescent="0.2">
      <c r="A7" s="86"/>
      <c r="B7" s="95" t="str">
        <f>IF('2S EXPRESS'!$T7=0,"",'2S EXPRESS'!$T7)</f>
        <v/>
      </c>
      <c r="C7" s="217"/>
      <c r="D7" s="95" t="str">
        <f>IF('2 ZT'!$T7=0,"",'2 ZT'!$T7)</f>
        <v/>
      </c>
      <c r="E7" s="96"/>
      <c r="F7" s="95" t="str">
        <f>IF('GO TRANSPORT'!$T7=0,"",'GO TRANSPORT'!$T7)</f>
        <v/>
      </c>
      <c r="G7" s="96"/>
      <c r="H7" s="95" t="str">
        <f>IF('HMZ - KAIS'!$T7=0,"",'HMZ - KAIS'!$T7)</f>
        <v/>
      </c>
      <c r="I7" s="219"/>
      <c r="J7" s="95" t="str">
        <f>IF('IB TRANSPORT'!$T7=0,"",'IB TRANSPORT'!$T7)</f>
        <v/>
      </c>
      <c r="K7" s="96"/>
      <c r="L7" s="95" t="str">
        <f>IF(JSL!$T7=0,"",JSL!$T7)</f>
        <v/>
      </c>
      <c r="M7" s="96"/>
      <c r="N7" s="95" t="str">
        <f>IF(KIFAITOUT!$T7=0,"",KIFAITOUT!$T7)</f>
        <v/>
      </c>
      <c r="O7" s="97"/>
      <c r="P7" s="95" t="str">
        <f>IF('LUXE DRIVE'!$T7=0,"",'LUXE DRIVE'!$T7)</f>
        <v/>
      </c>
      <c r="Q7" s="97"/>
      <c r="R7" s="95" t="str">
        <f>IF(SSN!$T7=0,"",SSN!$T7)</f>
        <v/>
      </c>
      <c r="S7" s="97"/>
      <c r="T7" s="95" t="str">
        <f>IF(TJM!$T7=0,"",TJM!$T7)</f>
        <v/>
      </c>
      <c r="U7" s="98"/>
      <c r="V7" s="95" t="str">
        <f>IF('W3'!$T7=0,"",'W3'!$T7)</f>
        <v/>
      </c>
      <c r="W7" s="96"/>
      <c r="X7" s="95" t="str">
        <f>IF('L HAY LES ROSES'!$T7=0,"",'L HAY LES ROSES'!$T7)</f>
        <v/>
      </c>
      <c r="Y7" s="96"/>
      <c r="Z7" s="95" t="str">
        <f>IF(RUNGIS!$T7=0,"",RUNGIS!$T7)</f>
        <v/>
      </c>
      <c r="AA7" s="219"/>
      <c r="AB7" s="95" t="str">
        <f>IF(SCEAUX!$T7=0,"",SCEAUX!$T7)</f>
        <v/>
      </c>
      <c r="AC7" s="96"/>
      <c r="AD7" s="95" t="str">
        <f>IF('INSTANCE C1'!$T7=0,"",'INSTANCE C1'!$T7)</f>
        <v/>
      </c>
      <c r="AE7" s="96"/>
      <c r="AF7" s="95" t="str">
        <f>IF('INSTANCE C2'!$T7=0,"",'INSTANCE C2'!$T7)</f>
        <v/>
      </c>
      <c r="AG7" s="97"/>
      <c r="AH7" s="95" t="str">
        <f>IF(INTERNES!$T7=0,"",INTERNES!$T7)</f>
        <v/>
      </c>
      <c r="AI7" s="89"/>
    </row>
    <row r="8" spans="1:35" ht="12.75" customHeight="1" x14ac:dyDescent="0.2">
      <c r="A8" s="86"/>
      <c r="B8" s="95" t="str">
        <f>IF('2S EXPRESS'!$T8=0,"",'2S EXPRESS'!$T8)</f>
        <v/>
      </c>
      <c r="C8" s="218"/>
      <c r="D8" s="95" t="str">
        <f>IF('2 ZT'!$T8=0,"",'2 ZT'!$T8)</f>
        <v/>
      </c>
      <c r="E8" s="96"/>
      <c r="F8" s="95" t="str">
        <f>IF('GO TRANSPORT'!$T8=0,"",'GO TRANSPORT'!$T8)</f>
        <v/>
      </c>
      <c r="G8" s="96"/>
      <c r="H8" s="95" t="str">
        <f>IF('HMZ - KAIS'!$T8=0,"",'HMZ - KAIS'!$T8)</f>
        <v/>
      </c>
      <c r="I8" s="219"/>
      <c r="J8" s="95" t="str">
        <f>IF('IB TRANSPORT'!$T8=0,"",'IB TRANSPORT'!$T8)</f>
        <v/>
      </c>
      <c r="K8" s="96"/>
      <c r="L8" s="95" t="str">
        <f>IF(JSL!$T8=0,"",JSL!$T8)</f>
        <v/>
      </c>
      <c r="M8" s="96"/>
      <c r="N8" s="95" t="str">
        <f>IF(KIFAITOUT!$T8=0,"",KIFAITOUT!$T8)</f>
        <v/>
      </c>
      <c r="O8" s="97"/>
      <c r="P8" s="95" t="str">
        <f>IF('LUXE DRIVE'!$T8=0,"",'LUXE DRIVE'!$T8)</f>
        <v/>
      </c>
      <c r="Q8" s="97"/>
      <c r="R8" s="95" t="str">
        <f>IF(SSN!$T8=0,"",SSN!$T8)</f>
        <v/>
      </c>
      <c r="S8" s="97"/>
      <c r="T8" s="95" t="str">
        <f>IF(TJM!$T8=0,"",TJM!$T8)</f>
        <v/>
      </c>
      <c r="U8" s="98"/>
      <c r="V8" s="95" t="str">
        <f>IF('W3'!$T8=0,"",'W3'!$T8)</f>
        <v/>
      </c>
      <c r="W8" s="96"/>
      <c r="X8" s="95" t="str">
        <f>IF('L HAY LES ROSES'!$T8=0,"",'L HAY LES ROSES'!$T8)</f>
        <v/>
      </c>
      <c r="Y8" s="96"/>
      <c r="Z8" s="95" t="str">
        <f>IF(RUNGIS!$T8=0,"",RUNGIS!$T8)</f>
        <v/>
      </c>
      <c r="AA8" s="219"/>
      <c r="AB8" s="95" t="str">
        <f>IF(SCEAUX!$T8=0,"",SCEAUX!$T8)</f>
        <v/>
      </c>
      <c r="AC8" s="96"/>
      <c r="AD8" s="95" t="str">
        <f>IF('INSTANCE C1'!$T8=0,"",'INSTANCE C1'!$T8)</f>
        <v/>
      </c>
      <c r="AE8" s="96"/>
      <c r="AF8" s="95" t="str">
        <f>IF('INSTANCE C2'!$T8=0,"",'INSTANCE C2'!$T8)</f>
        <v/>
      </c>
      <c r="AG8" s="97"/>
      <c r="AH8" s="95" t="str">
        <f>IF(INTERNES!$T8=0,"",INTERNES!$T8)</f>
        <v/>
      </c>
      <c r="AI8" s="89"/>
    </row>
    <row r="9" spans="1:35" ht="12.75" customHeight="1" x14ac:dyDescent="0.2">
      <c r="A9" s="86"/>
      <c r="B9" s="95" t="str">
        <f>IF('2S EXPRESS'!$T9=0,"",'2S EXPRESS'!$T9)</f>
        <v/>
      </c>
      <c r="C9" s="218"/>
      <c r="D9" s="95" t="str">
        <f>IF('2 ZT'!$T9=0,"",'2 ZT'!$T9)</f>
        <v/>
      </c>
      <c r="E9" s="96"/>
      <c r="F9" s="95" t="str">
        <f>IF('GO TRANSPORT'!$T9=0,"",'GO TRANSPORT'!$T9)</f>
        <v/>
      </c>
      <c r="G9" s="96"/>
      <c r="H9" s="95" t="str">
        <f>IF('HMZ - KAIS'!$T9=0,"",'HMZ - KAIS'!$T9)</f>
        <v/>
      </c>
      <c r="I9" s="219"/>
      <c r="J9" s="95" t="str">
        <f>IF('IB TRANSPORT'!$T9=0,"",'IB TRANSPORT'!$T9)</f>
        <v/>
      </c>
      <c r="K9" s="96"/>
      <c r="L9" s="95" t="str">
        <f>IF(JSL!$T9=0,"",JSL!$T9)</f>
        <v/>
      </c>
      <c r="M9" s="96"/>
      <c r="N9" s="95" t="str">
        <f>IF(KIFAITOUT!$T9=0,"",KIFAITOUT!$T9)</f>
        <v/>
      </c>
      <c r="O9" s="97"/>
      <c r="P9" s="95" t="str">
        <f>IF('LUXE DRIVE'!$T9=0,"",'LUXE DRIVE'!$T9)</f>
        <v/>
      </c>
      <c r="Q9" s="97"/>
      <c r="R9" s="95" t="str">
        <f>IF(SSN!$T9=0,"",SSN!$T9)</f>
        <v/>
      </c>
      <c r="S9" s="97"/>
      <c r="T9" s="95" t="str">
        <f>IF(TJM!$T9=0,"",TJM!$T9)</f>
        <v/>
      </c>
      <c r="U9" s="98"/>
      <c r="V9" s="95" t="str">
        <f>IF('W3'!$T9=0,"",'W3'!$T9)</f>
        <v/>
      </c>
      <c r="W9" s="96"/>
      <c r="X9" s="95" t="str">
        <f>IF('L HAY LES ROSES'!$T9=0,"",'L HAY LES ROSES'!$T9)</f>
        <v/>
      </c>
      <c r="Y9" s="96"/>
      <c r="Z9" s="95" t="str">
        <f>IF(RUNGIS!$T9=0,"",RUNGIS!$T9)</f>
        <v/>
      </c>
      <c r="AA9" s="219"/>
      <c r="AB9" s="95" t="str">
        <f>IF(SCEAUX!$T9=0,"",SCEAUX!$T9)</f>
        <v/>
      </c>
      <c r="AC9" s="96"/>
      <c r="AD9" s="95" t="str">
        <f>IF('INSTANCE C1'!$T9=0,"",'INSTANCE C1'!$T9)</f>
        <v/>
      </c>
      <c r="AE9" s="96"/>
      <c r="AF9" s="95" t="str">
        <f>IF('INSTANCE C2'!$T9=0,"",'INSTANCE C2'!$T9)</f>
        <v/>
      </c>
      <c r="AG9" s="97"/>
      <c r="AH9" s="95" t="str">
        <f>IF(INTERNES!$T9=0,"",INTERNES!$T9)</f>
        <v/>
      </c>
      <c r="AI9" s="89"/>
    </row>
    <row r="10" spans="1:35" ht="12.75" customHeight="1" x14ac:dyDescent="0.2">
      <c r="A10" s="86"/>
      <c r="B10" s="95" t="str">
        <f>IF('2S EXPRESS'!$T10=0,"",'2S EXPRESS'!$T10)</f>
        <v/>
      </c>
      <c r="C10" s="218"/>
      <c r="D10" s="95" t="str">
        <f>IF('2 ZT'!$T10=0,"",'2 ZT'!$T10)</f>
        <v/>
      </c>
      <c r="E10" s="96"/>
      <c r="F10" s="95" t="str">
        <f>IF('GO TRANSPORT'!$T10=0,"",'GO TRANSPORT'!$T10)</f>
        <v/>
      </c>
      <c r="G10" s="96"/>
      <c r="H10" s="95" t="str">
        <f>IF('HMZ - KAIS'!$T10=0,"",'HMZ - KAIS'!$T10)</f>
        <v/>
      </c>
      <c r="I10" s="219"/>
      <c r="J10" s="95" t="str">
        <f>IF('IB TRANSPORT'!$T10=0,"",'IB TRANSPORT'!$T10)</f>
        <v/>
      </c>
      <c r="K10" s="96"/>
      <c r="L10" s="95" t="str">
        <f>IF(JSL!$T10=0,"",JSL!$T10)</f>
        <v/>
      </c>
      <c r="M10" s="96"/>
      <c r="N10" s="95" t="str">
        <f>IF(KIFAITOUT!$T10=0,"",KIFAITOUT!$T10)</f>
        <v/>
      </c>
      <c r="O10" s="97"/>
      <c r="P10" s="95" t="str">
        <f>IF('LUXE DRIVE'!$T10=0,"",'LUXE DRIVE'!$T10)</f>
        <v/>
      </c>
      <c r="Q10" s="97"/>
      <c r="R10" s="95" t="str">
        <f>IF(SSN!$T10=0,"",SSN!$T10)</f>
        <v/>
      </c>
      <c r="S10" s="97"/>
      <c r="T10" s="95" t="str">
        <f>IF(TJM!$T10=0,"",TJM!$T10)</f>
        <v/>
      </c>
      <c r="U10" s="98"/>
      <c r="V10" s="95" t="str">
        <f>IF('W3'!$T10=0,"",'W3'!$T10)</f>
        <v/>
      </c>
      <c r="W10" s="96"/>
      <c r="X10" s="95" t="str">
        <f>IF('L HAY LES ROSES'!$T10=0,"",'L HAY LES ROSES'!$T10)</f>
        <v/>
      </c>
      <c r="Y10" s="96"/>
      <c r="Z10" s="95" t="str">
        <f>IF(RUNGIS!$T10=0,"",RUNGIS!$T10)</f>
        <v/>
      </c>
      <c r="AA10" s="219"/>
      <c r="AB10" s="95" t="str">
        <f>IF(SCEAUX!$T10=0,"",SCEAUX!$T10)</f>
        <v/>
      </c>
      <c r="AC10" s="96"/>
      <c r="AD10" s="95" t="str">
        <f>IF('INSTANCE C1'!$T10=0,"",'INSTANCE C1'!$T10)</f>
        <v/>
      </c>
      <c r="AE10" s="96"/>
      <c r="AF10" s="95" t="str">
        <f>IF('INSTANCE C2'!$T10=0,"",'INSTANCE C2'!$T10)</f>
        <v/>
      </c>
      <c r="AG10" s="97"/>
      <c r="AH10" s="95" t="str">
        <f>IF(INTERNES!$T10=0,"",INTERNES!$T10)</f>
        <v/>
      </c>
      <c r="AI10" s="89"/>
    </row>
    <row r="11" spans="1:35" ht="12.75" customHeight="1" x14ac:dyDescent="0.2">
      <c r="A11" s="86"/>
      <c r="B11" s="95" t="str">
        <f>IF('2S EXPRESS'!$T11=0,"",'2S EXPRESS'!$T11)</f>
        <v/>
      </c>
      <c r="C11" s="218"/>
      <c r="D11" s="95" t="str">
        <f>IF('2 ZT'!$T11=0,"",'2 ZT'!$T11)</f>
        <v/>
      </c>
      <c r="E11" s="96"/>
      <c r="F11" s="95" t="str">
        <f>IF('GO TRANSPORT'!$T11=0,"",'GO TRANSPORT'!$T11)</f>
        <v/>
      </c>
      <c r="G11" s="96"/>
      <c r="H11" s="95" t="str">
        <f>IF('HMZ - KAIS'!$T11=0,"",'HMZ - KAIS'!$T11)</f>
        <v/>
      </c>
      <c r="I11" s="219"/>
      <c r="J11" s="95" t="str">
        <f>IF('IB TRANSPORT'!$T11=0,"",'IB TRANSPORT'!$T11)</f>
        <v/>
      </c>
      <c r="K11" s="96"/>
      <c r="L11" s="95" t="str">
        <f>IF(JSL!$T11=0,"",JSL!$T11)</f>
        <v/>
      </c>
      <c r="M11" s="96"/>
      <c r="N11" s="95" t="str">
        <f>IF(KIFAITOUT!$T11=0,"",KIFAITOUT!$T11)</f>
        <v/>
      </c>
      <c r="O11" s="97"/>
      <c r="P11" s="95" t="str">
        <f>IF('LUXE DRIVE'!$T11=0,"",'LUXE DRIVE'!$T11)</f>
        <v/>
      </c>
      <c r="Q11" s="97"/>
      <c r="R11" s="95" t="str">
        <f>IF(SSN!$T11=0,"",SSN!$T11)</f>
        <v/>
      </c>
      <c r="S11" s="97"/>
      <c r="T11" s="95" t="str">
        <f>IF(TJM!$T11=0,"",TJM!$T11)</f>
        <v/>
      </c>
      <c r="U11" s="98"/>
      <c r="V11" s="95" t="str">
        <f>IF('W3'!$T11=0,"",'W3'!$T11)</f>
        <v/>
      </c>
      <c r="W11" s="96"/>
      <c r="X11" s="95" t="str">
        <f>IF('L HAY LES ROSES'!$T11=0,"",'L HAY LES ROSES'!$T11)</f>
        <v/>
      </c>
      <c r="Y11" s="96"/>
      <c r="Z11" s="95" t="str">
        <f>IF(RUNGIS!$T11=0,"",RUNGIS!$T11)</f>
        <v/>
      </c>
      <c r="AA11" s="219"/>
      <c r="AB11" s="95" t="str">
        <f>IF(SCEAUX!$T11=0,"",SCEAUX!$T11)</f>
        <v/>
      </c>
      <c r="AC11" s="96"/>
      <c r="AD11" s="95" t="str">
        <f>IF('INSTANCE C1'!$T11=0,"",'INSTANCE C1'!$T11)</f>
        <v/>
      </c>
      <c r="AE11" s="96"/>
      <c r="AF11" s="95" t="str">
        <f>IF('INSTANCE C2'!$T11=0,"",'INSTANCE C2'!$T11)</f>
        <v/>
      </c>
      <c r="AG11" s="97"/>
      <c r="AH11" s="95" t="str">
        <f>IF(INTERNES!$T11=0,"",INTERNES!$T11)</f>
        <v/>
      </c>
      <c r="AI11" s="89"/>
    </row>
    <row r="12" spans="1:35" ht="12.75" customHeight="1" x14ac:dyDescent="0.2">
      <c r="A12" s="86"/>
      <c r="B12" s="95" t="str">
        <f>IF('2S EXPRESS'!$T12=0,"",'2S EXPRESS'!$T12)</f>
        <v/>
      </c>
      <c r="C12" s="96"/>
      <c r="D12" s="95" t="str">
        <f>IF('2 ZT'!$T12=0,"",'2 ZT'!$T12)</f>
        <v/>
      </c>
      <c r="E12" s="96"/>
      <c r="F12" s="95" t="str">
        <f>IF('GO TRANSPORT'!$T12=0,"",'GO TRANSPORT'!$T12)</f>
        <v/>
      </c>
      <c r="G12" s="96"/>
      <c r="H12" s="95" t="str">
        <f>IF('HMZ - KAIS'!$T12=0,"",'HMZ - KAIS'!$T12)</f>
        <v/>
      </c>
      <c r="I12" s="96"/>
      <c r="J12" s="95" t="str">
        <f>IF('IB TRANSPORT'!$T12=0,"",'IB TRANSPORT'!$T12)</f>
        <v/>
      </c>
      <c r="K12" s="96"/>
      <c r="L12" s="95" t="str">
        <f>IF(JSL!$T12=0,"",JSL!$T12)</f>
        <v/>
      </c>
      <c r="M12" s="96"/>
      <c r="N12" s="95" t="str">
        <f>IF(KIFAITOUT!$T12=0,"",KIFAITOUT!$T12)</f>
        <v/>
      </c>
      <c r="O12" s="97"/>
      <c r="P12" s="95" t="str">
        <f>IF('LUXE DRIVE'!$T12=0,"",'LUXE DRIVE'!$T12)</f>
        <v/>
      </c>
      <c r="Q12" s="97"/>
      <c r="R12" s="95" t="str">
        <f>IF(SSN!$T12=0,"",SSN!$T12)</f>
        <v/>
      </c>
      <c r="S12" s="97"/>
      <c r="T12" s="95" t="str">
        <f>IF(TJM!$T12=0,"",TJM!$T12)</f>
        <v/>
      </c>
      <c r="U12" s="98"/>
      <c r="V12" s="95" t="str">
        <f>IF('W3'!$T12=0,"",'W3'!$T12)</f>
        <v/>
      </c>
      <c r="W12" s="96"/>
      <c r="X12" s="95" t="str">
        <f>IF('L HAY LES ROSES'!$T12=0,"",'L HAY LES ROSES'!$T12)</f>
        <v/>
      </c>
      <c r="Y12" s="96"/>
      <c r="Z12" s="95" t="str">
        <f>IF(RUNGIS!$T12=0,"",RUNGIS!$T12)</f>
        <v/>
      </c>
      <c r="AA12" s="96"/>
      <c r="AB12" s="95" t="str">
        <f>IF(SCEAUX!$T12=0,"",SCEAUX!$T12)</f>
        <v/>
      </c>
      <c r="AC12" s="96"/>
      <c r="AD12" s="95" t="str">
        <f>IF('INSTANCE C1'!$T12=0,"",'INSTANCE C1'!$T12)</f>
        <v/>
      </c>
      <c r="AE12" s="96"/>
      <c r="AF12" s="95" t="str">
        <f>IF('INSTANCE C2'!$T12=0,"",'INSTANCE C2'!$T12)</f>
        <v/>
      </c>
      <c r="AG12" s="97"/>
      <c r="AH12" s="95" t="str">
        <f>IF(INTERNES!$T12=0,"",INTERNES!$T12)</f>
        <v/>
      </c>
      <c r="AI12" s="89"/>
    </row>
    <row r="13" spans="1:35" ht="12.75" customHeight="1" x14ac:dyDescent="0.2">
      <c r="A13" s="86"/>
      <c r="B13" s="95" t="str">
        <f>IF('2S EXPRESS'!$T13=0,"",'2S EXPRESS'!$T13)</f>
        <v/>
      </c>
      <c r="C13" s="217"/>
      <c r="D13" s="95" t="str">
        <f>IF('2 ZT'!$T13=0,"",'2 ZT'!$T13)</f>
        <v/>
      </c>
      <c r="E13" s="96"/>
      <c r="F13" s="95" t="str">
        <f>IF('GO TRANSPORT'!$T13=0,"",'GO TRANSPORT'!$T13)</f>
        <v/>
      </c>
      <c r="G13" s="96"/>
      <c r="H13" s="95" t="str">
        <f>IF('HMZ - KAIS'!$T13=0,"",'HMZ - KAIS'!$T13)</f>
        <v/>
      </c>
      <c r="I13" s="219"/>
      <c r="J13" s="95" t="str">
        <f>IF('IB TRANSPORT'!$T13=0,"",'IB TRANSPORT'!$T13)</f>
        <v/>
      </c>
      <c r="K13" s="96"/>
      <c r="L13" s="95" t="str">
        <f>IF(JSL!$T13=0,"",JSL!$T13)</f>
        <v/>
      </c>
      <c r="M13" s="96"/>
      <c r="N13" s="95" t="str">
        <f>IF(KIFAITOUT!$T13=0,"",KIFAITOUT!$T13)</f>
        <v/>
      </c>
      <c r="O13" s="97"/>
      <c r="P13" s="95" t="str">
        <f>IF('LUXE DRIVE'!$T13=0,"",'LUXE DRIVE'!$T13)</f>
        <v/>
      </c>
      <c r="Q13" s="97"/>
      <c r="R13" s="95" t="str">
        <f>IF(SSN!$T13=0,"",SSN!$T13)</f>
        <v/>
      </c>
      <c r="S13" s="97"/>
      <c r="T13" s="95" t="str">
        <f>IF(TJM!$T13=0,"",TJM!$T13)</f>
        <v/>
      </c>
      <c r="U13" s="98"/>
      <c r="V13" s="95" t="str">
        <f>IF('W3'!$T13=0,"",'W3'!$T13)</f>
        <v/>
      </c>
      <c r="W13" s="96"/>
      <c r="X13" s="95" t="str">
        <f>IF('L HAY LES ROSES'!$T13=0,"",'L HAY LES ROSES'!$T13)</f>
        <v/>
      </c>
      <c r="Y13" s="96"/>
      <c r="Z13" s="95" t="str">
        <f>IF(RUNGIS!$T13=0,"",RUNGIS!$T13)</f>
        <v/>
      </c>
      <c r="AA13" s="219"/>
      <c r="AB13" s="95" t="str">
        <f>IF(SCEAUX!$T13=0,"",SCEAUX!$T13)</f>
        <v/>
      </c>
      <c r="AC13" s="96"/>
      <c r="AD13" s="95" t="str">
        <f>IF('INSTANCE C1'!$T13=0,"",'INSTANCE C1'!$T13)</f>
        <v/>
      </c>
      <c r="AE13" s="96"/>
      <c r="AF13" s="95" t="str">
        <f>IF('INSTANCE C2'!$T13=0,"",'INSTANCE C2'!$T13)</f>
        <v/>
      </c>
      <c r="AG13" s="97"/>
      <c r="AH13" s="95" t="str">
        <f>IF(INTERNES!$T13=0,"",INTERNES!$T13)</f>
        <v/>
      </c>
      <c r="AI13" s="89"/>
    </row>
    <row r="14" spans="1:35" ht="12.75" customHeight="1" x14ac:dyDescent="0.2">
      <c r="A14" s="86"/>
      <c r="B14" s="95" t="str">
        <f>IF('2S EXPRESS'!$T14=0,"",'2S EXPRESS'!$T14)</f>
        <v/>
      </c>
      <c r="C14" s="218"/>
      <c r="D14" s="95" t="str">
        <f>IF('2 ZT'!$T14=0,"",'2 ZT'!$T14)</f>
        <v/>
      </c>
      <c r="E14" s="96"/>
      <c r="F14" s="95" t="str">
        <f>IF('GO TRANSPORT'!$T14=0,"",'GO TRANSPORT'!$T14)</f>
        <v/>
      </c>
      <c r="G14" s="96"/>
      <c r="H14" s="95" t="str">
        <f>IF('HMZ - KAIS'!$T14=0,"",'HMZ - KAIS'!$T14)</f>
        <v/>
      </c>
      <c r="I14" s="219"/>
      <c r="J14" s="95" t="str">
        <f>IF('IB TRANSPORT'!$T14=0,"",'IB TRANSPORT'!$T14)</f>
        <v/>
      </c>
      <c r="K14" s="96"/>
      <c r="L14" s="95" t="str">
        <f>IF(JSL!$T14=0,"",JSL!$T14)</f>
        <v/>
      </c>
      <c r="M14" s="96"/>
      <c r="N14" s="95" t="str">
        <f>IF(KIFAITOUT!$T14=0,"",KIFAITOUT!$T14)</f>
        <v/>
      </c>
      <c r="O14" s="97"/>
      <c r="P14" s="95" t="str">
        <f>IF('LUXE DRIVE'!$T14=0,"",'LUXE DRIVE'!$T14)</f>
        <v/>
      </c>
      <c r="Q14" s="97"/>
      <c r="R14" s="95" t="str">
        <f>IF(SSN!$T14=0,"",SSN!$T14)</f>
        <v/>
      </c>
      <c r="S14" s="97"/>
      <c r="T14" s="95" t="str">
        <f>IF(TJM!$T14=0,"",TJM!$T14)</f>
        <v/>
      </c>
      <c r="U14" s="98"/>
      <c r="V14" s="95" t="str">
        <f>IF('W3'!$T14=0,"",'W3'!$T14)</f>
        <v/>
      </c>
      <c r="W14" s="96"/>
      <c r="X14" s="95" t="str">
        <f>IF('L HAY LES ROSES'!$T14=0,"",'L HAY LES ROSES'!$T14)</f>
        <v/>
      </c>
      <c r="Y14" s="96"/>
      <c r="Z14" s="95" t="str">
        <f>IF(RUNGIS!$T14=0,"",RUNGIS!$T14)</f>
        <v/>
      </c>
      <c r="AA14" s="219"/>
      <c r="AB14" s="95" t="str">
        <f>IF(SCEAUX!$T14=0,"",SCEAUX!$T14)</f>
        <v/>
      </c>
      <c r="AC14" s="96"/>
      <c r="AD14" s="95" t="str">
        <f>IF('INSTANCE C1'!$T14=0,"",'INSTANCE C1'!$T14)</f>
        <v/>
      </c>
      <c r="AE14" s="96"/>
      <c r="AF14" s="95" t="str">
        <f>IF('INSTANCE C2'!$T14=0,"",'INSTANCE C2'!$T14)</f>
        <v/>
      </c>
      <c r="AG14" s="97"/>
      <c r="AH14" s="95" t="str">
        <f>IF(INTERNES!$T14=0,"",INTERNES!$T14)</f>
        <v/>
      </c>
      <c r="AI14" s="89"/>
    </row>
    <row r="15" spans="1:35" ht="12.75" customHeight="1" x14ac:dyDescent="0.2">
      <c r="A15" s="86"/>
      <c r="B15" s="95" t="str">
        <f>IF('2S EXPRESS'!$T15=0,"",'2S EXPRESS'!$T15)</f>
        <v/>
      </c>
      <c r="C15" s="218"/>
      <c r="D15" s="95" t="str">
        <f>IF('2 ZT'!$T15=0,"",'2 ZT'!$T15)</f>
        <v/>
      </c>
      <c r="E15" s="96"/>
      <c r="F15" s="95" t="str">
        <f>IF('GO TRANSPORT'!$T15=0,"",'GO TRANSPORT'!$T15)</f>
        <v/>
      </c>
      <c r="G15" s="96"/>
      <c r="H15" s="95" t="str">
        <f>IF('HMZ - KAIS'!$T15=0,"",'HMZ - KAIS'!$T15)</f>
        <v/>
      </c>
      <c r="I15" s="219"/>
      <c r="J15" s="95" t="str">
        <f>IF('IB TRANSPORT'!$T15=0,"",'IB TRANSPORT'!$T15)</f>
        <v/>
      </c>
      <c r="K15" s="96"/>
      <c r="L15" s="95" t="str">
        <f>IF(JSL!$T15=0,"",JSL!$T15)</f>
        <v/>
      </c>
      <c r="M15" s="96"/>
      <c r="N15" s="95" t="str">
        <f>IF(KIFAITOUT!$T15=0,"",KIFAITOUT!$T15)</f>
        <v/>
      </c>
      <c r="O15" s="97"/>
      <c r="P15" s="95" t="str">
        <f>IF('LUXE DRIVE'!$T15=0,"",'LUXE DRIVE'!$T15)</f>
        <v/>
      </c>
      <c r="Q15" s="97"/>
      <c r="R15" s="95" t="str">
        <f>IF(SSN!$T15=0,"",SSN!$T15)</f>
        <v/>
      </c>
      <c r="S15" s="97"/>
      <c r="T15" s="95" t="str">
        <f>IF(TJM!$T15=0,"",TJM!$T15)</f>
        <v/>
      </c>
      <c r="U15" s="98"/>
      <c r="V15" s="95" t="str">
        <f>IF('W3'!$T15=0,"",'W3'!$T15)</f>
        <v/>
      </c>
      <c r="W15" s="96"/>
      <c r="X15" s="95" t="str">
        <f>IF('L HAY LES ROSES'!$T15=0,"",'L HAY LES ROSES'!$T15)</f>
        <v/>
      </c>
      <c r="Y15" s="96"/>
      <c r="Z15" s="95" t="str">
        <f>IF(RUNGIS!$T15=0,"",RUNGIS!$T15)</f>
        <v/>
      </c>
      <c r="AA15" s="219"/>
      <c r="AB15" s="95" t="str">
        <f>IF(SCEAUX!$T15=0,"",SCEAUX!$T15)</f>
        <v/>
      </c>
      <c r="AC15" s="96"/>
      <c r="AD15" s="95" t="str">
        <f>IF('INSTANCE C1'!$T15=0,"",'INSTANCE C1'!$T15)</f>
        <v/>
      </c>
      <c r="AE15" s="96"/>
      <c r="AF15" s="95" t="str">
        <f>IF('INSTANCE C2'!$T15=0,"",'INSTANCE C2'!$T15)</f>
        <v/>
      </c>
      <c r="AG15" s="97"/>
      <c r="AH15" s="95" t="str">
        <f>IF(INTERNES!$T15=0,"",INTERNES!$T15)</f>
        <v/>
      </c>
      <c r="AI15" s="89"/>
    </row>
    <row r="16" spans="1:35" ht="12.75" customHeight="1" x14ac:dyDescent="0.2">
      <c r="A16" s="86"/>
      <c r="B16" s="95" t="str">
        <f>IF('2S EXPRESS'!$T16=0,"",'2S EXPRESS'!$T16)</f>
        <v/>
      </c>
      <c r="C16" s="218"/>
      <c r="D16" s="95" t="str">
        <f>IF('2 ZT'!$T16=0,"",'2 ZT'!$T16)</f>
        <v/>
      </c>
      <c r="E16" s="96"/>
      <c r="F16" s="95" t="str">
        <f>IF('GO TRANSPORT'!$T16=0,"",'GO TRANSPORT'!$T16)</f>
        <v/>
      </c>
      <c r="G16" s="96"/>
      <c r="H16" s="95" t="str">
        <f>IF('HMZ - KAIS'!$T16=0,"",'HMZ - KAIS'!$T16)</f>
        <v/>
      </c>
      <c r="I16" s="219"/>
      <c r="J16" s="95" t="str">
        <f>IF('IB TRANSPORT'!$T16=0,"",'IB TRANSPORT'!$T16)</f>
        <v/>
      </c>
      <c r="K16" s="96"/>
      <c r="L16" s="95" t="str">
        <f>IF(JSL!$T16=0,"",JSL!$T16)</f>
        <v/>
      </c>
      <c r="M16" s="96"/>
      <c r="N16" s="95" t="str">
        <f>IF(KIFAITOUT!$T16=0,"",KIFAITOUT!$T16)</f>
        <v/>
      </c>
      <c r="O16" s="97"/>
      <c r="P16" s="95" t="str">
        <f>IF('LUXE DRIVE'!$T16=0,"",'LUXE DRIVE'!$T16)</f>
        <v/>
      </c>
      <c r="Q16" s="97"/>
      <c r="R16" s="95" t="str">
        <f>IF(SSN!$T16=0,"",SSN!$T16)</f>
        <v/>
      </c>
      <c r="S16" s="97"/>
      <c r="T16" s="95" t="str">
        <f>IF(TJM!$T16=0,"",TJM!$T16)</f>
        <v/>
      </c>
      <c r="U16" s="98"/>
      <c r="V16" s="95" t="str">
        <f>IF('W3'!$T16=0,"",'W3'!$T16)</f>
        <v/>
      </c>
      <c r="W16" s="96"/>
      <c r="X16" s="95" t="str">
        <f>IF('L HAY LES ROSES'!$T16=0,"",'L HAY LES ROSES'!$T16)</f>
        <v/>
      </c>
      <c r="Y16" s="96"/>
      <c r="Z16" s="95" t="str">
        <f>IF(RUNGIS!$T16=0,"",RUNGIS!$T16)</f>
        <v/>
      </c>
      <c r="AA16" s="219"/>
      <c r="AB16" s="95" t="str">
        <f>IF(SCEAUX!$T16=0,"",SCEAUX!$T16)</f>
        <v/>
      </c>
      <c r="AC16" s="96"/>
      <c r="AD16" s="95" t="str">
        <f>IF('INSTANCE C1'!$T16=0,"",'INSTANCE C1'!$T16)</f>
        <v/>
      </c>
      <c r="AE16" s="96"/>
      <c r="AF16" s="95" t="str">
        <f>IF('INSTANCE C2'!$T16=0,"",'INSTANCE C2'!$T16)</f>
        <v/>
      </c>
      <c r="AG16" s="97"/>
      <c r="AH16" s="95" t="str">
        <f>IF(INTERNES!$T16=0,"",INTERNES!$T16)</f>
        <v/>
      </c>
      <c r="AI16" s="89"/>
    </row>
    <row r="17" spans="1:35" ht="12.75" customHeight="1" x14ac:dyDescent="0.2">
      <c r="A17" s="86"/>
      <c r="B17" s="95" t="str">
        <f>IF('2S EXPRESS'!$T17=0,"",'2S EXPRESS'!$T17)</f>
        <v/>
      </c>
      <c r="C17" s="218"/>
      <c r="D17" s="95" t="str">
        <f>IF('2 ZT'!$T17=0,"",'2 ZT'!$T17)</f>
        <v/>
      </c>
      <c r="E17" s="96"/>
      <c r="F17" s="95" t="str">
        <f>IF('GO TRANSPORT'!$T17=0,"",'GO TRANSPORT'!$T17)</f>
        <v/>
      </c>
      <c r="G17" s="96"/>
      <c r="H17" s="95" t="str">
        <f>IF('HMZ - KAIS'!$T17=0,"",'HMZ - KAIS'!$T17)</f>
        <v/>
      </c>
      <c r="I17" s="219"/>
      <c r="J17" s="95" t="str">
        <f>IF('IB TRANSPORT'!$T17=0,"",'IB TRANSPORT'!$T17)</f>
        <v/>
      </c>
      <c r="K17" s="96"/>
      <c r="L17" s="95" t="str">
        <f>IF(JSL!$T17=0,"",JSL!$T17)</f>
        <v/>
      </c>
      <c r="M17" s="96"/>
      <c r="N17" s="95" t="str">
        <f>IF(KIFAITOUT!$T17=0,"",KIFAITOUT!$T17)</f>
        <v/>
      </c>
      <c r="O17" s="97"/>
      <c r="P17" s="95" t="str">
        <f>IF('LUXE DRIVE'!$T17=0,"",'LUXE DRIVE'!$T17)</f>
        <v/>
      </c>
      <c r="Q17" s="97"/>
      <c r="R17" s="95" t="str">
        <f>IF(SSN!$T17=0,"",SSN!$T17)</f>
        <v/>
      </c>
      <c r="S17" s="97"/>
      <c r="T17" s="95" t="str">
        <f>IF(TJM!$T17=0,"",TJM!$T17)</f>
        <v/>
      </c>
      <c r="U17" s="98"/>
      <c r="V17" s="95" t="str">
        <f>IF('W3'!$T17=0,"",'W3'!$T17)</f>
        <v/>
      </c>
      <c r="W17" s="96"/>
      <c r="X17" s="95" t="str">
        <f>IF('L HAY LES ROSES'!$T17=0,"",'L HAY LES ROSES'!$T17)</f>
        <v/>
      </c>
      <c r="Y17" s="96"/>
      <c r="Z17" s="95" t="str">
        <f>IF(RUNGIS!$T17=0,"",RUNGIS!$T17)</f>
        <v/>
      </c>
      <c r="AA17" s="219"/>
      <c r="AB17" s="95" t="str">
        <f>IF(SCEAUX!$T17=0,"",SCEAUX!$T17)</f>
        <v/>
      </c>
      <c r="AC17" s="96"/>
      <c r="AD17" s="95" t="str">
        <f>IF('INSTANCE C1'!$T17=0,"",'INSTANCE C1'!$T17)</f>
        <v/>
      </c>
      <c r="AE17" s="96"/>
      <c r="AF17" s="95" t="str">
        <f>IF('INSTANCE C2'!$T17=0,"",'INSTANCE C2'!$T17)</f>
        <v/>
      </c>
      <c r="AG17" s="97"/>
      <c r="AH17" s="95" t="str">
        <f>IF(INTERNES!$T17=0,"",INTERNES!$T17)</f>
        <v/>
      </c>
      <c r="AI17" s="89"/>
    </row>
    <row r="18" spans="1:35" ht="12.75" customHeight="1" x14ac:dyDescent="0.2">
      <c r="A18" s="86"/>
      <c r="B18" s="95" t="str">
        <f>IF('2S EXPRESS'!$T18=0,"",'2S EXPRESS'!$T18)</f>
        <v/>
      </c>
      <c r="C18" s="96"/>
      <c r="D18" s="95" t="str">
        <f>IF('2 ZT'!$T18=0,"",'2 ZT'!$T18)</f>
        <v/>
      </c>
      <c r="E18" s="96"/>
      <c r="F18" s="95" t="str">
        <f>IF('GO TRANSPORT'!$T18=0,"",'GO TRANSPORT'!$T18)</f>
        <v/>
      </c>
      <c r="G18" s="96"/>
      <c r="H18" s="95" t="str">
        <f>IF('HMZ - KAIS'!$T18=0,"",'HMZ - KAIS'!$T18)</f>
        <v/>
      </c>
      <c r="I18" s="96"/>
      <c r="J18" s="95" t="str">
        <f>IF('IB TRANSPORT'!$T18=0,"",'IB TRANSPORT'!$T18)</f>
        <v/>
      </c>
      <c r="K18" s="96"/>
      <c r="L18" s="95" t="str">
        <f>IF(JSL!$T18=0,"",JSL!$T18)</f>
        <v/>
      </c>
      <c r="M18" s="96"/>
      <c r="N18" s="95" t="str">
        <f>IF(KIFAITOUT!$T18=0,"",KIFAITOUT!$T18)</f>
        <v/>
      </c>
      <c r="O18" s="97"/>
      <c r="P18" s="95" t="str">
        <f>IF('LUXE DRIVE'!$T18=0,"",'LUXE DRIVE'!$T18)</f>
        <v/>
      </c>
      <c r="Q18" s="97"/>
      <c r="R18" s="95" t="str">
        <f>IF(SSN!$T18=0,"",SSN!$T18)</f>
        <v/>
      </c>
      <c r="S18" s="97"/>
      <c r="T18" s="95" t="str">
        <f>IF(TJM!$T18=0,"",TJM!$T18)</f>
        <v/>
      </c>
      <c r="U18" s="98"/>
      <c r="V18" s="95" t="str">
        <f>IF('W3'!$T18=0,"",'W3'!$T18)</f>
        <v/>
      </c>
      <c r="W18" s="96"/>
      <c r="X18" s="95" t="str">
        <f>IF('L HAY LES ROSES'!$T18=0,"",'L HAY LES ROSES'!$T18)</f>
        <v/>
      </c>
      <c r="Y18" s="96"/>
      <c r="Z18" s="95" t="str">
        <f>IF(RUNGIS!$T18=0,"",RUNGIS!$T18)</f>
        <v/>
      </c>
      <c r="AA18" s="96"/>
      <c r="AB18" s="95" t="str">
        <f>IF(SCEAUX!$T18=0,"",SCEAUX!$T18)</f>
        <v/>
      </c>
      <c r="AC18" s="96"/>
      <c r="AD18" s="95" t="str">
        <f>IF('INSTANCE C1'!$T18=0,"",'INSTANCE C1'!$T18)</f>
        <v/>
      </c>
      <c r="AE18" s="96"/>
      <c r="AF18" s="95" t="str">
        <f>IF('INSTANCE C2'!$T18=0,"",'INSTANCE C2'!$T18)</f>
        <v/>
      </c>
      <c r="AG18" s="97"/>
      <c r="AH18" s="95" t="str">
        <f>IF(INTERNES!$T18=0,"",INTERNES!$T18)</f>
        <v/>
      </c>
      <c r="AI18" s="89"/>
    </row>
    <row r="19" spans="1:35" ht="12.75" customHeight="1" x14ac:dyDescent="0.2">
      <c r="A19" s="86"/>
      <c r="B19" s="95" t="str">
        <f>IF('2S EXPRESS'!$T19=0,"",'2S EXPRESS'!$T19)</f>
        <v/>
      </c>
      <c r="C19" s="217"/>
      <c r="D19" s="95" t="str">
        <f>IF('2 ZT'!$T19=0,"",'2 ZT'!$T19)</f>
        <v/>
      </c>
      <c r="E19" s="96"/>
      <c r="F19" s="95" t="str">
        <f>IF('GO TRANSPORT'!$T19=0,"",'GO TRANSPORT'!$T19)</f>
        <v/>
      </c>
      <c r="G19" s="96"/>
      <c r="H19" s="95" t="str">
        <f>IF('HMZ - KAIS'!$T19=0,"",'HMZ - KAIS'!$T19)</f>
        <v/>
      </c>
      <c r="I19" s="219"/>
      <c r="J19" s="95" t="str">
        <f>IF('IB TRANSPORT'!$T19=0,"",'IB TRANSPORT'!$T19)</f>
        <v/>
      </c>
      <c r="K19" s="96"/>
      <c r="L19" s="95" t="str">
        <f>IF(JSL!$T19=0,"",JSL!$T19)</f>
        <v/>
      </c>
      <c r="M19" s="96"/>
      <c r="N19" s="95" t="str">
        <f>IF(KIFAITOUT!$T19=0,"",KIFAITOUT!$T19)</f>
        <v/>
      </c>
      <c r="O19" s="97"/>
      <c r="P19" s="95" t="str">
        <f>IF('LUXE DRIVE'!$T19=0,"",'LUXE DRIVE'!$T19)</f>
        <v/>
      </c>
      <c r="Q19" s="97"/>
      <c r="R19" s="95" t="str">
        <f>IF(SSN!$T19=0,"",SSN!$T19)</f>
        <v/>
      </c>
      <c r="S19" s="97"/>
      <c r="T19" s="95" t="str">
        <f>IF(TJM!$T19=0,"",TJM!$T19)</f>
        <v/>
      </c>
      <c r="U19" s="98"/>
      <c r="V19" s="95" t="str">
        <f>IF('W3'!$T19=0,"",'W3'!$T19)</f>
        <v/>
      </c>
      <c r="W19" s="96"/>
      <c r="X19" s="95" t="str">
        <f>IF('L HAY LES ROSES'!$T19=0,"",'L HAY LES ROSES'!$T19)</f>
        <v/>
      </c>
      <c r="Y19" s="96"/>
      <c r="Z19" s="95" t="str">
        <f>IF(RUNGIS!$T19=0,"",RUNGIS!$T19)</f>
        <v/>
      </c>
      <c r="AA19" s="219"/>
      <c r="AB19" s="95" t="str">
        <f>IF(SCEAUX!$T19=0,"",SCEAUX!$T19)</f>
        <v/>
      </c>
      <c r="AC19" s="96"/>
      <c r="AD19" s="95" t="str">
        <f>IF('INSTANCE C1'!$T19=0,"",'INSTANCE C1'!$T19)</f>
        <v/>
      </c>
      <c r="AE19" s="96"/>
      <c r="AF19" s="95" t="str">
        <f>IF('INSTANCE C2'!$T19=0,"",'INSTANCE C2'!$T19)</f>
        <v/>
      </c>
      <c r="AG19" s="97"/>
      <c r="AH19" s="95" t="str">
        <f>IF(INTERNES!$T19=0,"",INTERNES!$T19)</f>
        <v/>
      </c>
      <c r="AI19" s="89"/>
    </row>
    <row r="20" spans="1:35" ht="12.75" customHeight="1" x14ac:dyDescent="0.2">
      <c r="A20" s="86"/>
      <c r="B20" s="95" t="str">
        <f>IF('2S EXPRESS'!$T20=0,"",'2S EXPRESS'!$T20)</f>
        <v/>
      </c>
      <c r="C20" s="218"/>
      <c r="D20" s="95" t="str">
        <f>IF('2 ZT'!$T20=0,"",'2 ZT'!$T20)</f>
        <v/>
      </c>
      <c r="E20" s="96"/>
      <c r="F20" s="95" t="str">
        <f>IF('GO TRANSPORT'!$T20=0,"",'GO TRANSPORT'!$T20)</f>
        <v/>
      </c>
      <c r="G20" s="96"/>
      <c r="H20" s="95" t="str">
        <f>IF('HMZ - KAIS'!$T20=0,"",'HMZ - KAIS'!$T20)</f>
        <v/>
      </c>
      <c r="I20" s="219"/>
      <c r="J20" s="95" t="str">
        <f>IF('IB TRANSPORT'!$T20=0,"",'IB TRANSPORT'!$T20)</f>
        <v/>
      </c>
      <c r="K20" s="96"/>
      <c r="L20" s="95" t="str">
        <f>IF(JSL!$T20=0,"",JSL!$T20)</f>
        <v/>
      </c>
      <c r="M20" s="96"/>
      <c r="N20" s="95" t="str">
        <f>IF(KIFAITOUT!$T20=0,"",KIFAITOUT!$T20)</f>
        <v/>
      </c>
      <c r="O20" s="97"/>
      <c r="P20" s="95" t="str">
        <f>IF('LUXE DRIVE'!$T20=0,"",'LUXE DRIVE'!$T20)</f>
        <v/>
      </c>
      <c r="Q20" s="97"/>
      <c r="R20" s="95" t="str">
        <f>IF(SSN!$T20=0,"",SSN!$T20)</f>
        <v/>
      </c>
      <c r="S20" s="97"/>
      <c r="T20" s="95" t="str">
        <f>IF(TJM!$T20=0,"",TJM!$T20)</f>
        <v/>
      </c>
      <c r="U20" s="98"/>
      <c r="V20" s="95" t="str">
        <f>IF('W3'!$T20=0,"",'W3'!$T20)</f>
        <v/>
      </c>
      <c r="W20" s="96"/>
      <c r="X20" s="95" t="str">
        <f>IF('L HAY LES ROSES'!$T20=0,"",'L HAY LES ROSES'!$T20)</f>
        <v/>
      </c>
      <c r="Y20" s="96"/>
      <c r="Z20" s="95" t="str">
        <f>IF(RUNGIS!$T20=0,"",RUNGIS!$T20)</f>
        <v/>
      </c>
      <c r="AA20" s="219"/>
      <c r="AB20" s="95" t="str">
        <f>IF(SCEAUX!$T20=0,"",SCEAUX!$T20)</f>
        <v/>
      </c>
      <c r="AC20" s="96"/>
      <c r="AD20" s="95" t="str">
        <f>IF('INSTANCE C1'!$T20=0,"",'INSTANCE C1'!$T20)</f>
        <v/>
      </c>
      <c r="AE20" s="96"/>
      <c r="AF20" s="95" t="str">
        <f>IF('INSTANCE C2'!$T20=0,"",'INSTANCE C2'!$T20)</f>
        <v/>
      </c>
      <c r="AG20" s="97"/>
      <c r="AH20" s="95" t="str">
        <f>IF(INTERNES!$T20=0,"",INTERNES!$T20)</f>
        <v/>
      </c>
      <c r="AI20" s="89"/>
    </row>
    <row r="21" spans="1:35" ht="12.75" customHeight="1" x14ac:dyDescent="0.2">
      <c r="A21" s="86"/>
      <c r="B21" s="95" t="str">
        <f>IF('2S EXPRESS'!$T21=0,"",'2S EXPRESS'!$T21)</f>
        <v/>
      </c>
      <c r="C21" s="218"/>
      <c r="D21" s="95" t="str">
        <f>IF('2 ZT'!$T21=0,"",'2 ZT'!$T21)</f>
        <v/>
      </c>
      <c r="E21" s="96"/>
      <c r="F21" s="95" t="str">
        <f>IF('GO TRANSPORT'!$T21=0,"",'GO TRANSPORT'!$T21)</f>
        <v/>
      </c>
      <c r="G21" s="96"/>
      <c r="H21" s="95" t="str">
        <f>IF('HMZ - KAIS'!$T21=0,"",'HMZ - KAIS'!$T21)</f>
        <v/>
      </c>
      <c r="I21" s="219"/>
      <c r="J21" s="95" t="str">
        <f>IF('IB TRANSPORT'!$T21=0,"",'IB TRANSPORT'!$T21)</f>
        <v/>
      </c>
      <c r="K21" s="96"/>
      <c r="L21" s="95" t="str">
        <f>IF(JSL!$T21=0,"",JSL!$T21)</f>
        <v/>
      </c>
      <c r="M21" s="96"/>
      <c r="N21" s="95" t="str">
        <f>IF(KIFAITOUT!$T21=0,"",KIFAITOUT!$T21)</f>
        <v/>
      </c>
      <c r="O21" s="97"/>
      <c r="P21" s="95" t="str">
        <f>IF('LUXE DRIVE'!$T21=0,"",'LUXE DRIVE'!$T21)</f>
        <v/>
      </c>
      <c r="Q21" s="97"/>
      <c r="R21" s="95" t="str">
        <f>IF(SSN!$T21=0,"",SSN!$T21)</f>
        <v/>
      </c>
      <c r="S21" s="97"/>
      <c r="T21" s="95" t="str">
        <f>IF(TJM!$T21=0,"",TJM!$T21)</f>
        <v/>
      </c>
      <c r="U21" s="98"/>
      <c r="V21" s="95" t="str">
        <f>IF('W3'!$T21=0,"",'W3'!$T21)</f>
        <v/>
      </c>
      <c r="W21" s="96"/>
      <c r="X21" s="95" t="str">
        <f>IF('L HAY LES ROSES'!$T21=0,"",'L HAY LES ROSES'!$T21)</f>
        <v/>
      </c>
      <c r="Y21" s="96"/>
      <c r="Z21" s="95" t="str">
        <f>IF(RUNGIS!$T21=0,"",RUNGIS!$T21)</f>
        <v/>
      </c>
      <c r="AA21" s="219"/>
      <c r="AB21" s="95" t="str">
        <f>IF(SCEAUX!$T21=0,"",SCEAUX!$T21)</f>
        <v/>
      </c>
      <c r="AC21" s="96"/>
      <c r="AD21" s="95" t="str">
        <f>IF('INSTANCE C1'!$T21=0,"",'INSTANCE C1'!$T21)</f>
        <v/>
      </c>
      <c r="AE21" s="96"/>
      <c r="AF21" s="95" t="str">
        <f>IF('INSTANCE C2'!$T21=0,"",'INSTANCE C2'!$T21)</f>
        <v/>
      </c>
      <c r="AG21" s="97"/>
      <c r="AH21" s="95" t="str">
        <f>IF(INTERNES!$T21=0,"",INTERNES!$T21)</f>
        <v/>
      </c>
      <c r="AI21" s="89"/>
    </row>
    <row r="22" spans="1:35" ht="12.75" customHeight="1" x14ac:dyDescent="0.2">
      <c r="A22" s="86"/>
      <c r="B22" s="95" t="str">
        <f>IF('2S EXPRESS'!$T22=0,"",'2S EXPRESS'!$T22)</f>
        <v/>
      </c>
      <c r="C22" s="218"/>
      <c r="D22" s="95" t="str">
        <f>IF('2 ZT'!$T22=0,"",'2 ZT'!$T22)</f>
        <v/>
      </c>
      <c r="E22" s="96"/>
      <c r="F22" s="95" t="str">
        <f>IF('GO TRANSPORT'!$T22=0,"",'GO TRANSPORT'!$T22)</f>
        <v/>
      </c>
      <c r="G22" s="96"/>
      <c r="H22" s="95" t="str">
        <f>IF('HMZ - KAIS'!$T22=0,"",'HMZ - KAIS'!$T22)</f>
        <v/>
      </c>
      <c r="I22" s="219"/>
      <c r="J22" s="95" t="str">
        <f>IF('IB TRANSPORT'!$T22=0,"",'IB TRANSPORT'!$T22)</f>
        <v/>
      </c>
      <c r="K22" s="96"/>
      <c r="L22" s="95" t="str">
        <f>IF(JSL!$T22=0,"",JSL!$T22)</f>
        <v/>
      </c>
      <c r="M22" s="96"/>
      <c r="N22" s="95" t="str">
        <f>IF(KIFAITOUT!$T22=0,"",KIFAITOUT!$T22)</f>
        <v/>
      </c>
      <c r="O22" s="97"/>
      <c r="P22" s="95" t="str">
        <f>IF('LUXE DRIVE'!$T22=0,"",'LUXE DRIVE'!$T22)</f>
        <v/>
      </c>
      <c r="Q22" s="97"/>
      <c r="R22" s="95" t="str">
        <f>IF(SSN!$T22=0,"",SSN!$T22)</f>
        <v/>
      </c>
      <c r="S22" s="97"/>
      <c r="T22" s="95" t="str">
        <f>IF(TJM!$T22=0,"",TJM!$T22)</f>
        <v/>
      </c>
      <c r="U22" s="98"/>
      <c r="V22" s="95" t="str">
        <f>IF('W3'!$T22=0,"",'W3'!$T22)</f>
        <v/>
      </c>
      <c r="W22" s="96"/>
      <c r="X22" s="95" t="str">
        <f>IF('L HAY LES ROSES'!$T22=0,"",'L HAY LES ROSES'!$T22)</f>
        <v/>
      </c>
      <c r="Y22" s="96"/>
      <c r="Z22" s="95" t="str">
        <f>IF(RUNGIS!$T22=0,"",RUNGIS!$T22)</f>
        <v/>
      </c>
      <c r="AA22" s="219"/>
      <c r="AB22" s="95" t="str">
        <f>IF(SCEAUX!$T22=0,"",SCEAUX!$T22)</f>
        <v/>
      </c>
      <c r="AC22" s="96"/>
      <c r="AD22" s="95" t="str">
        <f>IF('INSTANCE C1'!$T22=0,"",'INSTANCE C1'!$T22)</f>
        <v/>
      </c>
      <c r="AE22" s="96"/>
      <c r="AF22" s="95" t="str">
        <f>IF('INSTANCE C2'!$T22=0,"",'INSTANCE C2'!$T22)</f>
        <v/>
      </c>
      <c r="AG22" s="97"/>
      <c r="AH22" s="95" t="str">
        <f>IF(INTERNES!$T22=0,"",INTERNES!$T22)</f>
        <v/>
      </c>
      <c r="AI22" s="89"/>
    </row>
    <row r="23" spans="1:35" ht="12.75" customHeight="1" x14ac:dyDescent="0.2">
      <c r="A23" s="86"/>
      <c r="B23" s="95" t="str">
        <f>IF('2S EXPRESS'!$T23=0,"",'2S EXPRESS'!$T23)</f>
        <v/>
      </c>
      <c r="C23" s="218"/>
      <c r="D23" s="95" t="str">
        <f>IF('2 ZT'!$T23=0,"",'2 ZT'!$T23)</f>
        <v/>
      </c>
      <c r="E23" s="96"/>
      <c r="F23" s="95" t="str">
        <f>IF('GO TRANSPORT'!$T23=0,"",'GO TRANSPORT'!$T23)</f>
        <v/>
      </c>
      <c r="G23" s="96"/>
      <c r="H23" s="95" t="str">
        <f>IF('HMZ - KAIS'!$T23=0,"",'HMZ - KAIS'!$T23)</f>
        <v/>
      </c>
      <c r="I23" s="219"/>
      <c r="J23" s="95" t="str">
        <f>IF('IB TRANSPORT'!$T23=0,"",'IB TRANSPORT'!$T23)</f>
        <v/>
      </c>
      <c r="K23" s="96"/>
      <c r="L23" s="95" t="str">
        <f>IF(JSL!$T23=0,"",JSL!$T23)</f>
        <v/>
      </c>
      <c r="M23" s="99"/>
      <c r="N23" s="95" t="str">
        <f>IF(KIFAITOUT!$T23=0,"",KIFAITOUT!$T23)</f>
        <v/>
      </c>
      <c r="O23" s="97"/>
      <c r="P23" s="95" t="str">
        <f>IF('LUXE DRIVE'!$T23=0,"",'LUXE DRIVE'!$T23)</f>
        <v/>
      </c>
      <c r="Q23" s="97"/>
      <c r="R23" s="95" t="str">
        <f>IF(SSN!$T23=0,"",SSN!$T23)</f>
        <v/>
      </c>
      <c r="S23" s="97"/>
      <c r="T23" s="95" t="str">
        <f>IF(TJM!$T23=0,"",TJM!$T23)</f>
        <v/>
      </c>
      <c r="U23" s="98"/>
      <c r="V23" s="95" t="str">
        <f>IF('W3'!$T23=0,"",'W3'!$T23)</f>
        <v/>
      </c>
      <c r="W23" s="96"/>
      <c r="X23" s="95" t="str">
        <f>IF('L HAY LES ROSES'!$T23=0,"",'L HAY LES ROSES'!$T23)</f>
        <v/>
      </c>
      <c r="Y23" s="96"/>
      <c r="Z23" s="95" t="str">
        <f>IF(RUNGIS!$T23=0,"",RUNGIS!$T23)</f>
        <v/>
      </c>
      <c r="AA23" s="219"/>
      <c r="AB23" s="95" t="str">
        <f>IF(SCEAUX!$T23=0,"",SCEAUX!$T23)</f>
        <v/>
      </c>
      <c r="AC23" s="96"/>
      <c r="AD23" s="95" t="str">
        <f>IF('INSTANCE C1'!$T23=0,"",'INSTANCE C1'!$T23)</f>
        <v/>
      </c>
      <c r="AE23" s="99"/>
      <c r="AF23" s="95" t="str">
        <f>IF('INSTANCE C2'!$T23=0,"",'INSTANCE C2'!$T23)</f>
        <v/>
      </c>
      <c r="AG23" s="97"/>
      <c r="AH23" s="95" t="str">
        <f>IF(INTERNES!$T23=0,"",INTERNES!$T23)</f>
        <v/>
      </c>
      <c r="AI23" s="89"/>
    </row>
    <row r="24" spans="1:35" ht="12.75" customHeight="1" x14ac:dyDescent="0.2">
      <c r="A24" s="86"/>
      <c r="B24" s="95" t="str">
        <f>IF('2S EXPRESS'!$T24=0,"",'2S EXPRESS'!$T24)</f>
        <v/>
      </c>
      <c r="C24" s="96"/>
      <c r="D24" s="95" t="str">
        <f>IF('2 ZT'!$T24=0,"",'2 ZT'!$T24)</f>
        <v/>
      </c>
      <c r="E24" s="96"/>
      <c r="F24" s="95" t="str">
        <f>IF('GO TRANSPORT'!$T24=0,"",'GO TRANSPORT'!$T24)</f>
        <v/>
      </c>
      <c r="G24" s="96"/>
      <c r="H24" s="95" t="str">
        <f>IF('HMZ - KAIS'!$T24=0,"",'HMZ - KAIS'!$T24)</f>
        <v/>
      </c>
      <c r="I24" s="96"/>
      <c r="J24" s="95" t="str">
        <f>IF('IB TRANSPORT'!$T24=0,"",'IB TRANSPORT'!$T24)</f>
        <v/>
      </c>
      <c r="K24" s="96"/>
      <c r="L24" s="95" t="str">
        <f>IF(JSL!$T24=0,"",JSL!$T24)</f>
        <v/>
      </c>
      <c r="M24" s="99"/>
      <c r="N24" s="95" t="str">
        <f>IF(KIFAITOUT!$T24=0,"",KIFAITOUT!$T24)</f>
        <v/>
      </c>
      <c r="O24" s="97"/>
      <c r="P24" s="95" t="str">
        <f>IF('LUXE DRIVE'!$T24=0,"",'LUXE DRIVE'!$T24)</f>
        <v/>
      </c>
      <c r="Q24" s="97"/>
      <c r="R24" s="95" t="str">
        <f>IF(SSN!$T24=0,"",SSN!$T24)</f>
        <v/>
      </c>
      <c r="S24" s="97"/>
      <c r="T24" s="95" t="str">
        <f>IF(TJM!$T24=0,"",TJM!$T24)</f>
        <v/>
      </c>
      <c r="U24" s="98"/>
      <c r="V24" s="95" t="str">
        <f>IF('W3'!$T24=0,"",'W3'!$T24)</f>
        <v/>
      </c>
      <c r="W24" s="96"/>
      <c r="X24" s="95" t="str">
        <f>IF('L HAY LES ROSES'!$T24=0,"",'L HAY LES ROSES'!$T24)</f>
        <v/>
      </c>
      <c r="Y24" s="96"/>
      <c r="Z24" s="95" t="str">
        <f>IF(RUNGIS!$T24=0,"",RUNGIS!$T24)</f>
        <v/>
      </c>
      <c r="AA24" s="96"/>
      <c r="AB24" s="95" t="str">
        <f>IF(SCEAUX!$T24=0,"",SCEAUX!$T24)</f>
        <v/>
      </c>
      <c r="AC24" s="96"/>
      <c r="AD24" s="95" t="str">
        <f>IF('INSTANCE C1'!$T24=0,"",'INSTANCE C1'!$T24)</f>
        <v/>
      </c>
      <c r="AE24" s="99"/>
      <c r="AF24" s="95" t="str">
        <f>IF('INSTANCE C2'!$T24=0,"",'INSTANCE C2'!$T24)</f>
        <v/>
      </c>
      <c r="AG24" s="97"/>
      <c r="AH24" s="95" t="str">
        <f>IF(INTERNES!$T24=0,"",INTERNES!$T24)</f>
        <v/>
      </c>
      <c r="AI24" s="89"/>
    </row>
    <row r="25" spans="1:35" ht="12.75" customHeight="1" x14ac:dyDescent="0.2">
      <c r="A25" s="86"/>
      <c r="B25" s="95" t="str">
        <f>IF('2S EXPRESS'!$T25=0,"",'2S EXPRESS'!$T25)</f>
        <v/>
      </c>
      <c r="C25" s="217"/>
      <c r="D25" s="95" t="str">
        <f>IF('2 ZT'!$T25=0,"",'2 ZT'!$T25)</f>
        <v/>
      </c>
      <c r="E25" s="96"/>
      <c r="F25" s="95" t="str">
        <f>IF('GO TRANSPORT'!$T25=0,"",'GO TRANSPORT'!$T25)</f>
        <v/>
      </c>
      <c r="G25" s="96"/>
      <c r="H25" s="95" t="str">
        <f>IF('HMZ - KAIS'!$T25=0,"",'HMZ - KAIS'!$T25)</f>
        <v/>
      </c>
      <c r="I25" s="219"/>
      <c r="J25" s="95" t="str">
        <f>IF('IB TRANSPORT'!$T25=0,"",'IB TRANSPORT'!$T25)</f>
        <v/>
      </c>
      <c r="K25" s="96"/>
      <c r="L25" s="95" t="str">
        <f>IF(JSL!$T25=0,"",JSL!$T25)</f>
        <v/>
      </c>
      <c r="M25" s="99"/>
      <c r="N25" s="95" t="str">
        <f>IF(KIFAITOUT!$T25=0,"",KIFAITOUT!$T25)</f>
        <v/>
      </c>
      <c r="O25" s="97"/>
      <c r="P25" s="95" t="str">
        <f>IF('LUXE DRIVE'!$T25=0,"",'LUXE DRIVE'!$T25)</f>
        <v/>
      </c>
      <c r="Q25" s="97"/>
      <c r="R25" s="95" t="str">
        <f>IF(SSN!$T25=0,"",SSN!$T25)</f>
        <v/>
      </c>
      <c r="S25" s="97"/>
      <c r="T25" s="95" t="str">
        <f>IF(TJM!$T25=0,"",TJM!$T25)</f>
        <v/>
      </c>
      <c r="U25" s="98"/>
      <c r="V25" s="95" t="str">
        <f>IF('W3'!$T25=0,"",'W3'!$T25)</f>
        <v/>
      </c>
      <c r="W25" s="96"/>
      <c r="X25" s="95" t="str">
        <f>IF('L HAY LES ROSES'!$T25=0,"",'L HAY LES ROSES'!$T25)</f>
        <v/>
      </c>
      <c r="Y25" s="96"/>
      <c r="Z25" s="95" t="str">
        <f>IF(RUNGIS!$T25=0,"",RUNGIS!$T25)</f>
        <v/>
      </c>
      <c r="AA25" s="219"/>
      <c r="AB25" s="95" t="str">
        <f>IF(SCEAUX!$T25=0,"",SCEAUX!$T25)</f>
        <v/>
      </c>
      <c r="AC25" s="96"/>
      <c r="AD25" s="95" t="str">
        <f>IF('INSTANCE C1'!$T25=0,"",'INSTANCE C1'!$T25)</f>
        <v/>
      </c>
      <c r="AE25" s="99"/>
      <c r="AF25" s="95" t="str">
        <f>IF('INSTANCE C2'!$T25=0,"",'INSTANCE C2'!$T25)</f>
        <v/>
      </c>
      <c r="AG25" s="97"/>
      <c r="AH25" s="95" t="str">
        <f>IF(INTERNES!$T25=0,"",INTERNES!$T25)</f>
        <v/>
      </c>
      <c r="AI25" s="89"/>
    </row>
    <row r="26" spans="1:35" ht="12.75" customHeight="1" x14ac:dyDescent="0.2">
      <c r="A26" s="86"/>
      <c r="B26" s="95" t="str">
        <f>IF('2S EXPRESS'!$T26=0,"",'2S EXPRESS'!$T26)</f>
        <v/>
      </c>
      <c r="C26" s="218"/>
      <c r="D26" s="95" t="str">
        <f>IF('2 ZT'!$T26=0,"",'2 ZT'!$T26)</f>
        <v/>
      </c>
      <c r="E26" s="96"/>
      <c r="F26" s="95" t="str">
        <f>IF('GO TRANSPORT'!$T26=0,"",'GO TRANSPORT'!$T26)</f>
        <v/>
      </c>
      <c r="G26" s="96"/>
      <c r="H26" s="95" t="str">
        <f>IF('HMZ - KAIS'!$T26=0,"",'HMZ - KAIS'!$T26)</f>
        <v/>
      </c>
      <c r="I26" s="219"/>
      <c r="J26" s="95" t="str">
        <f>IF('IB TRANSPORT'!$T26=0,"",'IB TRANSPORT'!$T26)</f>
        <v/>
      </c>
      <c r="K26" s="96"/>
      <c r="L26" s="95" t="str">
        <f>IF(JSL!$T26=0,"",JSL!$T26)</f>
        <v/>
      </c>
      <c r="M26" s="99"/>
      <c r="N26" s="95" t="str">
        <f>IF(KIFAITOUT!$T26=0,"",KIFAITOUT!$T26)</f>
        <v/>
      </c>
      <c r="O26" s="97"/>
      <c r="P26" s="95" t="str">
        <f>IF('LUXE DRIVE'!$T26=0,"",'LUXE DRIVE'!$T26)</f>
        <v/>
      </c>
      <c r="Q26" s="97"/>
      <c r="R26" s="95" t="str">
        <f>IF(SSN!$T26=0,"",SSN!$T26)</f>
        <v/>
      </c>
      <c r="S26" s="97"/>
      <c r="T26" s="95" t="str">
        <f>IF(TJM!$T26=0,"",TJM!$T26)</f>
        <v/>
      </c>
      <c r="U26" s="98"/>
      <c r="V26" s="95" t="str">
        <f>IF('W3'!$T26=0,"",'W3'!$T26)</f>
        <v/>
      </c>
      <c r="W26" s="96"/>
      <c r="X26" s="95" t="str">
        <f>IF('L HAY LES ROSES'!$T26=0,"",'L HAY LES ROSES'!$T26)</f>
        <v/>
      </c>
      <c r="Y26" s="96"/>
      <c r="Z26" s="95" t="str">
        <f>IF(RUNGIS!$T26=0,"",RUNGIS!$T26)</f>
        <v/>
      </c>
      <c r="AA26" s="219"/>
      <c r="AB26" s="95" t="str">
        <f>IF(SCEAUX!$T26=0,"",SCEAUX!$T26)</f>
        <v/>
      </c>
      <c r="AC26" s="96"/>
      <c r="AD26" s="95" t="str">
        <f>IF('INSTANCE C1'!$T26=0,"",'INSTANCE C1'!$T26)</f>
        <v/>
      </c>
      <c r="AE26" s="99"/>
      <c r="AF26" s="95" t="str">
        <f>IF('INSTANCE C2'!$T26=0,"",'INSTANCE C2'!$T26)</f>
        <v/>
      </c>
      <c r="AG26" s="97"/>
      <c r="AH26" s="95" t="str">
        <f>IF(INTERNES!$T26=0,"",INTERNES!$T26)</f>
        <v/>
      </c>
      <c r="AI26" s="89"/>
    </row>
    <row r="27" spans="1:35" ht="12.75" customHeight="1" x14ac:dyDescent="0.2">
      <c r="A27" s="86"/>
      <c r="B27" s="95" t="str">
        <f>IF('2S EXPRESS'!$T27=0,"",'2S EXPRESS'!$T27)</f>
        <v/>
      </c>
      <c r="C27" s="218"/>
      <c r="D27" s="95" t="str">
        <f>IF('2 ZT'!$T27=0,"",'2 ZT'!$T27)</f>
        <v/>
      </c>
      <c r="E27" s="96"/>
      <c r="F27" s="95" t="str">
        <f>IF('GO TRANSPORT'!$T27=0,"",'GO TRANSPORT'!$T27)</f>
        <v/>
      </c>
      <c r="G27" s="96"/>
      <c r="H27" s="95" t="str">
        <f>IF('HMZ - KAIS'!$T27=0,"",'HMZ - KAIS'!$T27)</f>
        <v/>
      </c>
      <c r="I27" s="219"/>
      <c r="J27" s="95" t="str">
        <f>IF('IB TRANSPORT'!$T27=0,"",'IB TRANSPORT'!$T27)</f>
        <v/>
      </c>
      <c r="K27" s="96"/>
      <c r="L27" s="95" t="str">
        <f>IF(JSL!$T27=0,"",JSL!$T27)</f>
        <v/>
      </c>
      <c r="M27" s="96"/>
      <c r="N27" s="95" t="str">
        <f>IF(KIFAITOUT!$T27=0,"",KIFAITOUT!$T27)</f>
        <v/>
      </c>
      <c r="O27" s="97"/>
      <c r="P27" s="95" t="str">
        <f>IF('LUXE DRIVE'!$T27=0,"",'LUXE DRIVE'!$T27)</f>
        <v/>
      </c>
      <c r="Q27" s="97"/>
      <c r="R27" s="95" t="str">
        <f>IF(SSN!$T27=0,"",SSN!$T27)</f>
        <v/>
      </c>
      <c r="S27" s="97"/>
      <c r="T27" s="95" t="str">
        <f>IF(TJM!$T27=0,"",TJM!$T27)</f>
        <v/>
      </c>
      <c r="U27" s="98"/>
      <c r="V27" s="95" t="str">
        <f>IF('W3'!$T27=0,"",'W3'!$T27)</f>
        <v/>
      </c>
      <c r="W27" s="96"/>
      <c r="X27" s="95" t="str">
        <f>IF('L HAY LES ROSES'!$T27=0,"",'L HAY LES ROSES'!$T27)</f>
        <v/>
      </c>
      <c r="Y27" s="96"/>
      <c r="Z27" s="95" t="str">
        <f>IF(RUNGIS!$T27=0,"",RUNGIS!$T27)</f>
        <v/>
      </c>
      <c r="AA27" s="219"/>
      <c r="AB27" s="95" t="str">
        <f>IF(SCEAUX!$T27=0,"",SCEAUX!$T27)</f>
        <v/>
      </c>
      <c r="AC27" s="96"/>
      <c r="AD27" s="95" t="str">
        <f>IF('INSTANCE C1'!$T27=0,"",'INSTANCE C1'!$T27)</f>
        <v/>
      </c>
      <c r="AE27" s="96"/>
      <c r="AF27" s="95" t="str">
        <f>IF('INSTANCE C2'!$T27=0,"",'INSTANCE C2'!$T27)</f>
        <v/>
      </c>
      <c r="AG27" s="97"/>
      <c r="AH27" s="95" t="str">
        <f>IF(INTERNES!$T27=0,"",INTERNES!$T27)</f>
        <v/>
      </c>
      <c r="AI27" s="89"/>
    </row>
    <row r="28" spans="1:35" ht="12.75" customHeight="1" x14ac:dyDescent="0.2">
      <c r="A28" s="86"/>
      <c r="B28" s="95" t="str">
        <f>IF('2S EXPRESS'!$T28=0,"",'2S EXPRESS'!$T28)</f>
        <v/>
      </c>
      <c r="C28" s="218"/>
      <c r="D28" s="95" t="str">
        <f>IF('2 ZT'!$T28=0,"",'2 ZT'!$T28)</f>
        <v/>
      </c>
      <c r="E28" s="96"/>
      <c r="F28" s="95" t="str">
        <f>IF('GO TRANSPORT'!$T28=0,"",'GO TRANSPORT'!$T28)</f>
        <v/>
      </c>
      <c r="G28" s="96"/>
      <c r="H28" s="95" t="str">
        <f>IF('HMZ - KAIS'!$T28=0,"",'HMZ - KAIS'!$T28)</f>
        <v/>
      </c>
      <c r="I28" s="219"/>
      <c r="J28" s="95" t="str">
        <f>IF('IB TRANSPORT'!$T28=0,"",'IB TRANSPORT'!$T28)</f>
        <v/>
      </c>
      <c r="K28" s="96"/>
      <c r="L28" s="95" t="str">
        <f>IF(JSL!$T28=0,"",JSL!$T28)</f>
        <v/>
      </c>
      <c r="M28" s="96"/>
      <c r="N28" s="95" t="str">
        <f>IF(KIFAITOUT!$T28=0,"",KIFAITOUT!$T28)</f>
        <v/>
      </c>
      <c r="O28" s="97"/>
      <c r="P28" s="95" t="str">
        <f>IF('LUXE DRIVE'!$T28=0,"",'LUXE DRIVE'!$T28)</f>
        <v/>
      </c>
      <c r="Q28" s="97"/>
      <c r="R28" s="95" t="str">
        <f>IF(SSN!$T28=0,"",SSN!$T28)</f>
        <v/>
      </c>
      <c r="S28" s="97"/>
      <c r="T28" s="95" t="str">
        <f>IF(TJM!$T28=0,"",TJM!$T28)</f>
        <v/>
      </c>
      <c r="U28" s="98"/>
      <c r="V28" s="95" t="str">
        <f>IF('W3'!$T28=0,"",'W3'!$T28)</f>
        <v/>
      </c>
      <c r="W28" s="96"/>
      <c r="X28" s="95" t="str">
        <f>IF('L HAY LES ROSES'!$T28=0,"",'L HAY LES ROSES'!$T28)</f>
        <v/>
      </c>
      <c r="Y28" s="96"/>
      <c r="Z28" s="95" t="str">
        <f>IF(RUNGIS!$T28=0,"",RUNGIS!$T28)</f>
        <v/>
      </c>
      <c r="AA28" s="219"/>
      <c r="AB28" s="95" t="str">
        <f>IF(SCEAUX!$T28=0,"",SCEAUX!$T28)</f>
        <v/>
      </c>
      <c r="AC28" s="96"/>
      <c r="AD28" s="95" t="str">
        <f>IF('INSTANCE C1'!$T28=0,"",'INSTANCE C1'!$T28)</f>
        <v/>
      </c>
      <c r="AE28" s="96"/>
      <c r="AF28" s="95" t="str">
        <f>IF('INSTANCE C2'!$T28=0,"",'INSTANCE C2'!$T28)</f>
        <v/>
      </c>
      <c r="AG28" s="97"/>
      <c r="AH28" s="95" t="str">
        <f>IF(INTERNES!$T28=0,"",INTERNES!$T28)</f>
        <v/>
      </c>
      <c r="AI28" s="89"/>
    </row>
    <row r="29" spans="1:35" ht="12.75" customHeight="1" x14ac:dyDescent="0.2">
      <c r="A29" s="86"/>
      <c r="B29" s="95" t="str">
        <f>IF('2S EXPRESS'!$T29=0,"",'2S EXPRESS'!$T29)</f>
        <v/>
      </c>
      <c r="C29" s="218"/>
      <c r="D29" s="95" t="str">
        <f>IF('2 ZT'!$T29=0,"",'2 ZT'!$T29)</f>
        <v/>
      </c>
      <c r="E29" s="96"/>
      <c r="F29" s="95" t="str">
        <f>IF('GO TRANSPORT'!$T29=0,"",'GO TRANSPORT'!$T29)</f>
        <v/>
      </c>
      <c r="G29" s="96"/>
      <c r="H29" s="95" t="str">
        <f>IF('HMZ - KAIS'!$T29=0,"",'HMZ - KAIS'!$T29)</f>
        <v/>
      </c>
      <c r="I29" s="219"/>
      <c r="J29" s="95" t="str">
        <f>IF('IB TRANSPORT'!$T29=0,"",'IB TRANSPORT'!$T29)</f>
        <v/>
      </c>
      <c r="K29" s="96"/>
      <c r="L29" s="95" t="str">
        <f>IF(JSL!$T29=0,"",JSL!$T29)</f>
        <v/>
      </c>
      <c r="M29" s="96"/>
      <c r="N29" s="95" t="str">
        <f>IF(KIFAITOUT!$T29=0,"",KIFAITOUT!$T29)</f>
        <v/>
      </c>
      <c r="O29" s="97"/>
      <c r="P29" s="95" t="str">
        <f>IF('LUXE DRIVE'!$T29=0,"",'LUXE DRIVE'!$T29)</f>
        <v/>
      </c>
      <c r="Q29" s="97"/>
      <c r="R29" s="95" t="str">
        <f>IF(SSN!$T29=0,"",SSN!$T29)</f>
        <v/>
      </c>
      <c r="S29" s="97"/>
      <c r="T29" s="95" t="str">
        <f>IF(TJM!$T29=0,"",TJM!$T29)</f>
        <v/>
      </c>
      <c r="U29" s="98"/>
      <c r="V29" s="95" t="str">
        <f>IF('W3'!$T29=0,"",'W3'!$T29)</f>
        <v/>
      </c>
      <c r="W29" s="96"/>
      <c r="X29" s="95" t="str">
        <f>IF('L HAY LES ROSES'!$T29=0,"",'L HAY LES ROSES'!$T29)</f>
        <v/>
      </c>
      <c r="Y29" s="96"/>
      <c r="Z29" s="95" t="str">
        <f>IF(RUNGIS!$T29=0,"",RUNGIS!$T29)</f>
        <v/>
      </c>
      <c r="AA29" s="219"/>
      <c r="AB29" s="95" t="str">
        <f>IF(SCEAUX!$T29=0,"",SCEAUX!$T29)</f>
        <v/>
      </c>
      <c r="AC29" s="96"/>
      <c r="AD29" s="95" t="str">
        <f>IF('INSTANCE C1'!$T29=0,"",'INSTANCE C1'!$T29)</f>
        <v/>
      </c>
      <c r="AE29" s="96"/>
      <c r="AF29" s="95" t="str">
        <f>IF('INSTANCE C2'!$T29=0,"",'INSTANCE C2'!$T29)</f>
        <v/>
      </c>
      <c r="AG29" s="97"/>
      <c r="AH29" s="95" t="str">
        <f>IF(INTERNES!$T29=0,"",INTERNES!$T29)</f>
        <v/>
      </c>
      <c r="AI29" s="89"/>
    </row>
    <row r="30" spans="1:35" ht="12.75" customHeight="1" x14ac:dyDescent="0.2">
      <c r="A30" s="86"/>
      <c r="B30" s="95" t="str">
        <f>IF('2S EXPRESS'!$T30=0,"",'2S EXPRESS'!$T30)</f>
        <v/>
      </c>
      <c r="C30" s="96"/>
      <c r="D30" s="95" t="str">
        <f>IF('2 ZT'!$T30=0,"",'2 ZT'!$T30)</f>
        <v/>
      </c>
      <c r="E30" s="96"/>
      <c r="F30" s="95" t="str">
        <f>IF('GO TRANSPORT'!$T30=0,"",'GO TRANSPORT'!$T30)</f>
        <v/>
      </c>
      <c r="G30" s="96"/>
      <c r="H30" s="95" t="str">
        <f>IF('HMZ - KAIS'!$T30=0,"",'HMZ - KAIS'!$T30)</f>
        <v/>
      </c>
      <c r="I30" s="96"/>
      <c r="J30" s="95" t="str">
        <f>IF('IB TRANSPORT'!$T30=0,"",'IB TRANSPORT'!$T30)</f>
        <v/>
      </c>
      <c r="K30" s="96"/>
      <c r="L30" s="95" t="str">
        <f>IF(JSL!$T30=0,"",JSL!$T30)</f>
        <v/>
      </c>
      <c r="M30" s="96"/>
      <c r="N30" s="95" t="str">
        <f>IF(KIFAITOUT!$T30=0,"",KIFAITOUT!$T30)</f>
        <v/>
      </c>
      <c r="O30" s="97"/>
      <c r="P30" s="95" t="str">
        <f>IF('LUXE DRIVE'!$T30=0,"",'LUXE DRIVE'!$T30)</f>
        <v/>
      </c>
      <c r="Q30" s="97"/>
      <c r="R30" s="95" t="str">
        <f>IF(SSN!$T30=0,"",SSN!$T30)</f>
        <v/>
      </c>
      <c r="S30" s="97"/>
      <c r="T30" s="95" t="str">
        <f>IF(TJM!$T30=0,"",TJM!$T30)</f>
        <v/>
      </c>
      <c r="U30" s="98"/>
      <c r="V30" s="95" t="str">
        <f>IF('W3'!$T30=0,"",'W3'!$T30)</f>
        <v/>
      </c>
      <c r="W30" s="96"/>
      <c r="X30" s="95" t="str">
        <f>IF('L HAY LES ROSES'!$T30=0,"",'L HAY LES ROSES'!$T30)</f>
        <v/>
      </c>
      <c r="Y30" s="96"/>
      <c r="Z30" s="95" t="str">
        <f>IF(RUNGIS!$T30=0,"",RUNGIS!$T30)</f>
        <v/>
      </c>
      <c r="AA30" s="96"/>
      <c r="AB30" s="95" t="str">
        <f>IF(SCEAUX!$T30=0,"",SCEAUX!$T30)</f>
        <v/>
      </c>
      <c r="AC30" s="96"/>
      <c r="AD30" s="95" t="str">
        <f>IF('INSTANCE C1'!$T30=0,"",'INSTANCE C1'!$T30)</f>
        <v/>
      </c>
      <c r="AE30" s="96"/>
      <c r="AF30" s="95" t="str">
        <f>IF('INSTANCE C2'!$T30=0,"",'INSTANCE C2'!$T30)</f>
        <v/>
      </c>
      <c r="AG30" s="97"/>
      <c r="AH30" s="95" t="str">
        <f>IF(INTERNES!$T30=0,"",INTERNES!$T30)</f>
        <v/>
      </c>
      <c r="AI30" s="89"/>
    </row>
    <row r="31" spans="1:35" ht="12.75" customHeight="1" x14ac:dyDescent="0.2">
      <c r="A31" s="86"/>
      <c r="B31" s="95" t="str">
        <f>IF('2S EXPRESS'!$T31=0,"",'2S EXPRESS'!$T31)</f>
        <v/>
      </c>
      <c r="C31" s="217"/>
      <c r="D31" s="95" t="str">
        <f>IF('2 ZT'!$T31=0,"",'2 ZT'!$T31)</f>
        <v/>
      </c>
      <c r="E31" s="96"/>
      <c r="F31" s="95" t="str">
        <f>IF('GO TRANSPORT'!$T31=0,"",'GO TRANSPORT'!$T31)</f>
        <v/>
      </c>
      <c r="G31" s="96"/>
      <c r="H31" s="95" t="str">
        <f>IF('HMZ - KAIS'!$T31=0,"",'HMZ - KAIS'!$T31)</f>
        <v/>
      </c>
      <c r="I31" s="219"/>
      <c r="J31" s="95" t="str">
        <f>IF('IB TRANSPORT'!$T31=0,"",'IB TRANSPORT'!$T31)</f>
        <v/>
      </c>
      <c r="K31" s="96"/>
      <c r="L31" s="95" t="str">
        <f>IF(JSL!$T31=0,"",JSL!$T31)</f>
        <v/>
      </c>
      <c r="M31" s="96"/>
      <c r="N31" s="95" t="str">
        <f>IF(KIFAITOUT!$T31=0,"",KIFAITOUT!$T31)</f>
        <v/>
      </c>
      <c r="O31" s="97"/>
      <c r="P31" s="95" t="str">
        <f>IF('LUXE DRIVE'!$T31=0,"",'LUXE DRIVE'!$T31)</f>
        <v/>
      </c>
      <c r="Q31" s="97"/>
      <c r="R31" s="95" t="str">
        <f>IF(SSN!$T31=0,"",SSN!$T31)</f>
        <v/>
      </c>
      <c r="S31" s="97"/>
      <c r="T31" s="95" t="str">
        <f>IF(TJM!$T31=0,"",TJM!$T31)</f>
        <v/>
      </c>
      <c r="U31" s="98"/>
      <c r="V31" s="95" t="str">
        <f>IF('W3'!$T31=0,"",'W3'!$T31)</f>
        <v/>
      </c>
      <c r="W31" s="96"/>
      <c r="X31" s="95" t="str">
        <f>IF('L HAY LES ROSES'!$T31=0,"",'L HAY LES ROSES'!$T31)</f>
        <v/>
      </c>
      <c r="Y31" s="96"/>
      <c r="Z31" s="95" t="str">
        <f>IF(RUNGIS!$T31=0,"",RUNGIS!$T31)</f>
        <v/>
      </c>
      <c r="AA31" s="219"/>
      <c r="AB31" s="95" t="str">
        <f>IF(SCEAUX!$T31=0,"",SCEAUX!$T31)</f>
        <v/>
      </c>
      <c r="AC31" s="96"/>
      <c r="AD31" s="95" t="str">
        <f>IF('INSTANCE C1'!$T31=0,"",'INSTANCE C1'!$T31)</f>
        <v/>
      </c>
      <c r="AE31" s="96"/>
      <c r="AF31" s="95" t="str">
        <f>IF('INSTANCE C2'!$T31=0,"",'INSTANCE C2'!$T31)</f>
        <v/>
      </c>
      <c r="AG31" s="97"/>
      <c r="AH31" s="95" t="str">
        <f>IF(INTERNES!$T31=0,"",INTERNES!$T31)</f>
        <v/>
      </c>
      <c r="AI31" s="89"/>
    </row>
    <row r="32" spans="1:35" ht="12.75" customHeight="1" x14ac:dyDescent="0.2">
      <c r="A32" s="86"/>
      <c r="B32" s="95" t="str">
        <f>IF('2S EXPRESS'!$T32=0,"",'2S EXPRESS'!$T32)</f>
        <v/>
      </c>
      <c r="C32" s="218"/>
      <c r="D32" s="95" t="str">
        <f>IF('2 ZT'!$T32=0,"",'2 ZT'!$T32)</f>
        <v/>
      </c>
      <c r="E32" s="96"/>
      <c r="F32" s="95" t="str">
        <f>IF('GO TRANSPORT'!$T32=0,"",'GO TRANSPORT'!$T32)</f>
        <v/>
      </c>
      <c r="G32" s="96"/>
      <c r="H32" s="95" t="str">
        <f>IF('HMZ - KAIS'!$T32=0,"",'HMZ - KAIS'!$T32)</f>
        <v/>
      </c>
      <c r="I32" s="219"/>
      <c r="J32" s="95" t="str">
        <f>IF('IB TRANSPORT'!$T32=0,"",'IB TRANSPORT'!$T32)</f>
        <v/>
      </c>
      <c r="K32" s="96"/>
      <c r="L32" s="95" t="str">
        <f>IF(JSL!$T32=0,"",JSL!$T32)</f>
        <v/>
      </c>
      <c r="M32" s="96"/>
      <c r="N32" s="95" t="str">
        <f>IF(KIFAITOUT!$T32=0,"",KIFAITOUT!$T32)</f>
        <v/>
      </c>
      <c r="O32" s="97"/>
      <c r="P32" s="95" t="str">
        <f>IF('LUXE DRIVE'!$T32=0,"",'LUXE DRIVE'!$T32)</f>
        <v/>
      </c>
      <c r="Q32" s="97"/>
      <c r="R32" s="95" t="str">
        <f>IF(SSN!$T32=0,"",SSN!$T32)</f>
        <v/>
      </c>
      <c r="S32" s="97"/>
      <c r="T32" s="95" t="str">
        <f>IF(TJM!$T32=0,"",TJM!$T32)</f>
        <v/>
      </c>
      <c r="U32" s="98"/>
      <c r="V32" s="95" t="str">
        <f>IF('W3'!$T32=0,"",'W3'!$T32)</f>
        <v/>
      </c>
      <c r="W32" s="96"/>
      <c r="X32" s="95" t="str">
        <f>IF('L HAY LES ROSES'!$T32=0,"",'L HAY LES ROSES'!$T32)</f>
        <v/>
      </c>
      <c r="Y32" s="96"/>
      <c r="Z32" s="95" t="str">
        <f>IF(RUNGIS!$T32=0,"",RUNGIS!$T32)</f>
        <v/>
      </c>
      <c r="AA32" s="219"/>
      <c r="AB32" s="95" t="str">
        <f>IF(SCEAUX!$T32=0,"",SCEAUX!$T32)</f>
        <v/>
      </c>
      <c r="AC32" s="96"/>
      <c r="AD32" s="95" t="str">
        <f>IF('INSTANCE C1'!$T32=0,"",'INSTANCE C1'!$T32)</f>
        <v/>
      </c>
      <c r="AE32" s="96"/>
      <c r="AF32" s="95" t="str">
        <f>IF('INSTANCE C2'!$T32=0,"",'INSTANCE C2'!$T32)</f>
        <v/>
      </c>
      <c r="AG32" s="97"/>
      <c r="AH32" s="95" t="str">
        <f>IF(INTERNES!$T32=0,"",INTERNES!$T32)</f>
        <v/>
      </c>
      <c r="AI32" s="89"/>
    </row>
    <row r="33" spans="1:35" ht="12.75" customHeight="1" x14ac:dyDescent="0.2">
      <c r="A33" s="86"/>
      <c r="B33" s="95" t="str">
        <f>IF('2S EXPRESS'!$T33=0,"",'2S EXPRESS'!$T33)</f>
        <v/>
      </c>
      <c r="C33" s="218"/>
      <c r="D33" s="95" t="str">
        <f>IF('2 ZT'!$T33=0,"",'2 ZT'!$T33)</f>
        <v/>
      </c>
      <c r="E33" s="96"/>
      <c r="F33" s="95" t="str">
        <f>IF('GO TRANSPORT'!$T33=0,"",'GO TRANSPORT'!$T33)</f>
        <v/>
      </c>
      <c r="G33" s="96"/>
      <c r="H33" s="95" t="str">
        <f>IF('HMZ - KAIS'!$T33=0,"",'HMZ - KAIS'!$T33)</f>
        <v/>
      </c>
      <c r="I33" s="219"/>
      <c r="J33" s="95" t="str">
        <f>IF('IB TRANSPORT'!$T33=0,"",'IB TRANSPORT'!$T33)</f>
        <v/>
      </c>
      <c r="K33" s="96"/>
      <c r="L33" s="95" t="str">
        <f>IF(JSL!$T33=0,"",JSL!$T33)</f>
        <v/>
      </c>
      <c r="M33" s="96"/>
      <c r="N33" s="95" t="str">
        <f>IF(KIFAITOUT!$T33=0,"",KIFAITOUT!$T33)</f>
        <v/>
      </c>
      <c r="O33" s="97"/>
      <c r="P33" s="95" t="str">
        <f>IF('LUXE DRIVE'!$T33=0,"",'LUXE DRIVE'!$T33)</f>
        <v/>
      </c>
      <c r="Q33" s="97"/>
      <c r="R33" s="95" t="str">
        <f>IF(SSN!$T33=0,"",SSN!$T33)</f>
        <v/>
      </c>
      <c r="S33" s="97"/>
      <c r="T33" s="95" t="str">
        <f>IF(TJM!$T33=0,"",TJM!$T33)</f>
        <v/>
      </c>
      <c r="U33" s="98"/>
      <c r="V33" s="95" t="str">
        <f>IF('W3'!$T33=0,"",'W3'!$T33)</f>
        <v/>
      </c>
      <c r="W33" s="96"/>
      <c r="X33" s="95" t="str">
        <f>IF('L HAY LES ROSES'!$T33=0,"",'L HAY LES ROSES'!$T33)</f>
        <v/>
      </c>
      <c r="Y33" s="96"/>
      <c r="Z33" s="95" t="str">
        <f>IF(RUNGIS!$T33=0,"",RUNGIS!$T33)</f>
        <v/>
      </c>
      <c r="AA33" s="219"/>
      <c r="AB33" s="95" t="str">
        <f>IF(SCEAUX!$T33=0,"",SCEAUX!$T33)</f>
        <v/>
      </c>
      <c r="AC33" s="96"/>
      <c r="AD33" s="95" t="str">
        <f>IF('INSTANCE C1'!$T33=0,"",'INSTANCE C1'!$T33)</f>
        <v/>
      </c>
      <c r="AE33" s="96"/>
      <c r="AF33" s="95" t="str">
        <f>IF('INSTANCE C2'!$T33=0,"",'INSTANCE C2'!$T33)</f>
        <v/>
      </c>
      <c r="AG33" s="97"/>
      <c r="AH33" s="95" t="str">
        <f>IF(INTERNES!$T33=0,"",INTERNES!$T33)</f>
        <v/>
      </c>
      <c r="AI33" s="89"/>
    </row>
    <row r="34" spans="1:35" ht="12.75" customHeight="1" x14ac:dyDescent="0.2">
      <c r="A34" s="86"/>
      <c r="B34" s="95" t="str">
        <f>IF('2S EXPRESS'!$T34=0,"",'2S EXPRESS'!$T34)</f>
        <v/>
      </c>
      <c r="C34" s="218"/>
      <c r="D34" s="95" t="str">
        <f>IF('2 ZT'!$T34=0,"",'2 ZT'!$T34)</f>
        <v/>
      </c>
      <c r="E34" s="96"/>
      <c r="F34" s="95" t="str">
        <f>IF('GO TRANSPORT'!$T34=0,"",'GO TRANSPORT'!$T34)</f>
        <v/>
      </c>
      <c r="G34" s="96"/>
      <c r="H34" s="95" t="str">
        <f>IF('HMZ - KAIS'!$T34=0,"",'HMZ - KAIS'!$T34)</f>
        <v/>
      </c>
      <c r="I34" s="219"/>
      <c r="J34" s="95" t="str">
        <f>IF('IB TRANSPORT'!$T34=0,"",'IB TRANSPORT'!$T34)</f>
        <v/>
      </c>
      <c r="K34" s="96"/>
      <c r="L34" s="95" t="str">
        <f>IF(JSL!$T34=0,"",JSL!$T34)</f>
        <v/>
      </c>
      <c r="M34" s="96"/>
      <c r="N34" s="95" t="str">
        <f>IF(KIFAITOUT!$T34=0,"",KIFAITOUT!$T34)</f>
        <v/>
      </c>
      <c r="O34" s="97"/>
      <c r="P34" s="95" t="str">
        <f>IF('LUXE DRIVE'!$T34=0,"",'LUXE DRIVE'!$T34)</f>
        <v/>
      </c>
      <c r="Q34" s="97"/>
      <c r="R34" s="95" t="str">
        <f>IF(SSN!$T34=0,"",SSN!$T34)</f>
        <v/>
      </c>
      <c r="S34" s="97"/>
      <c r="T34" s="95" t="str">
        <f>IF(TJM!$T34=0,"",TJM!$T34)</f>
        <v/>
      </c>
      <c r="U34" s="98"/>
      <c r="V34" s="95" t="str">
        <f>IF('W3'!$T34=0,"",'W3'!$T34)</f>
        <v/>
      </c>
      <c r="W34" s="96"/>
      <c r="X34" s="95" t="str">
        <f>IF('L HAY LES ROSES'!$T34=0,"",'L HAY LES ROSES'!$T34)</f>
        <v/>
      </c>
      <c r="Y34" s="96"/>
      <c r="Z34" s="95" t="str">
        <f>IF(RUNGIS!$T34=0,"",RUNGIS!$T34)</f>
        <v/>
      </c>
      <c r="AA34" s="219"/>
      <c r="AB34" s="95" t="str">
        <f>IF(SCEAUX!$T34=0,"",SCEAUX!$T34)</f>
        <v/>
      </c>
      <c r="AC34" s="96"/>
      <c r="AD34" s="95" t="str">
        <f>IF('INSTANCE C1'!$T34=0,"",'INSTANCE C1'!$T34)</f>
        <v/>
      </c>
      <c r="AE34" s="96"/>
      <c r="AF34" s="95" t="str">
        <f>IF('INSTANCE C2'!$T34=0,"",'INSTANCE C2'!$T34)</f>
        <v/>
      </c>
      <c r="AG34" s="97"/>
      <c r="AH34" s="95" t="str">
        <f>IF(INTERNES!$T34=0,"",INTERNES!$T34)</f>
        <v/>
      </c>
      <c r="AI34" s="89"/>
    </row>
    <row r="35" spans="1:35" ht="12.75" customHeight="1" x14ac:dyDescent="0.2">
      <c r="A35" s="86"/>
      <c r="B35" s="95" t="str">
        <f>IF('2S EXPRESS'!$T35=0,"",'2S EXPRESS'!$T35)</f>
        <v/>
      </c>
      <c r="C35" s="218"/>
      <c r="D35" s="95" t="str">
        <f>IF('2 ZT'!$T35=0,"",'2 ZT'!$T35)</f>
        <v/>
      </c>
      <c r="E35" s="96"/>
      <c r="F35" s="95" t="str">
        <f>IF('GO TRANSPORT'!$T35=0,"",'GO TRANSPORT'!$T35)</f>
        <v/>
      </c>
      <c r="G35" s="96"/>
      <c r="H35" s="95" t="str">
        <f>IF('HMZ - KAIS'!$T35=0,"",'HMZ - KAIS'!$T35)</f>
        <v/>
      </c>
      <c r="I35" s="219"/>
      <c r="J35" s="95" t="str">
        <f>IF('IB TRANSPORT'!$T35=0,"",'IB TRANSPORT'!$T35)</f>
        <v/>
      </c>
      <c r="K35" s="96"/>
      <c r="L35" s="95" t="str">
        <f>IF(JSL!$T35=0,"",JSL!$T35)</f>
        <v/>
      </c>
      <c r="M35" s="96"/>
      <c r="N35" s="95" t="str">
        <f>IF(KIFAITOUT!$T35=0,"",KIFAITOUT!$T35)</f>
        <v/>
      </c>
      <c r="O35" s="97"/>
      <c r="P35" s="95" t="str">
        <f>IF('LUXE DRIVE'!$T35=0,"",'LUXE DRIVE'!$T35)</f>
        <v/>
      </c>
      <c r="Q35" s="97"/>
      <c r="R35" s="95" t="str">
        <f>IF(SSN!$T35=0,"",SSN!$T35)</f>
        <v/>
      </c>
      <c r="S35" s="97"/>
      <c r="T35" s="95" t="str">
        <f>IF(TJM!$T35=0,"",TJM!$T35)</f>
        <v/>
      </c>
      <c r="U35" s="98"/>
      <c r="V35" s="95" t="str">
        <f>IF('W3'!$T35=0,"",'W3'!$T35)</f>
        <v/>
      </c>
      <c r="W35" s="96"/>
      <c r="X35" s="95" t="str">
        <f>IF('L HAY LES ROSES'!$T35=0,"",'L HAY LES ROSES'!$T35)</f>
        <v/>
      </c>
      <c r="Y35" s="96"/>
      <c r="Z35" s="95" t="str">
        <f>IF(RUNGIS!$T35=0,"",RUNGIS!$T35)</f>
        <v/>
      </c>
      <c r="AA35" s="219"/>
      <c r="AB35" s="95" t="str">
        <f>IF(SCEAUX!$T35=0,"",SCEAUX!$T35)</f>
        <v/>
      </c>
      <c r="AC35" s="96"/>
      <c r="AD35" s="95" t="str">
        <f>IF('INSTANCE C1'!$T35=0,"",'INSTANCE C1'!$T35)</f>
        <v/>
      </c>
      <c r="AE35" s="96"/>
      <c r="AF35" s="95" t="str">
        <f>IF('INSTANCE C2'!$T35=0,"",'INSTANCE C2'!$T35)</f>
        <v/>
      </c>
      <c r="AG35" s="97"/>
      <c r="AH35" s="95" t="str">
        <f>IF(INTERNES!$T35=0,"",INTERNES!$T35)</f>
        <v/>
      </c>
      <c r="AI35" s="89"/>
    </row>
    <row r="36" spans="1:35" ht="12.75" customHeight="1" x14ac:dyDescent="0.2">
      <c r="A36" s="86"/>
      <c r="B36" s="95" t="str">
        <f>IF('2S EXPRESS'!$T36=0,"",'2S EXPRESS'!$T36)</f>
        <v/>
      </c>
      <c r="C36" s="96"/>
      <c r="D36" s="95" t="str">
        <f>IF('2 ZT'!$T36=0,"",'2 ZT'!$T36)</f>
        <v/>
      </c>
      <c r="E36" s="96"/>
      <c r="F36" s="95" t="str">
        <f>IF('GO TRANSPORT'!$T36=0,"",'GO TRANSPORT'!$T36)</f>
        <v/>
      </c>
      <c r="G36" s="96"/>
      <c r="H36" s="95" t="str">
        <f>IF('HMZ - KAIS'!$T36=0,"",'HMZ - KAIS'!$T36)</f>
        <v/>
      </c>
      <c r="I36" s="96"/>
      <c r="J36" s="95" t="str">
        <f>IF('IB TRANSPORT'!$T36=0,"",'IB TRANSPORT'!$T36)</f>
        <v/>
      </c>
      <c r="K36" s="96"/>
      <c r="L36" s="95" t="str">
        <f>IF(JSL!$T36=0,"",JSL!$T36)</f>
        <v/>
      </c>
      <c r="M36" s="96"/>
      <c r="N36" s="95" t="str">
        <f>IF(KIFAITOUT!$T36=0,"",KIFAITOUT!$T36)</f>
        <v/>
      </c>
      <c r="O36" s="97"/>
      <c r="P36" s="95" t="str">
        <f>IF('LUXE DRIVE'!$T36=0,"",'LUXE DRIVE'!$T36)</f>
        <v/>
      </c>
      <c r="Q36" s="97"/>
      <c r="R36" s="95" t="str">
        <f>IF(SSN!$T36=0,"",SSN!$T36)</f>
        <v/>
      </c>
      <c r="S36" s="97"/>
      <c r="T36" s="95" t="str">
        <f>IF(TJM!$T36=0,"",TJM!$T36)</f>
        <v/>
      </c>
      <c r="U36" s="98"/>
      <c r="V36" s="95" t="str">
        <f>IF('W3'!$T36=0,"",'W3'!$T36)</f>
        <v/>
      </c>
      <c r="W36" s="96"/>
      <c r="X36" s="95" t="str">
        <f>IF('L HAY LES ROSES'!$T36=0,"",'L HAY LES ROSES'!$T36)</f>
        <v/>
      </c>
      <c r="Y36" s="96"/>
      <c r="Z36" s="95" t="str">
        <f>IF(RUNGIS!$T36=0,"",RUNGIS!$T36)</f>
        <v/>
      </c>
      <c r="AA36" s="96"/>
      <c r="AB36" s="95" t="str">
        <f>IF(SCEAUX!$T36=0,"",SCEAUX!$T36)</f>
        <v/>
      </c>
      <c r="AC36" s="96"/>
      <c r="AD36" s="95" t="str">
        <f>IF('INSTANCE C1'!$T36=0,"",'INSTANCE C1'!$T36)</f>
        <v/>
      </c>
      <c r="AE36" s="96"/>
      <c r="AF36" s="95" t="str">
        <f>IF('INSTANCE C2'!$T36=0,"",'INSTANCE C2'!$T36)</f>
        <v/>
      </c>
      <c r="AG36" s="97"/>
      <c r="AH36" s="95" t="str">
        <f>IF(INTERNES!$T36=0,"",INTERNES!$T36)</f>
        <v/>
      </c>
      <c r="AI36" s="89"/>
    </row>
    <row r="37" spans="1:35" ht="12.75" customHeight="1" x14ac:dyDescent="0.2">
      <c r="A37" s="86"/>
      <c r="B37" s="95" t="str">
        <f>IF('2S EXPRESS'!$T37=0,"",'2S EXPRESS'!$T37)</f>
        <v/>
      </c>
      <c r="C37" s="217"/>
      <c r="D37" s="95" t="str">
        <f>IF('2 ZT'!$T37=0,"",'2 ZT'!$T37)</f>
        <v/>
      </c>
      <c r="E37" s="96"/>
      <c r="F37" s="95" t="str">
        <f>IF('GO TRANSPORT'!$T37=0,"",'GO TRANSPORT'!$T37)</f>
        <v/>
      </c>
      <c r="G37" s="96"/>
      <c r="H37" s="95" t="str">
        <f>IF('HMZ - KAIS'!$T37=0,"",'HMZ - KAIS'!$T37)</f>
        <v/>
      </c>
      <c r="I37" s="219"/>
      <c r="J37" s="95" t="str">
        <f>IF('IB TRANSPORT'!$T37=0,"",'IB TRANSPORT'!$T37)</f>
        <v/>
      </c>
      <c r="K37" s="96"/>
      <c r="L37" s="95" t="str">
        <f>IF(JSL!$T37=0,"",JSL!$T37)</f>
        <v/>
      </c>
      <c r="M37" s="96"/>
      <c r="N37" s="95" t="str">
        <f>IF(KIFAITOUT!$T37=0,"",KIFAITOUT!$T37)</f>
        <v/>
      </c>
      <c r="O37" s="97"/>
      <c r="P37" s="95" t="str">
        <f>IF('LUXE DRIVE'!$T37=0,"",'LUXE DRIVE'!$T37)</f>
        <v/>
      </c>
      <c r="Q37" s="97"/>
      <c r="R37" s="95" t="str">
        <f>IF(SSN!$T37=0,"",SSN!$T37)</f>
        <v/>
      </c>
      <c r="S37" s="97"/>
      <c r="T37" s="95" t="str">
        <f>IF(TJM!$T37=0,"",TJM!$T37)</f>
        <v/>
      </c>
      <c r="U37" s="98"/>
      <c r="V37" s="95" t="str">
        <f>IF('W3'!$T37=0,"",'W3'!$T37)</f>
        <v/>
      </c>
      <c r="W37" s="96"/>
      <c r="X37" s="95" t="str">
        <f>IF('L HAY LES ROSES'!$T37=0,"",'L HAY LES ROSES'!$T37)</f>
        <v/>
      </c>
      <c r="Y37" s="96"/>
      <c r="Z37" s="95" t="str">
        <f>IF(RUNGIS!$T37=0,"",RUNGIS!$T37)</f>
        <v/>
      </c>
      <c r="AA37" s="219"/>
      <c r="AB37" s="95" t="str">
        <f>IF(SCEAUX!$T37=0,"",SCEAUX!$T37)</f>
        <v/>
      </c>
      <c r="AC37" s="96"/>
      <c r="AD37" s="95" t="str">
        <f>IF('INSTANCE C1'!$T37=0,"",'INSTANCE C1'!$T37)</f>
        <v/>
      </c>
      <c r="AE37" s="96"/>
      <c r="AF37" s="95" t="str">
        <f>IF('INSTANCE C2'!$T37=0,"",'INSTANCE C2'!$T37)</f>
        <v/>
      </c>
      <c r="AG37" s="97"/>
      <c r="AH37" s="95" t="str">
        <f>IF(INTERNES!$T37=0,"",INTERNES!$T37)</f>
        <v/>
      </c>
      <c r="AI37" s="89"/>
    </row>
    <row r="38" spans="1:35" ht="12.75" customHeight="1" x14ac:dyDescent="0.2">
      <c r="A38" s="86"/>
      <c r="B38" s="95" t="str">
        <f>IF('2S EXPRESS'!$T38=0,"",'2S EXPRESS'!$T38)</f>
        <v/>
      </c>
      <c r="C38" s="218"/>
      <c r="D38" s="95" t="str">
        <f>IF('2 ZT'!$T38=0,"",'2 ZT'!$T38)</f>
        <v/>
      </c>
      <c r="E38" s="96"/>
      <c r="F38" s="95" t="str">
        <f>IF('GO TRANSPORT'!$T38=0,"",'GO TRANSPORT'!$T38)</f>
        <v/>
      </c>
      <c r="G38" s="96"/>
      <c r="H38" s="95" t="str">
        <f>IF('HMZ - KAIS'!$T38=0,"",'HMZ - KAIS'!$T38)</f>
        <v/>
      </c>
      <c r="I38" s="219"/>
      <c r="J38" s="95" t="str">
        <f>IF('IB TRANSPORT'!$T38=0,"",'IB TRANSPORT'!$T38)</f>
        <v/>
      </c>
      <c r="K38" s="96"/>
      <c r="L38" s="95" t="str">
        <f>IF(JSL!$T38=0,"",JSL!$T38)</f>
        <v/>
      </c>
      <c r="M38" s="96"/>
      <c r="N38" s="95" t="str">
        <f>IF(KIFAITOUT!$T38=0,"",KIFAITOUT!$T38)</f>
        <v/>
      </c>
      <c r="O38" s="97"/>
      <c r="P38" s="95" t="str">
        <f>IF('LUXE DRIVE'!$T38=0,"",'LUXE DRIVE'!$T38)</f>
        <v/>
      </c>
      <c r="Q38" s="97"/>
      <c r="R38" s="95" t="str">
        <f>IF(SSN!$T38=0,"",SSN!$T38)</f>
        <v/>
      </c>
      <c r="S38" s="97"/>
      <c r="T38" s="95" t="str">
        <f>IF(TJM!$T38=0,"",TJM!$T38)</f>
        <v/>
      </c>
      <c r="U38" s="98"/>
      <c r="V38" s="95" t="str">
        <f>IF('W3'!$T38=0,"",'W3'!$T38)</f>
        <v/>
      </c>
      <c r="W38" s="96"/>
      <c r="X38" s="95" t="str">
        <f>IF('L HAY LES ROSES'!$T38=0,"",'L HAY LES ROSES'!$T38)</f>
        <v/>
      </c>
      <c r="Y38" s="96"/>
      <c r="Z38" s="95" t="str">
        <f>IF(RUNGIS!$T38=0,"",RUNGIS!$T38)</f>
        <v/>
      </c>
      <c r="AA38" s="219"/>
      <c r="AB38" s="95" t="str">
        <f>IF(SCEAUX!$T38=0,"",SCEAUX!$T38)</f>
        <v/>
      </c>
      <c r="AC38" s="96"/>
      <c r="AD38" s="95" t="str">
        <f>IF('INSTANCE C1'!$T38=0,"",'INSTANCE C1'!$T38)</f>
        <v/>
      </c>
      <c r="AE38" s="96"/>
      <c r="AF38" s="95" t="str">
        <f>IF('INSTANCE C2'!$T38=0,"",'INSTANCE C2'!$T38)</f>
        <v/>
      </c>
      <c r="AG38" s="97"/>
      <c r="AH38" s="95" t="str">
        <f>IF(INTERNES!$T38=0,"",INTERNES!$T38)</f>
        <v/>
      </c>
      <c r="AI38" s="89"/>
    </row>
    <row r="39" spans="1:35" ht="12.75" customHeight="1" x14ac:dyDescent="0.2">
      <c r="A39" s="86"/>
      <c r="B39" s="95" t="str">
        <f>IF('2S EXPRESS'!$T39=0,"",'2S EXPRESS'!$T39)</f>
        <v/>
      </c>
      <c r="C39" s="218"/>
      <c r="D39" s="95" t="str">
        <f>IF('2 ZT'!$T39=0,"",'2 ZT'!$T39)</f>
        <v/>
      </c>
      <c r="E39" s="96"/>
      <c r="F39" s="95" t="str">
        <f>IF('GO TRANSPORT'!$T39=0,"",'GO TRANSPORT'!$T39)</f>
        <v/>
      </c>
      <c r="G39" s="96"/>
      <c r="H39" s="95" t="str">
        <f>IF('HMZ - KAIS'!$T39=0,"",'HMZ - KAIS'!$T39)</f>
        <v/>
      </c>
      <c r="I39" s="219"/>
      <c r="J39" s="95" t="str">
        <f>IF('IB TRANSPORT'!$T39=0,"",'IB TRANSPORT'!$T39)</f>
        <v/>
      </c>
      <c r="K39" s="96"/>
      <c r="L39" s="95" t="str">
        <f>IF(JSL!$T39=0,"",JSL!$T39)</f>
        <v/>
      </c>
      <c r="M39" s="96"/>
      <c r="N39" s="95" t="str">
        <f>IF(KIFAITOUT!$T39=0,"",KIFAITOUT!$T39)</f>
        <v/>
      </c>
      <c r="O39" s="97"/>
      <c r="P39" s="95" t="str">
        <f>IF('LUXE DRIVE'!$T39=0,"",'LUXE DRIVE'!$T39)</f>
        <v/>
      </c>
      <c r="Q39" s="97"/>
      <c r="R39" s="95" t="str">
        <f>IF(SSN!$T39=0,"",SSN!$T39)</f>
        <v/>
      </c>
      <c r="S39" s="97"/>
      <c r="T39" s="95" t="str">
        <f>IF(TJM!$T39=0,"",TJM!$T39)</f>
        <v/>
      </c>
      <c r="U39" s="98"/>
      <c r="V39" s="95" t="str">
        <f>IF('W3'!$T39=0,"",'W3'!$T39)</f>
        <v/>
      </c>
      <c r="W39" s="96"/>
      <c r="X39" s="95" t="str">
        <f>IF('L HAY LES ROSES'!$T39=0,"",'L HAY LES ROSES'!$T39)</f>
        <v/>
      </c>
      <c r="Y39" s="96"/>
      <c r="Z39" s="95" t="str">
        <f>IF(RUNGIS!$T39=0,"",RUNGIS!$T39)</f>
        <v/>
      </c>
      <c r="AA39" s="219"/>
      <c r="AB39" s="95" t="str">
        <f>IF(SCEAUX!$T39=0,"",SCEAUX!$T39)</f>
        <v/>
      </c>
      <c r="AC39" s="96"/>
      <c r="AD39" s="95" t="str">
        <f>IF('INSTANCE C1'!$T39=0,"",'INSTANCE C1'!$T39)</f>
        <v/>
      </c>
      <c r="AE39" s="96"/>
      <c r="AF39" s="95" t="str">
        <f>IF('INSTANCE C2'!$T39=0,"",'INSTANCE C2'!$T39)</f>
        <v/>
      </c>
      <c r="AG39" s="97"/>
      <c r="AH39" s="95" t="str">
        <f>IF(INTERNES!$T39=0,"",INTERNES!$T39)</f>
        <v/>
      </c>
      <c r="AI39" s="89"/>
    </row>
    <row r="40" spans="1:35" ht="12.75" customHeight="1" x14ac:dyDescent="0.2">
      <c r="A40" s="86"/>
      <c r="B40" s="95" t="str">
        <f>IF('2S EXPRESS'!$T40=0,"",'2S EXPRESS'!$T40)</f>
        <v/>
      </c>
      <c r="C40" s="218"/>
      <c r="D40" s="95" t="str">
        <f>IF('2 ZT'!$T40=0,"",'2 ZT'!$T40)</f>
        <v/>
      </c>
      <c r="E40" s="96"/>
      <c r="F40" s="95" t="str">
        <f>IF('GO TRANSPORT'!$T40=0,"",'GO TRANSPORT'!$T40)</f>
        <v/>
      </c>
      <c r="G40" s="96"/>
      <c r="H40" s="95" t="str">
        <f>IF('HMZ - KAIS'!$T40=0,"",'HMZ - KAIS'!$T40)</f>
        <v/>
      </c>
      <c r="I40" s="219"/>
      <c r="J40" s="95" t="str">
        <f>IF('IB TRANSPORT'!$T40=0,"",'IB TRANSPORT'!$T40)</f>
        <v/>
      </c>
      <c r="K40" s="96"/>
      <c r="L40" s="95" t="str">
        <f>IF(JSL!$T40=0,"",JSL!$T40)</f>
        <v/>
      </c>
      <c r="M40" s="96"/>
      <c r="N40" s="95" t="str">
        <f>IF(KIFAITOUT!$T40=0,"",KIFAITOUT!$T40)</f>
        <v/>
      </c>
      <c r="O40" s="97"/>
      <c r="P40" s="95" t="str">
        <f>IF('LUXE DRIVE'!$T40=0,"",'LUXE DRIVE'!$T40)</f>
        <v/>
      </c>
      <c r="Q40" s="97"/>
      <c r="R40" s="95" t="str">
        <f>IF(SSN!$T40=0,"",SSN!$T40)</f>
        <v/>
      </c>
      <c r="S40" s="97"/>
      <c r="T40" s="95" t="str">
        <f>IF(TJM!$T40=0,"",TJM!$T40)</f>
        <v/>
      </c>
      <c r="U40" s="98"/>
      <c r="V40" s="95" t="str">
        <f>IF('W3'!$T40=0,"",'W3'!$T40)</f>
        <v/>
      </c>
      <c r="W40" s="96"/>
      <c r="X40" s="95" t="str">
        <f>IF('L HAY LES ROSES'!$T40=0,"",'L HAY LES ROSES'!$T40)</f>
        <v/>
      </c>
      <c r="Y40" s="96"/>
      <c r="Z40" s="95" t="str">
        <f>IF(RUNGIS!$T40=0,"",RUNGIS!$T40)</f>
        <v/>
      </c>
      <c r="AA40" s="219"/>
      <c r="AB40" s="95" t="str">
        <f>IF(SCEAUX!$T40=0,"",SCEAUX!$T40)</f>
        <v/>
      </c>
      <c r="AC40" s="96"/>
      <c r="AD40" s="95" t="str">
        <f>IF('INSTANCE C1'!$T40=0,"",'INSTANCE C1'!$T40)</f>
        <v/>
      </c>
      <c r="AE40" s="96"/>
      <c r="AF40" s="95" t="str">
        <f>IF('INSTANCE C2'!$T40=0,"",'INSTANCE C2'!$T40)</f>
        <v/>
      </c>
      <c r="AG40" s="97"/>
      <c r="AH40" s="95" t="str">
        <f>IF(INTERNES!$T40=0,"",INTERNES!$T40)</f>
        <v/>
      </c>
      <c r="AI40" s="89"/>
    </row>
    <row r="41" spans="1:35" ht="12.75" customHeight="1" x14ac:dyDescent="0.2">
      <c r="A41" s="86"/>
      <c r="B41" s="95" t="str">
        <f>IF('2S EXPRESS'!$T41=0,"",'2S EXPRESS'!$T41)</f>
        <v/>
      </c>
      <c r="C41" s="218"/>
      <c r="D41" s="95" t="str">
        <f>IF('2 ZT'!$T41=0,"",'2 ZT'!$T41)</f>
        <v/>
      </c>
      <c r="E41" s="96"/>
      <c r="F41" s="95" t="str">
        <f>IF('GO TRANSPORT'!$T41=0,"",'GO TRANSPORT'!$T41)</f>
        <v/>
      </c>
      <c r="G41" s="96"/>
      <c r="H41" s="95" t="str">
        <f>IF('HMZ - KAIS'!$T41=0,"",'HMZ - KAIS'!$T41)</f>
        <v/>
      </c>
      <c r="I41" s="219"/>
      <c r="J41" s="95" t="str">
        <f>IF('IB TRANSPORT'!$T41=0,"",'IB TRANSPORT'!$T41)</f>
        <v/>
      </c>
      <c r="K41" s="96"/>
      <c r="L41" s="95" t="str">
        <f>IF(JSL!$T41=0,"",JSL!$T41)</f>
        <v/>
      </c>
      <c r="M41" s="96"/>
      <c r="N41" s="95" t="str">
        <f>IF(KIFAITOUT!$T41=0,"",KIFAITOUT!$T41)</f>
        <v/>
      </c>
      <c r="O41" s="97"/>
      <c r="P41" s="95" t="str">
        <f>IF('LUXE DRIVE'!$T41=0,"",'LUXE DRIVE'!$T41)</f>
        <v/>
      </c>
      <c r="Q41" s="97"/>
      <c r="R41" s="95" t="str">
        <f>IF(SSN!$T41=0,"",SSN!$T41)</f>
        <v/>
      </c>
      <c r="S41" s="97"/>
      <c r="T41" s="95" t="str">
        <f>IF(TJM!$T41=0,"",TJM!$T41)</f>
        <v/>
      </c>
      <c r="U41" s="98"/>
      <c r="V41" s="95" t="str">
        <f>IF('W3'!$T41=0,"",'W3'!$T41)</f>
        <v/>
      </c>
      <c r="W41" s="96"/>
      <c r="X41" s="95" t="str">
        <f>IF('L HAY LES ROSES'!$T41=0,"",'L HAY LES ROSES'!$T41)</f>
        <v/>
      </c>
      <c r="Y41" s="96"/>
      <c r="Z41" s="95" t="str">
        <f>IF(RUNGIS!$T41=0,"",RUNGIS!$T41)</f>
        <v/>
      </c>
      <c r="AA41" s="219"/>
      <c r="AB41" s="95" t="str">
        <f>IF(SCEAUX!$T41=0,"",SCEAUX!$T41)</f>
        <v/>
      </c>
      <c r="AC41" s="96"/>
      <c r="AD41" s="95" t="str">
        <f>IF('INSTANCE C1'!$T41=0,"",'INSTANCE C1'!$T41)</f>
        <v/>
      </c>
      <c r="AE41" s="96"/>
      <c r="AF41" s="95" t="str">
        <f>IF('INSTANCE C2'!$T41=0,"",'INSTANCE C2'!$T41)</f>
        <v/>
      </c>
      <c r="AG41" s="97"/>
      <c r="AH41" s="95" t="str">
        <f>IF(INTERNES!$T41=0,"",INTERNES!$T41)</f>
        <v/>
      </c>
      <c r="AI41" s="89"/>
    </row>
    <row r="42" spans="1:35" ht="12.75" customHeight="1" x14ac:dyDescent="0.2">
      <c r="A42" s="86"/>
      <c r="B42" s="95" t="str">
        <f>IF('2S EXPRESS'!$T42=0,"",'2S EXPRESS'!$T42)</f>
        <v/>
      </c>
      <c r="C42" s="96"/>
      <c r="D42" s="95" t="str">
        <f>IF('2 ZT'!$T42=0,"",'2 ZT'!$T42)</f>
        <v/>
      </c>
      <c r="E42" s="96"/>
      <c r="F42" s="95" t="str">
        <f>IF('GO TRANSPORT'!$T42=0,"",'GO TRANSPORT'!$T42)</f>
        <v/>
      </c>
      <c r="G42" s="96"/>
      <c r="H42" s="95" t="str">
        <f>IF('HMZ - KAIS'!$T42=0,"",'HMZ - KAIS'!$T42)</f>
        <v/>
      </c>
      <c r="I42" s="96"/>
      <c r="J42" s="95" t="str">
        <f>IF('IB TRANSPORT'!$T42=0,"",'IB TRANSPORT'!$T42)</f>
        <v/>
      </c>
      <c r="K42" s="96"/>
      <c r="L42" s="95" t="str">
        <f>IF(JSL!$T42=0,"",JSL!$T42)</f>
        <v/>
      </c>
      <c r="M42" s="96"/>
      <c r="N42" s="95" t="str">
        <f>IF(KIFAITOUT!$T42=0,"",KIFAITOUT!$T42)</f>
        <v/>
      </c>
      <c r="O42" s="97"/>
      <c r="P42" s="95" t="str">
        <f>IF('LUXE DRIVE'!$T42=0,"",'LUXE DRIVE'!$T42)</f>
        <v/>
      </c>
      <c r="Q42" s="97"/>
      <c r="R42" s="95" t="str">
        <f>IF(SSN!$T42=0,"",SSN!$T42)</f>
        <v/>
      </c>
      <c r="S42" s="97"/>
      <c r="T42" s="95" t="str">
        <f>IF(TJM!$T42=0,"",TJM!$T42)</f>
        <v/>
      </c>
      <c r="U42" s="98"/>
      <c r="V42" s="95" t="str">
        <f>IF('W3'!$T42=0,"",'W3'!$T42)</f>
        <v/>
      </c>
      <c r="W42" s="96"/>
      <c r="X42" s="95" t="str">
        <f>IF('L HAY LES ROSES'!$T42=0,"",'L HAY LES ROSES'!$T42)</f>
        <v/>
      </c>
      <c r="Y42" s="96"/>
      <c r="Z42" s="95" t="str">
        <f>IF(RUNGIS!$T42=0,"",RUNGIS!$T42)</f>
        <v/>
      </c>
      <c r="AA42" s="96"/>
      <c r="AB42" s="95" t="str">
        <f>IF(SCEAUX!$T42=0,"",SCEAUX!$T42)</f>
        <v/>
      </c>
      <c r="AC42" s="96"/>
      <c r="AD42" s="95" t="str">
        <f>IF('INSTANCE C1'!$T42=0,"",'INSTANCE C1'!$T42)</f>
        <v/>
      </c>
      <c r="AE42" s="96"/>
      <c r="AF42" s="95" t="str">
        <f>IF('INSTANCE C2'!$T42=0,"",'INSTANCE C2'!$T42)</f>
        <v/>
      </c>
      <c r="AG42" s="97"/>
      <c r="AH42" s="95" t="str">
        <f>IF(INTERNES!$T42=0,"",INTERNES!$T42)</f>
        <v/>
      </c>
      <c r="AI42" s="89"/>
    </row>
    <row r="43" spans="1:35" ht="12.75" customHeight="1" x14ac:dyDescent="0.2">
      <c r="A43" s="86"/>
      <c r="B43" s="95" t="str">
        <f>IF('2S EXPRESS'!$T43=0,"",'2S EXPRESS'!$T43)</f>
        <v/>
      </c>
      <c r="C43" s="96"/>
      <c r="D43" s="95" t="str">
        <f>IF('2 ZT'!$T43=0,"",'2 ZT'!$T43)</f>
        <v/>
      </c>
      <c r="E43" s="96"/>
      <c r="F43" s="95" t="str">
        <f>IF('GO TRANSPORT'!$T43=0,"",'GO TRANSPORT'!$T43)</f>
        <v/>
      </c>
      <c r="G43" s="96"/>
      <c r="H43" s="95" t="str">
        <f>IF('HMZ - KAIS'!$T43=0,"",'HMZ - KAIS'!$T43)</f>
        <v/>
      </c>
      <c r="I43" s="96"/>
      <c r="J43" s="95" t="str">
        <f>IF('IB TRANSPORT'!$T43=0,"",'IB TRANSPORT'!$T43)</f>
        <v/>
      </c>
      <c r="K43" s="96"/>
      <c r="L43" s="95" t="str">
        <f>IF(JSL!$T43=0,"",JSL!$T43)</f>
        <v/>
      </c>
      <c r="M43" s="96"/>
      <c r="N43" s="95" t="str">
        <f>IF(KIFAITOUT!$T43=0,"",KIFAITOUT!$T43)</f>
        <v/>
      </c>
      <c r="O43" s="97"/>
      <c r="P43" s="95" t="str">
        <f>IF('LUXE DRIVE'!$T43=0,"",'LUXE DRIVE'!$T43)</f>
        <v/>
      </c>
      <c r="Q43" s="97"/>
      <c r="R43" s="95" t="str">
        <f>IF(SSN!$T43=0,"",SSN!$T43)</f>
        <v/>
      </c>
      <c r="S43" s="97"/>
      <c r="T43" s="95" t="str">
        <f>IF(TJM!$T43=0,"",TJM!$T43)</f>
        <v/>
      </c>
      <c r="U43" s="98"/>
      <c r="V43" s="95" t="str">
        <f>IF('W3'!$T43=0,"",'W3'!$T43)</f>
        <v/>
      </c>
      <c r="W43" s="96"/>
      <c r="X43" s="95" t="str">
        <f>IF('L HAY LES ROSES'!$T43=0,"",'L HAY LES ROSES'!$T43)</f>
        <v/>
      </c>
      <c r="Y43" s="96"/>
      <c r="Z43" s="95" t="str">
        <f>IF(RUNGIS!$T43=0,"",RUNGIS!$T43)</f>
        <v/>
      </c>
      <c r="AA43" s="96"/>
      <c r="AB43" s="95" t="str">
        <f>IF(SCEAUX!$T43=0,"",SCEAUX!$T43)</f>
        <v/>
      </c>
      <c r="AC43" s="96"/>
      <c r="AD43" s="95" t="str">
        <f>IF('INSTANCE C1'!$T43=0,"",'INSTANCE C1'!$T43)</f>
        <v/>
      </c>
      <c r="AE43" s="96"/>
      <c r="AF43" s="95" t="str">
        <f>IF('INSTANCE C2'!$T43=0,"",'INSTANCE C2'!$T43)</f>
        <v/>
      </c>
      <c r="AG43" s="97"/>
      <c r="AH43" s="95" t="str">
        <f>IF(INTERNES!$T43=0,"",INTERNES!$T43)</f>
        <v/>
      </c>
      <c r="AI43" s="89"/>
    </row>
    <row r="44" spans="1:35" ht="12.75" customHeight="1" x14ac:dyDescent="0.2">
      <c r="A44" s="86"/>
      <c r="B44" s="95" t="str">
        <f>IF('2S EXPRESS'!$T44=0,"",'2S EXPRESS'!$T44)</f>
        <v/>
      </c>
      <c r="C44" s="96"/>
      <c r="D44" s="95" t="str">
        <f>IF('2 ZT'!$T44=0,"",'2 ZT'!$T44)</f>
        <v/>
      </c>
      <c r="E44" s="96"/>
      <c r="F44" s="95" t="str">
        <f>IF('GO TRANSPORT'!$T44=0,"",'GO TRANSPORT'!$T44)</f>
        <v/>
      </c>
      <c r="G44" s="96"/>
      <c r="H44" s="95" t="str">
        <f>IF('HMZ - KAIS'!$T44=0,"",'HMZ - KAIS'!$T44)</f>
        <v/>
      </c>
      <c r="I44" s="96"/>
      <c r="J44" s="95" t="str">
        <f>IF('IB TRANSPORT'!$T44=0,"",'IB TRANSPORT'!$T44)</f>
        <v/>
      </c>
      <c r="K44" s="96"/>
      <c r="L44" s="95" t="str">
        <f>IF(JSL!$T44=0,"",JSL!$T44)</f>
        <v/>
      </c>
      <c r="M44" s="96"/>
      <c r="N44" s="95" t="str">
        <f>IF(KIFAITOUT!$T44=0,"",KIFAITOUT!$T44)</f>
        <v/>
      </c>
      <c r="O44" s="97"/>
      <c r="P44" s="95" t="str">
        <f>IF('LUXE DRIVE'!$T44=0,"",'LUXE DRIVE'!$T44)</f>
        <v/>
      </c>
      <c r="Q44" s="97"/>
      <c r="R44" s="95" t="str">
        <f>IF(SSN!$T44=0,"",SSN!$T44)</f>
        <v/>
      </c>
      <c r="S44" s="97"/>
      <c r="T44" s="95" t="str">
        <f>IF(TJM!$T44=0,"",TJM!$T44)</f>
        <v/>
      </c>
      <c r="U44" s="98"/>
      <c r="V44" s="95" t="str">
        <f>IF('W3'!$T44=0,"",'W3'!$T44)</f>
        <v/>
      </c>
      <c r="W44" s="96"/>
      <c r="X44" s="95" t="str">
        <f>IF('L HAY LES ROSES'!$T44=0,"",'L HAY LES ROSES'!$T44)</f>
        <v/>
      </c>
      <c r="Y44" s="96"/>
      <c r="Z44" s="95" t="str">
        <f>IF(RUNGIS!$T44=0,"",RUNGIS!$T44)</f>
        <v/>
      </c>
      <c r="AA44" s="96"/>
      <c r="AB44" s="95" t="str">
        <f>IF(SCEAUX!$T44=0,"",SCEAUX!$T44)</f>
        <v/>
      </c>
      <c r="AC44" s="96"/>
      <c r="AD44" s="95" t="str">
        <f>IF('INSTANCE C1'!$T44=0,"",'INSTANCE C1'!$T44)</f>
        <v/>
      </c>
      <c r="AE44" s="96"/>
      <c r="AF44" s="95" t="str">
        <f>IF('INSTANCE C2'!$T44=0,"",'INSTANCE C2'!$T44)</f>
        <v/>
      </c>
      <c r="AG44" s="97"/>
      <c r="AH44" s="95" t="str">
        <f>IF(INTERNES!$T44=0,"",INTERNES!$T44)</f>
        <v/>
      </c>
      <c r="AI44" s="89"/>
    </row>
    <row r="45" spans="1:35" ht="12.75" customHeight="1" x14ac:dyDescent="0.2">
      <c r="A45" s="86"/>
      <c r="B45" s="95" t="str">
        <f>IF('2S EXPRESS'!$T45=0,"",'2S EXPRESS'!$T45)</f>
        <v/>
      </c>
      <c r="C45" s="96"/>
      <c r="D45" s="95" t="str">
        <f>IF('2 ZT'!$T45=0,"",'2 ZT'!$T45)</f>
        <v/>
      </c>
      <c r="E45" s="96"/>
      <c r="F45" s="95" t="str">
        <f>IF('GO TRANSPORT'!$T45=0,"",'GO TRANSPORT'!$T45)</f>
        <v/>
      </c>
      <c r="G45" s="96"/>
      <c r="H45" s="95" t="str">
        <f>IF('HMZ - KAIS'!$T45=0,"",'HMZ - KAIS'!$T45)</f>
        <v/>
      </c>
      <c r="I45" s="96"/>
      <c r="J45" s="95" t="str">
        <f>IF('IB TRANSPORT'!$T45=0,"",'IB TRANSPORT'!$T45)</f>
        <v/>
      </c>
      <c r="K45" s="96"/>
      <c r="L45" s="95" t="str">
        <f>IF(JSL!$T45=0,"",JSL!$T45)</f>
        <v/>
      </c>
      <c r="M45" s="96"/>
      <c r="N45" s="95" t="str">
        <f>IF(KIFAITOUT!$T45=0,"",KIFAITOUT!$T45)</f>
        <v/>
      </c>
      <c r="O45" s="97"/>
      <c r="P45" s="95" t="str">
        <f>IF('LUXE DRIVE'!$T45=0,"",'LUXE DRIVE'!$T45)</f>
        <v/>
      </c>
      <c r="Q45" s="97"/>
      <c r="R45" s="95" t="str">
        <f>IF(SSN!$T45=0,"",SSN!$T45)</f>
        <v/>
      </c>
      <c r="S45" s="97"/>
      <c r="T45" s="95" t="str">
        <f>IF(TJM!$T45=0,"",TJM!$T45)</f>
        <v/>
      </c>
      <c r="U45" s="98"/>
      <c r="V45" s="95" t="str">
        <f>IF('W3'!$T45=0,"",'W3'!$T45)</f>
        <v/>
      </c>
      <c r="W45" s="96"/>
      <c r="X45" s="95" t="str">
        <f>IF('L HAY LES ROSES'!$T45=0,"",'L HAY LES ROSES'!$T45)</f>
        <v/>
      </c>
      <c r="Y45" s="96"/>
      <c r="Z45" s="95" t="str">
        <f>IF(RUNGIS!$T45=0,"",RUNGIS!$T45)</f>
        <v/>
      </c>
      <c r="AA45" s="96"/>
      <c r="AB45" s="95" t="str">
        <f>IF(SCEAUX!$T45=0,"",SCEAUX!$T45)</f>
        <v/>
      </c>
      <c r="AC45" s="96"/>
      <c r="AD45" s="95" t="str">
        <f>IF('INSTANCE C1'!$T45=0,"",'INSTANCE C1'!$T45)</f>
        <v/>
      </c>
      <c r="AE45" s="96"/>
      <c r="AF45" s="95" t="str">
        <f>IF('INSTANCE C2'!$T45=0,"",'INSTANCE C2'!$T45)</f>
        <v/>
      </c>
      <c r="AG45" s="97"/>
      <c r="AH45" s="95" t="str">
        <f>IF(INTERNES!$T45=0,"",INTERNES!$T45)</f>
        <v/>
      </c>
      <c r="AI45" s="89"/>
    </row>
    <row r="46" spans="1:35" ht="12.75" customHeight="1" x14ac:dyDescent="0.2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90"/>
      <c r="O46" s="84"/>
      <c r="P46" s="84"/>
      <c r="Q46" s="84"/>
      <c r="R46" s="84"/>
      <c r="S46" s="84"/>
      <c r="T46" s="84"/>
      <c r="U46" s="87"/>
      <c r="V46" s="87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</row>
    <row r="47" spans="1:35" ht="12.75" customHeight="1" x14ac:dyDescent="0.2">
      <c r="A47" s="9"/>
      <c r="B47" s="9"/>
      <c r="C47" s="9"/>
      <c r="D47" s="9"/>
      <c r="E47" s="9"/>
      <c r="F47" s="9"/>
      <c r="G47" s="9"/>
      <c r="H47" s="115"/>
      <c r="I47" s="9"/>
      <c r="J47" s="9"/>
      <c r="K47" s="9"/>
      <c r="L47" s="9"/>
      <c r="M47" s="9"/>
      <c r="N47" s="81"/>
    </row>
    <row r="48" spans="1:35" ht="12.75" customHeight="1" x14ac:dyDescent="0.2">
      <c r="A48" s="9"/>
      <c r="B48" s="9"/>
      <c r="C48" s="9"/>
      <c r="D48" s="9"/>
      <c r="E48" s="9"/>
      <c r="F48" s="9"/>
      <c r="G48" s="9"/>
      <c r="H48" s="115"/>
      <c r="I48" s="9"/>
      <c r="J48" s="9"/>
      <c r="K48" s="9"/>
      <c r="L48" s="9"/>
      <c r="M48" s="9"/>
      <c r="N48" s="9"/>
    </row>
    <row r="49" spans="1:14" ht="12.75" customHeight="1" x14ac:dyDescent="0.2">
      <c r="A49" s="9"/>
      <c r="B49" s="9"/>
      <c r="C49" s="9"/>
      <c r="D49" s="9"/>
      <c r="E49" s="9"/>
      <c r="F49" s="9"/>
      <c r="G49" s="9"/>
      <c r="H49" s="115"/>
      <c r="I49" s="9"/>
      <c r="J49" s="9"/>
      <c r="K49" s="9"/>
      <c r="L49" s="9"/>
      <c r="M49" s="9"/>
      <c r="N49" s="9"/>
    </row>
    <row r="50" spans="1:14" ht="12.75" customHeight="1" x14ac:dyDescent="0.2">
      <c r="H50" s="115"/>
    </row>
    <row r="51" spans="1:14" ht="13.5" customHeight="1" x14ac:dyDescent="0.2">
      <c r="H51" s="12"/>
    </row>
    <row r="52" spans="1:14" ht="12.75" customHeight="1" x14ac:dyDescent="0.2">
      <c r="H52" s="13"/>
    </row>
    <row r="53" spans="1:14" ht="12.75" customHeight="1" x14ac:dyDescent="0.2">
      <c r="H53" s="13"/>
    </row>
    <row r="54" spans="1:14" ht="12.75" customHeight="1" x14ac:dyDescent="0.2">
      <c r="H54" s="13"/>
    </row>
    <row r="55" spans="1:14" ht="13.5" customHeight="1" x14ac:dyDescent="0.2">
      <c r="H55" s="13"/>
    </row>
  </sheetData>
  <mergeCells count="35">
    <mergeCell ref="AA25:AA29"/>
    <mergeCell ref="AA31:AA35"/>
    <mergeCell ref="AA37:AA41"/>
    <mergeCell ref="AF5:AF6"/>
    <mergeCell ref="AH5:AH6"/>
    <mergeCell ref="AA7:AA11"/>
    <mergeCell ref="AA13:AA17"/>
    <mergeCell ref="AA19:AA23"/>
    <mergeCell ref="AD5:AD6"/>
    <mergeCell ref="R5:R6"/>
    <mergeCell ref="V5:V6"/>
    <mergeCell ref="X5:X6"/>
    <mergeCell ref="Z5:Z6"/>
    <mergeCell ref="AB5:AB6"/>
    <mergeCell ref="T5:T6"/>
    <mergeCell ref="B5:B6"/>
    <mergeCell ref="D5:D6"/>
    <mergeCell ref="F5:F6"/>
    <mergeCell ref="H5:H6"/>
    <mergeCell ref="J5:J6"/>
    <mergeCell ref="L5:L6"/>
    <mergeCell ref="N5:N6"/>
    <mergeCell ref="P5:P6"/>
    <mergeCell ref="C37:C41"/>
    <mergeCell ref="I37:I41"/>
    <mergeCell ref="C31:C35"/>
    <mergeCell ref="I31:I35"/>
    <mergeCell ref="C25:C29"/>
    <mergeCell ref="I25:I29"/>
    <mergeCell ref="I19:I23"/>
    <mergeCell ref="C19:C23"/>
    <mergeCell ref="C13:C17"/>
    <mergeCell ref="I13:I17"/>
    <mergeCell ref="C7:C11"/>
    <mergeCell ref="I7:I11"/>
  </mergeCells>
  <pageMargins left="0.7" right="0.7" top="0.75" bottom="0.75" header="0.3" footer="0.3"/>
  <pageSetup paperSize="9" orientation="portrait" horizont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1B17F-CA57-4701-AD88-F19E520C4B12}">
  <sheetPr codeName="Feuil19"/>
  <dimension ref="A1:L531"/>
  <sheetViews>
    <sheetView topLeftCell="B1" workbookViewId="0">
      <selection activeCell="L6" sqref="L6"/>
    </sheetView>
  </sheetViews>
  <sheetFormatPr baseColWidth="10" defaultColWidth="21.7109375" defaultRowHeight="12.75" x14ac:dyDescent="0.2"/>
  <cols>
    <col min="1" max="1" width="34.7109375" style="15" bestFit="1" customWidth="1"/>
    <col min="2" max="2" width="31.28515625" style="16" bestFit="1" customWidth="1"/>
    <col min="3" max="3" width="21.7109375" style="10"/>
    <col min="4" max="4" width="36.7109375" style="15" bestFit="1" customWidth="1"/>
    <col min="5" max="5" width="9.28515625" style="17" bestFit="1" customWidth="1"/>
    <col min="6" max="6" width="12.5703125" style="15" bestFit="1" customWidth="1"/>
    <col min="7" max="9" width="21.7109375" style="10"/>
    <col min="10" max="11" width="21.7109375" style="14"/>
    <col min="12" max="16384" width="21.7109375" style="10"/>
  </cols>
  <sheetData>
    <row r="1" spans="1:12" ht="15.75" thickBot="1" x14ac:dyDescent="0.25">
      <c r="A1" s="103" t="s">
        <v>52</v>
      </c>
      <c r="B1" s="104" t="s">
        <v>53</v>
      </c>
      <c r="C1" s="105" t="s">
        <v>54</v>
      </c>
      <c r="D1" s="103" t="s">
        <v>55</v>
      </c>
      <c r="E1" s="106" t="s">
        <v>16</v>
      </c>
      <c r="F1" s="103" t="s">
        <v>56</v>
      </c>
      <c r="G1" s="105" t="s">
        <v>57</v>
      </c>
      <c r="H1" s="105" t="s">
        <v>58</v>
      </c>
    </row>
    <row r="2" spans="1:12" x14ac:dyDescent="0.2">
      <c r="A2" s="107" t="s">
        <v>59</v>
      </c>
      <c r="B2" s="108" t="s">
        <v>60</v>
      </c>
      <c r="C2" s="109">
        <f t="shared" ref="C2:C33" si="0">IFERROR(RANK(H2,$H$2:$H$184,1),"")</f>
        <v>1</v>
      </c>
      <c r="D2" s="107" t="s">
        <v>61</v>
      </c>
      <c r="E2" s="110" t="s">
        <v>62</v>
      </c>
      <c r="F2" s="107" t="s">
        <v>63</v>
      </c>
      <c r="G2" s="109">
        <f>IFERROR(SEARCH(MENU!$P$33,D2),"")</f>
        <v>1</v>
      </c>
      <c r="H2" s="109">
        <f>IFERROR(G2+ROW()/10000,"")</f>
        <v>1.0002</v>
      </c>
    </row>
    <row r="3" spans="1:12" x14ac:dyDescent="0.2">
      <c r="A3" s="107" t="s">
        <v>64</v>
      </c>
      <c r="B3" s="108" t="s">
        <v>65</v>
      </c>
      <c r="C3" s="109">
        <f t="shared" si="0"/>
        <v>2</v>
      </c>
      <c r="D3" s="107" t="s">
        <v>66</v>
      </c>
      <c r="E3" s="110">
        <v>20184015</v>
      </c>
      <c r="F3" s="107" t="s">
        <v>63</v>
      </c>
      <c r="G3" s="109">
        <f>IFERROR(SEARCH(MENU!$P$33,D3),"")</f>
        <v>1</v>
      </c>
      <c r="H3" s="109">
        <f t="shared" ref="H3:H66" si="1">IFERROR(G3+ROW()/10000,"")</f>
        <v>1.0003</v>
      </c>
    </row>
    <row r="4" spans="1:12" x14ac:dyDescent="0.2">
      <c r="A4" s="107" t="s">
        <v>67</v>
      </c>
      <c r="B4" s="108" t="s">
        <v>68</v>
      </c>
      <c r="C4" s="109">
        <f t="shared" si="0"/>
        <v>3</v>
      </c>
      <c r="D4" s="107" t="s">
        <v>69</v>
      </c>
      <c r="E4" s="110">
        <v>40744837</v>
      </c>
      <c r="F4" s="107" t="s">
        <v>63</v>
      </c>
      <c r="G4" s="109">
        <f>IFERROR(SEARCH(MENU!$P$33,D4),"")</f>
        <v>1</v>
      </c>
      <c r="H4" s="109">
        <f t="shared" si="1"/>
        <v>1.0004</v>
      </c>
    </row>
    <row r="5" spans="1:12" x14ac:dyDescent="0.2">
      <c r="A5" s="107" t="s">
        <v>70</v>
      </c>
      <c r="B5" s="108" t="s">
        <v>71</v>
      </c>
      <c r="C5" s="109">
        <f t="shared" si="0"/>
        <v>4</v>
      </c>
      <c r="D5" s="107" t="s">
        <v>72</v>
      </c>
      <c r="E5" s="110">
        <v>65129970</v>
      </c>
      <c r="F5" s="107" t="s">
        <v>63</v>
      </c>
      <c r="G5" s="109">
        <f>IFERROR(SEARCH(MENU!$P$33,D5),"")</f>
        <v>1</v>
      </c>
      <c r="H5" s="109">
        <f t="shared" si="1"/>
        <v>1.0004999999999999</v>
      </c>
      <c r="J5" s="18"/>
      <c r="K5" s="18"/>
    </row>
    <row r="6" spans="1:12" x14ac:dyDescent="0.2">
      <c r="A6" s="107" t="s">
        <v>73</v>
      </c>
      <c r="B6" s="108" t="s">
        <v>74</v>
      </c>
      <c r="C6" s="109">
        <f t="shared" si="0"/>
        <v>5</v>
      </c>
      <c r="D6" s="107" t="s">
        <v>75</v>
      </c>
      <c r="E6" s="110">
        <v>35732826</v>
      </c>
      <c r="F6" s="107" t="s">
        <v>63</v>
      </c>
      <c r="G6" s="109">
        <f>IFERROR(SEARCH(MENU!$P$33,D6),"")</f>
        <v>1</v>
      </c>
      <c r="H6" s="109">
        <f t="shared" si="1"/>
        <v>1.0005999999999999</v>
      </c>
      <c r="J6" s="18"/>
      <c r="K6" s="18"/>
      <c r="L6" s="10">
        <v>1</v>
      </c>
    </row>
    <row r="7" spans="1:12" x14ac:dyDescent="0.2">
      <c r="A7" s="107" t="s">
        <v>76</v>
      </c>
      <c r="B7" s="108" t="s">
        <v>77</v>
      </c>
      <c r="C7" s="109">
        <f t="shared" si="0"/>
        <v>6</v>
      </c>
      <c r="D7" s="107" t="s">
        <v>78</v>
      </c>
      <c r="E7" s="110">
        <v>28141187</v>
      </c>
      <c r="F7" s="107" t="s">
        <v>63</v>
      </c>
      <c r="G7" s="109">
        <f>IFERROR(SEARCH(MENU!$P$33,D7),"")</f>
        <v>1</v>
      </c>
      <c r="H7" s="109">
        <f t="shared" si="1"/>
        <v>1.0006999999999999</v>
      </c>
    </row>
    <row r="8" spans="1:12" x14ac:dyDescent="0.2">
      <c r="A8" s="107" t="s">
        <v>79</v>
      </c>
      <c r="B8" s="108" t="s">
        <v>80</v>
      </c>
      <c r="C8" s="109">
        <f t="shared" si="0"/>
        <v>7</v>
      </c>
      <c r="D8" s="107" t="s">
        <v>81</v>
      </c>
      <c r="E8" s="110">
        <v>50869935</v>
      </c>
      <c r="F8" s="107" t="s">
        <v>63</v>
      </c>
      <c r="G8" s="109">
        <f>IFERROR(SEARCH(MENU!$P$33,D8),"")</f>
        <v>1</v>
      </c>
      <c r="H8" s="109">
        <f t="shared" si="1"/>
        <v>1.0007999999999999</v>
      </c>
    </row>
    <row r="9" spans="1:12" x14ac:dyDescent="0.2">
      <c r="A9" s="107" t="s">
        <v>82</v>
      </c>
      <c r="B9" s="108" t="s">
        <v>83</v>
      </c>
      <c r="C9" s="109">
        <f t="shared" si="0"/>
        <v>8</v>
      </c>
      <c r="D9" s="107" t="s">
        <v>84</v>
      </c>
      <c r="E9" s="110">
        <v>57553711</v>
      </c>
      <c r="F9" s="107" t="s">
        <v>63</v>
      </c>
      <c r="G9" s="109">
        <f>IFERROR(SEARCH(MENU!$P$33,D9),"")</f>
        <v>1</v>
      </c>
      <c r="H9" s="109">
        <f t="shared" si="1"/>
        <v>1.0008999999999999</v>
      </c>
    </row>
    <row r="10" spans="1:12" x14ac:dyDescent="0.2">
      <c r="A10" s="107" t="s">
        <v>85</v>
      </c>
      <c r="B10" s="108" t="s">
        <v>86</v>
      </c>
      <c r="C10" s="109">
        <f t="shared" si="0"/>
        <v>9</v>
      </c>
      <c r="D10" s="107" t="s">
        <v>87</v>
      </c>
      <c r="E10" s="110">
        <v>44941832</v>
      </c>
      <c r="F10" s="107" t="s">
        <v>63</v>
      </c>
      <c r="G10" s="109">
        <f>IFERROR(SEARCH(MENU!$P$33,D10),"")</f>
        <v>1</v>
      </c>
      <c r="H10" s="109">
        <f t="shared" si="1"/>
        <v>1.0009999999999999</v>
      </c>
    </row>
    <row r="11" spans="1:12" x14ac:dyDescent="0.2">
      <c r="A11" s="107" t="s">
        <v>88</v>
      </c>
      <c r="B11" s="108" t="s">
        <v>89</v>
      </c>
      <c r="C11" s="109">
        <f t="shared" si="0"/>
        <v>10</v>
      </c>
      <c r="D11" s="107" t="s">
        <v>90</v>
      </c>
      <c r="E11" s="110">
        <v>82258900</v>
      </c>
      <c r="F11" s="107" t="s">
        <v>63</v>
      </c>
      <c r="G11" s="109">
        <f>IFERROR(SEARCH(MENU!$P$33,D11),"")</f>
        <v>1</v>
      </c>
      <c r="H11" s="109">
        <f t="shared" si="1"/>
        <v>1.0011000000000001</v>
      </c>
    </row>
    <row r="12" spans="1:12" x14ac:dyDescent="0.2">
      <c r="A12" s="107" t="s">
        <v>91</v>
      </c>
      <c r="B12" s="108" t="s">
        <v>92</v>
      </c>
      <c r="C12" s="109">
        <f t="shared" si="0"/>
        <v>11</v>
      </c>
      <c r="D12" s="107" t="s">
        <v>93</v>
      </c>
      <c r="E12" s="110" t="s">
        <v>94</v>
      </c>
      <c r="F12" s="107" t="s">
        <v>63</v>
      </c>
      <c r="G12" s="109">
        <f>IFERROR(SEARCH(MENU!$P$33,D12),"")</f>
        <v>1</v>
      </c>
      <c r="H12" s="109">
        <f t="shared" si="1"/>
        <v>1.0012000000000001</v>
      </c>
    </row>
    <row r="13" spans="1:12" x14ac:dyDescent="0.2">
      <c r="A13" s="107" t="s">
        <v>95</v>
      </c>
      <c r="B13" s="108" t="s">
        <v>96</v>
      </c>
      <c r="C13" s="109">
        <f t="shared" si="0"/>
        <v>12</v>
      </c>
      <c r="D13" s="107" t="s">
        <v>97</v>
      </c>
      <c r="E13" s="110">
        <v>84489522</v>
      </c>
      <c r="F13" s="107" t="s">
        <v>63</v>
      </c>
      <c r="G13" s="109">
        <f>IFERROR(SEARCH(MENU!$P$33,D13),"")</f>
        <v>1</v>
      </c>
      <c r="H13" s="109">
        <f t="shared" si="1"/>
        <v>1.0013000000000001</v>
      </c>
    </row>
    <row r="14" spans="1:12" x14ac:dyDescent="0.2">
      <c r="A14" s="107" t="s">
        <v>98</v>
      </c>
      <c r="B14" s="108" t="s">
        <v>99</v>
      </c>
      <c r="C14" s="109">
        <f t="shared" si="0"/>
        <v>13</v>
      </c>
      <c r="D14" s="107" t="s">
        <v>100</v>
      </c>
      <c r="E14" s="110">
        <v>33833513</v>
      </c>
      <c r="F14" s="107" t="s">
        <v>63</v>
      </c>
      <c r="G14" s="109">
        <f>IFERROR(SEARCH(MENU!$P$33,D14),"")</f>
        <v>1</v>
      </c>
      <c r="H14" s="109">
        <f t="shared" si="1"/>
        <v>1.0014000000000001</v>
      </c>
    </row>
    <row r="15" spans="1:12" x14ac:dyDescent="0.2">
      <c r="A15" s="107" t="s">
        <v>101</v>
      </c>
      <c r="B15" s="108" t="s">
        <v>102</v>
      </c>
      <c r="C15" s="109">
        <f t="shared" si="0"/>
        <v>14</v>
      </c>
      <c r="D15" s="107" t="s">
        <v>103</v>
      </c>
      <c r="E15" s="110">
        <v>2719251</v>
      </c>
      <c r="F15" s="107" t="s">
        <v>63</v>
      </c>
      <c r="G15" s="109">
        <f>IFERROR(SEARCH(MENU!$P$33,D15),"")</f>
        <v>1</v>
      </c>
      <c r="H15" s="109">
        <f t="shared" si="1"/>
        <v>1.0015000000000001</v>
      </c>
    </row>
    <row r="16" spans="1:12" x14ac:dyDescent="0.2">
      <c r="A16" s="107" t="s">
        <v>104</v>
      </c>
      <c r="B16" s="108" t="s">
        <v>105</v>
      </c>
      <c r="C16" s="109">
        <f t="shared" si="0"/>
        <v>15</v>
      </c>
      <c r="D16" s="107" t="s">
        <v>106</v>
      </c>
      <c r="E16" s="110">
        <v>20239452</v>
      </c>
      <c r="F16" s="107" t="s">
        <v>63</v>
      </c>
      <c r="G16" s="109">
        <f>IFERROR(SEARCH(MENU!$P$33,D16),"")</f>
        <v>1</v>
      </c>
      <c r="H16" s="109">
        <f t="shared" si="1"/>
        <v>1.0016</v>
      </c>
    </row>
    <row r="17" spans="1:8" x14ac:dyDescent="0.2">
      <c r="A17" s="107" t="s">
        <v>107</v>
      </c>
      <c r="B17" s="108" t="s">
        <v>108</v>
      </c>
      <c r="C17" s="109">
        <f t="shared" si="0"/>
        <v>16</v>
      </c>
      <c r="D17" s="107" t="s">
        <v>109</v>
      </c>
      <c r="E17" s="110">
        <v>84366368</v>
      </c>
      <c r="F17" s="107" t="s">
        <v>63</v>
      </c>
      <c r="G17" s="109">
        <f>IFERROR(SEARCH(MENU!$P$33,D17),"")</f>
        <v>1</v>
      </c>
      <c r="H17" s="109">
        <f t="shared" si="1"/>
        <v>1.0017</v>
      </c>
    </row>
    <row r="18" spans="1:8" x14ac:dyDescent="0.2">
      <c r="A18" s="107" t="s">
        <v>110</v>
      </c>
      <c r="B18" s="108" t="s">
        <v>111</v>
      </c>
      <c r="C18" s="109">
        <f t="shared" si="0"/>
        <v>17</v>
      </c>
      <c r="D18" s="107" t="s">
        <v>112</v>
      </c>
      <c r="E18" s="110">
        <v>44062350</v>
      </c>
      <c r="F18" s="107" t="s">
        <v>63</v>
      </c>
      <c r="G18" s="109">
        <f>IFERROR(SEARCH(MENU!$P$33,D18),"")</f>
        <v>1</v>
      </c>
      <c r="H18" s="109">
        <f t="shared" si="1"/>
        <v>1.0018</v>
      </c>
    </row>
    <row r="19" spans="1:8" x14ac:dyDescent="0.2">
      <c r="A19" s="107" t="s">
        <v>113</v>
      </c>
      <c r="B19" s="108" t="s">
        <v>114</v>
      </c>
      <c r="C19" s="109">
        <f t="shared" si="0"/>
        <v>18</v>
      </c>
      <c r="D19" s="107" t="s">
        <v>115</v>
      </c>
      <c r="E19" s="110">
        <v>69487657</v>
      </c>
      <c r="F19" s="107" t="s">
        <v>63</v>
      </c>
      <c r="G19" s="109">
        <f>IFERROR(SEARCH(MENU!$P$33,D19),"")</f>
        <v>1</v>
      </c>
      <c r="H19" s="109">
        <f t="shared" si="1"/>
        <v>1.0019</v>
      </c>
    </row>
    <row r="20" spans="1:8" x14ac:dyDescent="0.2">
      <c r="A20" s="107" t="s">
        <v>116</v>
      </c>
      <c r="B20" s="108" t="s">
        <v>117</v>
      </c>
      <c r="C20" s="109">
        <f t="shared" si="0"/>
        <v>19</v>
      </c>
      <c r="D20" s="107" t="s">
        <v>118</v>
      </c>
      <c r="E20" s="110">
        <v>98942712</v>
      </c>
      <c r="F20" s="107" t="s">
        <v>63</v>
      </c>
      <c r="G20" s="109">
        <f>IFERROR(SEARCH(MENU!$P$33,D20),"")</f>
        <v>1</v>
      </c>
      <c r="H20" s="109">
        <f t="shared" si="1"/>
        <v>1.002</v>
      </c>
    </row>
    <row r="21" spans="1:8" x14ac:dyDescent="0.2">
      <c r="A21" s="107" t="s">
        <v>119</v>
      </c>
      <c r="B21" s="108" t="s">
        <v>120</v>
      </c>
      <c r="C21" s="109">
        <f t="shared" si="0"/>
        <v>20</v>
      </c>
      <c r="D21" s="107" t="s">
        <v>121</v>
      </c>
      <c r="E21" s="110">
        <v>87268598</v>
      </c>
      <c r="F21" s="107" t="s">
        <v>63</v>
      </c>
      <c r="G21" s="109">
        <f>IFERROR(SEARCH(MENU!$P$33,D21),"")</f>
        <v>1</v>
      </c>
      <c r="H21" s="109">
        <f t="shared" si="1"/>
        <v>1.0021</v>
      </c>
    </row>
    <row r="22" spans="1:8" x14ac:dyDescent="0.2">
      <c r="A22" s="107" t="s">
        <v>122</v>
      </c>
      <c r="B22" s="108" t="s">
        <v>123</v>
      </c>
      <c r="C22" s="109">
        <f t="shared" si="0"/>
        <v>21</v>
      </c>
      <c r="D22" s="107" t="s">
        <v>124</v>
      </c>
      <c r="E22" s="110">
        <v>45322085</v>
      </c>
      <c r="F22" s="107" t="s">
        <v>63</v>
      </c>
      <c r="G22" s="109">
        <f>IFERROR(SEARCH(MENU!$P$33,D22),"")</f>
        <v>1</v>
      </c>
      <c r="H22" s="109">
        <f t="shared" si="1"/>
        <v>1.0022</v>
      </c>
    </row>
    <row r="23" spans="1:8" x14ac:dyDescent="0.2">
      <c r="A23" s="107" t="s">
        <v>125</v>
      </c>
      <c r="B23" s="108" t="s">
        <v>126</v>
      </c>
      <c r="C23" s="109">
        <f t="shared" si="0"/>
        <v>22</v>
      </c>
      <c r="D23" s="107" t="s">
        <v>127</v>
      </c>
      <c r="E23" s="110">
        <v>42911148</v>
      </c>
      <c r="F23" s="107" t="s">
        <v>63</v>
      </c>
      <c r="G23" s="109">
        <f>IFERROR(SEARCH(MENU!$P$33,D23),"")</f>
        <v>1</v>
      </c>
      <c r="H23" s="109">
        <f t="shared" si="1"/>
        <v>1.0023</v>
      </c>
    </row>
    <row r="24" spans="1:8" x14ac:dyDescent="0.2">
      <c r="A24" s="107" t="s">
        <v>128</v>
      </c>
      <c r="B24" s="108" t="s">
        <v>129</v>
      </c>
      <c r="C24" s="109">
        <f t="shared" si="0"/>
        <v>23</v>
      </c>
      <c r="D24" s="107" t="s">
        <v>130</v>
      </c>
      <c r="E24" s="110">
        <v>52040023</v>
      </c>
      <c r="F24" s="107" t="s">
        <v>63</v>
      </c>
      <c r="G24" s="109">
        <f>IFERROR(SEARCH(MENU!$P$33,D24),"")</f>
        <v>1</v>
      </c>
      <c r="H24" s="109">
        <f t="shared" si="1"/>
        <v>1.0024</v>
      </c>
    </row>
    <row r="25" spans="1:8" x14ac:dyDescent="0.2">
      <c r="A25" s="107" t="s">
        <v>131</v>
      </c>
      <c r="B25" s="108" t="s">
        <v>132</v>
      </c>
      <c r="C25" s="109">
        <f t="shared" si="0"/>
        <v>24</v>
      </c>
      <c r="D25" s="107" t="s">
        <v>133</v>
      </c>
      <c r="E25" s="110">
        <v>2865615</v>
      </c>
      <c r="F25" s="107" t="s">
        <v>63</v>
      </c>
      <c r="G25" s="109">
        <f>IFERROR(SEARCH(MENU!$P$33,D25),"")</f>
        <v>1</v>
      </c>
      <c r="H25" s="109">
        <f t="shared" si="1"/>
        <v>1.0024999999999999</v>
      </c>
    </row>
    <row r="26" spans="1:8" x14ac:dyDescent="0.2">
      <c r="A26" s="107" t="s">
        <v>134</v>
      </c>
      <c r="B26" s="108" t="s">
        <v>135</v>
      </c>
      <c r="C26" s="109">
        <f t="shared" si="0"/>
        <v>25</v>
      </c>
      <c r="D26" s="107" t="s">
        <v>136</v>
      </c>
      <c r="E26" s="110">
        <v>19212468</v>
      </c>
      <c r="F26" s="107" t="s">
        <v>63</v>
      </c>
      <c r="G26" s="109">
        <f>IFERROR(SEARCH(MENU!$P$33,D26),"")</f>
        <v>1</v>
      </c>
      <c r="H26" s="109">
        <f t="shared" si="1"/>
        <v>1.0025999999999999</v>
      </c>
    </row>
    <row r="27" spans="1:8" x14ac:dyDescent="0.2">
      <c r="A27" s="107" t="s">
        <v>137</v>
      </c>
      <c r="B27" s="108" t="s">
        <v>138</v>
      </c>
      <c r="C27" s="109">
        <f t="shared" si="0"/>
        <v>26</v>
      </c>
      <c r="D27" s="107" t="s">
        <v>139</v>
      </c>
      <c r="E27" s="110">
        <v>98262699</v>
      </c>
      <c r="F27" s="107" t="s">
        <v>63</v>
      </c>
      <c r="G27" s="109">
        <f>IFERROR(SEARCH(MENU!$P$33,D27),"")</f>
        <v>1</v>
      </c>
      <c r="H27" s="109">
        <f t="shared" si="1"/>
        <v>1.0026999999999999</v>
      </c>
    </row>
    <row r="28" spans="1:8" x14ac:dyDescent="0.2">
      <c r="A28" s="107" t="s">
        <v>140</v>
      </c>
      <c r="B28" s="108" t="s">
        <v>141</v>
      </c>
      <c r="C28" s="109">
        <f t="shared" si="0"/>
        <v>27</v>
      </c>
      <c r="D28" s="107" t="s">
        <v>142</v>
      </c>
      <c r="E28" s="110">
        <v>37953212</v>
      </c>
      <c r="F28" s="107" t="s">
        <v>63</v>
      </c>
      <c r="G28" s="109">
        <f>IFERROR(SEARCH(MENU!$P$33,D28),"")</f>
        <v>1</v>
      </c>
      <c r="H28" s="109">
        <f t="shared" si="1"/>
        <v>1.0027999999999999</v>
      </c>
    </row>
    <row r="29" spans="1:8" x14ac:dyDescent="0.2">
      <c r="A29" s="107" t="s">
        <v>143</v>
      </c>
      <c r="B29" s="108" t="s">
        <v>144</v>
      </c>
      <c r="C29" s="109">
        <f t="shared" si="0"/>
        <v>28</v>
      </c>
      <c r="D29" s="107" t="s">
        <v>145</v>
      </c>
      <c r="E29" s="110">
        <v>21285152</v>
      </c>
      <c r="F29" s="107" t="s">
        <v>63</v>
      </c>
      <c r="G29" s="109">
        <f>IFERROR(SEARCH(MENU!$P$33,D29),"")</f>
        <v>1</v>
      </c>
      <c r="H29" s="109">
        <f t="shared" si="1"/>
        <v>1.0028999999999999</v>
      </c>
    </row>
    <row r="30" spans="1:8" x14ac:dyDescent="0.2">
      <c r="A30" s="107" t="s">
        <v>146</v>
      </c>
      <c r="B30" s="108" t="s">
        <v>147</v>
      </c>
      <c r="C30" s="109">
        <f t="shared" si="0"/>
        <v>29</v>
      </c>
      <c r="D30" s="107" t="s">
        <v>148</v>
      </c>
      <c r="E30" s="110">
        <v>10567740</v>
      </c>
      <c r="F30" s="107" t="s">
        <v>63</v>
      </c>
      <c r="G30" s="109">
        <f>IFERROR(SEARCH(MENU!$P$33,D30),"")</f>
        <v>1</v>
      </c>
      <c r="H30" s="109">
        <f t="shared" si="1"/>
        <v>1.0029999999999999</v>
      </c>
    </row>
    <row r="31" spans="1:8" x14ac:dyDescent="0.2">
      <c r="A31" s="107" t="s">
        <v>149</v>
      </c>
      <c r="B31" s="108" t="s">
        <v>150</v>
      </c>
      <c r="C31" s="109">
        <f t="shared" si="0"/>
        <v>30</v>
      </c>
      <c r="D31" s="107" t="s">
        <v>151</v>
      </c>
      <c r="E31" s="110">
        <v>86474574</v>
      </c>
      <c r="F31" s="107" t="s">
        <v>63</v>
      </c>
      <c r="G31" s="109">
        <f>IFERROR(SEARCH(MENU!$P$33,D31),"")</f>
        <v>1</v>
      </c>
      <c r="H31" s="109">
        <f t="shared" si="1"/>
        <v>1.0031000000000001</v>
      </c>
    </row>
    <row r="32" spans="1:8" x14ac:dyDescent="0.2">
      <c r="A32" s="107" t="s">
        <v>152</v>
      </c>
      <c r="B32" s="108" t="s">
        <v>153</v>
      </c>
      <c r="C32" s="109">
        <f t="shared" si="0"/>
        <v>31</v>
      </c>
      <c r="D32" s="107" t="s">
        <v>154</v>
      </c>
      <c r="E32" s="110">
        <v>99071324</v>
      </c>
      <c r="F32" s="107" t="s">
        <v>63</v>
      </c>
      <c r="G32" s="109">
        <f>IFERROR(SEARCH(MENU!$P$33,D32),"")</f>
        <v>1</v>
      </c>
      <c r="H32" s="109">
        <f t="shared" si="1"/>
        <v>1.0032000000000001</v>
      </c>
    </row>
    <row r="33" spans="1:8" x14ac:dyDescent="0.2">
      <c r="A33" s="107" t="s">
        <v>155</v>
      </c>
      <c r="B33" s="108" t="s">
        <v>156</v>
      </c>
      <c r="C33" s="109">
        <f t="shared" si="0"/>
        <v>32</v>
      </c>
      <c r="D33" s="107" t="s">
        <v>157</v>
      </c>
      <c r="E33" s="110">
        <v>48616240</v>
      </c>
      <c r="F33" s="107" t="s">
        <v>63</v>
      </c>
      <c r="G33" s="109">
        <f>IFERROR(SEARCH(MENU!$P$33,D33),"")</f>
        <v>1</v>
      </c>
      <c r="H33" s="109">
        <f t="shared" si="1"/>
        <v>1.0033000000000001</v>
      </c>
    </row>
    <row r="34" spans="1:8" x14ac:dyDescent="0.2">
      <c r="A34" s="107" t="s">
        <v>158</v>
      </c>
      <c r="B34" s="108" t="s">
        <v>159</v>
      </c>
      <c r="C34" s="109">
        <f t="shared" ref="C34:C65" si="2">IFERROR(RANK(H34,$H$2:$H$184,1),"")</f>
        <v>33</v>
      </c>
      <c r="D34" s="107" t="s">
        <v>160</v>
      </c>
      <c r="E34" s="110">
        <v>50290918</v>
      </c>
      <c r="F34" s="107" t="s">
        <v>63</v>
      </c>
      <c r="G34" s="109">
        <f>IFERROR(SEARCH(MENU!$P$33,D34),"")</f>
        <v>1</v>
      </c>
      <c r="H34" s="109">
        <f t="shared" si="1"/>
        <v>1.0034000000000001</v>
      </c>
    </row>
    <row r="35" spans="1:8" x14ac:dyDescent="0.2">
      <c r="A35" s="107" t="s">
        <v>161</v>
      </c>
      <c r="B35" s="108" t="s">
        <v>162</v>
      </c>
      <c r="C35" s="109">
        <f t="shared" si="2"/>
        <v>34</v>
      </c>
      <c r="D35" s="107" t="s">
        <v>163</v>
      </c>
      <c r="E35" s="110">
        <v>57131269</v>
      </c>
      <c r="F35" s="107" t="s">
        <v>63</v>
      </c>
      <c r="G35" s="109">
        <f>IFERROR(SEARCH(MENU!$P$33,D35),"")</f>
        <v>1</v>
      </c>
      <c r="H35" s="109">
        <f t="shared" si="1"/>
        <v>1.0035000000000001</v>
      </c>
    </row>
    <row r="36" spans="1:8" x14ac:dyDescent="0.2">
      <c r="A36" s="107" t="s">
        <v>164</v>
      </c>
      <c r="B36" s="108" t="s">
        <v>165</v>
      </c>
      <c r="C36" s="109">
        <f t="shared" si="2"/>
        <v>35</v>
      </c>
      <c r="D36" s="107" t="s">
        <v>166</v>
      </c>
      <c r="E36" s="110">
        <v>93165818</v>
      </c>
      <c r="F36" s="107" t="s">
        <v>63</v>
      </c>
      <c r="G36" s="109">
        <f>IFERROR(SEARCH(MENU!$P$33,D36),"")</f>
        <v>1</v>
      </c>
      <c r="H36" s="109">
        <f t="shared" si="1"/>
        <v>1.0036</v>
      </c>
    </row>
    <row r="37" spans="1:8" x14ac:dyDescent="0.2">
      <c r="A37" s="107" t="s">
        <v>167</v>
      </c>
      <c r="B37" s="108" t="s">
        <v>168</v>
      </c>
      <c r="C37" s="109">
        <f t="shared" si="2"/>
        <v>36</v>
      </c>
      <c r="D37" s="107" t="s">
        <v>169</v>
      </c>
      <c r="E37" s="110">
        <v>54878959</v>
      </c>
      <c r="F37" s="107" t="s">
        <v>63</v>
      </c>
      <c r="G37" s="109">
        <f>IFERROR(SEARCH(MENU!$P$33,D37),"")</f>
        <v>1</v>
      </c>
      <c r="H37" s="109">
        <f t="shared" si="1"/>
        <v>1.0037</v>
      </c>
    </row>
    <row r="38" spans="1:8" x14ac:dyDescent="0.2">
      <c r="A38" s="107" t="s">
        <v>170</v>
      </c>
      <c r="B38" s="108" t="s">
        <v>171</v>
      </c>
      <c r="C38" s="109">
        <f t="shared" si="2"/>
        <v>37</v>
      </c>
      <c r="D38" s="107" t="s">
        <v>172</v>
      </c>
      <c r="E38" s="110">
        <v>43535942</v>
      </c>
      <c r="F38" s="107" t="s">
        <v>63</v>
      </c>
      <c r="G38" s="109">
        <f>IFERROR(SEARCH(MENU!$P$33,D38),"")</f>
        <v>1</v>
      </c>
      <c r="H38" s="109">
        <f t="shared" si="1"/>
        <v>1.0038</v>
      </c>
    </row>
    <row r="39" spans="1:8" x14ac:dyDescent="0.2">
      <c r="A39" s="107" t="s">
        <v>173</v>
      </c>
      <c r="B39" s="108" t="s">
        <v>174</v>
      </c>
      <c r="C39" s="109">
        <f t="shared" si="2"/>
        <v>38</v>
      </c>
      <c r="D39" s="107" t="s">
        <v>175</v>
      </c>
      <c r="E39" s="110">
        <v>48631610</v>
      </c>
      <c r="F39" s="107" t="s">
        <v>63</v>
      </c>
      <c r="G39" s="109">
        <f>IFERROR(SEARCH(MENU!$P$33,D39),"")</f>
        <v>1</v>
      </c>
      <c r="H39" s="109">
        <f t="shared" si="1"/>
        <v>1.0039</v>
      </c>
    </row>
    <row r="40" spans="1:8" x14ac:dyDescent="0.2">
      <c r="A40" s="107" t="s">
        <v>176</v>
      </c>
      <c r="B40" s="108" t="s">
        <v>177</v>
      </c>
      <c r="C40" s="109">
        <f t="shared" si="2"/>
        <v>39</v>
      </c>
      <c r="D40" s="107" t="s">
        <v>178</v>
      </c>
      <c r="E40" s="110">
        <v>59543706</v>
      </c>
      <c r="F40" s="107" t="s">
        <v>63</v>
      </c>
      <c r="G40" s="109">
        <f>IFERROR(SEARCH(MENU!$P$33,D40),"")</f>
        <v>1</v>
      </c>
      <c r="H40" s="109">
        <f t="shared" si="1"/>
        <v>1.004</v>
      </c>
    </row>
    <row r="41" spans="1:8" x14ac:dyDescent="0.2">
      <c r="A41" s="107" t="s">
        <v>179</v>
      </c>
      <c r="B41" s="108" t="s">
        <v>180</v>
      </c>
      <c r="C41" s="109">
        <f t="shared" si="2"/>
        <v>40</v>
      </c>
      <c r="D41" s="107" t="s">
        <v>181</v>
      </c>
      <c r="E41" s="110">
        <v>14908873</v>
      </c>
      <c r="F41" s="107" t="s">
        <v>63</v>
      </c>
      <c r="G41" s="109">
        <f>IFERROR(SEARCH(MENU!$P$33,D41),"")</f>
        <v>1</v>
      </c>
      <c r="H41" s="109">
        <f t="shared" si="1"/>
        <v>1.0041</v>
      </c>
    </row>
    <row r="42" spans="1:8" x14ac:dyDescent="0.2">
      <c r="A42" s="107" t="s">
        <v>182</v>
      </c>
      <c r="B42" s="108" t="s">
        <v>183</v>
      </c>
      <c r="C42" s="109">
        <f t="shared" si="2"/>
        <v>41</v>
      </c>
      <c r="D42" s="107" t="s">
        <v>184</v>
      </c>
      <c r="E42" s="110">
        <v>31604382</v>
      </c>
      <c r="F42" s="107" t="s">
        <v>63</v>
      </c>
      <c r="G42" s="109">
        <f>IFERROR(SEARCH(MENU!$P$33,D42),"")</f>
        <v>1</v>
      </c>
      <c r="H42" s="109">
        <f t="shared" si="1"/>
        <v>1.0042</v>
      </c>
    </row>
    <row r="43" spans="1:8" x14ac:dyDescent="0.2">
      <c r="A43" s="107" t="s">
        <v>185</v>
      </c>
      <c r="B43" s="108" t="s">
        <v>186</v>
      </c>
      <c r="C43" s="109">
        <f t="shared" si="2"/>
        <v>42</v>
      </c>
      <c r="D43" s="107" t="s">
        <v>187</v>
      </c>
      <c r="E43" s="110">
        <v>83232851</v>
      </c>
      <c r="F43" s="107" t="s">
        <v>63</v>
      </c>
      <c r="G43" s="109">
        <f>IFERROR(SEARCH(MENU!$P$33,D43),"")</f>
        <v>1</v>
      </c>
      <c r="H43" s="109">
        <f t="shared" si="1"/>
        <v>1.0043</v>
      </c>
    </row>
    <row r="44" spans="1:8" x14ac:dyDescent="0.2">
      <c r="A44" s="107" t="s">
        <v>188</v>
      </c>
      <c r="B44" s="108" t="s">
        <v>189</v>
      </c>
      <c r="C44" s="109">
        <f t="shared" si="2"/>
        <v>43</v>
      </c>
      <c r="D44" s="107" t="s">
        <v>190</v>
      </c>
      <c r="E44" s="110">
        <v>13949254</v>
      </c>
      <c r="F44" s="107" t="s">
        <v>63</v>
      </c>
      <c r="G44" s="109">
        <f>IFERROR(SEARCH(MENU!$P$33,D44),"")</f>
        <v>1</v>
      </c>
      <c r="H44" s="109">
        <f t="shared" si="1"/>
        <v>1.0044</v>
      </c>
    </row>
    <row r="45" spans="1:8" x14ac:dyDescent="0.2">
      <c r="A45" s="107" t="s">
        <v>191</v>
      </c>
      <c r="B45" s="108" t="s">
        <v>192</v>
      </c>
      <c r="C45" s="109">
        <f t="shared" si="2"/>
        <v>44</v>
      </c>
      <c r="D45" s="107" t="s">
        <v>193</v>
      </c>
      <c r="E45" s="110">
        <v>57999691</v>
      </c>
      <c r="F45" s="107" t="s">
        <v>63</v>
      </c>
      <c r="G45" s="109">
        <f>IFERROR(SEARCH(MENU!$P$33,D45),"")</f>
        <v>1</v>
      </c>
      <c r="H45" s="109">
        <f t="shared" si="1"/>
        <v>1.0044999999999999</v>
      </c>
    </row>
    <row r="46" spans="1:8" x14ac:dyDescent="0.2">
      <c r="A46" s="107" t="s">
        <v>194</v>
      </c>
      <c r="B46" s="108" t="s">
        <v>195</v>
      </c>
      <c r="C46" s="109">
        <f t="shared" si="2"/>
        <v>45</v>
      </c>
      <c r="D46" s="107" t="s">
        <v>196</v>
      </c>
      <c r="E46" s="110">
        <v>97412047</v>
      </c>
      <c r="F46" s="107" t="s">
        <v>63</v>
      </c>
      <c r="G46" s="109">
        <f>IFERROR(SEARCH(MENU!$P$33,D46),"")</f>
        <v>1</v>
      </c>
      <c r="H46" s="109">
        <f t="shared" si="1"/>
        <v>1.0045999999999999</v>
      </c>
    </row>
    <row r="47" spans="1:8" x14ac:dyDescent="0.2">
      <c r="A47" s="107" t="s">
        <v>197</v>
      </c>
      <c r="B47" s="108" t="s">
        <v>198</v>
      </c>
      <c r="C47" s="109">
        <f t="shared" si="2"/>
        <v>46</v>
      </c>
      <c r="D47" s="107" t="s">
        <v>199</v>
      </c>
      <c r="E47" s="110">
        <v>49817620</v>
      </c>
      <c r="F47" s="107" t="s">
        <v>63</v>
      </c>
      <c r="G47" s="109">
        <f>IFERROR(SEARCH(MENU!$P$33,D47),"")</f>
        <v>1</v>
      </c>
      <c r="H47" s="109">
        <f t="shared" si="1"/>
        <v>1.0046999999999999</v>
      </c>
    </row>
    <row r="48" spans="1:8" x14ac:dyDescent="0.2">
      <c r="A48" s="107" t="s">
        <v>200</v>
      </c>
      <c r="B48" s="108" t="s">
        <v>201</v>
      </c>
      <c r="C48" s="109">
        <f t="shared" si="2"/>
        <v>47</v>
      </c>
      <c r="D48" s="107" t="s">
        <v>202</v>
      </c>
      <c r="E48" s="110">
        <v>40395588</v>
      </c>
      <c r="F48" s="107" t="s">
        <v>63</v>
      </c>
      <c r="G48" s="109">
        <f>IFERROR(SEARCH(MENU!$P$33,D48),"")</f>
        <v>1</v>
      </c>
      <c r="H48" s="109">
        <f t="shared" si="1"/>
        <v>1.0047999999999999</v>
      </c>
    </row>
    <row r="49" spans="1:8" x14ac:dyDescent="0.2">
      <c r="A49" s="107" t="s">
        <v>203</v>
      </c>
      <c r="B49" s="108">
        <v>8.9330120110006303E+18</v>
      </c>
      <c r="C49" s="109">
        <f t="shared" si="2"/>
        <v>48</v>
      </c>
      <c r="D49" s="107" t="s">
        <v>204</v>
      </c>
      <c r="E49" s="110">
        <v>81100411</v>
      </c>
      <c r="F49" s="107" t="s">
        <v>63</v>
      </c>
      <c r="G49" s="109">
        <f>IFERROR(SEARCH(MENU!$P$33,D49),"")</f>
        <v>1</v>
      </c>
      <c r="H49" s="109">
        <f t="shared" si="1"/>
        <v>1.0048999999999999</v>
      </c>
    </row>
    <row r="50" spans="1:8" x14ac:dyDescent="0.2">
      <c r="A50" s="107" t="s">
        <v>205</v>
      </c>
      <c r="B50" s="108" t="s">
        <v>206</v>
      </c>
      <c r="C50" s="109">
        <f t="shared" si="2"/>
        <v>49</v>
      </c>
      <c r="D50" s="107" t="s">
        <v>207</v>
      </c>
      <c r="E50" s="110">
        <v>71339524</v>
      </c>
      <c r="F50" s="107" t="s">
        <v>63</v>
      </c>
      <c r="G50" s="109">
        <f>IFERROR(SEARCH(MENU!$P$33,D50),"")</f>
        <v>1</v>
      </c>
      <c r="H50" s="109">
        <f t="shared" si="1"/>
        <v>1.0049999999999999</v>
      </c>
    </row>
    <row r="51" spans="1:8" x14ac:dyDescent="0.2">
      <c r="A51" s="107" t="s">
        <v>208</v>
      </c>
      <c r="B51" s="108" t="s">
        <v>209</v>
      </c>
      <c r="C51" s="109">
        <f t="shared" si="2"/>
        <v>50</v>
      </c>
      <c r="D51" s="107" t="s">
        <v>210</v>
      </c>
      <c r="E51" s="110">
        <v>65441100</v>
      </c>
      <c r="F51" s="107" t="s">
        <v>63</v>
      </c>
      <c r="G51" s="109">
        <f>IFERROR(SEARCH(MENU!$P$33,D51),"")</f>
        <v>1</v>
      </c>
      <c r="H51" s="109">
        <f t="shared" si="1"/>
        <v>1.0051000000000001</v>
      </c>
    </row>
    <row r="52" spans="1:8" x14ac:dyDescent="0.2">
      <c r="A52" s="107" t="s">
        <v>211</v>
      </c>
      <c r="B52" s="108" t="s">
        <v>212</v>
      </c>
      <c r="C52" s="109">
        <f t="shared" si="2"/>
        <v>51</v>
      </c>
      <c r="D52" s="107" t="s">
        <v>213</v>
      </c>
      <c r="E52" s="110">
        <v>23760839</v>
      </c>
      <c r="F52" s="107" t="s">
        <v>63</v>
      </c>
      <c r="G52" s="109">
        <f>IFERROR(SEARCH(MENU!$P$33,D52),"")</f>
        <v>1</v>
      </c>
      <c r="H52" s="109">
        <f t="shared" si="1"/>
        <v>1.0052000000000001</v>
      </c>
    </row>
    <row r="53" spans="1:8" x14ac:dyDescent="0.2">
      <c r="A53" s="107" t="s">
        <v>214</v>
      </c>
      <c r="B53" s="108" t="s">
        <v>215</v>
      </c>
      <c r="C53" s="109">
        <f t="shared" si="2"/>
        <v>52</v>
      </c>
      <c r="D53" s="107" t="s">
        <v>216</v>
      </c>
      <c r="E53" s="110">
        <v>95523809</v>
      </c>
      <c r="F53" s="107" t="s">
        <v>63</v>
      </c>
      <c r="G53" s="109">
        <f>IFERROR(SEARCH(MENU!$P$33,D53),"")</f>
        <v>1</v>
      </c>
      <c r="H53" s="109">
        <f t="shared" si="1"/>
        <v>1.0053000000000001</v>
      </c>
    </row>
    <row r="54" spans="1:8" x14ac:dyDescent="0.2">
      <c r="A54" s="107" t="s">
        <v>217</v>
      </c>
      <c r="B54" s="108" t="s">
        <v>218</v>
      </c>
      <c r="C54" s="109">
        <f t="shared" si="2"/>
        <v>53</v>
      </c>
      <c r="D54" s="107" t="s">
        <v>219</v>
      </c>
      <c r="E54" s="110">
        <v>18161215</v>
      </c>
      <c r="F54" s="107" t="s">
        <v>63</v>
      </c>
      <c r="G54" s="109">
        <f>IFERROR(SEARCH(MENU!$P$33,D54),"")</f>
        <v>1</v>
      </c>
      <c r="H54" s="109">
        <f t="shared" si="1"/>
        <v>1.0054000000000001</v>
      </c>
    </row>
    <row r="55" spans="1:8" x14ac:dyDescent="0.2">
      <c r="A55" s="107" t="s">
        <v>220</v>
      </c>
      <c r="B55" s="108" t="s">
        <v>221</v>
      </c>
      <c r="C55" s="109">
        <f t="shared" si="2"/>
        <v>54</v>
      </c>
      <c r="D55" s="107" t="s">
        <v>222</v>
      </c>
      <c r="E55" s="110">
        <v>43977196</v>
      </c>
      <c r="F55" s="107" t="s">
        <v>63</v>
      </c>
      <c r="G55" s="109">
        <f>IFERROR(SEARCH(MENU!$P$33,D55),"")</f>
        <v>1</v>
      </c>
      <c r="H55" s="109">
        <f t="shared" si="1"/>
        <v>1.0055000000000001</v>
      </c>
    </row>
    <row r="56" spans="1:8" x14ac:dyDescent="0.2">
      <c r="A56" s="107" t="s">
        <v>223</v>
      </c>
      <c r="B56" s="108" t="s">
        <v>224</v>
      </c>
      <c r="C56" s="109">
        <f t="shared" si="2"/>
        <v>55</v>
      </c>
      <c r="D56" s="107" t="s">
        <v>225</v>
      </c>
      <c r="E56" s="110">
        <v>62616479</v>
      </c>
      <c r="F56" s="107" t="s">
        <v>63</v>
      </c>
      <c r="G56" s="109">
        <f>IFERROR(SEARCH(MENU!$P$33,D56),"")</f>
        <v>1</v>
      </c>
      <c r="H56" s="109">
        <f t="shared" si="1"/>
        <v>1.0056</v>
      </c>
    </row>
    <row r="57" spans="1:8" x14ac:dyDescent="0.2">
      <c r="A57" s="107" t="s">
        <v>226</v>
      </c>
      <c r="B57" s="108" t="s">
        <v>227</v>
      </c>
      <c r="C57" s="109">
        <f t="shared" si="2"/>
        <v>56</v>
      </c>
      <c r="D57" s="107" t="s">
        <v>228</v>
      </c>
      <c r="E57" s="110">
        <v>8248331</v>
      </c>
      <c r="F57" s="107" t="s">
        <v>63</v>
      </c>
      <c r="G57" s="109">
        <f>IFERROR(SEARCH(MENU!$P$33,D57),"")</f>
        <v>1</v>
      </c>
      <c r="H57" s="109">
        <f t="shared" si="1"/>
        <v>1.0057</v>
      </c>
    </row>
    <row r="58" spans="1:8" x14ac:dyDescent="0.2">
      <c r="A58" s="107" t="s">
        <v>229</v>
      </c>
      <c r="B58" s="108">
        <v>8.9330120110006303E+18</v>
      </c>
      <c r="C58" s="109">
        <f t="shared" si="2"/>
        <v>57</v>
      </c>
      <c r="D58" s="107" t="s">
        <v>230</v>
      </c>
      <c r="E58" s="110">
        <v>28740129</v>
      </c>
      <c r="F58" s="107" t="s">
        <v>63</v>
      </c>
      <c r="G58" s="109">
        <f>IFERROR(SEARCH(MENU!$P$33,D58),"")</f>
        <v>1</v>
      </c>
      <c r="H58" s="109">
        <f t="shared" si="1"/>
        <v>1.0058</v>
      </c>
    </row>
    <row r="59" spans="1:8" x14ac:dyDescent="0.2">
      <c r="A59" s="107" t="s">
        <v>231</v>
      </c>
      <c r="B59" s="108">
        <v>8.9330120110006303E+18</v>
      </c>
      <c r="C59" s="109">
        <f t="shared" si="2"/>
        <v>58</v>
      </c>
      <c r="D59" s="107" t="s">
        <v>232</v>
      </c>
      <c r="E59" s="110">
        <v>65278388</v>
      </c>
      <c r="F59" s="107" t="s">
        <v>63</v>
      </c>
      <c r="G59" s="109">
        <f>IFERROR(SEARCH(MENU!$P$33,D59),"")</f>
        <v>1</v>
      </c>
      <c r="H59" s="109">
        <f t="shared" si="1"/>
        <v>1.0059</v>
      </c>
    </row>
    <row r="60" spans="1:8" x14ac:dyDescent="0.2">
      <c r="A60" s="107" t="s">
        <v>233</v>
      </c>
      <c r="B60" s="108" t="s">
        <v>234</v>
      </c>
      <c r="C60" s="109">
        <f t="shared" si="2"/>
        <v>59</v>
      </c>
      <c r="D60" s="107" t="s">
        <v>235</v>
      </c>
      <c r="E60" s="110">
        <v>14888128</v>
      </c>
      <c r="F60" s="107" t="s">
        <v>63</v>
      </c>
      <c r="G60" s="109">
        <f>IFERROR(SEARCH(MENU!$P$33,D60),"")</f>
        <v>1</v>
      </c>
      <c r="H60" s="109">
        <f t="shared" si="1"/>
        <v>1.006</v>
      </c>
    </row>
    <row r="61" spans="1:8" x14ac:dyDescent="0.2">
      <c r="A61" s="107" t="s">
        <v>236</v>
      </c>
      <c r="B61" s="108" t="s">
        <v>237</v>
      </c>
      <c r="C61" s="109">
        <f t="shared" si="2"/>
        <v>60</v>
      </c>
      <c r="D61" s="107" t="s">
        <v>238</v>
      </c>
      <c r="E61" s="110">
        <v>89756592</v>
      </c>
      <c r="F61" s="107" t="s">
        <v>63</v>
      </c>
      <c r="G61" s="109">
        <f>IFERROR(SEARCH(MENU!$P$33,D61),"")</f>
        <v>1</v>
      </c>
      <c r="H61" s="109">
        <f t="shared" si="1"/>
        <v>1.0061</v>
      </c>
    </row>
    <row r="62" spans="1:8" x14ac:dyDescent="0.2">
      <c r="A62" s="107" t="s">
        <v>239</v>
      </c>
      <c r="B62" s="108" t="s">
        <v>240</v>
      </c>
      <c r="C62" s="109">
        <f t="shared" si="2"/>
        <v>61</v>
      </c>
      <c r="D62" s="107" t="s">
        <v>241</v>
      </c>
      <c r="E62" s="110" t="s">
        <v>242</v>
      </c>
      <c r="F62" s="107" t="s">
        <v>63</v>
      </c>
      <c r="G62" s="109">
        <f>IFERROR(SEARCH(MENU!$P$33,D62),"")</f>
        <v>1</v>
      </c>
      <c r="H62" s="109">
        <f t="shared" si="1"/>
        <v>1.0062</v>
      </c>
    </row>
    <row r="63" spans="1:8" x14ac:dyDescent="0.2">
      <c r="A63" s="107" t="s">
        <v>243</v>
      </c>
      <c r="B63" s="108" t="s">
        <v>244</v>
      </c>
      <c r="C63" s="109">
        <f t="shared" si="2"/>
        <v>62</v>
      </c>
      <c r="D63" s="107" t="s">
        <v>245</v>
      </c>
      <c r="E63" s="110">
        <v>51848439</v>
      </c>
      <c r="F63" s="107" t="s">
        <v>63</v>
      </c>
      <c r="G63" s="109">
        <f>IFERROR(SEARCH(MENU!$P$33,D63),"")</f>
        <v>1</v>
      </c>
      <c r="H63" s="109">
        <f t="shared" si="1"/>
        <v>1.0063</v>
      </c>
    </row>
    <row r="64" spans="1:8" x14ac:dyDescent="0.2">
      <c r="A64" s="107" t="s">
        <v>246</v>
      </c>
      <c r="B64" s="108" t="s">
        <v>247</v>
      </c>
      <c r="C64" s="109">
        <f t="shared" si="2"/>
        <v>63</v>
      </c>
      <c r="D64" s="107" t="s">
        <v>248</v>
      </c>
      <c r="E64" s="110">
        <v>43283258</v>
      </c>
      <c r="F64" s="107" t="s">
        <v>63</v>
      </c>
      <c r="G64" s="109">
        <f>IFERROR(SEARCH(MENU!$P$33,D64),"")</f>
        <v>1</v>
      </c>
      <c r="H64" s="109">
        <f t="shared" si="1"/>
        <v>1.0064</v>
      </c>
    </row>
    <row r="65" spans="1:8" x14ac:dyDescent="0.2">
      <c r="A65" s="107" t="s">
        <v>249</v>
      </c>
      <c r="B65" s="108" t="s">
        <v>250</v>
      </c>
      <c r="C65" s="109">
        <f t="shared" si="2"/>
        <v>64</v>
      </c>
      <c r="D65" s="107" t="s">
        <v>251</v>
      </c>
      <c r="E65" s="110">
        <v>77772243</v>
      </c>
      <c r="F65" s="107" t="s">
        <v>63</v>
      </c>
      <c r="G65" s="109">
        <f>IFERROR(SEARCH(MENU!$P$33,D65),"")</f>
        <v>1</v>
      </c>
      <c r="H65" s="109">
        <f t="shared" si="1"/>
        <v>1.0065</v>
      </c>
    </row>
    <row r="66" spans="1:8" x14ac:dyDescent="0.2">
      <c r="A66" s="107" t="s">
        <v>252</v>
      </c>
      <c r="B66" s="108" t="s">
        <v>253</v>
      </c>
      <c r="C66" s="109">
        <f t="shared" ref="C66:C97" si="3">IFERROR(RANK(H66,$H$2:$H$184,1),"")</f>
        <v>65</v>
      </c>
      <c r="D66" s="107" t="s">
        <v>254</v>
      </c>
      <c r="E66" s="110" t="s">
        <v>255</v>
      </c>
      <c r="F66" s="107" t="s">
        <v>63</v>
      </c>
      <c r="G66" s="109">
        <f>IFERROR(SEARCH(MENU!$P$33,D66),"")</f>
        <v>1</v>
      </c>
      <c r="H66" s="109">
        <f t="shared" si="1"/>
        <v>1.0065999999999999</v>
      </c>
    </row>
    <row r="67" spans="1:8" x14ac:dyDescent="0.2">
      <c r="A67" s="107" t="s">
        <v>256</v>
      </c>
      <c r="B67" s="108">
        <v>8.9330120110006303E+18</v>
      </c>
      <c r="C67" s="109">
        <f t="shared" si="3"/>
        <v>66</v>
      </c>
      <c r="D67" s="107" t="s">
        <v>257</v>
      </c>
      <c r="E67" s="110" t="s">
        <v>258</v>
      </c>
      <c r="F67" s="107" t="s">
        <v>63</v>
      </c>
      <c r="G67" s="109">
        <f>IFERROR(SEARCH(MENU!$P$33,D67),"")</f>
        <v>1</v>
      </c>
      <c r="H67" s="109">
        <f t="shared" ref="H67:H130" si="4">IFERROR(G67+ROW()/10000,"")</f>
        <v>1.0066999999999999</v>
      </c>
    </row>
    <row r="68" spans="1:8" x14ac:dyDescent="0.2">
      <c r="A68" s="107" t="s">
        <v>259</v>
      </c>
      <c r="B68" s="108" t="s">
        <v>260</v>
      </c>
      <c r="C68" s="109">
        <f t="shared" si="3"/>
        <v>67</v>
      </c>
      <c r="D68" s="107" t="s">
        <v>261</v>
      </c>
      <c r="E68" s="110" t="s">
        <v>262</v>
      </c>
      <c r="F68" s="107" t="s">
        <v>63</v>
      </c>
      <c r="G68" s="109">
        <f>IFERROR(SEARCH(MENU!$P$33,D68),"")</f>
        <v>1</v>
      </c>
      <c r="H68" s="109">
        <f t="shared" si="4"/>
        <v>1.0067999999999999</v>
      </c>
    </row>
    <row r="69" spans="1:8" x14ac:dyDescent="0.2">
      <c r="A69" s="107" t="s">
        <v>263</v>
      </c>
      <c r="B69" s="108" t="s">
        <v>264</v>
      </c>
      <c r="C69" s="109">
        <f t="shared" si="3"/>
        <v>68</v>
      </c>
      <c r="D69" s="107" t="s">
        <v>265</v>
      </c>
      <c r="E69" s="110" t="s">
        <v>266</v>
      </c>
      <c r="F69" s="107" t="s">
        <v>63</v>
      </c>
      <c r="G69" s="109">
        <f>IFERROR(SEARCH(MENU!$P$33,D69),"")</f>
        <v>1</v>
      </c>
      <c r="H69" s="109">
        <f t="shared" si="4"/>
        <v>1.0068999999999999</v>
      </c>
    </row>
    <row r="70" spans="1:8" x14ac:dyDescent="0.2">
      <c r="A70" s="107" t="s">
        <v>267</v>
      </c>
      <c r="B70" s="108" t="s">
        <v>268</v>
      </c>
      <c r="C70" s="109">
        <f t="shared" si="3"/>
        <v>69</v>
      </c>
      <c r="D70" s="107" t="s">
        <v>269</v>
      </c>
      <c r="E70" s="110" t="s">
        <v>270</v>
      </c>
      <c r="F70" s="107" t="s">
        <v>63</v>
      </c>
      <c r="G70" s="109">
        <f>IFERROR(SEARCH(MENU!$P$33,D70),"")</f>
        <v>1</v>
      </c>
      <c r="H70" s="109">
        <f t="shared" si="4"/>
        <v>1.0069999999999999</v>
      </c>
    </row>
    <row r="71" spans="1:8" x14ac:dyDescent="0.2">
      <c r="A71" s="107" t="s">
        <v>271</v>
      </c>
      <c r="B71" s="108" t="s">
        <v>272</v>
      </c>
      <c r="C71" s="109">
        <f t="shared" si="3"/>
        <v>70</v>
      </c>
      <c r="D71" s="107" t="s">
        <v>273</v>
      </c>
      <c r="E71" s="110" t="s">
        <v>274</v>
      </c>
      <c r="F71" s="107" t="s">
        <v>63</v>
      </c>
      <c r="G71" s="109">
        <f>IFERROR(SEARCH(MENU!$P$33,D71),"")</f>
        <v>1</v>
      </c>
      <c r="H71" s="109">
        <f t="shared" si="4"/>
        <v>1.0071000000000001</v>
      </c>
    </row>
    <row r="72" spans="1:8" x14ac:dyDescent="0.2">
      <c r="A72" s="107" t="s">
        <v>275</v>
      </c>
      <c r="B72" s="108" t="s">
        <v>276</v>
      </c>
      <c r="C72" s="109">
        <f t="shared" si="3"/>
        <v>71</v>
      </c>
      <c r="D72" s="107" t="s">
        <v>277</v>
      </c>
      <c r="E72" s="110" t="s">
        <v>278</v>
      </c>
      <c r="F72" s="107" t="s">
        <v>63</v>
      </c>
      <c r="G72" s="109">
        <f>IFERROR(SEARCH(MENU!$P$33,D72),"")</f>
        <v>1</v>
      </c>
      <c r="H72" s="109">
        <f t="shared" si="4"/>
        <v>1.0072000000000001</v>
      </c>
    </row>
    <row r="73" spans="1:8" x14ac:dyDescent="0.2">
      <c r="A73" s="107" t="s">
        <v>279</v>
      </c>
      <c r="B73" s="108" t="s">
        <v>280</v>
      </c>
      <c r="C73" s="109">
        <f t="shared" si="3"/>
        <v>72</v>
      </c>
      <c r="D73" s="107" t="s">
        <v>281</v>
      </c>
      <c r="E73" s="110" t="s">
        <v>282</v>
      </c>
      <c r="F73" s="107" t="s">
        <v>63</v>
      </c>
      <c r="G73" s="109">
        <f>IFERROR(SEARCH(MENU!$P$33,D73),"")</f>
        <v>1</v>
      </c>
      <c r="H73" s="109">
        <f t="shared" si="4"/>
        <v>1.0073000000000001</v>
      </c>
    </row>
    <row r="74" spans="1:8" x14ac:dyDescent="0.2">
      <c r="A74" s="107" t="s">
        <v>283</v>
      </c>
      <c r="B74" s="108" t="s">
        <v>284</v>
      </c>
      <c r="C74" s="109">
        <f t="shared" si="3"/>
        <v>73</v>
      </c>
      <c r="D74" s="107" t="s">
        <v>285</v>
      </c>
      <c r="E74" s="110" t="s">
        <v>286</v>
      </c>
      <c r="F74" s="107" t="s">
        <v>63</v>
      </c>
      <c r="G74" s="109">
        <f>IFERROR(SEARCH(MENU!$P$33,D74),"")</f>
        <v>1</v>
      </c>
      <c r="H74" s="109">
        <f t="shared" si="4"/>
        <v>1.0074000000000001</v>
      </c>
    </row>
    <row r="75" spans="1:8" x14ac:dyDescent="0.2">
      <c r="A75" s="107" t="s">
        <v>287</v>
      </c>
      <c r="B75" s="108" t="s">
        <v>288</v>
      </c>
      <c r="C75" s="109">
        <f t="shared" si="3"/>
        <v>74</v>
      </c>
      <c r="D75" s="107" t="s">
        <v>289</v>
      </c>
      <c r="E75" s="110" t="s">
        <v>290</v>
      </c>
      <c r="F75" s="107" t="s">
        <v>63</v>
      </c>
      <c r="G75" s="109">
        <f>IFERROR(SEARCH(MENU!$P$33,D75),"")</f>
        <v>1</v>
      </c>
      <c r="H75" s="109">
        <f t="shared" si="4"/>
        <v>1.0075000000000001</v>
      </c>
    </row>
    <row r="76" spans="1:8" x14ac:dyDescent="0.2">
      <c r="A76" s="107" t="s">
        <v>291</v>
      </c>
      <c r="B76" s="108" t="s">
        <v>292</v>
      </c>
      <c r="C76" s="109">
        <f t="shared" si="3"/>
        <v>75</v>
      </c>
      <c r="D76" s="107" t="s">
        <v>293</v>
      </c>
      <c r="E76" s="110" t="s">
        <v>294</v>
      </c>
      <c r="F76" s="107" t="s">
        <v>63</v>
      </c>
      <c r="G76" s="109">
        <f>IFERROR(SEARCH(MENU!$P$33,D76),"")</f>
        <v>1</v>
      </c>
      <c r="H76" s="109">
        <f t="shared" si="4"/>
        <v>1.0076000000000001</v>
      </c>
    </row>
    <row r="77" spans="1:8" x14ac:dyDescent="0.2">
      <c r="A77" s="107" t="s">
        <v>295</v>
      </c>
      <c r="B77" s="108" t="s">
        <v>296</v>
      </c>
      <c r="C77" s="109">
        <f t="shared" si="3"/>
        <v>76</v>
      </c>
      <c r="D77" s="107" t="s">
        <v>297</v>
      </c>
      <c r="E77" s="110" t="s">
        <v>298</v>
      </c>
      <c r="F77" s="107" t="s">
        <v>63</v>
      </c>
      <c r="G77" s="109">
        <f>IFERROR(SEARCH(MENU!$P$33,D77),"")</f>
        <v>1</v>
      </c>
      <c r="H77" s="109">
        <f t="shared" si="4"/>
        <v>1.0077</v>
      </c>
    </row>
    <row r="78" spans="1:8" x14ac:dyDescent="0.2">
      <c r="A78" s="107" t="s">
        <v>299</v>
      </c>
      <c r="B78" s="108" t="s">
        <v>300</v>
      </c>
      <c r="C78" s="109">
        <f t="shared" si="3"/>
        <v>77</v>
      </c>
      <c r="D78" s="107" t="s">
        <v>301</v>
      </c>
      <c r="E78" s="110" t="s">
        <v>302</v>
      </c>
      <c r="F78" s="107" t="s">
        <v>63</v>
      </c>
      <c r="G78" s="109">
        <f>IFERROR(SEARCH(MENU!$P$33,D78),"")</f>
        <v>1</v>
      </c>
      <c r="H78" s="109">
        <f t="shared" si="4"/>
        <v>1.0078</v>
      </c>
    </row>
    <row r="79" spans="1:8" x14ac:dyDescent="0.2">
      <c r="A79" s="107" t="s">
        <v>303</v>
      </c>
      <c r="B79" s="108" t="s">
        <v>304</v>
      </c>
      <c r="C79" s="109">
        <f t="shared" si="3"/>
        <v>78</v>
      </c>
      <c r="D79" s="107" t="s">
        <v>305</v>
      </c>
      <c r="E79" s="110" t="s">
        <v>306</v>
      </c>
      <c r="F79" s="107" t="s">
        <v>63</v>
      </c>
      <c r="G79" s="109">
        <f>IFERROR(SEARCH(MENU!$P$33,D79),"")</f>
        <v>1</v>
      </c>
      <c r="H79" s="109">
        <f t="shared" si="4"/>
        <v>1.0079</v>
      </c>
    </row>
    <row r="80" spans="1:8" x14ac:dyDescent="0.2">
      <c r="A80" s="107" t="s">
        <v>307</v>
      </c>
      <c r="B80" s="108" t="s">
        <v>308</v>
      </c>
      <c r="C80" s="109">
        <f t="shared" si="3"/>
        <v>79</v>
      </c>
      <c r="D80" s="107" t="s">
        <v>309</v>
      </c>
      <c r="E80" s="110" t="s">
        <v>310</v>
      </c>
      <c r="F80" s="107" t="s">
        <v>63</v>
      </c>
      <c r="G80" s="109">
        <f>IFERROR(SEARCH(MENU!$P$33,D80),"")</f>
        <v>1</v>
      </c>
      <c r="H80" s="109">
        <f t="shared" si="4"/>
        <v>1.008</v>
      </c>
    </row>
    <row r="81" spans="1:8" x14ac:dyDescent="0.2">
      <c r="A81" s="107" t="s">
        <v>311</v>
      </c>
      <c r="B81" s="108" t="s">
        <v>312</v>
      </c>
      <c r="C81" s="109">
        <f t="shared" si="3"/>
        <v>80</v>
      </c>
      <c r="D81" s="107" t="s">
        <v>313</v>
      </c>
      <c r="E81" s="110" t="s">
        <v>314</v>
      </c>
      <c r="F81" s="107" t="s">
        <v>63</v>
      </c>
      <c r="G81" s="109">
        <f>IFERROR(SEARCH(MENU!$P$33,D81),"")</f>
        <v>1</v>
      </c>
      <c r="H81" s="109">
        <f t="shared" si="4"/>
        <v>1.0081</v>
      </c>
    </row>
    <row r="82" spans="1:8" x14ac:dyDescent="0.2">
      <c r="A82" s="107" t="s">
        <v>315</v>
      </c>
      <c r="B82" s="108" t="s">
        <v>316</v>
      </c>
      <c r="C82" s="109">
        <f t="shared" si="3"/>
        <v>81</v>
      </c>
      <c r="D82" s="107" t="s">
        <v>317</v>
      </c>
      <c r="E82" s="110" t="s">
        <v>318</v>
      </c>
      <c r="F82" s="107" t="s">
        <v>63</v>
      </c>
      <c r="G82" s="109">
        <f>IFERROR(SEARCH(MENU!$P$33,D82),"")</f>
        <v>1</v>
      </c>
      <c r="H82" s="109">
        <f t="shared" si="4"/>
        <v>1.0082</v>
      </c>
    </row>
    <row r="83" spans="1:8" x14ac:dyDescent="0.2">
      <c r="A83" s="107" t="s">
        <v>319</v>
      </c>
      <c r="B83" s="108" t="s">
        <v>320</v>
      </c>
      <c r="C83" s="109">
        <f t="shared" si="3"/>
        <v>82</v>
      </c>
      <c r="D83" s="107" t="s">
        <v>321</v>
      </c>
      <c r="E83" s="110" t="s">
        <v>322</v>
      </c>
      <c r="F83" s="107" t="s">
        <v>63</v>
      </c>
      <c r="G83" s="109">
        <f>IFERROR(SEARCH(MENU!$P$33,D83),"")</f>
        <v>1</v>
      </c>
      <c r="H83" s="109">
        <f t="shared" si="4"/>
        <v>1.0083</v>
      </c>
    </row>
    <row r="84" spans="1:8" x14ac:dyDescent="0.2">
      <c r="A84" s="107" t="s">
        <v>323</v>
      </c>
      <c r="B84" s="108" t="s">
        <v>324</v>
      </c>
      <c r="C84" s="109">
        <f t="shared" si="3"/>
        <v>83</v>
      </c>
      <c r="D84" s="107" t="s">
        <v>325</v>
      </c>
      <c r="E84" s="110" t="s">
        <v>326</v>
      </c>
      <c r="F84" s="107" t="s">
        <v>63</v>
      </c>
      <c r="G84" s="109">
        <f>IFERROR(SEARCH(MENU!$P$33,D84),"")</f>
        <v>1</v>
      </c>
      <c r="H84" s="109">
        <f t="shared" si="4"/>
        <v>1.0084</v>
      </c>
    </row>
    <row r="85" spans="1:8" x14ac:dyDescent="0.2">
      <c r="A85" s="107" t="s">
        <v>327</v>
      </c>
      <c r="B85" s="108" t="s">
        <v>328</v>
      </c>
      <c r="C85" s="109">
        <f t="shared" si="3"/>
        <v>84</v>
      </c>
      <c r="D85" s="107" t="s">
        <v>329</v>
      </c>
      <c r="E85" s="110" t="s">
        <v>330</v>
      </c>
      <c r="F85" s="107" t="s">
        <v>63</v>
      </c>
      <c r="G85" s="109">
        <f>IFERROR(SEARCH(MENU!$P$33,D85),"")</f>
        <v>1</v>
      </c>
      <c r="H85" s="109">
        <f t="shared" si="4"/>
        <v>1.0085</v>
      </c>
    </row>
    <row r="86" spans="1:8" x14ac:dyDescent="0.2">
      <c r="A86" s="107" t="s">
        <v>331</v>
      </c>
      <c r="B86" s="108" t="s">
        <v>332</v>
      </c>
      <c r="C86" s="109">
        <f t="shared" si="3"/>
        <v>85</v>
      </c>
      <c r="D86" s="107" t="s">
        <v>333</v>
      </c>
      <c r="E86" s="110" t="s">
        <v>334</v>
      </c>
      <c r="F86" s="107" t="s">
        <v>63</v>
      </c>
      <c r="G86" s="109">
        <f>IFERROR(SEARCH(MENU!$P$33,D86),"")</f>
        <v>1</v>
      </c>
      <c r="H86" s="109">
        <f t="shared" si="4"/>
        <v>1.0085999999999999</v>
      </c>
    </row>
    <row r="87" spans="1:8" x14ac:dyDescent="0.2">
      <c r="A87" s="107" t="s">
        <v>335</v>
      </c>
      <c r="B87" s="108" t="s">
        <v>336</v>
      </c>
      <c r="C87" s="109">
        <f t="shared" si="3"/>
        <v>86</v>
      </c>
      <c r="D87" s="107" t="s">
        <v>337</v>
      </c>
      <c r="E87" s="110" t="s">
        <v>338</v>
      </c>
      <c r="F87" s="107" t="s">
        <v>63</v>
      </c>
      <c r="G87" s="109">
        <f>IFERROR(SEARCH(MENU!$P$33,D87),"")</f>
        <v>1</v>
      </c>
      <c r="H87" s="109">
        <f t="shared" si="4"/>
        <v>1.0086999999999999</v>
      </c>
    </row>
    <row r="88" spans="1:8" x14ac:dyDescent="0.2">
      <c r="A88" s="107" t="s">
        <v>339</v>
      </c>
      <c r="B88" s="108" t="s">
        <v>340</v>
      </c>
      <c r="C88" s="109">
        <f t="shared" si="3"/>
        <v>87</v>
      </c>
      <c r="D88" s="107" t="s">
        <v>341</v>
      </c>
      <c r="E88" s="110" t="s">
        <v>342</v>
      </c>
      <c r="F88" s="107" t="s">
        <v>63</v>
      </c>
      <c r="G88" s="109">
        <f>IFERROR(SEARCH(MENU!$P$33,D88),"")</f>
        <v>1</v>
      </c>
      <c r="H88" s="109">
        <f t="shared" si="4"/>
        <v>1.0087999999999999</v>
      </c>
    </row>
    <row r="89" spans="1:8" x14ac:dyDescent="0.2">
      <c r="A89" s="107" t="s">
        <v>343</v>
      </c>
      <c r="B89" s="108" t="s">
        <v>344</v>
      </c>
      <c r="C89" s="109">
        <f t="shared" si="3"/>
        <v>88</v>
      </c>
      <c r="D89" s="107" t="s">
        <v>345</v>
      </c>
      <c r="E89" s="110" t="s">
        <v>346</v>
      </c>
      <c r="F89" s="107" t="s">
        <v>63</v>
      </c>
      <c r="G89" s="109">
        <f>IFERROR(SEARCH(MENU!$P$33,D89),"")</f>
        <v>1</v>
      </c>
      <c r="H89" s="109">
        <f t="shared" si="4"/>
        <v>1.0088999999999999</v>
      </c>
    </row>
    <row r="90" spans="1:8" x14ac:dyDescent="0.2">
      <c r="A90" s="107" t="s">
        <v>347</v>
      </c>
      <c r="B90" s="108">
        <v>8.9330120110006303E+18</v>
      </c>
      <c r="C90" s="109">
        <f t="shared" si="3"/>
        <v>89</v>
      </c>
      <c r="D90" s="107" t="s">
        <v>348</v>
      </c>
      <c r="E90" s="110" t="s">
        <v>349</v>
      </c>
      <c r="F90" s="107" t="s">
        <v>63</v>
      </c>
      <c r="G90" s="109">
        <f>IFERROR(SEARCH(MENU!$P$33,D90),"")</f>
        <v>1</v>
      </c>
      <c r="H90" s="109">
        <f t="shared" si="4"/>
        <v>1.0089999999999999</v>
      </c>
    </row>
    <row r="91" spans="1:8" x14ac:dyDescent="0.2">
      <c r="A91" s="107" t="s">
        <v>350</v>
      </c>
      <c r="B91" s="108" t="s">
        <v>351</v>
      </c>
      <c r="C91" s="109">
        <f t="shared" si="3"/>
        <v>90</v>
      </c>
      <c r="D91" s="107" t="s">
        <v>352</v>
      </c>
      <c r="E91" s="110" t="s">
        <v>353</v>
      </c>
      <c r="F91" s="107" t="s">
        <v>63</v>
      </c>
      <c r="G91" s="109">
        <f>IFERROR(SEARCH(MENU!$P$33,D91),"")</f>
        <v>1</v>
      </c>
      <c r="H91" s="109">
        <f t="shared" si="4"/>
        <v>1.0091000000000001</v>
      </c>
    </row>
    <row r="92" spans="1:8" x14ac:dyDescent="0.2">
      <c r="A92" s="107" t="s">
        <v>354</v>
      </c>
      <c r="B92" s="108" t="s">
        <v>355</v>
      </c>
      <c r="C92" s="109">
        <f t="shared" si="3"/>
        <v>91</v>
      </c>
      <c r="D92" s="107" t="s">
        <v>356</v>
      </c>
      <c r="E92" s="110" t="s">
        <v>357</v>
      </c>
      <c r="F92" s="107" t="s">
        <v>63</v>
      </c>
      <c r="G92" s="109">
        <f>IFERROR(SEARCH(MENU!$P$33,D92),"")</f>
        <v>1</v>
      </c>
      <c r="H92" s="109">
        <f t="shared" si="4"/>
        <v>1.0092000000000001</v>
      </c>
    </row>
    <row r="93" spans="1:8" x14ac:dyDescent="0.2">
      <c r="A93" s="107" t="s">
        <v>358</v>
      </c>
      <c r="B93" s="108" t="s">
        <v>359</v>
      </c>
      <c r="C93" s="109">
        <f t="shared" si="3"/>
        <v>92</v>
      </c>
      <c r="D93" s="107" t="s">
        <v>360</v>
      </c>
      <c r="E93" s="110" t="s">
        <v>361</v>
      </c>
      <c r="F93" s="107" t="s">
        <v>63</v>
      </c>
      <c r="G93" s="109">
        <f>IFERROR(SEARCH(MENU!$P$33,D93),"")</f>
        <v>1</v>
      </c>
      <c r="H93" s="109">
        <f t="shared" si="4"/>
        <v>1.0093000000000001</v>
      </c>
    </row>
    <row r="94" spans="1:8" x14ac:dyDescent="0.2">
      <c r="A94" s="107" t="s">
        <v>362</v>
      </c>
      <c r="B94" s="108" t="s">
        <v>363</v>
      </c>
      <c r="C94" s="109">
        <f t="shared" si="3"/>
        <v>93</v>
      </c>
      <c r="D94" s="107" t="s">
        <v>364</v>
      </c>
      <c r="E94" s="110" t="s">
        <v>365</v>
      </c>
      <c r="F94" s="107" t="s">
        <v>63</v>
      </c>
      <c r="G94" s="109">
        <f>IFERROR(SEARCH(MENU!$P$33,D94),"")</f>
        <v>1</v>
      </c>
      <c r="H94" s="109">
        <f t="shared" si="4"/>
        <v>1.0094000000000001</v>
      </c>
    </row>
    <row r="95" spans="1:8" x14ac:dyDescent="0.2">
      <c r="A95" s="107" t="s">
        <v>366</v>
      </c>
      <c r="B95" s="108" t="s">
        <v>367</v>
      </c>
      <c r="C95" s="109">
        <f t="shared" si="3"/>
        <v>94</v>
      </c>
      <c r="D95" s="107" t="s">
        <v>368</v>
      </c>
      <c r="E95" s="110" t="s">
        <v>369</v>
      </c>
      <c r="F95" s="107" t="s">
        <v>63</v>
      </c>
      <c r="G95" s="109">
        <f>IFERROR(SEARCH(MENU!$P$33,D95),"")</f>
        <v>1</v>
      </c>
      <c r="H95" s="109">
        <f t="shared" si="4"/>
        <v>1.0095000000000001</v>
      </c>
    </row>
    <row r="96" spans="1:8" x14ac:dyDescent="0.2">
      <c r="A96" s="107" t="s">
        <v>370</v>
      </c>
      <c r="B96" s="108" t="s">
        <v>371</v>
      </c>
      <c r="C96" s="109">
        <f t="shared" si="3"/>
        <v>95</v>
      </c>
      <c r="D96" s="107" t="s">
        <v>372</v>
      </c>
      <c r="E96" s="110" t="s">
        <v>373</v>
      </c>
      <c r="F96" s="107" t="s">
        <v>63</v>
      </c>
      <c r="G96" s="109">
        <f>IFERROR(SEARCH(MENU!$P$33,D96),"")</f>
        <v>1</v>
      </c>
      <c r="H96" s="109">
        <f t="shared" si="4"/>
        <v>1.0096000000000001</v>
      </c>
    </row>
    <row r="97" spans="1:8" x14ac:dyDescent="0.2">
      <c r="A97" s="107" t="s">
        <v>374</v>
      </c>
      <c r="B97" s="108" t="s">
        <v>375</v>
      </c>
      <c r="C97" s="109">
        <f t="shared" si="3"/>
        <v>96</v>
      </c>
      <c r="D97" s="107" t="s">
        <v>376</v>
      </c>
      <c r="E97" s="110" t="s">
        <v>377</v>
      </c>
      <c r="F97" s="107" t="s">
        <v>63</v>
      </c>
      <c r="G97" s="109">
        <f>IFERROR(SEARCH(MENU!$P$33,D97),"")</f>
        <v>1</v>
      </c>
      <c r="H97" s="109">
        <f t="shared" si="4"/>
        <v>1.0097</v>
      </c>
    </row>
    <row r="98" spans="1:8" x14ac:dyDescent="0.2">
      <c r="A98" s="107" t="s">
        <v>378</v>
      </c>
      <c r="B98" s="108" t="s">
        <v>379</v>
      </c>
      <c r="C98" s="109">
        <f t="shared" ref="C98:C129" si="5">IFERROR(RANK(H98,$H$2:$H$184,1),"")</f>
        <v>97</v>
      </c>
      <c r="D98" s="107" t="s">
        <v>380</v>
      </c>
      <c r="E98" s="110" t="s">
        <v>381</v>
      </c>
      <c r="F98" s="107" t="s">
        <v>63</v>
      </c>
      <c r="G98" s="109">
        <f>IFERROR(SEARCH(MENU!$P$33,D98),"")</f>
        <v>1</v>
      </c>
      <c r="H98" s="109">
        <f t="shared" si="4"/>
        <v>1.0098</v>
      </c>
    </row>
    <row r="99" spans="1:8" x14ac:dyDescent="0.2">
      <c r="A99" s="107" t="s">
        <v>382</v>
      </c>
      <c r="B99" s="108" t="s">
        <v>383</v>
      </c>
      <c r="C99" s="109">
        <f t="shared" si="5"/>
        <v>98</v>
      </c>
      <c r="D99" s="107" t="s">
        <v>384</v>
      </c>
      <c r="E99" s="110" t="s">
        <v>385</v>
      </c>
      <c r="F99" s="107" t="s">
        <v>63</v>
      </c>
      <c r="G99" s="109">
        <f>IFERROR(SEARCH(MENU!$P$33,D99),"")</f>
        <v>1</v>
      </c>
      <c r="H99" s="109">
        <f t="shared" si="4"/>
        <v>1.0099</v>
      </c>
    </row>
    <row r="100" spans="1:8" x14ac:dyDescent="0.2">
      <c r="A100" s="107" t="s">
        <v>386</v>
      </c>
      <c r="B100" s="108" t="s">
        <v>387</v>
      </c>
      <c r="C100" s="109">
        <f t="shared" si="5"/>
        <v>99</v>
      </c>
      <c r="D100" s="107" t="s">
        <v>388</v>
      </c>
      <c r="E100" s="110" t="s">
        <v>389</v>
      </c>
      <c r="F100" s="107" t="s">
        <v>63</v>
      </c>
      <c r="G100" s="109">
        <f>IFERROR(SEARCH(MENU!$P$33,D100),"")</f>
        <v>1</v>
      </c>
      <c r="H100" s="109">
        <f t="shared" si="4"/>
        <v>1.01</v>
      </c>
    </row>
    <row r="101" spans="1:8" x14ac:dyDescent="0.2">
      <c r="A101" s="107" t="s">
        <v>390</v>
      </c>
      <c r="B101" s="108" t="s">
        <v>391</v>
      </c>
      <c r="C101" s="109">
        <f t="shared" si="5"/>
        <v>100</v>
      </c>
      <c r="D101" s="107" t="s">
        <v>392</v>
      </c>
      <c r="E101" s="110" t="s">
        <v>393</v>
      </c>
      <c r="F101" s="107" t="s">
        <v>63</v>
      </c>
      <c r="G101" s="109">
        <f>IFERROR(SEARCH(MENU!$P$33,D101),"")</f>
        <v>1</v>
      </c>
      <c r="H101" s="109">
        <f t="shared" si="4"/>
        <v>1.0101</v>
      </c>
    </row>
    <row r="102" spans="1:8" x14ac:dyDescent="0.2">
      <c r="A102" s="107" t="s">
        <v>394</v>
      </c>
      <c r="B102" s="108" t="s">
        <v>395</v>
      </c>
      <c r="C102" s="109">
        <f t="shared" si="5"/>
        <v>101</v>
      </c>
      <c r="D102" s="107" t="s">
        <v>396</v>
      </c>
      <c r="E102" s="110" t="s">
        <v>397</v>
      </c>
      <c r="F102" s="107" t="s">
        <v>63</v>
      </c>
      <c r="G102" s="109">
        <f>IFERROR(SEARCH(MENU!$P$33,D102),"")</f>
        <v>1</v>
      </c>
      <c r="H102" s="109">
        <f t="shared" si="4"/>
        <v>1.0102</v>
      </c>
    </row>
    <row r="103" spans="1:8" x14ac:dyDescent="0.2">
      <c r="A103" s="107" t="s">
        <v>398</v>
      </c>
      <c r="B103" s="108" t="s">
        <v>399</v>
      </c>
      <c r="C103" s="109">
        <f t="shared" si="5"/>
        <v>102</v>
      </c>
      <c r="D103" s="107" t="s">
        <v>400</v>
      </c>
      <c r="E103" s="110" t="s">
        <v>401</v>
      </c>
      <c r="F103" s="107" t="s">
        <v>63</v>
      </c>
      <c r="G103" s="109">
        <f>IFERROR(SEARCH(MENU!$P$33,D103),"")</f>
        <v>1</v>
      </c>
      <c r="H103" s="109">
        <f t="shared" si="4"/>
        <v>1.0103</v>
      </c>
    </row>
    <row r="104" spans="1:8" x14ac:dyDescent="0.2">
      <c r="A104" s="107" t="s">
        <v>402</v>
      </c>
      <c r="B104" s="108" t="s">
        <v>403</v>
      </c>
      <c r="C104" s="109">
        <f t="shared" si="5"/>
        <v>103</v>
      </c>
      <c r="D104" s="107" t="s">
        <v>404</v>
      </c>
      <c r="E104" s="110" t="s">
        <v>405</v>
      </c>
      <c r="F104" s="107" t="s">
        <v>63</v>
      </c>
      <c r="G104" s="109">
        <f>IFERROR(SEARCH(MENU!$P$33,D104),"")</f>
        <v>1</v>
      </c>
      <c r="H104" s="109">
        <f t="shared" si="4"/>
        <v>1.0104</v>
      </c>
    </row>
    <row r="105" spans="1:8" x14ac:dyDescent="0.2">
      <c r="A105" s="107" t="s">
        <v>406</v>
      </c>
      <c r="B105" s="108" t="s">
        <v>407</v>
      </c>
      <c r="C105" s="109">
        <f t="shared" si="5"/>
        <v>104</v>
      </c>
      <c r="D105" s="107" t="s">
        <v>408</v>
      </c>
      <c r="E105" s="110" t="s">
        <v>409</v>
      </c>
      <c r="F105" s="107" t="s">
        <v>63</v>
      </c>
      <c r="G105" s="109">
        <f>IFERROR(SEARCH(MENU!$P$33,D105),"")</f>
        <v>1</v>
      </c>
      <c r="H105" s="109">
        <f t="shared" si="4"/>
        <v>1.0105</v>
      </c>
    </row>
    <row r="106" spans="1:8" x14ac:dyDescent="0.2">
      <c r="A106" s="107" t="s">
        <v>410</v>
      </c>
      <c r="B106" s="108" t="s">
        <v>411</v>
      </c>
      <c r="C106" s="109">
        <f t="shared" si="5"/>
        <v>105</v>
      </c>
      <c r="D106" s="107" t="s">
        <v>412</v>
      </c>
      <c r="E106" s="110" t="s">
        <v>413</v>
      </c>
      <c r="F106" s="107" t="s">
        <v>63</v>
      </c>
      <c r="G106" s="109">
        <f>IFERROR(SEARCH(MENU!$P$33,D106),"")</f>
        <v>1</v>
      </c>
      <c r="H106" s="109">
        <f t="shared" si="4"/>
        <v>1.0105999999999999</v>
      </c>
    </row>
    <row r="107" spans="1:8" x14ac:dyDescent="0.2">
      <c r="A107" s="107" t="s">
        <v>414</v>
      </c>
      <c r="B107" s="108" t="s">
        <v>415</v>
      </c>
      <c r="C107" s="109">
        <f t="shared" si="5"/>
        <v>106</v>
      </c>
      <c r="D107" s="107" t="s">
        <v>416</v>
      </c>
      <c r="E107" s="110" t="s">
        <v>417</v>
      </c>
      <c r="F107" s="107" t="s">
        <v>63</v>
      </c>
      <c r="G107" s="109">
        <f>IFERROR(SEARCH(MENU!$P$33,D107),"")</f>
        <v>1</v>
      </c>
      <c r="H107" s="109">
        <f t="shared" si="4"/>
        <v>1.0106999999999999</v>
      </c>
    </row>
    <row r="108" spans="1:8" x14ac:dyDescent="0.2">
      <c r="A108" s="107" t="s">
        <v>418</v>
      </c>
      <c r="B108" s="108" t="s">
        <v>419</v>
      </c>
      <c r="C108" s="109">
        <f t="shared" si="5"/>
        <v>107</v>
      </c>
      <c r="D108" s="107" t="s">
        <v>420</v>
      </c>
      <c r="E108" s="110" t="s">
        <v>421</v>
      </c>
      <c r="F108" s="107" t="s">
        <v>63</v>
      </c>
      <c r="G108" s="109">
        <f>IFERROR(SEARCH(MENU!$P$33,D108),"")</f>
        <v>1</v>
      </c>
      <c r="H108" s="109">
        <f t="shared" si="4"/>
        <v>1.0107999999999999</v>
      </c>
    </row>
    <row r="109" spans="1:8" x14ac:dyDescent="0.2">
      <c r="A109" s="107" t="s">
        <v>422</v>
      </c>
      <c r="B109" s="108" t="s">
        <v>423</v>
      </c>
      <c r="C109" s="109">
        <f t="shared" si="5"/>
        <v>108</v>
      </c>
      <c r="D109" s="107" t="s">
        <v>424</v>
      </c>
      <c r="E109" s="110" t="s">
        <v>425</v>
      </c>
      <c r="F109" s="107" t="s">
        <v>63</v>
      </c>
      <c r="G109" s="109">
        <f>IFERROR(SEARCH(MENU!$P$33,D109),"")</f>
        <v>1</v>
      </c>
      <c r="H109" s="109">
        <f t="shared" si="4"/>
        <v>1.0108999999999999</v>
      </c>
    </row>
    <row r="110" spans="1:8" x14ac:dyDescent="0.2">
      <c r="A110" s="107" t="s">
        <v>426</v>
      </c>
      <c r="B110" s="108" t="s">
        <v>427</v>
      </c>
      <c r="C110" s="109">
        <f t="shared" si="5"/>
        <v>109</v>
      </c>
      <c r="D110" s="107" t="s">
        <v>428</v>
      </c>
      <c r="E110" s="110" t="s">
        <v>429</v>
      </c>
      <c r="F110" s="107" t="s">
        <v>63</v>
      </c>
      <c r="G110" s="109">
        <f>IFERROR(SEARCH(MENU!$P$33,D110),"")</f>
        <v>1</v>
      </c>
      <c r="H110" s="109">
        <f t="shared" si="4"/>
        <v>1.0109999999999999</v>
      </c>
    </row>
    <row r="111" spans="1:8" x14ac:dyDescent="0.2">
      <c r="A111" s="107" t="s">
        <v>430</v>
      </c>
      <c r="B111" s="108" t="s">
        <v>431</v>
      </c>
      <c r="C111" s="109">
        <f t="shared" si="5"/>
        <v>110</v>
      </c>
      <c r="D111" s="107" t="s">
        <v>432</v>
      </c>
      <c r="E111" s="110" t="s">
        <v>433</v>
      </c>
      <c r="F111" s="107" t="s">
        <v>63</v>
      </c>
      <c r="G111" s="109">
        <f>IFERROR(SEARCH(MENU!$P$33,D111),"")</f>
        <v>1</v>
      </c>
      <c r="H111" s="109">
        <f t="shared" si="4"/>
        <v>1.0111000000000001</v>
      </c>
    </row>
    <row r="112" spans="1:8" x14ac:dyDescent="0.2">
      <c r="A112" s="107" t="s">
        <v>434</v>
      </c>
      <c r="B112" s="108" t="s">
        <v>435</v>
      </c>
      <c r="C112" s="109">
        <f t="shared" si="5"/>
        <v>111</v>
      </c>
      <c r="D112" s="107" t="s">
        <v>436</v>
      </c>
      <c r="E112" s="110" t="s">
        <v>437</v>
      </c>
      <c r="F112" s="107" t="s">
        <v>63</v>
      </c>
      <c r="G112" s="109">
        <f>IFERROR(SEARCH(MENU!$P$33,D112),"")</f>
        <v>1</v>
      </c>
      <c r="H112" s="109">
        <f t="shared" si="4"/>
        <v>1.0112000000000001</v>
      </c>
    </row>
    <row r="113" spans="1:8" x14ac:dyDescent="0.2">
      <c r="A113" s="107" t="s">
        <v>438</v>
      </c>
      <c r="B113" s="108" t="s">
        <v>439</v>
      </c>
      <c r="C113" s="109">
        <f t="shared" si="5"/>
        <v>112</v>
      </c>
      <c r="D113" s="107" t="s">
        <v>440</v>
      </c>
      <c r="E113" s="110" t="s">
        <v>441</v>
      </c>
      <c r="F113" s="107" t="s">
        <v>63</v>
      </c>
      <c r="G113" s="109">
        <f>IFERROR(SEARCH(MENU!$P$33,D113),"")</f>
        <v>1</v>
      </c>
      <c r="H113" s="109">
        <f t="shared" si="4"/>
        <v>1.0113000000000001</v>
      </c>
    </row>
    <row r="114" spans="1:8" x14ac:dyDescent="0.2">
      <c r="A114" s="107" t="s">
        <v>442</v>
      </c>
      <c r="B114" s="108" t="s">
        <v>443</v>
      </c>
      <c r="C114" s="109">
        <f t="shared" si="5"/>
        <v>113</v>
      </c>
      <c r="D114" s="107" t="s">
        <v>444</v>
      </c>
      <c r="E114" s="110" t="s">
        <v>445</v>
      </c>
      <c r="F114" s="107" t="s">
        <v>63</v>
      </c>
      <c r="G114" s="109">
        <f>IFERROR(SEARCH(MENU!$P$33,D114),"")</f>
        <v>1</v>
      </c>
      <c r="H114" s="109">
        <f t="shared" si="4"/>
        <v>1.0114000000000001</v>
      </c>
    </row>
    <row r="115" spans="1:8" x14ac:dyDescent="0.2">
      <c r="A115" s="107" t="s">
        <v>446</v>
      </c>
      <c r="B115" s="108" t="s">
        <v>447</v>
      </c>
      <c r="C115" s="109">
        <f t="shared" si="5"/>
        <v>114</v>
      </c>
      <c r="D115" s="107" t="s">
        <v>448</v>
      </c>
      <c r="E115" s="110" t="s">
        <v>449</v>
      </c>
      <c r="F115" s="107" t="s">
        <v>63</v>
      </c>
      <c r="G115" s="109">
        <f>IFERROR(SEARCH(MENU!$P$33,D115),"")</f>
        <v>1</v>
      </c>
      <c r="H115" s="109">
        <f t="shared" si="4"/>
        <v>1.0115000000000001</v>
      </c>
    </row>
    <row r="116" spans="1:8" x14ac:dyDescent="0.2">
      <c r="A116" s="107" t="s">
        <v>450</v>
      </c>
      <c r="B116" s="108" t="s">
        <v>451</v>
      </c>
      <c r="C116" s="109">
        <f t="shared" si="5"/>
        <v>115</v>
      </c>
      <c r="D116" s="107" t="s">
        <v>452</v>
      </c>
      <c r="E116" s="110" t="s">
        <v>453</v>
      </c>
      <c r="F116" s="107" t="s">
        <v>63</v>
      </c>
      <c r="G116" s="109">
        <f>IFERROR(SEARCH(MENU!$P$33,D116),"")</f>
        <v>1</v>
      </c>
      <c r="H116" s="109">
        <f t="shared" si="4"/>
        <v>1.0116000000000001</v>
      </c>
    </row>
    <row r="117" spans="1:8" x14ac:dyDescent="0.2">
      <c r="A117" s="107" t="s">
        <v>454</v>
      </c>
      <c r="B117" s="108" t="s">
        <v>455</v>
      </c>
      <c r="C117" s="109">
        <f t="shared" si="5"/>
        <v>116</v>
      </c>
      <c r="D117" s="107" t="s">
        <v>456</v>
      </c>
      <c r="E117" s="110" t="s">
        <v>457</v>
      </c>
      <c r="F117" s="107" t="s">
        <v>63</v>
      </c>
      <c r="G117" s="109">
        <f>IFERROR(SEARCH(MENU!$P$33,D117),"")</f>
        <v>1</v>
      </c>
      <c r="H117" s="109">
        <f t="shared" si="4"/>
        <v>1.0117</v>
      </c>
    </row>
    <row r="118" spans="1:8" x14ac:dyDescent="0.2">
      <c r="A118" s="107" t="s">
        <v>458</v>
      </c>
      <c r="B118" s="108" t="s">
        <v>459</v>
      </c>
      <c r="C118" s="109">
        <f t="shared" si="5"/>
        <v>117</v>
      </c>
      <c r="D118" s="107" t="s">
        <v>460</v>
      </c>
      <c r="E118" s="110" t="s">
        <v>461</v>
      </c>
      <c r="F118" s="107" t="s">
        <v>63</v>
      </c>
      <c r="G118" s="109">
        <f>IFERROR(SEARCH(MENU!$P$33,D118),"")</f>
        <v>1</v>
      </c>
      <c r="H118" s="109">
        <f t="shared" si="4"/>
        <v>1.0118</v>
      </c>
    </row>
    <row r="119" spans="1:8" x14ac:dyDescent="0.2">
      <c r="A119" s="107" t="s">
        <v>462</v>
      </c>
      <c r="B119" s="108" t="s">
        <v>463</v>
      </c>
      <c r="C119" s="109">
        <f t="shared" si="5"/>
        <v>118</v>
      </c>
      <c r="D119" s="107" t="s">
        <v>464</v>
      </c>
      <c r="E119" s="110" t="s">
        <v>465</v>
      </c>
      <c r="F119" s="107" t="s">
        <v>63</v>
      </c>
      <c r="G119" s="109">
        <f>IFERROR(SEARCH(MENU!$P$33,D119),"")</f>
        <v>1</v>
      </c>
      <c r="H119" s="109">
        <f t="shared" si="4"/>
        <v>1.0119</v>
      </c>
    </row>
    <row r="120" spans="1:8" x14ac:dyDescent="0.2">
      <c r="A120" s="107" t="s">
        <v>466</v>
      </c>
      <c r="B120" s="108" t="s">
        <v>467</v>
      </c>
      <c r="C120" s="109">
        <f t="shared" si="5"/>
        <v>119</v>
      </c>
      <c r="D120" s="107" t="s">
        <v>468</v>
      </c>
      <c r="E120" s="110" t="s">
        <v>469</v>
      </c>
      <c r="F120" s="107" t="s">
        <v>63</v>
      </c>
      <c r="G120" s="109">
        <f>IFERROR(SEARCH(MENU!$P$33,D120),"")</f>
        <v>1</v>
      </c>
      <c r="H120" s="109">
        <f t="shared" si="4"/>
        <v>1.012</v>
      </c>
    </row>
    <row r="121" spans="1:8" x14ac:dyDescent="0.2">
      <c r="A121" s="107" t="s">
        <v>470</v>
      </c>
      <c r="B121" s="108" t="s">
        <v>471</v>
      </c>
      <c r="C121" s="109">
        <f t="shared" si="5"/>
        <v>120</v>
      </c>
      <c r="D121" s="107" t="s">
        <v>472</v>
      </c>
      <c r="E121" s="110" t="s">
        <v>473</v>
      </c>
      <c r="F121" s="107" t="s">
        <v>63</v>
      </c>
      <c r="G121" s="109">
        <f>IFERROR(SEARCH(MENU!$P$33,D121),"")</f>
        <v>1</v>
      </c>
      <c r="H121" s="109">
        <f t="shared" si="4"/>
        <v>1.0121</v>
      </c>
    </row>
    <row r="122" spans="1:8" x14ac:dyDescent="0.2">
      <c r="A122" s="107" t="s">
        <v>474</v>
      </c>
      <c r="B122" s="108" t="s">
        <v>475</v>
      </c>
      <c r="C122" s="109">
        <f t="shared" si="5"/>
        <v>121</v>
      </c>
      <c r="D122" s="107" t="s">
        <v>476</v>
      </c>
      <c r="E122" s="110" t="s">
        <v>477</v>
      </c>
      <c r="F122" s="107" t="s">
        <v>63</v>
      </c>
      <c r="G122" s="109">
        <f>IFERROR(SEARCH(MENU!$P$33,D122),"")</f>
        <v>1</v>
      </c>
      <c r="H122" s="109">
        <f t="shared" si="4"/>
        <v>1.0122</v>
      </c>
    </row>
    <row r="123" spans="1:8" x14ac:dyDescent="0.2">
      <c r="A123" s="107" t="s">
        <v>478</v>
      </c>
      <c r="B123" s="108" t="s">
        <v>479</v>
      </c>
      <c r="C123" s="109">
        <f t="shared" si="5"/>
        <v>122</v>
      </c>
      <c r="D123" s="107" t="s">
        <v>480</v>
      </c>
      <c r="E123" s="110" t="s">
        <v>481</v>
      </c>
      <c r="F123" s="107" t="s">
        <v>63</v>
      </c>
      <c r="G123" s="109">
        <f>IFERROR(SEARCH(MENU!$P$33,D123),"")</f>
        <v>1</v>
      </c>
      <c r="H123" s="109">
        <f t="shared" si="4"/>
        <v>1.0123</v>
      </c>
    </row>
    <row r="124" spans="1:8" x14ac:dyDescent="0.2">
      <c r="A124" s="107" t="s">
        <v>482</v>
      </c>
      <c r="B124" s="108" t="s">
        <v>483</v>
      </c>
      <c r="C124" s="109">
        <f t="shared" si="5"/>
        <v>123</v>
      </c>
      <c r="D124" s="107" t="s">
        <v>484</v>
      </c>
      <c r="E124" s="110" t="s">
        <v>485</v>
      </c>
      <c r="F124" s="107" t="s">
        <v>63</v>
      </c>
      <c r="G124" s="109">
        <f>IFERROR(SEARCH(MENU!$P$33,D124),"")</f>
        <v>1</v>
      </c>
      <c r="H124" s="109">
        <f t="shared" si="4"/>
        <v>1.0124</v>
      </c>
    </row>
    <row r="125" spans="1:8" x14ac:dyDescent="0.2">
      <c r="A125" s="107" t="s">
        <v>486</v>
      </c>
      <c r="B125" s="108" t="s">
        <v>487</v>
      </c>
      <c r="C125" s="109">
        <f t="shared" si="5"/>
        <v>124</v>
      </c>
      <c r="D125" s="107" t="s">
        <v>488</v>
      </c>
      <c r="E125" s="110" t="s">
        <v>489</v>
      </c>
      <c r="F125" s="107" t="s">
        <v>63</v>
      </c>
      <c r="G125" s="109">
        <f>IFERROR(SEARCH(MENU!$P$33,D125),"")</f>
        <v>1</v>
      </c>
      <c r="H125" s="109">
        <f t="shared" si="4"/>
        <v>1.0125</v>
      </c>
    </row>
    <row r="126" spans="1:8" x14ac:dyDescent="0.2">
      <c r="A126" s="107" t="s">
        <v>490</v>
      </c>
      <c r="B126" s="108" t="s">
        <v>491</v>
      </c>
      <c r="C126" s="109">
        <f t="shared" si="5"/>
        <v>125</v>
      </c>
      <c r="D126" s="107" t="s">
        <v>492</v>
      </c>
      <c r="E126" s="110" t="s">
        <v>493</v>
      </c>
      <c r="F126" s="107" t="s">
        <v>63</v>
      </c>
      <c r="G126" s="109">
        <f>IFERROR(SEARCH(MENU!$P$33,D126),"")</f>
        <v>1</v>
      </c>
      <c r="H126" s="109">
        <f t="shared" si="4"/>
        <v>1.0125999999999999</v>
      </c>
    </row>
    <row r="127" spans="1:8" x14ac:dyDescent="0.2">
      <c r="A127" s="107" t="s">
        <v>494</v>
      </c>
      <c r="B127" s="108" t="s">
        <v>495</v>
      </c>
      <c r="C127" s="109">
        <f t="shared" si="5"/>
        <v>126</v>
      </c>
      <c r="D127" s="107" t="s">
        <v>496</v>
      </c>
      <c r="E127" s="110" t="s">
        <v>497</v>
      </c>
      <c r="F127" s="107" t="s">
        <v>63</v>
      </c>
      <c r="G127" s="109">
        <f>IFERROR(SEARCH(MENU!$P$33,D127),"")</f>
        <v>1</v>
      </c>
      <c r="H127" s="109">
        <f t="shared" si="4"/>
        <v>1.0126999999999999</v>
      </c>
    </row>
    <row r="128" spans="1:8" x14ac:dyDescent="0.2">
      <c r="A128" s="107" t="s">
        <v>498</v>
      </c>
      <c r="B128" s="108" t="s">
        <v>499</v>
      </c>
      <c r="C128" s="109">
        <f t="shared" si="5"/>
        <v>127</v>
      </c>
      <c r="D128" s="107" t="s">
        <v>500</v>
      </c>
      <c r="E128" s="110" t="s">
        <v>501</v>
      </c>
      <c r="F128" s="107" t="s">
        <v>63</v>
      </c>
      <c r="G128" s="109">
        <f>IFERROR(SEARCH(MENU!$P$33,D128),"")</f>
        <v>1</v>
      </c>
      <c r="H128" s="109">
        <f t="shared" si="4"/>
        <v>1.0127999999999999</v>
      </c>
    </row>
    <row r="129" spans="1:8" x14ac:dyDescent="0.2">
      <c r="A129" s="107" t="s">
        <v>502</v>
      </c>
      <c r="B129" s="108" t="s">
        <v>503</v>
      </c>
      <c r="C129" s="109">
        <f t="shared" si="5"/>
        <v>128</v>
      </c>
      <c r="D129" s="107" t="s">
        <v>504</v>
      </c>
      <c r="E129" s="110" t="s">
        <v>505</v>
      </c>
      <c r="F129" s="107" t="s">
        <v>63</v>
      </c>
      <c r="G129" s="109">
        <f>IFERROR(SEARCH(MENU!$P$33,D129),"")</f>
        <v>1</v>
      </c>
      <c r="H129" s="109">
        <f t="shared" si="4"/>
        <v>1.0128999999999999</v>
      </c>
    </row>
    <row r="130" spans="1:8" x14ac:dyDescent="0.2">
      <c r="A130" s="107" t="s">
        <v>506</v>
      </c>
      <c r="B130" s="108" t="s">
        <v>507</v>
      </c>
      <c r="C130" s="109">
        <f t="shared" ref="C130:C161" si="6">IFERROR(RANK(H130,$H$2:$H$184,1),"")</f>
        <v>129</v>
      </c>
      <c r="D130" s="107" t="s">
        <v>508</v>
      </c>
      <c r="E130" s="110" t="s">
        <v>509</v>
      </c>
      <c r="F130" s="107" t="s">
        <v>63</v>
      </c>
      <c r="G130" s="109">
        <f>IFERROR(SEARCH(MENU!$P$33,D130),"")</f>
        <v>1</v>
      </c>
      <c r="H130" s="109">
        <f t="shared" si="4"/>
        <v>1.0129999999999999</v>
      </c>
    </row>
    <row r="131" spans="1:8" x14ac:dyDescent="0.2">
      <c r="A131" s="107" t="s">
        <v>510</v>
      </c>
      <c r="B131" s="108" t="s">
        <v>511</v>
      </c>
      <c r="C131" s="109">
        <f t="shared" si="6"/>
        <v>130</v>
      </c>
      <c r="D131" s="107" t="s">
        <v>512</v>
      </c>
      <c r="E131" s="110" t="s">
        <v>513</v>
      </c>
      <c r="F131" s="107" t="s">
        <v>63</v>
      </c>
      <c r="G131" s="109">
        <f>IFERROR(SEARCH(MENU!$P$33,D131),"")</f>
        <v>1</v>
      </c>
      <c r="H131" s="109">
        <f t="shared" ref="H131:H184" si="7">IFERROR(G131+ROW()/10000,"")</f>
        <v>1.0131000000000001</v>
      </c>
    </row>
    <row r="132" spans="1:8" x14ac:dyDescent="0.2">
      <c r="A132" s="107" t="s">
        <v>514</v>
      </c>
      <c r="B132" s="108" t="s">
        <v>515</v>
      </c>
      <c r="C132" s="109">
        <f t="shared" si="6"/>
        <v>131</v>
      </c>
      <c r="D132" s="107" t="s">
        <v>516</v>
      </c>
      <c r="E132" s="110" t="s">
        <v>517</v>
      </c>
      <c r="F132" s="107" t="s">
        <v>63</v>
      </c>
      <c r="G132" s="109">
        <f>IFERROR(SEARCH(MENU!$P$33,D132),"")</f>
        <v>1</v>
      </c>
      <c r="H132" s="109">
        <f t="shared" si="7"/>
        <v>1.0132000000000001</v>
      </c>
    </row>
    <row r="133" spans="1:8" x14ac:dyDescent="0.2">
      <c r="A133" s="107" t="s">
        <v>518</v>
      </c>
      <c r="B133" s="108" t="s">
        <v>519</v>
      </c>
      <c r="C133" s="109">
        <f t="shared" si="6"/>
        <v>132</v>
      </c>
      <c r="D133" s="107" t="s">
        <v>520</v>
      </c>
      <c r="E133" s="110" t="s">
        <v>521</v>
      </c>
      <c r="F133" s="107" t="s">
        <v>63</v>
      </c>
      <c r="G133" s="109">
        <f>IFERROR(SEARCH(MENU!$P$33,D133),"")</f>
        <v>1</v>
      </c>
      <c r="H133" s="109">
        <f t="shared" si="7"/>
        <v>1.0133000000000001</v>
      </c>
    </row>
    <row r="134" spans="1:8" x14ac:dyDescent="0.2">
      <c r="A134" s="107" t="s">
        <v>522</v>
      </c>
      <c r="B134" s="108" t="s">
        <v>523</v>
      </c>
      <c r="C134" s="109">
        <f t="shared" si="6"/>
        <v>133</v>
      </c>
      <c r="D134" s="107" t="s">
        <v>524</v>
      </c>
      <c r="E134" s="110" t="s">
        <v>525</v>
      </c>
      <c r="F134" s="107" t="s">
        <v>63</v>
      </c>
      <c r="G134" s="109">
        <f>IFERROR(SEARCH(MENU!$P$33,D134),"")</f>
        <v>1</v>
      </c>
      <c r="H134" s="109">
        <f t="shared" si="7"/>
        <v>1.0134000000000001</v>
      </c>
    </row>
    <row r="135" spans="1:8" x14ac:dyDescent="0.2">
      <c r="A135" s="107" t="s">
        <v>526</v>
      </c>
      <c r="B135" s="108" t="s">
        <v>527</v>
      </c>
      <c r="C135" s="109">
        <f t="shared" si="6"/>
        <v>134</v>
      </c>
      <c r="D135" s="107" t="s">
        <v>528</v>
      </c>
      <c r="E135" s="110" t="s">
        <v>529</v>
      </c>
      <c r="F135" s="107" t="s">
        <v>63</v>
      </c>
      <c r="G135" s="109">
        <f>IFERROR(SEARCH(MENU!$P$33,D135),"")</f>
        <v>1</v>
      </c>
      <c r="H135" s="109">
        <f t="shared" si="7"/>
        <v>1.0135000000000001</v>
      </c>
    </row>
    <row r="136" spans="1:8" x14ac:dyDescent="0.2">
      <c r="A136" s="107" t="s">
        <v>530</v>
      </c>
      <c r="B136" s="108" t="s">
        <v>531</v>
      </c>
      <c r="C136" s="109">
        <f t="shared" si="6"/>
        <v>135</v>
      </c>
      <c r="D136" s="107" t="s">
        <v>532</v>
      </c>
      <c r="E136" s="110" t="s">
        <v>533</v>
      </c>
      <c r="F136" s="107" t="s">
        <v>63</v>
      </c>
      <c r="G136" s="109">
        <f>IFERROR(SEARCH(MENU!$P$33,D136),"")</f>
        <v>1</v>
      </c>
      <c r="H136" s="109">
        <f t="shared" si="7"/>
        <v>1.0136000000000001</v>
      </c>
    </row>
    <row r="137" spans="1:8" x14ac:dyDescent="0.2">
      <c r="A137" s="107" t="s">
        <v>534</v>
      </c>
      <c r="B137" s="108" t="s">
        <v>535</v>
      </c>
      <c r="C137" s="109">
        <f t="shared" si="6"/>
        <v>136</v>
      </c>
      <c r="D137" s="107" t="s">
        <v>536</v>
      </c>
      <c r="E137" s="110">
        <v>59079366</v>
      </c>
      <c r="F137" s="107" t="s">
        <v>63</v>
      </c>
      <c r="G137" s="109">
        <f>IFERROR(SEARCH(MENU!$P$33,D137),"")</f>
        <v>1</v>
      </c>
      <c r="H137" s="109">
        <f t="shared" si="7"/>
        <v>1.0137</v>
      </c>
    </row>
    <row r="138" spans="1:8" x14ac:dyDescent="0.2">
      <c r="A138" s="107" t="s">
        <v>537</v>
      </c>
      <c r="B138" s="108" t="s">
        <v>538</v>
      </c>
      <c r="C138" s="109">
        <f t="shared" si="6"/>
        <v>137</v>
      </c>
      <c r="D138" s="107" t="s">
        <v>539</v>
      </c>
      <c r="E138" s="110">
        <v>65480072</v>
      </c>
      <c r="F138" s="107" t="s">
        <v>63</v>
      </c>
      <c r="G138" s="109">
        <f>IFERROR(SEARCH(MENU!$P$33,D138),"")</f>
        <v>1</v>
      </c>
      <c r="H138" s="109">
        <f t="shared" si="7"/>
        <v>1.0138</v>
      </c>
    </row>
    <row r="139" spans="1:8" x14ac:dyDescent="0.2">
      <c r="A139" s="107" t="s">
        <v>540</v>
      </c>
      <c r="B139" s="108">
        <v>8.9330120110006395E+18</v>
      </c>
      <c r="C139" s="109">
        <f t="shared" si="6"/>
        <v>138</v>
      </c>
      <c r="D139" s="107" t="s">
        <v>541</v>
      </c>
      <c r="E139" s="110">
        <v>69775265</v>
      </c>
      <c r="F139" s="107" t="s">
        <v>63</v>
      </c>
      <c r="G139" s="109">
        <f>IFERROR(SEARCH(MENU!$P$33,D139),"")</f>
        <v>1</v>
      </c>
      <c r="H139" s="109">
        <f t="shared" si="7"/>
        <v>1.0139</v>
      </c>
    </row>
    <row r="140" spans="1:8" x14ac:dyDescent="0.2">
      <c r="A140" s="107" t="s">
        <v>542</v>
      </c>
      <c r="B140" s="108" t="s">
        <v>543</v>
      </c>
      <c r="C140" s="109">
        <f t="shared" si="6"/>
        <v>139</v>
      </c>
      <c r="D140" s="107" t="s">
        <v>544</v>
      </c>
      <c r="E140" s="110">
        <v>44528477</v>
      </c>
      <c r="F140" s="107" t="s">
        <v>63</v>
      </c>
      <c r="G140" s="109">
        <f>IFERROR(SEARCH(MENU!$P$33,D140),"")</f>
        <v>1</v>
      </c>
      <c r="H140" s="109">
        <f t="shared" si="7"/>
        <v>1.014</v>
      </c>
    </row>
    <row r="141" spans="1:8" x14ac:dyDescent="0.2">
      <c r="A141" s="107" t="s">
        <v>545</v>
      </c>
      <c r="B141" s="108" t="s">
        <v>546</v>
      </c>
      <c r="C141" s="109">
        <f t="shared" si="6"/>
        <v>140</v>
      </c>
      <c r="D141" s="107" t="s">
        <v>547</v>
      </c>
      <c r="E141" s="110">
        <v>88009889</v>
      </c>
      <c r="F141" s="107" t="s">
        <v>63</v>
      </c>
      <c r="G141" s="109">
        <f>IFERROR(SEARCH(MENU!$P$33,D141),"")</f>
        <v>1</v>
      </c>
      <c r="H141" s="109">
        <f t="shared" si="7"/>
        <v>1.0141</v>
      </c>
    </row>
    <row r="142" spans="1:8" x14ac:dyDescent="0.2">
      <c r="A142" s="107" t="s">
        <v>548</v>
      </c>
      <c r="B142" s="108" t="s">
        <v>549</v>
      </c>
      <c r="C142" s="109">
        <f t="shared" si="6"/>
        <v>141</v>
      </c>
      <c r="D142" s="107" t="s">
        <v>550</v>
      </c>
      <c r="E142" s="110" t="s">
        <v>551</v>
      </c>
      <c r="F142" s="107" t="s">
        <v>63</v>
      </c>
      <c r="G142" s="109">
        <f>IFERROR(SEARCH(MENU!$P$33,D142),"")</f>
        <v>1</v>
      </c>
      <c r="H142" s="109">
        <f t="shared" si="7"/>
        <v>1.0142</v>
      </c>
    </row>
    <row r="143" spans="1:8" x14ac:dyDescent="0.2">
      <c r="A143" s="107" t="s">
        <v>552</v>
      </c>
      <c r="B143" s="108" t="s">
        <v>553</v>
      </c>
      <c r="C143" s="109">
        <f t="shared" si="6"/>
        <v>142</v>
      </c>
      <c r="D143" s="107" t="s">
        <v>554</v>
      </c>
      <c r="E143" s="110" t="s">
        <v>555</v>
      </c>
      <c r="F143" s="107" t="s">
        <v>63</v>
      </c>
      <c r="G143" s="109">
        <f>IFERROR(SEARCH(MENU!$P$33,D143),"")</f>
        <v>1</v>
      </c>
      <c r="H143" s="109">
        <f t="shared" si="7"/>
        <v>1.0143</v>
      </c>
    </row>
    <row r="144" spans="1:8" x14ac:dyDescent="0.2">
      <c r="A144" s="107" t="s">
        <v>556</v>
      </c>
      <c r="B144" s="108" t="s">
        <v>557</v>
      </c>
      <c r="C144" s="109">
        <f t="shared" si="6"/>
        <v>143</v>
      </c>
      <c r="D144" s="107" t="s">
        <v>558</v>
      </c>
      <c r="E144" s="110" t="s">
        <v>559</v>
      </c>
      <c r="F144" s="107" t="s">
        <v>63</v>
      </c>
      <c r="G144" s="109">
        <f>IFERROR(SEARCH(MENU!$P$33,D144),"")</f>
        <v>1</v>
      </c>
      <c r="H144" s="109">
        <f t="shared" si="7"/>
        <v>1.0144</v>
      </c>
    </row>
    <row r="145" spans="1:8" x14ac:dyDescent="0.2">
      <c r="A145" s="107" t="s">
        <v>560</v>
      </c>
      <c r="B145" s="108" t="s">
        <v>561</v>
      </c>
      <c r="C145" s="109">
        <f t="shared" si="6"/>
        <v>144</v>
      </c>
      <c r="D145" s="107" t="s">
        <v>562</v>
      </c>
      <c r="E145" s="110" t="s">
        <v>563</v>
      </c>
      <c r="F145" s="107" t="s">
        <v>63</v>
      </c>
      <c r="G145" s="109">
        <f>IFERROR(SEARCH(MENU!$P$33,D145),"")</f>
        <v>1</v>
      </c>
      <c r="H145" s="109">
        <f t="shared" si="7"/>
        <v>1.0145</v>
      </c>
    </row>
    <row r="146" spans="1:8" x14ac:dyDescent="0.2">
      <c r="A146" s="107" t="s">
        <v>564</v>
      </c>
      <c r="B146" s="108" t="s">
        <v>565</v>
      </c>
      <c r="C146" s="109">
        <f t="shared" si="6"/>
        <v>145</v>
      </c>
      <c r="D146" s="107" t="s">
        <v>566</v>
      </c>
      <c r="E146" s="110" t="s">
        <v>567</v>
      </c>
      <c r="F146" s="107" t="s">
        <v>63</v>
      </c>
      <c r="G146" s="109">
        <f>IFERROR(SEARCH(MENU!$P$33,D146),"")</f>
        <v>1</v>
      </c>
      <c r="H146" s="109">
        <f t="shared" si="7"/>
        <v>1.0145999999999999</v>
      </c>
    </row>
    <row r="147" spans="1:8" x14ac:dyDescent="0.2">
      <c r="A147" s="107" t="s">
        <v>568</v>
      </c>
      <c r="B147" s="108" t="s">
        <v>569</v>
      </c>
      <c r="C147" s="109">
        <f t="shared" si="6"/>
        <v>146</v>
      </c>
      <c r="D147" s="107" t="s">
        <v>570</v>
      </c>
      <c r="E147" s="110" t="s">
        <v>571</v>
      </c>
      <c r="F147" s="107" t="s">
        <v>63</v>
      </c>
      <c r="G147" s="109">
        <f>IFERROR(SEARCH(MENU!$P$33,D147),"")</f>
        <v>1</v>
      </c>
      <c r="H147" s="109">
        <f t="shared" si="7"/>
        <v>1.0146999999999999</v>
      </c>
    </row>
    <row r="148" spans="1:8" x14ac:dyDescent="0.2">
      <c r="A148" s="107" t="s">
        <v>572</v>
      </c>
      <c r="B148" s="108" t="s">
        <v>573</v>
      </c>
      <c r="C148" s="109">
        <f t="shared" si="6"/>
        <v>147</v>
      </c>
      <c r="D148" s="107" t="s">
        <v>574</v>
      </c>
      <c r="E148" s="110" t="s">
        <v>575</v>
      </c>
      <c r="F148" s="107" t="s">
        <v>63</v>
      </c>
      <c r="G148" s="109">
        <f>IFERROR(SEARCH(MENU!$P$33,D148),"")</f>
        <v>1</v>
      </c>
      <c r="H148" s="109">
        <f t="shared" si="7"/>
        <v>1.0147999999999999</v>
      </c>
    </row>
    <row r="149" spans="1:8" x14ac:dyDescent="0.2">
      <c r="A149" s="107" t="s">
        <v>576</v>
      </c>
      <c r="B149" s="108" t="s">
        <v>577</v>
      </c>
      <c r="C149" s="109">
        <f t="shared" si="6"/>
        <v>148</v>
      </c>
      <c r="D149" s="107" t="s">
        <v>578</v>
      </c>
      <c r="E149" s="110" t="s">
        <v>579</v>
      </c>
      <c r="F149" s="107" t="s">
        <v>63</v>
      </c>
      <c r="G149" s="109">
        <f>IFERROR(SEARCH(MENU!$P$33,D149),"")</f>
        <v>1</v>
      </c>
      <c r="H149" s="109">
        <f t="shared" si="7"/>
        <v>1.0148999999999999</v>
      </c>
    </row>
    <row r="150" spans="1:8" x14ac:dyDescent="0.2">
      <c r="A150" s="107" t="s">
        <v>580</v>
      </c>
      <c r="B150" s="108" t="s">
        <v>581</v>
      </c>
      <c r="C150" s="109">
        <f t="shared" si="6"/>
        <v>149</v>
      </c>
      <c r="D150" s="107" t="s">
        <v>582</v>
      </c>
      <c r="E150" s="110" t="s">
        <v>583</v>
      </c>
      <c r="F150" s="107" t="s">
        <v>63</v>
      </c>
      <c r="G150" s="109">
        <f>IFERROR(SEARCH(MENU!$P$33,D150),"")</f>
        <v>1</v>
      </c>
      <c r="H150" s="109">
        <f t="shared" si="7"/>
        <v>1.0149999999999999</v>
      </c>
    </row>
    <row r="151" spans="1:8" x14ac:dyDescent="0.2">
      <c r="A151" s="107" t="s">
        <v>584</v>
      </c>
      <c r="B151" s="108" t="s">
        <v>585</v>
      </c>
      <c r="C151" s="109">
        <f t="shared" si="6"/>
        <v>150</v>
      </c>
      <c r="D151" s="107" t="s">
        <v>586</v>
      </c>
      <c r="E151" s="110" t="s">
        <v>587</v>
      </c>
      <c r="F151" s="107" t="s">
        <v>63</v>
      </c>
      <c r="G151" s="109">
        <f>IFERROR(SEARCH(MENU!$P$33,D151),"")</f>
        <v>1</v>
      </c>
      <c r="H151" s="109">
        <f t="shared" si="7"/>
        <v>1.0150999999999999</v>
      </c>
    </row>
    <row r="152" spans="1:8" x14ac:dyDescent="0.2">
      <c r="A152" s="107" t="s">
        <v>588</v>
      </c>
      <c r="B152" s="108" t="s">
        <v>589</v>
      </c>
      <c r="C152" s="109">
        <f t="shared" si="6"/>
        <v>151</v>
      </c>
      <c r="D152" s="107" t="s">
        <v>590</v>
      </c>
      <c r="E152" s="110" t="s">
        <v>591</v>
      </c>
      <c r="F152" s="107" t="s">
        <v>63</v>
      </c>
      <c r="G152" s="109">
        <f>IFERROR(SEARCH(MENU!$P$33,D152),"")</f>
        <v>1</v>
      </c>
      <c r="H152" s="109">
        <f t="shared" si="7"/>
        <v>1.0152000000000001</v>
      </c>
    </row>
    <row r="153" spans="1:8" x14ac:dyDescent="0.2">
      <c r="A153" s="107" t="s">
        <v>592</v>
      </c>
      <c r="B153" s="108" t="s">
        <v>593</v>
      </c>
      <c r="C153" s="109">
        <f t="shared" si="6"/>
        <v>152</v>
      </c>
      <c r="D153" s="107" t="s">
        <v>594</v>
      </c>
      <c r="E153" s="110" t="s">
        <v>595</v>
      </c>
      <c r="F153" s="107" t="s">
        <v>63</v>
      </c>
      <c r="G153" s="109">
        <f>IFERROR(SEARCH(MENU!$P$33,D153),"")</f>
        <v>1</v>
      </c>
      <c r="H153" s="109">
        <f t="shared" si="7"/>
        <v>1.0153000000000001</v>
      </c>
    </row>
    <row r="154" spans="1:8" x14ac:dyDescent="0.2">
      <c r="A154" s="107" t="s">
        <v>596</v>
      </c>
      <c r="B154" s="108" t="s">
        <v>597</v>
      </c>
      <c r="C154" s="109">
        <f t="shared" si="6"/>
        <v>153</v>
      </c>
      <c r="D154" s="107" t="s">
        <v>598</v>
      </c>
      <c r="E154" s="110" t="s">
        <v>599</v>
      </c>
      <c r="F154" s="107" t="s">
        <v>63</v>
      </c>
      <c r="G154" s="109">
        <f>IFERROR(SEARCH(MENU!$P$33,D154),"")</f>
        <v>1</v>
      </c>
      <c r="H154" s="109">
        <f t="shared" si="7"/>
        <v>1.0154000000000001</v>
      </c>
    </row>
    <row r="155" spans="1:8" x14ac:dyDescent="0.2">
      <c r="A155" s="107" t="s">
        <v>600</v>
      </c>
      <c r="B155" s="108" t="s">
        <v>601</v>
      </c>
      <c r="C155" s="109">
        <f t="shared" si="6"/>
        <v>154</v>
      </c>
      <c r="D155" s="107" t="s">
        <v>602</v>
      </c>
      <c r="E155" s="110" t="s">
        <v>603</v>
      </c>
      <c r="F155" s="107" t="s">
        <v>63</v>
      </c>
      <c r="G155" s="109">
        <f>IFERROR(SEARCH(MENU!$P$33,D155),"")</f>
        <v>1</v>
      </c>
      <c r="H155" s="109">
        <f t="shared" si="7"/>
        <v>1.0155000000000001</v>
      </c>
    </row>
    <row r="156" spans="1:8" x14ac:dyDescent="0.2">
      <c r="A156" s="107" t="s">
        <v>604</v>
      </c>
      <c r="B156" s="108" t="s">
        <v>605</v>
      </c>
      <c r="C156" s="109">
        <f t="shared" si="6"/>
        <v>155</v>
      </c>
      <c r="D156" s="107" t="s">
        <v>606</v>
      </c>
      <c r="E156" s="110" t="s">
        <v>607</v>
      </c>
      <c r="F156" s="107" t="s">
        <v>63</v>
      </c>
      <c r="G156" s="109">
        <f>IFERROR(SEARCH(MENU!$P$33,D156),"")</f>
        <v>1</v>
      </c>
      <c r="H156" s="109">
        <f t="shared" si="7"/>
        <v>1.0156000000000001</v>
      </c>
    </row>
    <row r="157" spans="1:8" x14ac:dyDescent="0.2">
      <c r="A157" s="107" t="s">
        <v>608</v>
      </c>
      <c r="B157" s="108" t="s">
        <v>609</v>
      </c>
      <c r="C157" s="109">
        <f t="shared" si="6"/>
        <v>156</v>
      </c>
      <c r="D157" s="107" t="s">
        <v>610</v>
      </c>
      <c r="E157" s="110" t="s">
        <v>611</v>
      </c>
      <c r="F157" s="107" t="s">
        <v>63</v>
      </c>
      <c r="G157" s="109">
        <f>IFERROR(SEARCH(MENU!$P$33,D157),"")</f>
        <v>1</v>
      </c>
      <c r="H157" s="109">
        <f t="shared" si="7"/>
        <v>1.0157</v>
      </c>
    </row>
    <row r="158" spans="1:8" x14ac:dyDescent="0.2">
      <c r="A158" s="107" t="s">
        <v>612</v>
      </c>
      <c r="B158" s="108" t="s">
        <v>613</v>
      </c>
      <c r="C158" s="109">
        <f t="shared" si="6"/>
        <v>157</v>
      </c>
      <c r="D158" s="107" t="s">
        <v>614</v>
      </c>
      <c r="E158" s="110" t="s">
        <v>615</v>
      </c>
      <c r="F158" s="107" t="s">
        <v>63</v>
      </c>
      <c r="G158" s="109">
        <f>IFERROR(SEARCH(MENU!$P$33,D158),"")</f>
        <v>1</v>
      </c>
      <c r="H158" s="109">
        <f t="shared" si="7"/>
        <v>1.0158</v>
      </c>
    </row>
    <row r="159" spans="1:8" x14ac:dyDescent="0.2">
      <c r="A159" s="107" t="s">
        <v>616</v>
      </c>
      <c r="B159" s="108" t="s">
        <v>617</v>
      </c>
      <c r="C159" s="109">
        <f t="shared" si="6"/>
        <v>158</v>
      </c>
      <c r="D159" s="107" t="s">
        <v>618</v>
      </c>
      <c r="E159" s="110" t="s">
        <v>619</v>
      </c>
      <c r="F159" s="107" t="s">
        <v>63</v>
      </c>
      <c r="G159" s="109">
        <f>IFERROR(SEARCH(MENU!$P$33,D159),"")</f>
        <v>1</v>
      </c>
      <c r="H159" s="109">
        <f t="shared" si="7"/>
        <v>1.0159</v>
      </c>
    </row>
    <row r="160" spans="1:8" x14ac:dyDescent="0.2">
      <c r="A160" s="107" t="s">
        <v>620</v>
      </c>
      <c r="B160" s="108" t="s">
        <v>621</v>
      </c>
      <c r="C160" s="109">
        <f t="shared" si="6"/>
        <v>159</v>
      </c>
      <c r="D160" s="107" t="s">
        <v>622</v>
      </c>
      <c r="E160" s="110" t="s">
        <v>623</v>
      </c>
      <c r="F160" s="107" t="s">
        <v>63</v>
      </c>
      <c r="G160" s="109">
        <f>IFERROR(SEARCH(MENU!$P$33,D160),"")</f>
        <v>1</v>
      </c>
      <c r="H160" s="109">
        <f t="shared" si="7"/>
        <v>1.016</v>
      </c>
    </row>
    <row r="161" spans="1:8" x14ac:dyDescent="0.2">
      <c r="A161" s="107" t="s">
        <v>624</v>
      </c>
      <c r="B161" s="108" t="s">
        <v>625</v>
      </c>
      <c r="C161" s="109">
        <f t="shared" si="6"/>
        <v>160</v>
      </c>
      <c r="D161" s="107" t="s">
        <v>626</v>
      </c>
      <c r="E161" s="110" t="s">
        <v>627</v>
      </c>
      <c r="F161" s="107" t="s">
        <v>63</v>
      </c>
      <c r="G161" s="109">
        <f>IFERROR(SEARCH(MENU!$P$33,D161),"")</f>
        <v>1</v>
      </c>
      <c r="H161" s="109">
        <f t="shared" si="7"/>
        <v>1.0161</v>
      </c>
    </row>
    <row r="162" spans="1:8" x14ac:dyDescent="0.2">
      <c r="A162" s="107" t="s">
        <v>628</v>
      </c>
      <c r="B162" s="108" t="s">
        <v>629</v>
      </c>
      <c r="C162" s="109">
        <f t="shared" ref="C162:C184" si="8">IFERROR(RANK(H162,$H$2:$H$184,1),"")</f>
        <v>161</v>
      </c>
      <c r="D162" s="107" t="s">
        <v>630</v>
      </c>
      <c r="E162" s="110" t="s">
        <v>631</v>
      </c>
      <c r="F162" s="107" t="s">
        <v>63</v>
      </c>
      <c r="G162" s="109">
        <f>IFERROR(SEARCH(MENU!$P$33,D162),"")</f>
        <v>1</v>
      </c>
      <c r="H162" s="109">
        <f t="shared" si="7"/>
        <v>1.0162</v>
      </c>
    </row>
    <row r="163" spans="1:8" x14ac:dyDescent="0.2">
      <c r="A163" s="107" t="s">
        <v>632</v>
      </c>
      <c r="B163" s="108" t="s">
        <v>633</v>
      </c>
      <c r="C163" s="109">
        <f t="shared" si="8"/>
        <v>162</v>
      </c>
      <c r="D163" s="107" t="s">
        <v>634</v>
      </c>
      <c r="E163" s="110" t="s">
        <v>635</v>
      </c>
      <c r="F163" s="107" t="s">
        <v>63</v>
      </c>
      <c r="G163" s="109">
        <f>IFERROR(SEARCH(MENU!$P$33,D163),"")</f>
        <v>1</v>
      </c>
      <c r="H163" s="109">
        <f t="shared" si="7"/>
        <v>1.0163</v>
      </c>
    </row>
    <row r="164" spans="1:8" x14ac:dyDescent="0.2">
      <c r="A164" s="107" t="s">
        <v>636</v>
      </c>
      <c r="B164" s="108" t="s">
        <v>637</v>
      </c>
      <c r="C164" s="109">
        <f t="shared" si="8"/>
        <v>163</v>
      </c>
      <c r="D164" s="107" t="s">
        <v>638</v>
      </c>
      <c r="E164" s="110" t="s">
        <v>639</v>
      </c>
      <c r="F164" s="107" t="s">
        <v>63</v>
      </c>
      <c r="G164" s="109">
        <f>IFERROR(SEARCH(MENU!$P$33,D164),"")</f>
        <v>1</v>
      </c>
      <c r="H164" s="109">
        <f t="shared" si="7"/>
        <v>1.0164</v>
      </c>
    </row>
    <row r="165" spans="1:8" x14ac:dyDescent="0.2">
      <c r="A165" s="107" t="s">
        <v>640</v>
      </c>
      <c r="B165" s="108" t="s">
        <v>641</v>
      </c>
      <c r="C165" s="109">
        <f t="shared" si="8"/>
        <v>164</v>
      </c>
      <c r="D165" s="107" t="s">
        <v>642</v>
      </c>
      <c r="E165" s="110" t="s">
        <v>643</v>
      </c>
      <c r="F165" s="107" t="s">
        <v>63</v>
      </c>
      <c r="G165" s="109">
        <f>IFERROR(SEARCH(MENU!$P$33,D165),"")</f>
        <v>1</v>
      </c>
      <c r="H165" s="109">
        <f t="shared" si="7"/>
        <v>1.0165</v>
      </c>
    </row>
    <row r="166" spans="1:8" x14ac:dyDescent="0.2">
      <c r="A166" s="107" t="s">
        <v>644</v>
      </c>
      <c r="B166" s="108" t="s">
        <v>645</v>
      </c>
      <c r="C166" s="109">
        <f t="shared" si="8"/>
        <v>165</v>
      </c>
      <c r="D166" s="107" t="s">
        <v>646</v>
      </c>
      <c r="E166" s="110" t="s">
        <v>647</v>
      </c>
      <c r="F166" s="107" t="s">
        <v>63</v>
      </c>
      <c r="G166" s="109">
        <f>IFERROR(SEARCH(MENU!$P$33,D166),"")</f>
        <v>1</v>
      </c>
      <c r="H166" s="109">
        <f t="shared" si="7"/>
        <v>1.0165999999999999</v>
      </c>
    </row>
    <row r="167" spans="1:8" x14ac:dyDescent="0.2">
      <c r="A167" s="107" t="s">
        <v>648</v>
      </c>
      <c r="B167" s="108" t="s">
        <v>649</v>
      </c>
      <c r="C167" s="109">
        <f t="shared" si="8"/>
        <v>166</v>
      </c>
      <c r="D167" s="107" t="s">
        <v>650</v>
      </c>
      <c r="E167" s="110" t="s">
        <v>651</v>
      </c>
      <c r="F167" s="107" t="s">
        <v>63</v>
      </c>
      <c r="G167" s="109">
        <f>IFERROR(SEARCH(MENU!$P$33,D167),"")</f>
        <v>1</v>
      </c>
      <c r="H167" s="109">
        <f t="shared" si="7"/>
        <v>1.0166999999999999</v>
      </c>
    </row>
    <row r="168" spans="1:8" x14ac:dyDescent="0.2">
      <c r="A168" s="107" t="s">
        <v>652</v>
      </c>
      <c r="B168" s="108" t="s">
        <v>653</v>
      </c>
      <c r="C168" s="109">
        <f t="shared" si="8"/>
        <v>167</v>
      </c>
      <c r="D168" s="107" t="s">
        <v>654</v>
      </c>
      <c r="E168" s="110" t="s">
        <v>655</v>
      </c>
      <c r="F168" s="107" t="s">
        <v>63</v>
      </c>
      <c r="G168" s="109">
        <f>IFERROR(SEARCH(MENU!$P$33,D168),"")</f>
        <v>1</v>
      </c>
      <c r="H168" s="109">
        <f t="shared" si="7"/>
        <v>1.0167999999999999</v>
      </c>
    </row>
    <row r="169" spans="1:8" x14ac:dyDescent="0.2">
      <c r="A169" s="107" t="s">
        <v>656</v>
      </c>
      <c r="B169" s="108" t="s">
        <v>657</v>
      </c>
      <c r="C169" s="109">
        <f t="shared" si="8"/>
        <v>168</v>
      </c>
      <c r="D169" s="107" t="s">
        <v>658</v>
      </c>
      <c r="E169" s="110" t="s">
        <v>659</v>
      </c>
      <c r="F169" s="107" t="s">
        <v>63</v>
      </c>
      <c r="G169" s="109">
        <f>IFERROR(SEARCH(MENU!$P$33,D169),"")</f>
        <v>1</v>
      </c>
      <c r="H169" s="109">
        <f t="shared" si="7"/>
        <v>1.0168999999999999</v>
      </c>
    </row>
    <row r="170" spans="1:8" x14ac:dyDescent="0.2">
      <c r="A170" s="107" t="s">
        <v>660</v>
      </c>
      <c r="B170" s="108" t="s">
        <v>661</v>
      </c>
      <c r="C170" s="109">
        <f t="shared" si="8"/>
        <v>169</v>
      </c>
      <c r="D170" s="107" t="s">
        <v>662</v>
      </c>
      <c r="E170" s="110" t="s">
        <v>663</v>
      </c>
      <c r="F170" s="107" t="s">
        <v>63</v>
      </c>
      <c r="G170" s="109">
        <f>IFERROR(SEARCH(MENU!$P$33,D170),"")</f>
        <v>1</v>
      </c>
      <c r="H170" s="109">
        <f t="shared" si="7"/>
        <v>1.0169999999999999</v>
      </c>
    </row>
    <row r="171" spans="1:8" x14ac:dyDescent="0.2">
      <c r="A171" s="107" t="s">
        <v>664</v>
      </c>
      <c r="B171" s="108" t="s">
        <v>665</v>
      </c>
      <c r="C171" s="109">
        <f t="shared" si="8"/>
        <v>170</v>
      </c>
      <c r="D171" s="107" t="s">
        <v>666</v>
      </c>
      <c r="E171" s="110" t="s">
        <v>667</v>
      </c>
      <c r="F171" s="107" t="s">
        <v>63</v>
      </c>
      <c r="G171" s="109">
        <f>IFERROR(SEARCH(MENU!$P$33,D171),"")</f>
        <v>1</v>
      </c>
      <c r="H171" s="109">
        <f t="shared" si="7"/>
        <v>1.0170999999999999</v>
      </c>
    </row>
    <row r="172" spans="1:8" x14ac:dyDescent="0.2">
      <c r="A172" s="107" t="s">
        <v>668</v>
      </c>
      <c r="B172" s="108" t="s">
        <v>669</v>
      </c>
      <c r="C172" s="109">
        <f t="shared" si="8"/>
        <v>171</v>
      </c>
      <c r="D172" s="107" t="s">
        <v>670</v>
      </c>
      <c r="E172" s="110" t="s">
        <v>671</v>
      </c>
      <c r="F172" s="107" t="s">
        <v>63</v>
      </c>
      <c r="G172" s="109">
        <f>IFERROR(SEARCH(MENU!$P$33,D172),"")</f>
        <v>1</v>
      </c>
      <c r="H172" s="109">
        <f t="shared" si="7"/>
        <v>1.0172000000000001</v>
      </c>
    </row>
    <row r="173" spans="1:8" x14ac:dyDescent="0.2">
      <c r="A173" s="107" t="s">
        <v>672</v>
      </c>
      <c r="B173" s="108" t="s">
        <v>673</v>
      </c>
      <c r="C173" s="109">
        <f t="shared" si="8"/>
        <v>172</v>
      </c>
      <c r="D173" s="107" t="s">
        <v>674</v>
      </c>
      <c r="E173" s="110" t="s">
        <v>675</v>
      </c>
      <c r="F173" s="107" t="s">
        <v>63</v>
      </c>
      <c r="G173" s="109">
        <f>IFERROR(SEARCH(MENU!$P$33,D173),"")</f>
        <v>1</v>
      </c>
      <c r="H173" s="109">
        <f t="shared" si="7"/>
        <v>1.0173000000000001</v>
      </c>
    </row>
    <row r="174" spans="1:8" x14ac:dyDescent="0.2">
      <c r="A174" s="107" t="s">
        <v>676</v>
      </c>
      <c r="B174" s="108" t="s">
        <v>677</v>
      </c>
      <c r="C174" s="109">
        <f t="shared" si="8"/>
        <v>173</v>
      </c>
      <c r="D174" s="107" t="s">
        <v>678</v>
      </c>
      <c r="E174" s="110" t="s">
        <v>679</v>
      </c>
      <c r="F174" s="107" t="s">
        <v>63</v>
      </c>
      <c r="G174" s="109">
        <f>IFERROR(SEARCH(MENU!$P$33,D174),"")</f>
        <v>1</v>
      </c>
      <c r="H174" s="109">
        <f t="shared" si="7"/>
        <v>1.0174000000000001</v>
      </c>
    </row>
    <row r="175" spans="1:8" x14ac:dyDescent="0.2">
      <c r="A175" s="107" t="s">
        <v>680</v>
      </c>
      <c r="B175" s="108" t="s">
        <v>681</v>
      </c>
      <c r="C175" s="109">
        <f t="shared" si="8"/>
        <v>174</v>
      </c>
      <c r="D175" s="107" t="s">
        <v>682</v>
      </c>
      <c r="E175" s="110" t="s">
        <v>683</v>
      </c>
      <c r="F175" s="107" t="s">
        <v>63</v>
      </c>
      <c r="G175" s="109">
        <f>IFERROR(SEARCH(MENU!$P$33,D175),"")</f>
        <v>1</v>
      </c>
      <c r="H175" s="109">
        <f t="shared" si="7"/>
        <v>1.0175000000000001</v>
      </c>
    </row>
    <row r="176" spans="1:8" x14ac:dyDescent="0.2">
      <c r="A176" s="107" t="s">
        <v>684</v>
      </c>
      <c r="B176" s="108" t="s">
        <v>685</v>
      </c>
      <c r="C176" s="109">
        <f t="shared" si="8"/>
        <v>175</v>
      </c>
      <c r="D176" s="107" t="s">
        <v>686</v>
      </c>
      <c r="E176" s="110" t="s">
        <v>687</v>
      </c>
      <c r="F176" s="107" t="s">
        <v>63</v>
      </c>
      <c r="G176" s="109">
        <f>IFERROR(SEARCH(MENU!$P$33,D176),"")</f>
        <v>1</v>
      </c>
      <c r="H176" s="109">
        <f t="shared" si="7"/>
        <v>1.0176000000000001</v>
      </c>
    </row>
    <row r="177" spans="1:8" x14ac:dyDescent="0.2">
      <c r="A177" s="107" t="s">
        <v>688</v>
      </c>
      <c r="B177" s="108" t="s">
        <v>689</v>
      </c>
      <c r="C177" s="109">
        <f t="shared" si="8"/>
        <v>176</v>
      </c>
      <c r="D177" s="107" t="s">
        <v>690</v>
      </c>
      <c r="E177" s="110" t="s">
        <v>691</v>
      </c>
      <c r="F177" s="107" t="s">
        <v>63</v>
      </c>
      <c r="G177" s="109">
        <f>IFERROR(SEARCH(MENU!$P$33,D177),"")</f>
        <v>1</v>
      </c>
      <c r="H177" s="109">
        <f t="shared" si="7"/>
        <v>1.0177</v>
      </c>
    </row>
    <row r="178" spans="1:8" x14ac:dyDescent="0.2">
      <c r="A178" s="107" t="s">
        <v>692</v>
      </c>
      <c r="B178" s="108" t="s">
        <v>693</v>
      </c>
      <c r="C178" s="109">
        <f t="shared" si="8"/>
        <v>177</v>
      </c>
      <c r="D178" s="107" t="s">
        <v>694</v>
      </c>
      <c r="E178" s="110" t="s">
        <v>695</v>
      </c>
      <c r="F178" s="107" t="s">
        <v>63</v>
      </c>
      <c r="G178" s="109">
        <f>IFERROR(SEARCH(MENU!$P$33,D178),"")</f>
        <v>1</v>
      </c>
      <c r="H178" s="109">
        <f t="shared" si="7"/>
        <v>1.0178</v>
      </c>
    </row>
    <row r="179" spans="1:8" x14ac:dyDescent="0.2">
      <c r="A179" s="107" t="s">
        <v>696</v>
      </c>
      <c r="B179" s="108" t="s">
        <v>697</v>
      </c>
      <c r="C179" s="109">
        <f t="shared" si="8"/>
        <v>178</v>
      </c>
      <c r="D179" s="107" t="s">
        <v>698</v>
      </c>
      <c r="E179" s="110" t="s">
        <v>699</v>
      </c>
      <c r="F179" s="107" t="s">
        <v>63</v>
      </c>
      <c r="G179" s="109">
        <f>IFERROR(SEARCH(MENU!$P$33,D179),"")</f>
        <v>1</v>
      </c>
      <c r="H179" s="109">
        <f t="shared" si="7"/>
        <v>1.0179</v>
      </c>
    </row>
    <row r="180" spans="1:8" x14ac:dyDescent="0.2">
      <c r="A180" s="107" t="s">
        <v>700</v>
      </c>
      <c r="B180" s="108" t="s">
        <v>701</v>
      </c>
      <c r="C180" s="109">
        <f t="shared" si="8"/>
        <v>179</v>
      </c>
      <c r="D180" s="107" t="s">
        <v>702</v>
      </c>
      <c r="E180" s="110" t="s">
        <v>703</v>
      </c>
      <c r="F180" s="107" t="s">
        <v>63</v>
      </c>
      <c r="G180" s="109">
        <f>IFERROR(SEARCH(MENU!$P$33,D180),"")</f>
        <v>1</v>
      </c>
      <c r="H180" s="109">
        <f t="shared" si="7"/>
        <v>1.018</v>
      </c>
    </row>
    <row r="181" spans="1:8" x14ac:dyDescent="0.2">
      <c r="A181" s="107" t="s">
        <v>704</v>
      </c>
      <c r="B181" s="108" t="s">
        <v>705</v>
      </c>
      <c r="C181" s="109">
        <f t="shared" si="8"/>
        <v>180</v>
      </c>
      <c r="D181" s="107" t="s">
        <v>706</v>
      </c>
      <c r="E181" s="110" t="s">
        <v>707</v>
      </c>
      <c r="F181" s="107" t="s">
        <v>63</v>
      </c>
      <c r="G181" s="109">
        <f>IFERROR(SEARCH(MENU!$P$33,D181),"")</f>
        <v>1</v>
      </c>
      <c r="H181" s="109">
        <f t="shared" si="7"/>
        <v>1.0181</v>
      </c>
    </row>
    <row r="182" spans="1:8" x14ac:dyDescent="0.2">
      <c r="A182" s="107" t="s">
        <v>708</v>
      </c>
      <c r="B182" s="108" t="s">
        <v>709</v>
      </c>
      <c r="C182" s="109">
        <f t="shared" si="8"/>
        <v>181</v>
      </c>
      <c r="D182" s="107" t="s">
        <v>710</v>
      </c>
      <c r="E182" s="110" t="s">
        <v>711</v>
      </c>
      <c r="F182" s="107" t="s">
        <v>63</v>
      </c>
      <c r="G182" s="109">
        <f>IFERROR(SEARCH(MENU!$P$33,D182),"")</f>
        <v>1</v>
      </c>
      <c r="H182" s="109">
        <f t="shared" si="7"/>
        <v>1.0182</v>
      </c>
    </row>
    <row r="183" spans="1:8" x14ac:dyDescent="0.2">
      <c r="A183" s="107" t="s">
        <v>712</v>
      </c>
      <c r="B183" s="108" t="s">
        <v>713</v>
      </c>
      <c r="C183" s="109">
        <f t="shared" si="8"/>
        <v>182</v>
      </c>
      <c r="D183" s="107" t="s">
        <v>714</v>
      </c>
      <c r="E183" s="110" t="s">
        <v>715</v>
      </c>
      <c r="F183" s="107" t="s">
        <v>63</v>
      </c>
      <c r="G183" s="109">
        <f>IFERROR(SEARCH(MENU!$P$33,D183),"")</f>
        <v>1</v>
      </c>
      <c r="H183" s="109">
        <f t="shared" si="7"/>
        <v>1.0183</v>
      </c>
    </row>
    <row r="184" spans="1:8" x14ac:dyDescent="0.2">
      <c r="A184" s="107" t="s">
        <v>716</v>
      </c>
      <c r="B184" s="108" t="s">
        <v>717</v>
      </c>
      <c r="C184" s="109">
        <f t="shared" si="8"/>
        <v>183</v>
      </c>
      <c r="D184" s="107" t="s">
        <v>718</v>
      </c>
      <c r="E184" s="110" t="s">
        <v>719</v>
      </c>
      <c r="F184" s="107" t="s">
        <v>63</v>
      </c>
      <c r="G184" s="109">
        <f>IFERROR(SEARCH(MENU!$P$33,D184),"")</f>
        <v>1</v>
      </c>
      <c r="H184" s="109">
        <f t="shared" si="7"/>
        <v>1.0184</v>
      </c>
    </row>
    <row r="185" spans="1:8" x14ac:dyDescent="0.2">
      <c r="A185" s="10"/>
      <c r="B185" s="10"/>
      <c r="D185" s="10"/>
      <c r="E185" s="10"/>
      <c r="F185" s="10"/>
    </row>
    <row r="191" spans="1:8" x14ac:dyDescent="0.2">
      <c r="A191" s="10"/>
      <c r="B191" s="10"/>
      <c r="D191" s="10"/>
      <c r="E191" s="10"/>
      <c r="F191" s="10"/>
    </row>
    <row r="192" spans="1:8" x14ac:dyDescent="0.2">
      <c r="A192" s="10"/>
      <c r="B192" s="10"/>
      <c r="D192" s="10"/>
      <c r="E192" s="10"/>
      <c r="F192" s="10"/>
    </row>
    <row r="193" spans="1:6" x14ac:dyDescent="0.2">
      <c r="A193" s="10"/>
      <c r="B193" s="10"/>
      <c r="D193" s="10"/>
      <c r="E193" s="10"/>
      <c r="F193" s="10"/>
    </row>
    <row r="194" spans="1:6" x14ac:dyDescent="0.2">
      <c r="A194" s="10"/>
      <c r="B194" s="10"/>
      <c r="D194" s="10"/>
      <c r="E194" s="10"/>
      <c r="F194" s="10"/>
    </row>
    <row r="195" spans="1:6" x14ac:dyDescent="0.2">
      <c r="A195" s="10"/>
      <c r="B195" s="10"/>
      <c r="D195" s="10"/>
      <c r="E195" s="10"/>
      <c r="F195" s="10"/>
    </row>
    <row r="196" spans="1:6" x14ac:dyDescent="0.2">
      <c r="A196" s="10"/>
      <c r="B196" s="10"/>
      <c r="D196" s="10"/>
      <c r="E196" s="10"/>
      <c r="F196" s="10"/>
    </row>
    <row r="197" spans="1:6" x14ac:dyDescent="0.2">
      <c r="A197" s="10"/>
      <c r="B197" s="10"/>
      <c r="D197" s="10"/>
      <c r="E197" s="10"/>
      <c r="F197" s="10"/>
    </row>
    <row r="198" spans="1:6" x14ac:dyDescent="0.2">
      <c r="A198" s="10"/>
      <c r="B198" s="10"/>
      <c r="D198" s="10"/>
      <c r="E198" s="10"/>
      <c r="F198" s="10"/>
    </row>
    <row r="199" spans="1:6" x14ac:dyDescent="0.2">
      <c r="A199" s="10"/>
      <c r="B199" s="10"/>
      <c r="D199" s="10"/>
      <c r="E199" s="10"/>
      <c r="F199" s="10"/>
    </row>
    <row r="200" spans="1:6" x14ac:dyDescent="0.2">
      <c r="A200" s="10"/>
      <c r="B200" s="10"/>
      <c r="D200" s="10"/>
      <c r="E200" s="10"/>
      <c r="F200" s="10"/>
    </row>
    <row r="201" spans="1:6" x14ac:dyDescent="0.2">
      <c r="A201" s="10"/>
      <c r="B201" s="10"/>
      <c r="D201" s="10"/>
      <c r="E201" s="10"/>
      <c r="F201" s="10"/>
    </row>
    <row r="202" spans="1:6" x14ac:dyDescent="0.2">
      <c r="A202" s="10"/>
      <c r="B202" s="10"/>
      <c r="D202" s="10"/>
      <c r="E202" s="10"/>
      <c r="F202" s="10"/>
    </row>
    <row r="203" spans="1:6" x14ac:dyDescent="0.2">
      <c r="A203" s="10"/>
      <c r="B203" s="10"/>
      <c r="D203" s="10"/>
      <c r="E203" s="10"/>
      <c r="F203" s="10"/>
    </row>
    <row r="211" spans="1:6" x14ac:dyDescent="0.2">
      <c r="A211" s="10"/>
      <c r="B211" s="10"/>
      <c r="D211" s="10"/>
      <c r="E211" s="10"/>
      <c r="F211" s="10"/>
    </row>
    <row r="212" spans="1:6" x14ac:dyDescent="0.2">
      <c r="A212" s="10"/>
      <c r="B212" s="10"/>
      <c r="D212" s="10"/>
      <c r="E212" s="10"/>
      <c r="F212" s="10"/>
    </row>
    <row r="213" spans="1:6" x14ac:dyDescent="0.2">
      <c r="A213" s="10"/>
      <c r="B213" s="10"/>
      <c r="D213" s="10"/>
      <c r="E213" s="10"/>
      <c r="F213" s="10"/>
    </row>
    <row r="214" spans="1:6" x14ac:dyDescent="0.2">
      <c r="A214" s="10"/>
      <c r="B214" s="10"/>
      <c r="D214" s="10"/>
      <c r="E214" s="10"/>
      <c r="F214" s="10"/>
    </row>
    <row r="215" spans="1:6" x14ac:dyDescent="0.2">
      <c r="A215" s="10"/>
      <c r="B215" s="10"/>
      <c r="D215" s="10"/>
      <c r="E215" s="10"/>
      <c r="F215" s="10"/>
    </row>
    <row r="216" spans="1:6" x14ac:dyDescent="0.2">
      <c r="A216" s="10"/>
      <c r="B216" s="10"/>
      <c r="D216" s="10"/>
      <c r="E216" s="10"/>
      <c r="F216" s="10"/>
    </row>
    <row r="217" spans="1:6" x14ac:dyDescent="0.2">
      <c r="A217" s="10"/>
      <c r="B217" s="10"/>
      <c r="D217" s="10"/>
      <c r="E217" s="10"/>
      <c r="F217" s="10"/>
    </row>
    <row r="218" spans="1:6" x14ac:dyDescent="0.2">
      <c r="A218" s="10"/>
      <c r="B218" s="10"/>
      <c r="D218" s="10"/>
      <c r="E218" s="10"/>
      <c r="F218" s="10"/>
    </row>
    <row r="219" spans="1:6" x14ac:dyDescent="0.2">
      <c r="A219" s="10"/>
      <c r="B219" s="10"/>
      <c r="D219" s="10"/>
      <c r="E219" s="10"/>
      <c r="F219" s="10"/>
    </row>
    <row r="220" spans="1:6" x14ac:dyDescent="0.2">
      <c r="A220" s="10"/>
      <c r="B220" s="10"/>
      <c r="D220" s="10"/>
      <c r="E220" s="10"/>
      <c r="F220" s="10"/>
    </row>
    <row r="231" spans="1:6" x14ac:dyDescent="0.2">
      <c r="A231" s="10"/>
      <c r="B231" s="10"/>
      <c r="D231" s="10"/>
      <c r="E231" s="10"/>
      <c r="F231" s="10"/>
    </row>
    <row r="232" spans="1:6" x14ac:dyDescent="0.2">
      <c r="A232" s="10"/>
      <c r="B232" s="10"/>
      <c r="D232" s="10"/>
      <c r="E232" s="10"/>
      <c r="F232" s="10"/>
    </row>
    <row r="233" spans="1:6" x14ac:dyDescent="0.2">
      <c r="A233" s="10"/>
      <c r="B233" s="10"/>
      <c r="D233" s="10"/>
      <c r="E233" s="10"/>
      <c r="F233" s="10"/>
    </row>
    <row r="234" spans="1:6" x14ac:dyDescent="0.2">
      <c r="A234" s="10"/>
      <c r="B234" s="10"/>
      <c r="D234" s="10"/>
      <c r="E234" s="10"/>
      <c r="F234" s="10"/>
    </row>
    <row r="235" spans="1:6" x14ac:dyDescent="0.2">
      <c r="A235" s="10"/>
      <c r="B235" s="10"/>
      <c r="D235" s="10"/>
      <c r="E235" s="10"/>
      <c r="F235" s="10"/>
    </row>
    <row r="236" spans="1:6" x14ac:dyDescent="0.2">
      <c r="A236" s="10"/>
      <c r="B236" s="10"/>
      <c r="D236" s="10"/>
      <c r="E236" s="10"/>
      <c r="F236" s="10"/>
    </row>
    <row r="237" spans="1:6" x14ac:dyDescent="0.2">
      <c r="A237" s="10"/>
      <c r="B237" s="10"/>
      <c r="D237" s="10"/>
      <c r="E237" s="10"/>
      <c r="F237" s="10"/>
    </row>
    <row r="238" spans="1:6" x14ac:dyDescent="0.2">
      <c r="A238" s="10"/>
      <c r="B238" s="10"/>
      <c r="D238" s="10"/>
      <c r="E238" s="10"/>
      <c r="F238" s="10"/>
    </row>
    <row r="239" spans="1:6" x14ac:dyDescent="0.2">
      <c r="A239" s="10"/>
      <c r="B239" s="10"/>
      <c r="D239" s="10"/>
      <c r="E239" s="10"/>
      <c r="F239" s="10"/>
    </row>
    <row r="244" spans="1:6" x14ac:dyDescent="0.2">
      <c r="A244" s="10"/>
      <c r="B244" s="10"/>
      <c r="D244" s="10"/>
      <c r="E244" s="10"/>
      <c r="F244" s="10"/>
    </row>
    <row r="245" spans="1:6" x14ac:dyDescent="0.2">
      <c r="A245" s="10"/>
      <c r="B245" s="10"/>
      <c r="D245" s="10"/>
      <c r="E245" s="10"/>
      <c r="F245" s="10"/>
    </row>
    <row r="246" spans="1:6" x14ac:dyDescent="0.2">
      <c r="A246" s="10"/>
      <c r="B246" s="10"/>
      <c r="D246" s="10"/>
      <c r="E246" s="10"/>
      <c r="F246" s="10"/>
    </row>
    <row r="247" spans="1:6" x14ac:dyDescent="0.2">
      <c r="A247" s="10"/>
      <c r="B247" s="10"/>
      <c r="D247" s="10"/>
      <c r="E247" s="10"/>
      <c r="F247" s="10"/>
    </row>
    <row r="248" spans="1:6" x14ac:dyDescent="0.2">
      <c r="A248" s="10"/>
      <c r="B248" s="10"/>
      <c r="D248" s="10"/>
      <c r="E248" s="10"/>
      <c r="F248" s="10"/>
    </row>
    <row r="249" spans="1:6" x14ac:dyDescent="0.2">
      <c r="A249" s="10"/>
      <c r="B249" s="10"/>
      <c r="D249" s="10"/>
      <c r="E249" s="10"/>
      <c r="F249" s="10"/>
    </row>
    <row r="250" spans="1:6" x14ac:dyDescent="0.2">
      <c r="A250" s="10"/>
      <c r="B250" s="10"/>
      <c r="D250" s="10"/>
      <c r="E250" s="10"/>
      <c r="F250" s="10"/>
    </row>
    <row r="251" spans="1:6" x14ac:dyDescent="0.2">
      <c r="A251" s="10"/>
      <c r="B251" s="10"/>
      <c r="D251" s="10"/>
      <c r="E251" s="10"/>
      <c r="F251" s="10"/>
    </row>
    <row r="252" spans="1:6" x14ac:dyDescent="0.2">
      <c r="A252" s="10"/>
      <c r="B252" s="10"/>
      <c r="D252" s="10"/>
      <c r="E252" s="10"/>
      <c r="F252" s="10"/>
    </row>
    <row r="253" spans="1:6" x14ac:dyDescent="0.2">
      <c r="A253" s="10"/>
      <c r="B253" s="10"/>
      <c r="D253" s="10"/>
      <c r="E253" s="10"/>
      <c r="F253" s="10"/>
    </row>
    <row r="254" spans="1:6" x14ac:dyDescent="0.2">
      <c r="A254" s="10"/>
      <c r="B254" s="10"/>
      <c r="D254" s="10"/>
      <c r="E254" s="10"/>
      <c r="F254" s="10"/>
    </row>
    <row r="263" spans="1:6" x14ac:dyDescent="0.2">
      <c r="A263" s="10"/>
      <c r="B263" s="10"/>
      <c r="D263" s="10"/>
      <c r="E263" s="10"/>
      <c r="F263" s="10"/>
    </row>
    <row r="264" spans="1:6" x14ac:dyDescent="0.2">
      <c r="A264" s="10"/>
      <c r="B264" s="10"/>
      <c r="D264" s="10"/>
      <c r="E264" s="10"/>
      <c r="F264" s="10"/>
    </row>
    <row r="265" spans="1:6" x14ac:dyDescent="0.2">
      <c r="A265" s="10"/>
      <c r="B265" s="10"/>
      <c r="D265" s="10"/>
      <c r="E265" s="10"/>
      <c r="F265" s="10"/>
    </row>
    <row r="266" spans="1:6" x14ac:dyDescent="0.2">
      <c r="A266" s="10"/>
      <c r="B266" s="10"/>
      <c r="D266" s="10"/>
      <c r="E266" s="10"/>
      <c r="F266" s="10"/>
    </row>
    <row r="267" spans="1:6" x14ac:dyDescent="0.2">
      <c r="A267" s="10"/>
      <c r="B267" s="10"/>
      <c r="D267" s="10"/>
      <c r="E267" s="10"/>
      <c r="F267" s="10"/>
    </row>
    <row r="268" spans="1:6" x14ac:dyDescent="0.2">
      <c r="A268" s="10"/>
      <c r="B268" s="10"/>
      <c r="D268" s="10"/>
      <c r="E268" s="10"/>
      <c r="F268" s="10"/>
    </row>
    <row r="269" spans="1:6" x14ac:dyDescent="0.2">
      <c r="A269" s="10"/>
      <c r="B269" s="10"/>
      <c r="D269" s="10"/>
      <c r="E269" s="10"/>
      <c r="F269" s="10"/>
    </row>
    <row r="270" spans="1:6" x14ac:dyDescent="0.2">
      <c r="A270" s="10"/>
      <c r="B270" s="10"/>
      <c r="D270" s="10"/>
      <c r="E270" s="10"/>
      <c r="F270" s="10"/>
    </row>
    <row r="271" spans="1:6" x14ac:dyDescent="0.2">
      <c r="A271" s="10"/>
      <c r="B271" s="10"/>
      <c r="D271" s="10"/>
      <c r="E271" s="10"/>
      <c r="F271" s="10"/>
    </row>
    <row r="272" spans="1:6" x14ac:dyDescent="0.2">
      <c r="A272" s="10"/>
      <c r="B272" s="10"/>
      <c r="D272" s="10"/>
      <c r="E272" s="10"/>
      <c r="F272" s="10"/>
    </row>
    <row r="273" spans="1:6" x14ac:dyDescent="0.2">
      <c r="A273" s="10"/>
      <c r="B273" s="10"/>
      <c r="D273" s="10"/>
      <c r="E273" s="10"/>
      <c r="F273" s="10"/>
    </row>
    <row r="274" spans="1:6" x14ac:dyDescent="0.2">
      <c r="A274" s="10"/>
      <c r="B274" s="10"/>
      <c r="D274" s="10"/>
      <c r="E274" s="10"/>
      <c r="F274" s="10"/>
    </row>
    <row r="280" spans="1:6" x14ac:dyDescent="0.2">
      <c r="A280" s="10"/>
      <c r="B280" s="10"/>
      <c r="D280" s="10"/>
      <c r="E280" s="10"/>
      <c r="F280" s="10"/>
    </row>
    <row r="281" spans="1:6" x14ac:dyDescent="0.2">
      <c r="A281" s="10"/>
      <c r="B281" s="10"/>
      <c r="D281" s="10"/>
      <c r="E281" s="10"/>
      <c r="F281" s="10"/>
    </row>
    <row r="282" spans="1:6" x14ac:dyDescent="0.2">
      <c r="A282" s="10"/>
      <c r="B282" s="10"/>
      <c r="D282" s="10"/>
      <c r="E282" s="10"/>
      <c r="F282" s="10"/>
    </row>
    <row r="283" spans="1:6" x14ac:dyDescent="0.2">
      <c r="A283" s="10"/>
      <c r="B283" s="10"/>
      <c r="D283" s="10"/>
      <c r="E283" s="10"/>
      <c r="F283" s="10"/>
    </row>
    <row r="284" spans="1:6" x14ac:dyDescent="0.2">
      <c r="A284" s="10"/>
      <c r="B284" s="10"/>
      <c r="D284" s="10"/>
      <c r="E284" s="10"/>
      <c r="F284" s="10"/>
    </row>
    <row r="285" spans="1:6" x14ac:dyDescent="0.2">
      <c r="A285" s="10"/>
      <c r="B285" s="10"/>
      <c r="D285" s="10"/>
      <c r="E285" s="10"/>
      <c r="F285" s="10"/>
    </row>
    <row r="286" spans="1:6" x14ac:dyDescent="0.2">
      <c r="A286" s="10"/>
      <c r="B286" s="10"/>
      <c r="D286" s="10"/>
      <c r="E286" s="10"/>
      <c r="F286" s="10"/>
    </row>
    <row r="287" spans="1:6" x14ac:dyDescent="0.2">
      <c r="A287" s="10"/>
      <c r="B287" s="10"/>
      <c r="D287" s="10"/>
      <c r="E287" s="10"/>
      <c r="F287" s="10"/>
    </row>
    <row r="288" spans="1:6" x14ac:dyDescent="0.2">
      <c r="A288" s="10"/>
      <c r="B288" s="10"/>
      <c r="D288" s="10"/>
      <c r="E288" s="10"/>
      <c r="F288" s="10"/>
    </row>
    <row r="289" spans="1:6" x14ac:dyDescent="0.2">
      <c r="A289" s="10"/>
      <c r="B289" s="10"/>
      <c r="D289" s="10"/>
      <c r="E289" s="10"/>
      <c r="F289" s="10"/>
    </row>
    <row r="290" spans="1:6" x14ac:dyDescent="0.2">
      <c r="A290" s="10"/>
      <c r="B290" s="10"/>
      <c r="D290" s="10"/>
      <c r="E290" s="10"/>
      <c r="F290" s="10"/>
    </row>
    <row r="296" spans="1:6" x14ac:dyDescent="0.2">
      <c r="A296" s="10"/>
      <c r="B296" s="10"/>
      <c r="D296" s="10"/>
      <c r="E296" s="10"/>
      <c r="F296" s="10"/>
    </row>
    <row r="297" spans="1:6" x14ac:dyDescent="0.2">
      <c r="A297" s="10"/>
      <c r="B297" s="10"/>
      <c r="D297" s="10"/>
      <c r="E297" s="10"/>
      <c r="F297" s="10"/>
    </row>
    <row r="298" spans="1:6" x14ac:dyDescent="0.2">
      <c r="A298" s="10"/>
      <c r="B298" s="10"/>
      <c r="D298" s="10"/>
      <c r="E298" s="10"/>
      <c r="F298" s="10"/>
    </row>
    <row r="299" spans="1:6" x14ac:dyDescent="0.2">
      <c r="A299" s="10"/>
      <c r="B299" s="10"/>
      <c r="D299" s="10"/>
      <c r="E299" s="10"/>
      <c r="F299" s="10"/>
    </row>
    <row r="300" spans="1:6" x14ac:dyDescent="0.2">
      <c r="A300" s="10"/>
      <c r="B300" s="10"/>
      <c r="D300" s="10"/>
      <c r="E300" s="10"/>
      <c r="F300" s="10"/>
    </row>
    <row r="301" spans="1:6" x14ac:dyDescent="0.2">
      <c r="A301" s="10"/>
      <c r="B301" s="10"/>
      <c r="D301" s="10"/>
      <c r="E301" s="10"/>
      <c r="F301" s="10"/>
    </row>
    <row r="302" spans="1:6" x14ac:dyDescent="0.2">
      <c r="A302" s="10"/>
      <c r="B302" s="10"/>
      <c r="D302" s="10"/>
      <c r="E302" s="10"/>
      <c r="F302" s="10"/>
    </row>
    <row r="303" spans="1:6" x14ac:dyDescent="0.2">
      <c r="A303" s="10"/>
      <c r="B303" s="10"/>
      <c r="D303" s="10"/>
      <c r="E303" s="10"/>
      <c r="F303" s="10"/>
    </row>
    <row r="304" spans="1:6" x14ac:dyDescent="0.2">
      <c r="A304" s="10"/>
      <c r="B304" s="10"/>
      <c r="D304" s="10"/>
      <c r="E304" s="10"/>
      <c r="F304" s="10"/>
    </row>
    <row r="312" spans="1:6" x14ac:dyDescent="0.2">
      <c r="A312" s="10"/>
      <c r="B312" s="10"/>
      <c r="D312" s="10"/>
      <c r="E312" s="10"/>
      <c r="F312" s="10"/>
    </row>
    <row r="313" spans="1:6" x14ac:dyDescent="0.2">
      <c r="A313" s="10"/>
      <c r="B313" s="10"/>
      <c r="D313" s="10"/>
      <c r="E313" s="10"/>
      <c r="F313" s="10"/>
    </row>
    <row r="314" spans="1:6" x14ac:dyDescent="0.2">
      <c r="A314" s="10"/>
      <c r="B314" s="10"/>
      <c r="D314" s="10"/>
      <c r="E314" s="10"/>
      <c r="F314" s="10"/>
    </row>
    <row r="315" spans="1:6" x14ac:dyDescent="0.2">
      <c r="A315" s="10"/>
      <c r="B315" s="10"/>
      <c r="D315" s="10"/>
      <c r="E315" s="10"/>
      <c r="F315" s="10"/>
    </row>
    <row r="316" spans="1:6" x14ac:dyDescent="0.2">
      <c r="A316" s="10"/>
      <c r="B316" s="10"/>
      <c r="D316" s="10"/>
      <c r="E316" s="10"/>
      <c r="F316" s="10"/>
    </row>
    <row r="317" spans="1:6" x14ac:dyDescent="0.2">
      <c r="A317" s="10"/>
      <c r="B317" s="10"/>
      <c r="D317" s="10"/>
      <c r="E317" s="10"/>
      <c r="F317" s="10"/>
    </row>
    <row r="318" spans="1:6" x14ac:dyDescent="0.2">
      <c r="A318" s="10"/>
      <c r="B318" s="10"/>
      <c r="D318" s="10"/>
      <c r="E318" s="10"/>
      <c r="F318" s="10"/>
    </row>
    <row r="319" spans="1:6" x14ac:dyDescent="0.2">
      <c r="A319" s="10"/>
      <c r="B319" s="10"/>
      <c r="D319" s="10"/>
      <c r="E319" s="10"/>
      <c r="F319" s="10"/>
    </row>
    <row r="320" spans="1:6" x14ac:dyDescent="0.2">
      <c r="A320" s="10"/>
      <c r="B320" s="10"/>
      <c r="D320" s="10"/>
      <c r="E320" s="10"/>
      <c r="F320" s="10"/>
    </row>
    <row r="328" spans="1:6" x14ac:dyDescent="0.2">
      <c r="A328" s="10"/>
      <c r="B328" s="10"/>
      <c r="D328" s="10"/>
      <c r="E328" s="10"/>
      <c r="F328" s="10"/>
    </row>
    <row r="329" spans="1:6" x14ac:dyDescent="0.2">
      <c r="A329" s="10"/>
      <c r="B329" s="10"/>
      <c r="D329" s="10"/>
      <c r="E329" s="10"/>
      <c r="F329" s="10"/>
    </row>
    <row r="330" spans="1:6" x14ac:dyDescent="0.2">
      <c r="A330" s="10"/>
      <c r="B330" s="10"/>
      <c r="D330" s="10"/>
      <c r="E330" s="10"/>
      <c r="F330" s="10"/>
    </row>
    <row r="331" spans="1:6" x14ac:dyDescent="0.2">
      <c r="A331" s="10"/>
      <c r="B331" s="10"/>
      <c r="D331" s="10"/>
      <c r="E331" s="10"/>
      <c r="F331" s="10"/>
    </row>
    <row r="332" spans="1:6" x14ac:dyDescent="0.2">
      <c r="A332" s="10"/>
      <c r="B332" s="10"/>
      <c r="D332" s="10"/>
      <c r="E332" s="10"/>
      <c r="F332" s="10"/>
    </row>
    <row r="333" spans="1:6" x14ac:dyDescent="0.2">
      <c r="A333" s="10"/>
      <c r="B333" s="10"/>
      <c r="D333" s="10"/>
      <c r="E333" s="10"/>
      <c r="F333" s="10"/>
    </row>
    <row r="334" spans="1:6" x14ac:dyDescent="0.2">
      <c r="A334" s="10"/>
      <c r="B334" s="10"/>
      <c r="D334" s="10"/>
      <c r="E334" s="10"/>
      <c r="F334" s="10"/>
    </row>
    <row r="335" spans="1:6" x14ac:dyDescent="0.2">
      <c r="A335" s="10"/>
      <c r="B335" s="10"/>
      <c r="D335" s="10"/>
      <c r="E335" s="10"/>
      <c r="F335" s="10"/>
    </row>
    <row r="336" spans="1:6" x14ac:dyDescent="0.2">
      <c r="A336" s="10"/>
      <c r="B336" s="10"/>
      <c r="D336" s="10"/>
      <c r="E336" s="10"/>
      <c r="F336" s="10"/>
    </row>
    <row r="337" spans="1:6" x14ac:dyDescent="0.2">
      <c r="A337" s="10"/>
      <c r="B337" s="10"/>
      <c r="D337" s="10"/>
      <c r="E337" s="10"/>
      <c r="F337" s="10"/>
    </row>
    <row r="338" spans="1:6" x14ac:dyDescent="0.2">
      <c r="A338" s="10"/>
      <c r="B338" s="10"/>
      <c r="D338" s="10"/>
      <c r="E338" s="10"/>
      <c r="F338" s="10"/>
    </row>
    <row r="339" spans="1:6" x14ac:dyDescent="0.2">
      <c r="A339" s="10"/>
      <c r="B339" s="10"/>
      <c r="D339" s="10"/>
      <c r="E339" s="10"/>
      <c r="F339" s="10"/>
    </row>
    <row r="340" spans="1:6" x14ac:dyDescent="0.2">
      <c r="A340" s="10"/>
      <c r="B340" s="10"/>
      <c r="D340" s="10"/>
      <c r="E340" s="10"/>
      <c r="F340" s="10"/>
    </row>
    <row r="341" spans="1:6" x14ac:dyDescent="0.2">
      <c r="A341" s="10"/>
      <c r="B341" s="10"/>
      <c r="D341" s="10"/>
      <c r="E341" s="10"/>
      <c r="F341" s="10"/>
    </row>
    <row r="342" spans="1:6" x14ac:dyDescent="0.2">
      <c r="A342" s="10"/>
      <c r="B342" s="10"/>
      <c r="D342" s="10"/>
      <c r="E342" s="10"/>
      <c r="F342" s="10"/>
    </row>
    <row r="352" spans="1:6" x14ac:dyDescent="0.2">
      <c r="A352" s="10"/>
      <c r="B352" s="10"/>
      <c r="D352" s="10"/>
      <c r="E352" s="10"/>
      <c r="F352" s="10"/>
    </row>
    <row r="353" spans="1:6" x14ac:dyDescent="0.2">
      <c r="A353" s="10"/>
      <c r="B353" s="10"/>
      <c r="D353" s="10"/>
      <c r="E353" s="10"/>
      <c r="F353" s="10"/>
    </row>
    <row r="354" spans="1:6" x14ac:dyDescent="0.2">
      <c r="A354" s="10"/>
      <c r="B354" s="10"/>
      <c r="D354" s="10"/>
      <c r="E354" s="10"/>
      <c r="F354" s="10"/>
    </row>
    <row r="355" spans="1:6" x14ac:dyDescent="0.2">
      <c r="A355" s="10"/>
      <c r="B355" s="10"/>
      <c r="D355" s="10"/>
      <c r="E355" s="10"/>
      <c r="F355" s="10"/>
    </row>
    <row r="356" spans="1:6" x14ac:dyDescent="0.2">
      <c r="A356" s="10"/>
      <c r="B356" s="10"/>
      <c r="D356" s="10"/>
      <c r="E356" s="10"/>
      <c r="F356" s="10"/>
    </row>
    <row r="357" spans="1:6" x14ac:dyDescent="0.2">
      <c r="A357" s="10"/>
      <c r="B357" s="10"/>
      <c r="D357" s="10"/>
      <c r="E357" s="10"/>
      <c r="F357" s="10"/>
    </row>
    <row r="358" spans="1:6" x14ac:dyDescent="0.2">
      <c r="A358" s="10"/>
      <c r="B358" s="10"/>
      <c r="D358" s="10"/>
      <c r="E358" s="10"/>
      <c r="F358" s="10"/>
    </row>
    <row r="359" spans="1:6" x14ac:dyDescent="0.2">
      <c r="A359" s="10"/>
      <c r="B359" s="10"/>
      <c r="D359" s="10"/>
      <c r="E359" s="10"/>
      <c r="F359" s="10"/>
    </row>
    <row r="360" spans="1:6" x14ac:dyDescent="0.2">
      <c r="A360" s="10"/>
      <c r="B360" s="10"/>
      <c r="D360" s="10"/>
      <c r="E360" s="10"/>
      <c r="F360" s="10"/>
    </row>
    <row r="361" spans="1:6" x14ac:dyDescent="0.2">
      <c r="A361" s="10"/>
      <c r="B361" s="10"/>
      <c r="D361" s="10"/>
      <c r="E361" s="10"/>
      <c r="F361" s="10"/>
    </row>
    <row r="362" spans="1:6" x14ac:dyDescent="0.2">
      <c r="A362" s="10"/>
      <c r="B362" s="10"/>
      <c r="D362" s="10"/>
      <c r="E362" s="10"/>
      <c r="F362" s="10"/>
    </row>
    <row r="369" spans="1:6" x14ac:dyDescent="0.2">
      <c r="A369" s="10"/>
      <c r="B369" s="10"/>
      <c r="D369" s="10"/>
      <c r="E369" s="10"/>
      <c r="F369" s="10"/>
    </row>
    <row r="370" spans="1:6" x14ac:dyDescent="0.2">
      <c r="A370" s="10"/>
      <c r="B370" s="10"/>
      <c r="D370" s="10"/>
      <c r="E370" s="10"/>
      <c r="F370" s="10"/>
    </row>
    <row r="371" spans="1:6" x14ac:dyDescent="0.2">
      <c r="A371" s="10"/>
      <c r="B371" s="10"/>
      <c r="D371" s="10"/>
      <c r="E371" s="10"/>
      <c r="F371" s="10"/>
    </row>
    <row r="372" spans="1:6" x14ac:dyDescent="0.2">
      <c r="A372" s="10"/>
      <c r="B372" s="10"/>
      <c r="D372" s="10"/>
      <c r="E372" s="10"/>
      <c r="F372" s="10"/>
    </row>
    <row r="373" spans="1:6" x14ac:dyDescent="0.2">
      <c r="A373" s="10"/>
      <c r="B373" s="10"/>
      <c r="D373" s="10"/>
      <c r="E373" s="10"/>
      <c r="F373" s="10"/>
    </row>
    <row r="374" spans="1:6" x14ac:dyDescent="0.2">
      <c r="A374" s="10"/>
      <c r="B374" s="10"/>
      <c r="D374" s="10"/>
      <c r="E374" s="10"/>
      <c r="F374" s="10"/>
    </row>
    <row r="375" spans="1:6" x14ac:dyDescent="0.2">
      <c r="A375" s="10"/>
      <c r="B375" s="10"/>
      <c r="D375" s="10"/>
      <c r="E375" s="10"/>
      <c r="F375" s="10"/>
    </row>
    <row r="376" spans="1:6" x14ac:dyDescent="0.2">
      <c r="A376" s="10"/>
      <c r="B376" s="10"/>
      <c r="D376" s="10"/>
      <c r="E376" s="10"/>
      <c r="F376" s="10"/>
    </row>
    <row r="383" spans="1:6" x14ac:dyDescent="0.2">
      <c r="A383" s="10"/>
      <c r="B383" s="10"/>
      <c r="D383" s="10"/>
      <c r="F383" s="10"/>
    </row>
    <row r="384" spans="1:6" x14ac:dyDescent="0.2">
      <c r="A384" s="10"/>
      <c r="B384" s="10"/>
      <c r="D384" s="10"/>
      <c r="F384" s="10"/>
    </row>
    <row r="385" spans="1:6" x14ac:dyDescent="0.2">
      <c r="A385" s="10"/>
      <c r="B385" s="10"/>
      <c r="D385" s="10"/>
      <c r="F385" s="10"/>
    </row>
    <row r="386" spans="1:6" x14ac:dyDescent="0.2">
      <c r="A386" s="10"/>
      <c r="B386" s="10"/>
      <c r="D386" s="10"/>
      <c r="F386" s="10"/>
    </row>
    <row r="387" spans="1:6" x14ac:dyDescent="0.2">
      <c r="A387" s="10"/>
      <c r="B387" s="10"/>
      <c r="D387" s="10"/>
      <c r="F387" s="10"/>
    </row>
    <row r="388" spans="1:6" x14ac:dyDescent="0.2">
      <c r="A388" s="10"/>
      <c r="B388" s="10"/>
      <c r="D388" s="10"/>
      <c r="F388" s="10"/>
    </row>
    <row r="389" spans="1:6" x14ac:dyDescent="0.2">
      <c r="A389" s="10"/>
      <c r="B389" s="10"/>
      <c r="D389" s="10"/>
      <c r="F389" s="10"/>
    </row>
    <row r="390" spans="1:6" x14ac:dyDescent="0.2">
      <c r="A390" s="10"/>
      <c r="B390" s="10"/>
      <c r="D390" s="10"/>
      <c r="F390" s="10"/>
    </row>
    <row r="391" spans="1:6" x14ac:dyDescent="0.2">
      <c r="A391" s="10"/>
      <c r="B391" s="10"/>
      <c r="D391" s="10"/>
      <c r="F391" s="10"/>
    </row>
    <row r="392" spans="1:6" x14ac:dyDescent="0.2">
      <c r="A392" s="10"/>
      <c r="B392" s="10"/>
      <c r="D392" s="10"/>
      <c r="F392" s="10"/>
    </row>
    <row r="393" spans="1:6" x14ac:dyDescent="0.2">
      <c r="A393" s="10"/>
      <c r="B393" s="10"/>
      <c r="D393" s="10"/>
      <c r="F393" s="10"/>
    </row>
    <row r="394" spans="1:6" x14ac:dyDescent="0.2">
      <c r="A394" s="10"/>
      <c r="B394" s="10"/>
      <c r="D394" s="10"/>
      <c r="F394" s="10"/>
    </row>
    <row r="401" spans="1:6" x14ac:dyDescent="0.2">
      <c r="A401" s="10"/>
      <c r="B401" s="10"/>
      <c r="D401" s="10"/>
      <c r="E401" s="10"/>
      <c r="F401" s="10"/>
    </row>
    <row r="402" spans="1:6" x14ac:dyDescent="0.2">
      <c r="A402" s="10"/>
      <c r="B402" s="10"/>
      <c r="D402" s="10"/>
      <c r="E402" s="10"/>
      <c r="F402" s="10"/>
    </row>
    <row r="403" spans="1:6" x14ac:dyDescent="0.2">
      <c r="A403" s="10"/>
      <c r="B403" s="10"/>
      <c r="D403" s="10"/>
      <c r="E403" s="10"/>
      <c r="F403" s="10"/>
    </row>
    <row r="404" spans="1:6" x14ac:dyDescent="0.2">
      <c r="A404" s="10"/>
      <c r="B404" s="10"/>
      <c r="D404" s="10"/>
      <c r="E404" s="10"/>
      <c r="F404" s="10"/>
    </row>
    <row r="405" spans="1:6" x14ac:dyDescent="0.2">
      <c r="A405" s="10"/>
      <c r="B405" s="10"/>
      <c r="D405" s="10"/>
      <c r="E405" s="10"/>
      <c r="F405" s="10"/>
    </row>
    <row r="406" spans="1:6" x14ac:dyDescent="0.2">
      <c r="A406" s="10"/>
      <c r="B406" s="10"/>
      <c r="D406" s="10"/>
      <c r="E406" s="10"/>
      <c r="F406" s="10"/>
    </row>
    <row r="407" spans="1:6" x14ac:dyDescent="0.2">
      <c r="A407" s="10"/>
      <c r="B407" s="10"/>
      <c r="D407" s="10"/>
      <c r="E407" s="10"/>
      <c r="F407" s="10"/>
    </row>
    <row r="408" spans="1:6" x14ac:dyDescent="0.2">
      <c r="A408" s="10"/>
      <c r="B408" s="10"/>
      <c r="D408" s="10"/>
      <c r="E408" s="10"/>
      <c r="F408" s="10"/>
    </row>
    <row r="409" spans="1:6" x14ac:dyDescent="0.2">
      <c r="A409" s="10"/>
      <c r="B409" s="10"/>
      <c r="D409" s="10"/>
      <c r="E409" s="10"/>
      <c r="F409" s="10"/>
    </row>
    <row r="414" spans="1:6" x14ac:dyDescent="0.2">
      <c r="A414" s="10"/>
      <c r="B414" s="10"/>
      <c r="D414" s="10"/>
      <c r="E414" s="10"/>
      <c r="F414" s="10"/>
    </row>
    <row r="415" spans="1:6" x14ac:dyDescent="0.2">
      <c r="A415" s="10"/>
      <c r="B415" s="10"/>
      <c r="D415" s="10"/>
      <c r="E415" s="10"/>
      <c r="F415" s="10"/>
    </row>
    <row r="416" spans="1:6" x14ac:dyDescent="0.2">
      <c r="A416" s="10"/>
      <c r="B416" s="10"/>
      <c r="D416" s="10"/>
      <c r="E416" s="10"/>
      <c r="F416" s="10"/>
    </row>
    <row r="417" spans="1:6" x14ac:dyDescent="0.2">
      <c r="A417" s="10"/>
      <c r="B417" s="10"/>
      <c r="D417" s="10"/>
      <c r="E417" s="10"/>
      <c r="F417" s="10"/>
    </row>
    <row r="418" spans="1:6" x14ac:dyDescent="0.2">
      <c r="A418" s="10"/>
      <c r="B418" s="10"/>
      <c r="D418" s="10"/>
      <c r="E418" s="10"/>
      <c r="F418" s="10"/>
    </row>
    <row r="419" spans="1:6" x14ac:dyDescent="0.2">
      <c r="A419" s="10"/>
      <c r="B419" s="10"/>
      <c r="D419" s="10"/>
      <c r="E419" s="10"/>
      <c r="F419" s="10"/>
    </row>
    <row r="420" spans="1:6" x14ac:dyDescent="0.2">
      <c r="A420" s="10"/>
      <c r="B420" s="10"/>
      <c r="D420" s="10"/>
      <c r="E420" s="10"/>
      <c r="F420" s="10"/>
    </row>
    <row r="421" spans="1:6" x14ac:dyDescent="0.2">
      <c r="A421" s="10"/>
      <c r="B421" s="10"/>
      <c r="D421" s="10"/>
      <c r="E421" s="10"/>
      <c r="F421" s="10"/>
    </row>
    <row r="422" spans="1:6" x14ac:dyDescent="0.2">
      <c r="A422" s="10"/>
      <c r="B422" s="10"/>
      <c r="D422" s="10"/>
      <c r="E422" s="10"/>
      <c r="F422" s="10"/>
    </row>
    <row r="423" spans="1:6" x14ac:dyDescent="0.2">
      <c r="A423" s="10"/>
      <c r="B423" s="10"/>
      <c r="D423" s="10"/>
      <c r="E423" s="10"/>
      <c r="F423" s="10"/>
    </row>
    <row r="424" spans="1:6" x14ac:dyDescent="0.2">
      <c r="A424" s="10"/>
      <c r="B424" s="10"/>
      <c r="D424" s="10"/>
      <c r="E424" s="10"/>
      <c r="F424" s="10"/>
    </row>
    <row r="425" spans="1:6" x14ac:dyDescent="0.2">
      <c r="A425" s="10"/>
      <c r="B425" s="10"/>
      <c r="D425" s="10"/>
      <c r="E425" s="10"/>
      <c r="F425" s="10"/>
    </row>
    <row r="426" spans="1:6" x14ac:dyDescent="0.2">
      <c r="A426" s="10"/>
      <c r="B426" s="10"/>
      <c r="D426" s="10"/>
      <c r="E426" s="10"/>
      <c r="F426" s="10"/>
    </row>
    <row r="427" spans="1:6" x14ac:dyDescent="0.2">
      <c r="A427" s="10"/>
      <c r="B427" s="10"/>
      <c r="D427" s="10"/>
      <c r="E427" s="10"/>
      <c r="F427" s="10"/>
    </row>
    <row r="428" spans="1:6" x14ac:dyDescent="0.2">
      <c r="A428" s="10"/>
      <c r="B428" s="10"/>
      <c r="D428" s="10"/>
      <c r="E428" s="10"/>
      <c r="F428" s="10"/>
    </row>
    <row r="440" spans="1:6" x14ac:dyDescent="0.2">
      <c r="A440" s="10"/>
      <c r="B440" s="10"/>
      <c r="D440" s="10"/>
      <c r="E440" s="10"/>
      <c r="F440" s="10"/>
    </row>
    <row r="441" spans="1:6" x14ac:dyDescent="0.2">
      <c r="A441" s="10"/>
      <c r="B441" s="10"/>
      <c r="D441" s="10"/>
      <c r="E441" s="10"/>
      <c r="F441" s="10"/>
    </row>
    <row r="442" spans="1:6" x14ac:dyDescent="0.2">
      <c r="A442" s="10"/>
      <c r="B442" s="10"/>
      <c r="D442" s="10"/>
      <c r="E442" s="10"/>
      <c r="F442" s="10"/>
    </row>
    <row r="443" spans="1:6" x14ac:dyDescent="0.2">
      <c r="A443" s="10"/>
      <c r="B443" s="10"/>
      <c r="D443" s="10"/>
      <c r="E443" s="10"/>
      <c r="F443" s="10"/>
    </row>
    <row r="444" spans="1:6" x14ac:dyDescent="0.2">
      <c r="A444" s="10"/>
      <c r="B444" s="10"/>
      <c r="D444" s="10"/>
      <c r="E444" s="10"/>
      <c r="F444" s="10"/>
    </row>
    <row r="445" spans="1:6" x14ac:dyDescent="0.2">
      <c r="A445" s="10"/>
      <c r="B445" s="10"/>
      <c r="D445" s="10"/>
      <c r="E445" s="10"/>
      <c r="F445" s="10"/>
    </row>
    <row r="446" spans="1:6" x14ac:dyDescent="0.2">
      <c r="A446" s="10"/>
      <c r="B446" s="10"/>
      <c r="D446" s="10"/>
      <c r="E446" s="10"/>
      <c r="F446" s="10"/>
    </row>
    <row r="447" spans="1:6" x14ac:dyDescent="0.2">
      <c r="A447" s="10"/>
      <c r="B447" s="10"/>
      <c r="D447" s="10"/>
      <c r="E447" s="10"/>
      <c r="F447" s="10"/>
    </row>
    <row r="448" spans="1:6" x14ac:dyDescent="0.2">
      <c r="A448" s="10"/>
      <c r="B448" s="10"/>
      <c r="D448" s="10"/>
      <c r="E448" s="10"/>
      <c r="F448" s="10"/>
    </row>
    <row r="449" spans="1:6" x14ac:dyDescent="0.2">
      <c r="A449" s="10"/>
      <c r="B449" s="10"/>
      <c r="D449" s="10"/>
      <c r="E449" s="10"/>
      <c r="F449" s="10"/>
    </row>
    <row r="450" spans="1:6" x14ac:dyDescent="0.2">
      <c r="A450" s="10"/>
      <c r="B450" s="10"/>
      <c r="D450" s="10"/>
      <c r="E450" s="10"/>
      <c r="F450" s="10"/>
    </row>
    <row r="451" spans="1:6" x14ac:dyDescent="0.2">
      <c r="A451" s="10"/>
      <c r="B451" s="10"/>
      <c r="D451" s="10"/>
      <c r="E451" s="10"/>
      <c r="F451" s="10"/>
    </row>
    <row r="456" spans="1:6" x14ac:dyDescent="0.2">
      <c r="A456" s="10"/>
      <c r="B456" s="10"/>
      <c r="D456" s="10"/>
      <c r="E456" s="10"/>
      <c r="F456" s="10"/>
    </row>
    <row r="457" spans="1:6" x14ac:dyDescent="0.2">
      <c r="A457" s="10"/>
      <c r="B457" s="10"/>
      <c r="D457" s="10"/>
      <c r="E457" s="10"/>
      <c r="F457" s="10"/>
    </row>
    <row r="458" spans="1:6" x14ac:dyDescent="0.2">
      <c r="A458" s="10"/>
      <c r="B458" s="10"/>
      <c r="D458" s="10"/>
      <c r="E458" s="10"/>
      <c r="F458" s="10"/>
    </row>
    <row r="459" spans="1:6" x14ac:dyDescent="0.2">
      <c r="A459" s="10"/>
      <c r="B459" s="10"/>
      <c r="D459" s="10"/>
      <c r="E459" s="10"/>
      <c r="F459" s="10"/>
    </row>
    <row r="460" spans="1:6" x14ac:dyDescent="0.2">
      <c r="A460" s="10"/>
      <c r="B460" s="10"/>
      <c r="D460" s="10"/>
      <c r="E460" s="10"/>
      <c r="F460" s="10"/>
    </row>
    <row r="461" spans="1:6" x14ac:dyDescent="0.2">
      <c r="A461" s="10"/>
      <c r="B461" s="10"/>
      <c r="D461" s="10"/>
      <c r="E461" s="10"/>
      <c r="F461" s="10"/>
    </row>
    <row r="462" spans="1:6" x14ac:dyDescent="0.2">
      <c r="A462" s="10"/>
      <c r="B462" s="10"/>
      <c r="D462" s="10"/>
      <c r="E462" s="10"/>
      <c r="F462" s="10"/>
    </row>
    <row r="463" spans="1:6" x14ac:dyDescent="0.2">
      <c r="A463" s="10"/>
      <c r="B463" s="10"/>
      <c r="D463" s="10"/>
      <c r="E463" s="10"/>
      <c r="F463" s="10"/>
    </row>
    <row r="467" spans="1:6" x14ac:dyDescent="0.2">
      <c r="A467" s="10"/>
      <c r="B467" s="10"/>
      <c r="D467" s="10"/>
      <c r="E467" s="10"/>
      <c r="F467" s="10"/>
    </row>
    <row r="468" spans="1:6" x14ac:dyDescent="0.2">
      <c r="A468" s="10"/>
      <c r="B468" s="10"/>
      <c r="D468" s="10"/>
      <c r="E468" s="10"/>
      <c r="F468" s="10"/>
    </row>
    <row r="469" spans="1:6" x14ac:dyDescent="0.2">
      <c r="A469" s="10"/>
      <c r="B469" s="10"/>
      <c r="D469" s="10"/>
      <c r="E469" s="10"/>
      <c r="F469" s="10"/>
    </row>
    <row r="470" spans="1:6" x14ac:dyDescent="0.2">
      <c r="A470" s="10"/>
      <c r="B470" s="10"/>
      <c r="D470" s="10"/>
      <c r="E470" s="10"/>
      <c r="F470" s="10"/>
    </row>
    <row r="471" spans="1:6" x14ac:dyDescent="0.2">
      <c r="A471" s="10"/>
      <c r="B471" s="10"/>
      <c r="D471" s="10"/>
      <c r="E471" s="10"/>
      <c r="F471" s="10"/>
    </row>
    <row r="472" spans="1:6" x14ac:dyDescent="0.2">
      <c r="A472" s="10"/>
      <c r="B472" s="10"/>
      <c r="D472" s="10"/>
      <c r="E472" s="10"/>
      <c r="F472" s="10"/>
    </row>
    <row r="473" spans="1:6" x14ac:dyDescent="0.2">
      <c r="A473" s="10"/>
      <c r="B473" s="10"/>
      <c r="D473" s="10"/>
      <c r="E473" s="10"/>
      <c r="F473" s="10"/>
    </row>
    <row r="474" spans="1:6" x14ac:dyDescent="0.2">
      <c r="A474" s="10"/>
      <c r="B474" s="10"/>
      <c r="D474" s="10"/>
      <c r="E474" s="10"/>
      <c r="F474" s="10"/>
    </row>
    <row r="475" spans="1:6" x14ac:dyDescent="0.2">
      <c r="A475" s="10"/>
      <c r="B475" s="10"/>
      <c r="D475" s="10"/>
      <c r="E475" s="10"/>
      <c r="F475" s="10"/>
    </row>
    <row r="476" spans="1:6" x14ac:dyDescent="0.2">
      <c r="A476" s="10"/>
      <c r="B476" s="10"/>
      <c r="D476" s="10"/>
      <c r="E476" s="10"/>
      <c r="F476" s="10"/>
    </row>
    <row r="482" spans="1:6" x14ac:dyDescent="0.2">
      <c r="A482" s="10"/>
      <c r="B482" s="10"/>
      <c r="D482" s="10"/>
      <c r="E482" s="10"/>
      <c r="F482" s="10"/>
    </row>
    <row r="483" spans="1:6" x14ac:dyDescent="0.2">
      <c r="A483" s="10"/>
      <c r="B483" s="10"/>
      <c r="D483" s="10"/>
      <c r="E483" s="10"/>
      <c r="F483" s="10"/>
    </row>
    <row r="484" spans="1:6" x14ac:dyDescent="0.2">
      <c r="A484" s="10"/>
      <c r="B484" s="10"/>
      <c r="D484" s="10"/>
      <c r="E484" s="10"/>
      <c r="F484" s="10"/>
    </row>
    <row r="485" spans="1:6" x14ac:dyDescent="0.2">
      <c r="A485" s="10"/>
      <c r="B485" s="10"/>
      <c r="D485" s="10"/>
      <c r="E485" s="10"/>
      <c r="F485" s="10"/>
    </row>
    <row r="486" spans="1:6" x14ac:dyDescent="0.2">
      <c r="A486" s="10"/>
      <c r="B486" s="10"/>
      <c r="D486" s="10"/>
      <c r="E486" s="10"/>
      <c r="F486" s="10"/>
    </row>
    <row r="487" spans="1:6" x14ac:dyDescent="0.2">
      <c r="A487" s="10"/>
      <c r="B487" s="10"/>
      <c r="D487" s="10"/>
      <c r="E487" s="10"/>
      <c r="F487" s="10"/>
    </row>
    <row r="488" spans="1:6" x14ac:dyDescent="0.2">
      <c r="A488" s="10"/>
      <c r="B488" s="10"/>
      <c r="D488" s="10"/>
      <c r="E488" s="10"/>
      <c r="F488" s="10"/>
    </row>
    <row r="489" spans="1:6" x14ac:dyDescent="0.2">
      <c r="A489" s="10"/>
      <c r="B489" s="10"/>
      <c r="D489" s="10"/>
      <c r="E489" s="10"/>
      <c r="F489" s="10"/>
    </row>
    <row r="490" spans="1:6" x14ac:dyDescent="0.2">
      <c r="A490" s="10"/>
      <c r="B490" s="10"/>
      <c r="D490" s="10"/>
      <c r="E490" s="10"/>
      <c r="F490" s="10"/>
    </row>
    <row r="496" spans="1:6" x14ac:dyDescent="0.2">
      <c r="A496" s="10"/>
      <c r="B496" s="10"/>
      <c r="D496" s="10"/>
      <c r="E496" s="10"/>
      <c r="F496" s="10"/>
    </row>
    <row r="497" spans="1:6" x14ac:dyDescent="0.2">
      <c r="A497" s="10"/>
      <c r="B497" s="10"/>
      <c r="D497" s="10"/>
      <c r="E497" s="10"/>
      <c r="F497" s="10"/>
    </row>
    <row r="498" spans="1:6" x14ac:dyDescent="0.2">
      <c r="A498" s="10"/>
      <c r="B498" s="10"/>
      <c r="D498" s="10"/>
      <c r="E498" s="10"/>
      <c r="F498" s="10"/>
    </row>
    <row r="499" spans="1:6" x14ac:dyDescent="0.2">
      <c r="A499" s="10"/>
      <c r="B499" s="10"/>
      <c r="D499" s="10"/>
      <c r="E499" s="10"/>
      <c r="F499" s="10"/>
    </row>
    <row r="500" spans="1:6" x14ac:dyDescent="0.2">
      <c r="A500" s="10"/>
      <c r="B500" s="10"/>
      <c r="D500" s="10"/>
      <c r="E500" s="10"/>
      <c r="F500" s="10"/>
    </row>
    <row r="501" spans="1:6" x14ac:dyDescent="0.2">
      <c r="A501" s="10"/>
      <c r="B501" s="10"/>
      <c r="D501" s="10"/>
      <c r="E501" s="10"/>
      <c r="F501" s="10"/>
    </row>
    <row r="502" spans="1:6" x14ac:dyDescent="0.2">
      <c r="A502" s="10"/>
      <c r="B502" s="10"/>
      <c r="D502" s="10"/>
      <c r="E502" s="10"/>
      <c r="F502" s="10"/>
    </row>
    <row r="503" spans="1:6" x14ac:dyDescent="0.2">
      <c r="A503" s="10"/>
      <c r="B503" s="10"/>
      <c r="D503" s="10"/>
      <c r="E503" s="10"/>
      <c r="F503" s="10"/>
    </row>
    <row r="504" spans="1:6" x14ac:dyDescent="0.2">
      <c r="A504" s="10"/>
      <c r="B504" s="10"/>
      <c r="D504" s="10"/>
      <c r="E504" s="10"/>
      <c r="F504" s="10"/>
    </row>
    <row r="505" spans="1:6" x14ac:dyDescent="0.2">
      <c r="A505" s="10"/>
      <c r="B505" s="10"/>
      <c r="D505" s="10"/>
      <c r="E505" s="10"/>
      <c r="F505" s="10"/>
    </row>
    <row r="506" spans="1:6" x14ac:dyDescent="0.2">
      <c r="A506" s="10"/>
      <c r="B506" s="10"/>
      <c r="D506" s="10"/>
      <c r="E506" s="10"/>
      <c r="F506" s="10"/>
    </row>
    <row r="507" spans="1:6" x14ac:dyDescent="0.2">
      <c r="A507" s="10"/>
      <c r="B507" s="10"/>
      <c r="D507" s="10"/>
      <c r="E507" s="10"/>
      <c r="F507" s="10"/>
    </row>
    <row r="508" spans="1:6" x14ac:dyDescent="0.2">
      <c r="A508" s="10"/>
      <c r="B508" s="10"/>
      <c r="D508" s="10"/>
      <c r="E508" s="10"/>
      <c r="F508" s="10"/>
    </row>
    <row r="509" spans="1:6" x14ac:dyDescent="0.2">
      <c r="A509" s="10"/>
      <c r="B509" s="10"/>
      <c r="D509" s="10"/>
      <c r="E509" s="10"/>
      <c r="F509" s="10"/>
    </row>
    <row r="510" spans="1:6" x14ac:dyDescent="0.2">
      <c r="A510" s="10"/>
      <c r="B510" s="10"/>
      <c r="D510" s="10"/>
      <c r="E510" s="10"/>
      <c r="F510" s="10"/>
    </row>
    <row r="511" spans="1:6" x14ac:dyDescent="0.2">
      <c r="A511" s="10"/>
      <c r="B511" s="10"/>
      <c r="D511" s="10"/>
      <c r="E511" s="10"/>
      <c r="F511" s="10"/>
    </row>
    <row r="512" spans="1:6" x14ac:dyDescent="0.2">
      <c r="A512" s="10"/>
      <c r="B512" s="10"/>
      <c r="D512" s="10"/>
      <c r="E512" s="10"/>
      <c r="F512" s="10"/>
    </row>
    <row r="519" spans="1:6" x14ac:dyDescent="0.2">
      <c r="A519" s="10"/>
      <c r="B519" s="10"/>
      <c r="D519" s="10"/>
      <c r="E519" s="10"/>
      <c r="F519" s="10"/>
    </row>
    <row r="520" spans="1:6" x14ac:dyDescent="0.2">
      <c r="A520" s="10"/>
      <c r="B520" s="10"/>
      <c r="D520" s="10"/>
      <c r="E520" s="10"/>
      <c r="F520" s="10"/>
    </row>
    <row r="521" spans="1:6" x14ac:dyDescent="0.2">
      <c r="A521" s="10"/>
      <c r="B521" s="10"/>
      <c r="D521" s="10"/>
      <c r="E521" s="10"/>
      <c r="F521" s="10"/>
    </row>
    <row r="522" spans="1:6" x14ac:dyDescent="0.2">
      <c r="A522" s="10"/>
      <c r="B522" s="10"/>
      <c r="D522" s="10"/>
      <c r="E522" s="10"/>
      <c r="F522" s="10"/>
    </row>
    <row r="523" spans="1:6" x14ac:dyDescent="0.2">
      <c r="A523" s="10"/>
      <c r="B523" s="10"/>
      <c r="D523" s="10"/>
      <c r="E523" s="10"/>
      <c r="F523" s="10"/>
    </row>
    <row r="524" spans="1:6" x14ac:dyDescent="0.2">
      <c r="A524" s="10"/>
      <c r="B524" s="10"/>
      <c r="D524" s="10"/>
      <c r="E524" s="10"/>
      <c r="F524" s="10"/>
    </row>
    <row r="525" spans="1:6" x14ac:dyDescent="0.2">
      <c r="A525" s="10"/>
      <c r="B525" s="10"/>
      <c r="D525" s="10"/>
      <c r="E525" s="10"/>
      <c r="F525" s="10"/>
    </row>
    <row r="526" spans="1:6" x14ac:dyDescent="0.2">
      <c r="A526" s="10"/>
      <c r="B526" s="10"/>
      <c r="D526" s="10"/>
      <c r="E526" s="10"/>
      <c r="F526" s="10"/>
    </row>
    <row r="527" spans="1:6" x14ac:dyDescent="0.2">
      <c r="A527" s="10"/>
      <c r="B527" s="10"/>
      <c r="D527" s="10"/>
      <c r="E527" s="10"/>
      <c r="F527" s="10"/>
    </row>
    <row r="528" spans="1:6" x14ac:dyDescent="0.2">
      <c r="A528" s="10"/>
      <c r="B528" s="10"/>
      <c r="D528" s="10"/>
      <c r="E528" s="10"/>
      <c r="F528" s="10"/>
    </row>
    <row r="529" spans="1:6" x14ac:dyDescent="0.2">
      <c r="A529" s="10"/>
      <c r="B529" s="10"/>
      <c r="D529" s="10"/>
      <c r="E529" s="10"/>
      <c r="F529" s="10"/>
    </row>
    <row r="530" spans="1:6" x14ac:dyDescent="0.2">
      <c r="A530" s="10"/>
      <c r="B530" s="10"/>
      <c r="D530" s="10"/>
      <c r="E530" s="10"/>
      <c r="F530" s="10"/>
    </row>
    <row r="531" spans="1:6" x14ac:dyDescent="0.2">
      <c r="A531" s="10"/>
      <c r="B531" s="10"/>
      <c r="D531" s="10"/>
      <c r="E531" s="10"/>
      <c r="F531" s="10"/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273171b4-ab18-4f75-a3e1-66e7513517a7">JKZX2ZKYQP3V-402037004-27</_dlc_DocId>
    <_dlc_DocIdUrl xmlns="273171b4-ab18-4f75-a3e1-66e7513517a7">
      <Url>https://laposte.sharepoint.com/sites/ColisDOTIDF/ACPRungis/Production/OUTILSAQ/_layouts/15/DocIdRedir.aspx?ID=JKZX2ZKYQP3V-402037004-27</Url>
      <Description>JKZX2ZKYQP3V-402037004-27</Description>
    </_dlc_DocIdUrl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B95B49D9864A419F9DD0DA2778FD4A" ma:contentTypeVersion="306" ma:contentTypeDescription="Crée un document." ma:contentTypeScope="" ma:versionID="32afba509f55ecda235fa6ae8cd56ab2">
  <xsd:schema xmlns:xsd="http://www.w3.org/2001/XMLSchema" xmlns:xs="http://www.w3.org/2001/XMLSchema" xmlns:p="http://schemas.microsoft.com/office/2006/metadata/properties" xmlns:ns2="273171b4-ab18-4f75-a3e1-66e7513517a7" xmlns:ns3="128094f5-29f1-4ccd-88d6-bdaf6f176d24" targetNamespace="http://schemas.microsoft.com/office/2006/metadata/properties" ma:root="true" ma:fieldsID="08c47eeda6b5cb56b88f635fafe4c3a7" ns2:_="" ns3:_="">
    <xsd:import namespace="273171b4-ab18-4f75-a3e1-66e7513517a7"/>
    <xsd:import namespace="128094f5-29f1-4ccd-88d6-bdaf6f176d2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3171b4-ab18-4f75-a3e1-66e7513517a7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eur d’ID de document" ma:description="Valeur de l’ID de document affecté à cet élément." ma:internalName="_dlc_DocId" ma:readOnly="true">
      <xsd:simpleType>
        <xsd:restriction base="dms:Text"/>
      </xsd:simpleType>
    </xsd:element>
    <xsd:element name="_dlc_DocIdUrl" ma:index="9" nillable="true" ma:displayName="ID de document" ma:description="Lien permanent vers ce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8094f5-29f1-4ccd-88d6-bdaf6f176d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DD63E4-EFC9-4CDE-835F-DD6E97569C97}">
  <ds:schemaRefs>
    <ds:schemaRef ds:uri="http://schemas.microsoft.com/office/2006/documentManagement/types"/>
    <ds:schemaRef ds:uri="128094f5-29f1-4ccd-88d6-bdaf6f176d24"/>
    <ds:schemaRef ds:uri="http://schemas.microsoft.com/office/2006/metadata/properties"/>
    <ds:schemaRef ds:uri="273171b4-ab18-4f75-a3e1-66e7513517a7"/>
    <ds:schemaRef ds:uri="http://purl.org/dc/dcmitype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1851DA1-81D9-4632-8091-3F5F5FD3BBCA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E65B6C61-9FF2-4732-9979-25EB7D67B2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73171b4-ab18-4f75-a3e1-66e7513517a7"/>
    <ds:schemaRef ds:uri="128094f5-29f1-4ccd-88d6-bdaf6f176d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B291596-D6FE-4953-ADD0-740B9B63EA62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AC5A77DA-0334-48D4-A934-E2DA0845B1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22</vt:i4>
      </vt:variant>
      <vt:variant>
        <vt:lpstr>Plages nommées</vt:lpstr>
      </vt:variant>
      <vt:variant>
        <vt:i4>1</vt:i4>
      </vt:variant>
    </vt:vector>
  </HeadingPairs>
  <TitlesOfParts>
    <vt:vector size="23" baseType="lpstr">
      <vt:lpstr>MENU</vt:lpstr>
      <vt:lpstr>2S EXPRESS</vt:lpstr>
      <vt:lpstr>2 ZT</vt:lpstr>
      <vt:lpstr>GO TRANSPORT</vt:lpstr>
      <vt:lpstr>HMZ - KAIS</vt:lpstr>
      <vt:lpstr>IB TRANSPORT</vt:lpstr>
      <vt:lpstr>JSL</vt:lpstr>
      <vt:lpstr>KIFAITOUT</vt:lpstr>
      <vt:lpstr>LUXE DRIVE</vt:lpstr>
      <vt:lpstr>SSN</vt:lpstr>
      <vt:lpstr>TJM</vt:lpstr>
      <vt:lpstr>W3</vt:lpstr>
      <vt:lpstr>ATHIS MONS</vt:lpstr>
      <vt:lpstr>L HAY LES ROSES</vt:lpstr>
      <vt:lpstr>RUNGIS</vt:lpstr>
      <vt:lpstr>SCEAUX</vt:lpstr>
      <vt:lpstr>INSTANCE C1</vt:lpstr>
      <vt:lpstr>INSTANCE C2</vt:lpstr>
      <vt:lpstr>INTERNES</vt:lpstr>
      <vt:lpstr>EN PANNE</vt:lpstr>
      <vt:lpstr>NON RENTRE</vt:lpstr>
      <vt:lpstr>PUK</vt:lpstr>
      <vt:lpstr>'HMZ - KAIS'!Zone_d_impression</vt:lpstr>
    </vt:vector>
  </TitlesOfParts>
  <Manager/>
  <Company>Coliposte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Sébastien Cuvellier</dc:creator>
  <cp:keywords/>
  <dc:description/>
  <cp:lastModifiedBy>Sébastien Cuvellier</cp:lastModifiedBy>
  <cp:revision/>
  <cp:lastPrinted>2020-06-28T09:18:50Z</cp:lastPrinted>
  <dcterms:created xsi:type="dcterms:W3CDTF">2012-05-23T12:13:23Z</dcterms:created>
  <dcterms:modified xsi:type="dcterms:W3CDTF">2021-05-13T15:13:20Z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">
    <vt:lpwstr>JKZX2ZKYQP3V-402037004-9</vt:lpwstr>
  </property>
  <property fmtid="{D5CDD505-2E9C-101B-9397-08002B2CF9AE}" pid="3" name="_dlc_DocIdItemGuid">
    <vt:lpwstr>e87be61f-cb6e-463f-a86e-ee49ec613fc3</vt:lpwstr>
  </property>
  <property fmtid="{D5CDD505-2E9C-101B-9397-08002B2CF9AE}" pid="4" name="_dlc_DocIdUrl">
    <vt:lpwstr>https://laposte.sharepoint.com/sites/ColisDOTIDF/ACPRungis/Production/OUTILSAQ/_layouts/15/DocIdRedir.aspx?ID=JKZX2ZKYQP3V-402037004-9, JKZX2ZKYQP3V-402037004-9</vt:lpwstr>
  </property>
  <property fmtid="{D5CDD505-2E9C-101B-9397-08002B2CF9AE}" pid="5" name="ContentTypeId">
    <vt:lpwstr>0x010100DCB95B49D9864A419F9DD0DA2778FD4A</vt:lpwstr>
  </property>
</Properties>
</file>